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EPAUS9rT_v20.2_AZ020522\EPAUS9rT_v20.2_AZ020522\"/>
    </mc:Choice>
  </mc:AlternateContent>
  <xr:revisionPtr revIDLastSave="0" documentId="13_ncr:1_{42253A39-3E0B-4D81-BDF8-23BDA5866052}" xr6:coauthVersionLast="46" xr6:coauthVersionMax="46" xr10:uidLastSave="{00000000-0000-0000-0000-000000000000}"/>
  <bookViews>
    <workbookView xWindow="1215" yWindow="1110" windowWidth="9210" windowHeight="3435" xr2:uid="{942A6FFE-8C3A-430E-BFBA-9ED770AB9828}"/>
  </bookViews>
  <sheets>
    <sheet name="SetsEditor- Proc" sheetId="5" r:id="rId1"/>
    <sheet name="VEDA_Sets-Comm" sheetId="2" r:id="rId2"/>
    <sheet name="VEDA_Sets-Proc" sheetId="3" r:id="rId3"/>
    <sheet name="setrules" sheetId="1" r:id="rId4"/>
    <sheet name="Proc-clean" sheetId="4" r:id="rId5"/>
  </sheets>
  <definedNames>
    <definedName name="_xlnm._FilterDatabase" localSheetId="3" hidden="1">setrules!$A$1:$R$472</definedName>
    <definedName name="_xlnm._FilterDatabase" localSheetId="1" hidden="1">'VEDA_Sets-Comm'!$C$2:$D$2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43" i="3" l="1"/>
  <c r="E1143" i="3"/>
  <c r="D1143" i="3"/>
  <c r="C1143" i="3"/>
  <c r="B1143" i="3"/>
  <c r="A1143" i="3"/>
  <c r="F1142" i="3"/>
  <c r="E1142" i="3"/>
  <c r="D1142" i="3"/>
  <c r="C1142" i="3"/>
  <c r="B1142" i="3"/>
  <c r="A1142" i="3"/>
  <c r="F1141" i="3"/>
  <c r="E1141" i="3"/>
  <c r="D1141" i="3"/>
  <c r="C1141" i="3"/>
  <c r="B1141" i="3"/>
  <c r="A1141" i="3"/>
  <c r="F1140" i="3"/>
  <c r="E1140" i="3"/>
  <c r="D1140" i="3"/>
  <c r="C1140" i="3"/>
  <c r="B1140" i="3"/>
  <c r="A1140" i="3"/>
  <c r="F1139" i="3"/>
  <c r="E1139" i="3"/>
  <c r="D1139" i="3"/>
  <c r="C1139" i="3"/>
  <c r="B1139" i="3"/>
  <c r="A1139" i="3"/>
  <c r="F1138" i="3"/>
  <c r="E1138" i="3"/>
  <c r="D1138" i="3"/>
  <c r="C1138" i="3"/>
  <c r="B1138" i="3"/>
  <c r="A1138" i="3"/>
  <c r="F1137" i="3"/>
  <c r="E1137" i="3"/>
  <c r="D1137" i="3"/>
  <c r="C1137" i="3"/>
  <c r="B1137" i="3"/>
  <c r="A1137" i="3"/>
  <c r="F1136" i="3"/>
  <c r="E1136" i="3"/>
  <c r="D1136" i="3"/>
  <c r="C1136" i="3"/>
  <c r="B1136" i="3"/>
  <c r="A1136" i="3"/>
  <c r="F1135" i="3"/>
  <c r="E1135" i="3"/>
  <c r="D1135" i="3"/>
  <c r="C1135" i="3"/>
  <c r="B1135" i="3"/>
  <c r="A1135" i="3"/>
  <c r="F1134" i="3"/>
  <c r="E1134" i="3"/>
  <c r="D1134" i="3"/>
  <c r="C1134" i="3"/>
  <c r="B1134" i="3"/>
  <c r="A1134" i="3"/>
  <c r="F1133" i="3"/>
  <c r="E1133" i="3"/>
  <c r="D1133" i="3"/>
  <c r="C1133" i="3"/>
  <c r="B1133" i="3"/>
  <c r="A1133" i="3"/>
  <c r="F1132" i="3"/>
  <c r="E1132" i="3"/>
  <c r="D1132" i="3"/>
  <c r="C1132" i="3"/>
  <c r="B1132" i="3"/>
  <c r="A1132" i="3"/>
  <c r="F1131" i="3"/>
  <c r="E1131" i="3"/>
  <c r="D1131" i="3"/>
  <c r="C1131" i="3"/>
  <c r="B1131" i="3"/>
  <c r="A1131" i="3"/>
  <c r="F1130" i="3"/>
  <c r="E1130" i="3"/>
  <c r="D1130" i="3"/>
  <c r="C1130" i="3"/>
  <c r="B1130" i="3"/>
  <c r="A1130" i="3"/>
  <c r="F1129" i="3"/>
  <c r="E1129" i="3"/>
  <c r="D1129" i="3"/>
  <c r="C1129" i="3"/>
  <c r="B1129" i="3"/>
  <c r="A1129" i="3"/>
  <c r="F1128" i="3"/>
  <c r="E1128" i="3"/>
  <c r="D1128" i="3"/>
  <c r="C1128" i="3"/>
  <c r="B1128" i="3"/>
  <c r="A1128" i="3"/>
  <c r="F1127" i="3"/>
  <c r="E1127" i="3"/>
  <c r="D1127" i="3"/>
  <c r="C1127" i="3"/>
  <c r="B1127" i="3"/>
  <c r="A1127" i="3"/>
  <c r="F1126" i="3"/>
  <c r="E1126" i="3"/>
  <c r="D1126" i="3"/>
  <c r="C1126" i="3"/>
  <c r="B1126" i="3"/>
  <c r="A1126" i="3"/>
  <c r="F1125" i="3"/>
  <c r="E1125" i="3"/>
  <c r="D1125" i="3"/>
  <c r="C1125" i="3"/>
  <c r="B1125" i="3"/>
  <c r="A1125" i="3"/>
  <c r="F1124" i="3"/>
  <c r="E1124" i="3"/>
  <c r="D1124" i="3"/>
  <c r="C1124" i="3"/>
  <c r="B1124" i="3"/>
  <c r="A1124" i="3"/>
  <c r="F1123" i="3"/>
  <c r="E1123" i="3"/>
  <c r="D1123" i="3"/>
  <c r="C1123" i="3"/>
  <c r="B1123" i="3"/>
  <c r="A1123" i="3"/>
  <c r="F1122" i="3"/>
  <c r="E1122" i="3"/>
  <c r="D1122" i="3"/>
  <c r="C1122" i="3"/>
  <c r="B1122" i="3"/>
  <c r="A1122" i="3"/>
  <c r="F1121" i="3"/>
  <c r="E1121" i="3"/>
  <c r="D1121" i="3"/>
  <c r="C1121" i="3"/>
  <c r="B1121" i="3"/>
  <c r="A1121" i="3"/>
  <c r="F1120" i="3"/>
  <c r="E1120" i="3"/>
  <c r="D1120" i="3"/>
  <c r="C1120" i="3"/>
  <c r="B1120" i="3"/>
  <c r="A1120" i="3"/>
  <c r="F1119" i="3"/>
  <c r="E1119" i="3"/>
  <c r="D1119" i="3"/>
  <c r="C1119" i="3"/>
  <c r="B1119" i="3"/>
  <c r="A1119" i="3"/>
  <c r="F1118" i="3"/>
  <c r="E1118" i="3"/>
  <c r="D1118" i="3"/>
  <c r="C1118" i="3"/>
  <c r="B1118" i="3"/>
  <c r="A1118" i="3"/>
  <c r="F1117" i="3"/>
  <c r="E1117" i="3"/>
  <c r="D1117" i="3"/>
  <c r="C1117" i="3"/>
  <c r="B1117" i="3"/>
  <c r="A1117" i="3"/>
  <c r="F1116" i="3"/>
  <c r="E1116" i="3"/>
  <c r="D1116" i="3"/>
  <c r="C1116" i="3"/>
  <c r="B1116" i="3"/>
  <c r="A1116" i="3"/>
  <c r="F1115" i="3"/>
  <c r="E1115" i="3"/>
  <c r="D1115" i="3"/>
  <c r="C1115" i="3"/>
  <c r="B1115" i="3"/>
  <c r="A1115" i="3"/>
  <c r="F1114" i="3"/>
  <c r="E1114" i="3"/>
  <c r="D1114" i="3"/>
  <c r="C1114" i="3"/>
  <c r="B1114" i="3"/>
  <c r="A1114" i="3"/>
  <c r="F1113" i="3"/>
  <c r="E1113" i="3"/>
  <c r="D1113" i="3"/>
  <c r="C1113" i="3"/>
  <c r="B1113" i="3"/>
  <c r="A1113" i="3"/>
  <c r="F1112" i="3"/>
  <c r="E1112" i="3"/>
  <c r="D1112" i="3"/>
  <c r="C1112" i="3"/>
  <c r="B1112" i="3"/>
  <c r="A1112" i="3"/>
  <c r="F1111" i="3"/>
  <c r="E1111" i="3"/>
  <c r="D1111" i="3"/>
  <c r="C1111" i="3"/>
  <c r="B1111" i="3"/>
  <c r="A1111" i="3"/>
  <c r="F1110" i="3"/>
  <c r="E1110" i="3"/>
  <c r="D1110" i="3"/>
  <c r="C1110" i="3"/>
  <c r="B1110" i="3"/>
  <c r="A1110" i="3"/>
  <c r="F1109" i="3"/>
  <c r="E1109" i="3"/>
  <c r="D1109" i="3"/>
  <c r="C1109" i="3"/>
  <c r="B1109" i="3"/>
  <c r="A1109" i="3"/>
  <c r="F1108" i="3"/>
  <c r="E1108" i="3"/>
  <c r="D1108" i="3"/>
  <c r="C1108" i="3"/>
  <c r="B1108" i="3"/>
  <c r="A1108" i="3"/>
  <c r="F1107" i="3"/>
  <c r="E1107" i="3"/>
  <c r="D1107" i="3"/>
  <c r="C1107" i="3"/>
  <c r="B1107" i="3"/>
  <c r="A1107" i="3"/>
  <c r="F1106" i="3"/>
  <c r="E1106" i="3"/>
  <c r="D1106" i="3"/>
  <c r="C1106" i="3"/>
  <c r="B1106" i="3"/>
  <c r="A1106" i="3"/>
  <c r="F1105" i="3"/>
  <c r="E1105" i="3"/>
  <c r="D1105" i="3"/>
  <c r="C1105" i="3"/>
  <c r="B1105" i="3"/>
  <c r="A1105" i="3"/>
  <c r="F1104" i="3"/>
  <c r="E1104" i="3"/>
  <c r="D1104" i="3"/>
  <c r="C1104" i="3"/>
  <c r="B1104" i="3"/>
  <c r="A1104" i="3"/>
  <c r="F1103" i="3"/>
  <c r="E1103" i="3"/>
  <c r="D1103" i="3"/>
  <c r="C1103" i="3"/>
  <c r="B1103" i="3"/>
  <c r="A1103" i="3"/>
  <c r="F1102" i="3"/>
  <c r="E1102" i="3"/>
  <c r="D1102" i="3"/>
  <c r="C1102" i="3"/>
  <c r="B1102" i="3"/>
  <c r="A1102" i="3"/>
  <c r="F1101" i="3"/>
  <c r="E1101" i="3"/>
  <c r="D1101" i="3"/>
  <c r="C1101" i="3"/>
  <c r="B1101" i="3"/>
  <c r="A1101" i="3"/>
  <c r="F1100" i="3"/>
  <c r="E1100" i="3"/>
  <c r="D1100" i="3"/>
  <c r="C1100" i="3"/>
  <c r="B1100" i="3"/>
  <c r="A1100" i="3"/>
  <c r="F1099" i="3"/>
  <c r="E1099" i="3"/>
  <c r="D1099" i="3"/>
  <c r="C1099" i="3"/>
  <c r="B1099" i="3"/>
  <c r="A1099" i="3"/>
  <c r="F1098" i="3"/>
  <c r="E1098" i="3"/>
  <c r="D1098" i="3"/>
  <c r="C1098" i="3"/>
  <c r="B1098" i="3"/>
  <c r="A1098" i="3"/>
  <c r="F1097" i="3"/>
  <c r="E1097" i="3"/>
  <c r="D1097" i="3"/>
  <c r="C1097" i="3"/>
  <c r="B1097" i="3"/>
  <c r="A1097" i="3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86" i="2" l="1"/>
  <c r="D85" i="2"/>
  <c r="B261" i="3" l="1"/>
  <c r="D84" i="2" l="1"/>
  <c r="D64" i="2" l="1"/>
  <c r="D65" i="2"/>
  <c r="D66" i="2"/>
  <c r="D67" i="2"/>
  <c r="D68" i="2"/>
  <c r="D69" i="2"/>
  <c r="D70" i="2"/>
  <c r="D71" i="2"/>
  <c r="D73" i="2"/>
  <c r="D74" i="2"/>
  <c r="D75" i="2"/>
  <c r="D76" i="2"/>
  <c r="D77" i="2"/>
  <c r="D78" i="2"/>
  <c r="D79" i="2"/>
  <c r="D80" i="2"/>
  <c r="D81" i="2"/>
  <c r="D82" i="2"/>
  <c r="D83" i="2"/>
  <c r="D63" i="2"/>
  <c r="B13" i="4" l="1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2" i="4"/>
  <c r="F4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5" i="4"/>
  <c r="F36" i="4"/>
  <c r="F37" i="4"/>
  <c r="F38" i="4"/>
  <c r="F39" i="4"/>
  <c r="F40" i="4"/>
  <c r="F41" i="4"/>
  <c r="F42" i="4"/>
  <c r="F43" i="4"/>
  <c r="F44" i="4"/>
  <c r="F45" i="4"/>
  <c r="F47" i="4"/>
  <c r="F48" i="4"/>
  <c r="F49" i="4"/>
  <c r="F3" i="4"/>
  <c r="G49" i="4"/>
  <c r="E49" i="4"/>
  <c r="G48" i="4"/>
  <c r="E48" i="4"/>
  <c r="G47" i="4"/>
  <c r="E47" i="4"/>
  <c r="G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G33" i="4"/>
  <c r="E33" i="4"/>
  <c r="G32" i="4"/>
  <c r="E32" i="4"/>
  <c r="G31" i="4"/>
  <c r="E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G4" i="4"/>
  <c r="E4" i="4"/>
  <c r="G3" i="4"/>
  <c r="E3" i="4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7" i="3"/>
  <c r="B249" i="3"/>
  <c r="B250" i="3"/>
  <c r="B251" i="3"/>
  <c r="B252" i="3"/>
  <c r="B253" i="3"/>
  <c r="B254" i="3"/>
  <c r="B256" i="3"/>
  <c r="B257" i="3"/>
  <c r="B258" i="3"/>
  <c r="B259" i="3"/>
  <c r="B260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52" i="3"/>
  <c r="B753" i="3"/>
  <c r="B754" i="3"/>
  <c r="B755" i="3"/>
  <c r="B756" i="3"/>
  <c r="B757" i="3"/>
  <c r="B758" i="3"/>
  <c r="B759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3" i="3"/>
  <c r="F1096" i="3"/>
  <c r="E1096" i="3"/>
  <c r="D1096" i="3"/>
  <c r="C1096" i="3"/>
  <c r="A1096" i="3"/>
  <c r="F1095" i="3"/>
  <c r="E1095" i="3"/>
  <c r="D1095" i="3"/>
  <c r="C1095" i="3"/>
  <c r="A1095" i="3"/>
  <c r="F1094" i="3"/>
  <c r="E1094" i="3"/>
  <c r="D1094" i="3"/>
  <c r="C1094" i="3"/>
  <c r="A1094" i="3"/>
  <c r="F1093" i="3"/>
  <c r="E1093" i="3"/>
  <c r="D1093" i="3"/>
  <c r="C1093" i="3"/>
  <c r="A1093" i="3"/>
  <c r="F1092" i="3"/>
  <c r="E1092" i="3"/>
  <c r="D1092" i="3"/>
  <c r="C1092" i="3"/>
  <c r="A1092" i="3"/>
  <c r="F1091" i="3"/>
  <c r="E1091" i="3"/>
  <c r="D1091" i="3"/>
  <c r="C1091" i="3"/>
  <c r="A1091" i="3"/>
  <c r="F1090" i="3"/>
  <c r="E1090" i="3"/>
  <c r="D1090" i="3"/>
  <c r="C1090" i="3"/>
  <c r="A1090" i="3"/>
  <c r="F1089" i="3"/>
  <c r="E1089" i="3"/>
  <c r="D1089" i="3"/>
  <c r="C1089" i="3"/>
  <c r="A1089" i="3"/>
  <c r="F1088" i="3"/>
  <c r="E1088" i="3"/>
  <c r="D1088" i="3"/>
  <c r="C1088" i="3"/>
  <c r="A1088" i="3"/>
  <c r="F1087" i="3"/>
  <c r="E1087" i="3"/>
  <c r="D1087" i="3"/>
  <c r="C1087" i="3"/>
  <c r="A1087" i="3"/>
  <c r="F1086" i="3"/>
  <c r="E1086" i="3"/>
  <c r="D1086" i="3"/>
  <c r="C1086" i="3"/>
  <c r="A1086" i="3"/>
  <c r="F1085" i="3"/>
  <c r="E1085" i="3"/>
  <c r="D1085" i="3"/>
  <c r="C1085" i="3"/>
  <c r="A1085" i="3"/>
  <c r="F1084" i="3"/>
  <c r="E1084" i="3"/>
  <c r="D1084" i="3"/>
  <c r="C1084" i="3"/>
  <c r="A1084" i="3"/>
  <c r="F1083" i="3"/>
  <c r="E1083" i="3"/>
  <c r="D1083" i="3"/>
  <c r="C1083" i="3"/>
  <c r="A1083" i="3"/>
  <c r="F1082" i="3"/>
  <c r="E1082" i="3"/>
  <c r="D1082" i="3"/>
  <c r="C1082" i="3"/>
  <c r="A1082" i="3"/>
  <c r="F1081" i="3"/>
  <c r="E1081" i="3"/>
  <c r="D1081" i="3"/>
  <c r="C1081" i="3"/>
  <c r="A1081" i="3"/>
  <c r="F1080" i="3"/>
  <c r="E1080" i="3"/>
  <c r="D1080" i="3"/>
  <c r="C1080" i="3"/>
  <c r="A1080" i="3"/>
  <c r="F1079" i="3"/>
  <c r="E1079" i="3"/>
  <c r="D1079" i="3"/>
  <c r="C1079" i="3"/>
  <c r="A1079" i="3"/>
  <c r="F1078" i="3"/>
  <c r="E1078" i="3"/>
  <c r="D1078" i="3"/>
  <c r="C1078" i="3"/>
  <c r="A1078" i="3"/>
  <c r="F1077" i="3"/>
  <c r="E1077" i="3"/>
  <c r="D1077" i="3"/>
  <c r="C1077" i="3"/>
  <c r="A1077" i="3"/>
  <c r="F1076" i="3"/>
  <c r="E1076" i="3"/>
  <c r="D1076" i="3"/>
  <c r="C1076" i="3"/>
  <c r="A1076" i="3"/>
  <c r="F1075" i="3"/>
  <c r="E1075" i="3"/>
  <c r="D1075" i="3"/>
  <c r="C1075" i="3"/>
  <c r="A1075" i="3"/>
  <c r="F1074" i="3"/>
  <c r="E1074" i="3"/>
  <c r="D1074" i="3"/>
  <c r="C1074" i="3"/>
  <c r="A1074" i="3"/>
  <c r="F1073" i="3"/>
  <c r="E1073" i="3"/>
  <c r="D1073" i="3"/>
  <c r="C1073" i="3"/>
  <c r="A1073" i="3"/>
  <c r="F1072" i="3"/>
  <c r="E1072" i="3"/>
  <c r="D1072" i="3"/>
  <c r="C1072" i="3"/>
  <c r="A1072" i="3"/>
  <c r="F1071" i="3"/>
  <c r="E1071" i="3"/>
  <c r="D1071" i="3"/>
  <c r="C1071" i="3"/>
  <c r="A1071" i="3"/>
  <c r="F1070" i="3"/>
  <c r="E1070" i="3"/>
  <c r="D1070" i="3"/>
  <c r="C1070" i="3"/>
  <c r="A1070" i="3"/>
  <c r="F1069" i="3"/>
  <c r="E1069" i="3"/>
  <c r="D1069" i="3"/>
  <c r="C1069" i="3"/>
  <c r="A1069" i="3"/>
  <c r="F1068" i="3"/>
  <c r="E1068" i="3"/>
  <c r="D1068" i="3"/>
  <c r="C1068" i="3"/>
  <c r="A1068" i="3"/>
  <c r="F1067" i="3"/>
  <c r="E1067" i="3"/>
  <c r="D1067" i="3"/>
  <c r="C1067" i="3"/>
  <c r="A1067" i="3"/>
  <c r="F1066" i="3"/>
  <c r="E1066" i="3"/>
  <c r="D1066" i="3"/>
  <c r="C1066" i="3"/>
  <c r="A1066" i="3"/>
  <c r="F1065" i="3"/>
  <c r="E1065" i="3"/>
  <c r="D1065" i="3"/>
  <c r="C1065" i="3"/>
  <c r="A1065" i="3"/>
  <c r="F1064" i="3"/>
  <c r="E1064" i="3"/>
  <c r="D1064" i="3"/>
  <c r="C1064" i="3"/>
  <c r="A1064" i="3"/>
  <c r="F1063" i="3"/>
  <c r="E1063" i="3"/>
  <c r="D1063" i="3"/>
  <c r="C1063" i="3"/>
  <c r="A1063" i="3"/>
  <c r="F1062" i="3"/>
  <c r="E1062" i="3"/>
  <c r="D1062" i="3"/>
  <c r="C1062" i="3"/>
  <c r="A1062" i="3"/>
  <c r="F1061" i="3"/>
  <c r="E1061" i="3"/>
  <c r="D1061" i="3"/>
  <c r="C1061" i="3"/>
  <c r="A1061" i="3"/>
  <c r="F1060" i="3"/>
  <c r="E1060" i="3"/>
  <c r="D1060" i="3"/>
  <c r="C1060" i="3"/>
  <c r="A1060" i="3"/>
  <c r="F1059" i="3"/>
  <c r="E1059" i="3"/>
  <c r="D1059" i="3"/>
  <c r="C1059" i="3"/>
  <c r="A1059" i="3"/>
  <c r="F1058" i="3"/>
  <c r="E1058" i="3"/>
  <c r="D1058" i="3"/>
  <c r="C1058" i="3"/>
  <c r="A1058" i="3"/>
  <c r="F1057" i="3"/>
  <c r="E1057" i="3"/>
  <c r="D1057" i="3"/>
  <c r="C1057" i="3"/>
  <c r="A1057" i="3"/>
  <c r="F1056" i="3"/>
  <c r="E1056" i="3"/>
  <c r="D1056" i="3"/>
  <c r="C1056" i="3"/>
  <c r="A1056" i="3"/>
  <c r="F1055" i="3"/>
  <c r="E1055" i="3"/>
  <c r="D1055" i="3"/>
  <c r="C1055" i="3"/>
  <c r="A1055" i="3"/>
  <c r="F1054" i="3"/>
  <c r="E1054" i="3"/>
  <c r="D1054" i="3"/>
  <c r="C1054" i="3"/>
  <c r="A1054" i="3"/>
  <c r="F1053" i="3"/>
  <c r="E1053" i="3"/>
  <c r="D1053" i="3"/>
  <c r="C1053" i="3"/>
  <c r="A1053" i="3"/>
  <c r="F1052" i="3"/>
  <c r="E1052" i="3"/>
  <c r="D1052" i="3"/>
  <c r="C1052" i="3"/>
  <c r="A1052" i="3"/>
  <c r="F1051" i="3"/>
  <c r="E1051" i="3"/>
  <c r="D1051" i="3"/>
  <c r="C1051" i="3"/>
  <c r="A1051" i="3"/>
  <c r="F1050" i="3"/>
  <c r="E1050" i="3"/>
  <c r="D1050" i="3"/>
  <c r="C1050" i="3"/>
  <c r="A1050" i="3"/>
  <c r="F1049" i="3"/>
  <c r="E1049" i="3"/>
  <c r="D1049" i="3"/>
  <c r="C1049" i="3"/>
  <c r="A1049" i="3"/>
  <c r="F1048" i="3"/>
  <c r="E1048" i="3"/>
  <c r="D1048" i="3"/>
  <c r="C1048" i="3"/>
  <c r="A1048" i="3"/>
  <c r="F1047" i="3"/>
  <c r="E1047" i="3"/>
  <c r="D1047" i="3"/>
  <c r="C1047" i="3"/>
  <c r="A1047" i="3"/>
  <c r="F1046" i="3"/>
  <c r="E1046" i="3"/>
  <c r="D1046" i="3"/>
  <c r="C1046" i="3"/>
  <c r="A1046" i="3"/>
  <c r="F1045" i="3"/>
  <c r="E1045" i="3"/>
  <c r="D1045" i="3"/>
  <c r="C1045" i="3"/>
  <c r="A1045" i="3"/>
  <c r="F1044" i="3"/>
  <c r="E1044" i="3"/>
  <c r="D1044" i="3"/>
  <c r="C1044" i="3"/>
  <c r="A1044" i="3"/>
  <c r="F1043" i="3"/>
  <c r="E1043" i="3"/>
  <c r="D1043" i="3"/>
  <c r="C1043" i="3"/>
  <c r="A1043" i="3"/>
  <c r="F1042" i="3"/>
  <c r="E1042" i="3"/>
  <c r="D1042" i="3"/>
  <c r="C1042" i="3"/>
  <c r="A1042" i="3"/>
  <c r="F1041" i="3"/>
  <c r="E1041" i="3"/>
  <c r="D1041" i="3"/>
  <c r="C1041" i="3"/>
  <c r="A1041" i="3"/>
  <c r="F1040" i="3"/>
  <c r="E1040" i="3"/>
  <c r="D1040" i="3"/>
  <c r="C1040" i="3"/>
  <c r="A1040" i="3"/>
  <c r="F1039" i="3"/>
  <c r="E1039" i="3"/>
  <c r="D1039" i="3"/>
  <c r="C1039" i="3"/>
  <c r="A1039" i="3"/>
  <c r="F1038" i="3"/>
  <c r="E1038" i="3"/>
  <c r="D1038" i="3"/>
  <c r="C1038" i="3"/>
  <c r="A1038" i="3"/>
  <c r="F1037" i="3"/>
  <c r="E1037" i="3"/>
  <c r="D1037" i="3"/>
  <c r="C1037" i="3"/>
  <c r="A1037" i="3"/>
  <c r="F1036" i="3"/>
  <c r="E1036" i="3"/>
  <c r="D1036" i="3"/>
  <c r="C1036" i="3"/>
  <c r="A1036" i="3"/>
  <c r="F1035" i="3"/>
  <c r="E1035" i="3"/>
  <c r="D1035" i="3"/>
  <c r="C1035" i="3"/>
  <c r="A1035" i="3"/>
  <c r="F1034" i="3"/>
  <c r="E1034" i="3"/>
  <c r="D1034" i="3"/>
  <c r="C1034" i="3"/>
  <c r="A1034" i="3"/>
  <c r="F1033" i="3"/>
  <c r="E1033" i="3"/>
  <c r="D1033" i="3"/>
  <c r="C1033" i="3"/>
  <c r="A1033" i="3"/>
  <c r="F1032" i="3"/>
  <c r="E1032" i="3"/>
  <c r="D1032" i="3"/>
  <c r="C1032" i="3"/>
  <c r="A1032" i="3"/>
  <c r="F1031" i="3"/>
  <c r="E1031" i="3"/>
  <c r="D1031" i="3"/>
  <c r="C1031" i="3"/>
  <c r="A1031" i="3"/>
  <c r="F1030" i="3"/>
  <c r="E1030" i="3"/>
  <c r="D1030" i="3"/>
  <c r="C1030" i="3"/>
  <c r="A1030" i="3"/>
  <c r="F1029" i="3"/>
  <c r="E1029" i="3"/>
  <c r="D1029" i="3"/>
  <c r="C1029" i="3"/>
  <c r="A1029" i="3"/>
  <c r="F1028" i="3"/>
  <c r="E1028" i="3"/>
  <c r="D1028" i="3"/>
  <c r="C1028" i="3"/>
  <c r="A1028" i="3"/>
  <c r="F1027" i="3"/>
  <c r="E1027" i="3"/>
  <c r="D1027" i="3"/>
  <c r="C1027" i="3"/>
  <c r="A1027" i="3"/>
  <c r="F1026" i="3"/>
  <c r="E1026" i="3"/>
  <c r="D1026" i="3"/>
  <c r="C1026" i="3"/>
  <c r="A1026" i="3"/>
  <c r="F1025" i="3"/>
  <c r="E1025" i="3"/>
  <c r="D1025" i="3"/>
  <c r="C1025" i="3"/>
  <c r="A1025" i="3"/>
  <c r="F1024" i="3"/>
  <c r="E1024" i="3"/>
  <c r="D1024" i="3"/>
  <c r="C1024" i="3"/>
  <c r="A1024" i="3"/>
  <c r="F1023" i="3"/>
  <c r="E1023" i="3"/>
  <c r="D1023" i="3"/>
  <c r="C1023" i="3"/>
  <c r="A1023" i="3"/>
  <c r="F1022" i="3"/>
  <c r="E1022" i="3"/>
  <c r="D1022" i="3"/>
  <c r="C1022" i="3"/>
  <c r="A1022" i="3"/>
  <c r="F1021" i="3"/>
  <c r="E1021" i="3"/>
  <c r="D1021" i="3"/>
  <c r="C1021" i="3"/>
  <c r="A1021" i="3"/>
  <c r="F1020" i="3"/>
  <c r="E1020" i="3"/>
  <c r="D1020" i="3"/>
  <c r="C1020" i="3"/>
  <c r="A1020" i="3"/>
  <c r="F1019" i="3"/>
  <c r="E1019" i="3"/>
  <c r="D1019" i="3"/>
  <c r="C1019" i="3"/>
  <c r="A1019" i="3"/>
  <c r="F1018" i="3"/>
  <c r="E1018" i="3"/>
  <c r="D1018" i="3"/>
  <c r="C1018" i="3"/>
  <c r="A1018" i="3"/>
  <c r="F1017" i="3"/>
  <c r="E1017" i="3"/>
  <c r="D1017" i="3"/>
  <c r="C1017" i="3"/>
  <c r="A1017" i="3"/>
  <c r="F1016" i="3"/>
  <c r="E1016" i="3"/>
  <c r="D1016" i="3"/>
  <c r="C1016" i="3"/>
  <c r="A1016" i="3"/>
  <c r="F1015" i="3"/>
  <c r="E1015" i="3"/>
  <c r="D1015" i="3"/>
  <c r="C1015" i="3"/>
  <c r="A1015" i="3"/>
  <c r="F1014" i="3"/>
  <c r="E1014" i="3"/>
  <c r="D1014" i="3"/>
  <c r="C1014" i="3"/>
  <c r="A1014" i="3"/>
  <c r="F1013" i="3"/>
  <c r="E1013" i="3"/>
  <c r="D1013" i="3"/>
  <c r="C1013" i="3"/>
  <c r="A1013" i="3"/>
  <c r="F1012" i="3"/>
  <c r="E1012" i="3"/>
  <c r="D1012" i="3"/>
  <c r="C1012" i="3"/>
  <c r="A1012" i="3"/>
  <c r="F1011" i="3"/>
  <c r="E1011" i="3"/>
  <c r="D1011" i="3"/>
  <c r="C1011" i="3"/>
  <c r="A1011" i="3"/>
  <c r="F1010" i="3"/>
  <c r="E1010" i="3"/>
  <c r="D1010" i="3"/>
  <c r="C1010" i="3"/>
  <c r="A1010" i="3"/>
  <c r="F1009" i="3"/>
  <c r="E1009" i="3"/>
  <c r="D1009" i="3"/>
  <c r="C1009" i="3"/>
  <c r="A1009" i="3"/>
  <c r="F1008" i="3"/>
  <c r="E1008" i="3"/>
  <c r="D1008" i="3"/>
  <c r="C1008" i="3"/>
  <c r="A1008" i="3"/>
  <c r="F1007" i="3"/>
  <c r="E1007" i="3"/>
  <c r="D1007" i="3"/>
  <c r="C1007" i="3"/>
  <c r="A1007" i="3"/>
  <c r="F1006" i="3"/>
  <c r="E1006" i="3"/>
  <c r="D1006" i="3"/>
  <c r="C1006" i="3"/>
  <c r="A1006" i="3"/>
  <c r="F1005" i="3"/>
  <c r="E1005" i="3"/>
  <c r="D1005" i="3"/>
  <c r="C1005" i="3"/>
  <c r="A1005" i="3"/>
  <c r="F1004" i="3"/>
  <c r="E1004" i="3"/>
  <c r="D1004" i="3"/>
  <c r="C1004" i="3"/>
  <c r="A1004" i="3"/>
  <c r="F1003" i="3"/>
  <c r="E1003" i="3"/>
  <c r="D1003" i="3"/>
  <c r="C1003" i="3"/>
  <c r="A1003" i="3"/>
  <c r="F1002" i="3"/>
  <c r="E1002" i="3"/>
  <c r="D1002" i="3"/>
  <c r="C1002" i="3"/>
  <c r="A1002" i="3"/>
  <c r="F1001" i="3"/>
  <c r="E1001" i="3"/>
  <c r="D1001" i="3"/>
  <c r="C1001" i="3"/>
  <c r="A1001" i="3"/>
  <c r="F1000" i="3"/>
  <c r="E1000" i="3"/>
  <c r="D1000" i="3"/>
  <c r="C1000" i="3"/>
  <c r="A1000" i="3"/>
  <c r="F999" i="3"/>
  <c r="E999" i="3"/>
  <c r="D999" i="3"/>
  <c r="C999" i="3"/>
  <c r="A999" i="3"/>
  <c r="F998" i="3"/>
  <c r="E998" i="3"/>
  <c r="D998" i="3"/>
  <c r="C998" i="3"/>
  <c r="A998" i="3"/>
  <c r="F997" i="3"/>
  <c r="E997" i="3"/>
  <c r="D997" i="3"/>
  <c r="C997" i="3"/>
  <c r="A997" i="3"/>
  <c r="F996" i="3"/>
  <c r="E996" i="3"/>
  <c r="D996" i="3"/>
  <c r="C996" i="3"/>
  <c r="A996" i="3"/>
  <c r="F995" i="3"/>
  <c r="E995" i="3"/>
  <c r="D995" i="3"/>
  <c r="C995" i="3"/>
  <c r="A995" i="3"/>
  <c r="F994" i="3"/>
  <c r="E994" i="3"/>
  <c r="D994" i="3"/>
  <c r="C994" i="3"/>
  <c r="A994" i="3"/>
  <c r="F993" i="3"/>
  <c r="E993" i="3"/>
  <c r="D993" i="3"/>
  <c r="C993" i="3"/>
  <c r="A993" i="3"/>
  <c r="F992" i="3"/>
  <c r="E992" i="3"/>
  <c r="D992" i="3"/>
  <c r="C992" i="3"/>
  <c r="A992" i="3"/>
  <c r="F991" i="3"/>
  <c r="E991" i="3"/>
  <c r="D991" i="3"/>
  <c r="C991" i="3"/>
  <c r="A991" i="3"/>
  <c r="F990" i="3"/>
  <c r="E990" i="3"/>
  <c r="D990" i="3"/>
  <c r="C990" i="3"/>
  <c r="A990" i="3"/>
  <c r="F989" i="3"/>
  <c r="E989" i="3"/>
  <c r="D989" i="3"/>
  <c r="C989" i="3"/>
  <c r="A989" i="3"/>
  <c r="F988" i="3"/>
  <c r="E988" i="3"/>
  <c r="D988" i="3"/>
  <c r="C988" i="3"/>
  <c r="A988" i="3"/>
  <c r="F987" i="3"/>
  <c r="E987" i="3"/>
  <c r="D987" i="3"/>
  <c r="C987" i="3"/>
  <c r="A987" i="3"/>
  <c r="F986" i="3"/>
  <c r="E986" i="3"/>
  <c r="D986" i="3"/>
  <c r="C986" i="3"/>
  <c r="A986" i="3"/>
  <c r="F985" i="3"/>
  <c r="E985" i="3"/>
  <c r="D985" i="3"/>
  <c r="C985" i="3"/>
  <c r="A985" i="3"/>
  <c r="F984" i="3"/>
  <c r="E984" i="3"/>
  <c r="D984" i="3"/>
  <c r="C984" i="3"/>
  <c r="A984" i="3"/>
  <c r="F983" i="3"/>
  <c r="E983" i="3"/>
  <c r="D983" i="3"/>
  <c r="C983" i="3"/>
  <c r="A983" i="3"/>
  <c r="F982" i="3"/>
  <c r="E982" i="3"/>
  <c r="D982" i="3"/>
  <c r="C982" i="3"/>
  <c r="A982" i="3"/>
  <c r="F981" i="3"/>
  <c r="E981" i="3"/>
  <c r="D981" i="3"/>
  <c r="C981" i="3"/>
  <c r="A981" i="3"/>
  <c r="F980" i="3"/>
  <c r="E980" i="3"/>
  <c r="D980" i="3"/>
  <c r="C980" i="3"/>
  <c r="A980" i="3"/>
  <c r="F979" i="3"/>
  <c r="E979" i="3"/>
  <c r="D979" i="3"/>
  <c r="C979" i="3"/>
  <c r="A979" i="3"/>
  <c r="F978" i="3"/>
  <c r="E978" i="3"/>
  <c r="D978" i="3"/>
  <c r="C978" i="3"/>
  <c r="A978" i="3"/>
  <c r="F977" i="3"/>
  <c r="E977" i="3"/>
  <c r="D977" i="3"/>
  <c r="C977" i="3"/>
  <c r="A977" i="3"/>
  <c r="F976" i="3"/>
  <c r="E976" i="3"/>
  <c r="D976" i="3"/>
  <c r="C976" i="3"/>
  <c r="A976" i="3"/>
  <c r="F975" i="3"/>
  <c r="E975" i="3"/>
  <c r="D975" i="3"/>
  <c r="C975" i="3"/>
  <c r="A975" i="3"/>
  <c r="F974" i="3"/>
  <c r="E974" i="3"/>
  <c r="D974" i="3"/>
  <c r="C974" i="3"/>
  <c r="A974" i="3"/>
  <c r="F973" i="3"/>
  <c r="E973" i="3"/>
  <c r="D973" i="3"/>
  <c r="C973" i="3"/>
  <c r="A973" i="3"/>
  <c r="F972" i="3"/>
  <c r="E972" i="3"/>
  <c r="D972" i="3"/>
  <c r="C972" i="3"/>
  <c r="A972" i="3"/>
  <c r="F971" i="3"/>
  <c r="E971" i="3"/>
  <c r="D971" i="3"/>
  <c r="C971" i="3"/>
  <c r="A971" i="3"/>
  <c r="F970" i="3"/>
  <c r="E970" i="3"/>
  <c r="D970" i="3"/>
  <c r="C970" i="3"/>
  <c r="A970" i="3"/>
  <c r="F969" i="3"/>
  <c r="E969" i="3"/>
  <c r="D969" i="3"/>
  <c r="C969" i="3"/>
  <c r="A969" i="3"/>
  <c r="F968" i="3"/>
  <c r="E968" i="3"/>
  <c r="D968" i="3"/>
  <c r="C968" i="3"/>
  <c r="A968" i="3"/>
  <c r="F967" i="3"/>
  <c r="E967" i="3"/>
  <c r="D967" i="3"/>
  <c r="C967" i="3"/>
  <c r="A967" i="3"/>
  <c r="F966" i="3"/>
  <c r="E966" i="3"/>
  <c r="D966" i="3"/>
  <c r="C966" i="3"/>
  <c r="A966" i="3"/>
  <c r="F965" i="3"/>
  <c r="E965" i="3"/>
  <c r="D965" i="3"/>
  <c r="C965" i="3"/>
  <c r="A965" i="3"/>
  <c r="F964" i="3"/>
  <c r="E964" i="3"/>
  <c r="D964" i="3"/>
  <c r="C964" i="3"/>
  <c r="A964" i="3"/>
  <c r="F963" i="3"/>
  <c r="E963" i="3"/>
  <c r="D963" i="3"/>
  <c r="C963" i="3"/>
  <c r="A963" i="3"/>
  <c r="F962" i="3"/>
  <c r="E962" i="3"/>
  <c r="D962" i="3"/>
  <c r="C962" i="3"/>
  <c r="A962" i="3"/>
  <c r="F961" i="3"/>
  <c r="E961" i="3"/>
  <c r="D961" i="3"/>
  <c r="C961" i="3"/>
  <c r="A961" i="3"/>
  <c r="F960" i="3"/>
  <c r="E960" i="3"/>
  <c r="D960" i="3"/>
  <c r="C960" i="3"/>
  <c r="A960" i="3"/>
  <c r="F959" i="3"/>
  <c r="E959" i="3"/>
  <c r="D959" i="3"/>
  <c r="C959" i="3"/>
  <c r="A959" i="3"/>
  <c r="F958" i="3"/>
  <c r="E958" i="3"/>
  <c r="D958" i="3"/>
  <c r="C958" i="3"/>
  <c r="A958" i="3"/>
  <c r="F957" i="3"/>
  <c r="E957" i="3"/>
  <c r="D957" i="3"/>
  <c r="C957" i="3"/>
  <c r="A957" i="3"/>
  <c r="F956" i="3"/>
  <c r="E956" i="3"/>
  <c r="D956" i="3"/>
  <c r="C956" i="3"/>
  <c r="A956" i="3"/>
  <c r="F955" i="3"/>
  <c r="E955" i="3"/>
  <c r="D955" i="3"/>
  <c r="C955" i="3"/>
  <c r="A955" i="3"/>
  <c r="F954" i="3"/>
  <c r="E954" i="3"/>
  <c r="D954" i="3"/>
  <c r="C954" i="3"/>
  <c r="A954" i="3"/>
  <c r="F953" i="3"/>
  <c r="E953" i="3"/>
  <c r="D953" i="3"/>
  <c r="C953" i="3"/>
  <c r="A953" i="3"/>
  <c r="F952" i="3"/>
  <c r="E952" i="3"/>
  <c r="D952" i="3"/>
  <c r="C952" i="3"/>
  <c r="A952" i="3"/>
  <c r="F951" i="3"/>
  <c r="E951" i="3"/>
  <c r="D951" i="3"/>
  <c r="C951" i="3"/>
  <c r="A951" i="3"/>
  <c r="F950" i="3"/>
  <c r="E950" i="3"/>
  <c r="D950" i="3"/>
  <c r="C950" i="3"/>
  <c r="A950" i="3"/>
  <c r="F949" i="3"/>
  <c r="E949" i="3"/>
  <c r="D949" i="3"/>
  <c r="C949" i="3"/>
  <c r="A949" i="3"/>
  <c r="F948" i="3"/>
  <c r="E948" i="3"/>
  <c r="D948" i="3"/>
  <c r="C948" i="3"/>
  <c r="A948" i="3"/>
  <c r="F947" i="3"/>
  <c r="E947" i="3"/>
  <c r="D947" i="3"/>
  <c r="C947" i="3"/>
  <c r="A947" i="3"/>
  <c r="F946" i="3"/>
  <c r="E946" i="3"/>
  <c r="D946" i="3"/>
  <c r="C946" i="3"/>
  <c r="A946" i="3"/>
  <c r="F945" i="3"/>
  <c r="E945" i="3"/>
  <c r="D945" i="3"/>
  <c r="C945" i="3"/>
  <c r="A945" i="3"/>
  <c r="F944" i="3"/>
  <c r="E944" i="3"/>
  <c r="D944" i="3"/>
  <c r="C944" i="3"/>
  <c r="A944" i="3"/>
  <c r="F943" i="3"/>
  <c r="E943" i="3"/>
  <c r="D943" i="3"/>
  <c r="C943" i="3"/>
  <c r="A943" i="3"/>
  <c r="F942" i="3"/>
  <c r="E942" i="3"/>
  <c r="D942" i="3"/>
  <c r="C942" i="3"/>
  <c r="A942" i="3"/>
  <c r="F941" i="3"/>
  <c r="E941" i="3"/>
  <c r="D941" i="3"/>
  <c r="C941" i="3"/>
  <c r="A941" i="3"/>
  <c r="F940" i="3"/>
  <c r="E940" i="3"/>
  <c r="D940" i="3"/>
  <c r="C940" i="3"/>
  <c r="A940" i="3"/>
  <c r="F939" i="3"/>
  <c r="E939" i="3"/>
  <c r="D939" i="3"/>
  <c r="C939" i="3"/>
  <c r="A939" i="3"/>
  <c r="F938" i="3"/>
  <c r="E938" i="3"/>
  <c r="D938" i="3"/>
  <c r="C938" i="3"/>
  <c r="A938" i="3"/>
  <c r="F937" i="3"/>
  <c r="E937" i="3"/>
  <c r="D937" i="3"/>
  <c r="C937" i="3"/>
  <c r="A937" i="3"/>
  <c r="F936" i="3"/>
  <c r="E936" i="3"/>
  <c r="D936" i="3"/>
  <c r="C936" i="3"/>
  <c r="A936" i="3"/>
  <c r="F935" i="3"/>
  <c r="E935" i="3"/>
  <c r="D935" i="3"/>
  <c r="C935" i="3"/>
  <c r="A935" i="3"/>
  <c r="F934" i="3"/>
  <c r="E934" i="3"/>
  <c r="D934" i="3"/>
  <c r="C934" i="3"/>
  <c r="A934" i="3"/>
  <c r="F933" i="3"/>
  <c r="E933" i="3"/>
  <c r="D933" i="3"/>
  <c r="C933" i="3"/>
  <c r="A933" i="3"/>
  <c r="F932" i="3"/>
  <c r="E932" i="3"/>
  <c r="D932" i="3"/>
  <c r="C932" i="3"/>
  <c r="A932" i="3"/>
  <c r="F931" i="3"/>
  <c r="E931" i="3"/>
  <c r="D931" i="3"/>
  <c r="C931" i="3"/>
  <c r="A931" i="3"/>
  <c r="F930" i="3"/>
  <c r="E930" i="3"/>
  <c r="D930" i="3"/>
  <c r="C930" i="3"/>
  <c r="A930" i="3"/>
  <c r="F929" i="3"/>
  <c r="E929" i="3"/>
  <c r="D929" i="3"/>
  <c r="C929" i="3"/>
  <c r="A929" i="3"/>
  <c r="F928" i="3"/>
  <c r="E928" i="3"/>
  <c r="D928" i="3"/>
  <c r="C928" i="3"/>
  <c r="A928" i="3"/>
  <c r="F927" i="3"/>
  <c r="E927" i="3"/>
  <c r="D927" i="3"/>
  <c r="C927" i="3"/>
  <c r="A927" i="3"/>
  <c r="F926" i="3"/>
  <c r="E926" i="3"/>
  <c r="D926" i="3"/>
  <c r="C926" i="3"/>
  <c r="A926" i="3"/>
  <c r="F925" i="3"/>
  <c r="E925" i="3"/>
  <c r="D925" i="3"/>
  <c r="C925" i="3"/>
  <c r="A925" i="3"/>
  <c r="F924" i="3"/>
  <c r="E924" i="3"/>
  <c r="D924" i="3"/>
  <c r="C924" i="3"/>
  <c r="A924" i="3"/>
  <c r="F923" i="3"/>
  <c r="E923" i="3"/>
  <c r="D923" i="3"/>
  <c r="C923" i="3"/>
  <c r="A923" i="3"/>
  <c r="F922" i="3"/>
  <c r="E922" i="3"/>
  <c r="D922" i="3"/>
  <c r="C922" i="3"/>
  <c r="A922" i="3"/>
  <c r="F921" i="3"/>
  <c r="E921" i="3"/>
  <c r="D921" i="3"/>
  <c r="C921" i="3"/>
  <c r="A921" i="3"/>
  <c r="F920" i="3"/>
  <c r="E920" i="3"/>
  <c r="D920" i="3"/>
  <c r="C920" i="3"/>
  <c r="A920" i="3"/>
  <c r="F919" i="3"/>
  <c r="E919" i="3"/>
  <c r="D919" i="3"/>
  <c r="C919" i="3"/>
  <c r="A919" i="3"/>
  <c r="F918" i="3"/>
  <c r="E918" i="3"/>
  <c r="D918" i="3"/>
  <c r="C918" i="3"/>
  <c r="A918" i="3"/>
  <c r="F917" i="3"/>
  <c r="E917" i="3"/>
  <c r="D917" i="3"/>
  <c r="C917" i="3"/>
  <c r="A917" i="3"/>
  <c r="F916" i="3"/>
  <c r="E916" i="3"/>
  <c r="D916" i="3"/>
  <c r="C916" i="3"/>
  <c r="A916" i="3"/>
  <c r="F915" i="3"/>
  <c r="E915" i="3"/>
  <c r="D915" i="3"/>
  <c r="C915" i="3"/>
  <c r="A915" i="3"/>
  <c r="F914" i="3"/>
  <c r="E914" i="3"/>
  <c r="D914" i="3"/>
  <c r="C914" i="3"/>
  <c r="A914" i="3"/>
  <c r="F913" i="3"/>
  <c r="E913" i="3"/>
  <c r="D913" i="3"/>
  <c r="C913" i="3"/>
  <c r="A913" i="3"/>
  <c r="F912" i="3"/>
  <c r="E912" i="3"/>
  <c r="D912" i="3"/>
  <c r="C912" i="3"/>
  <c r="A912" i="3"/>
  <c r="F911" i="3"/>
  <c r="E911" i="3"/>
  <c r="D911" i="3"/>
  <c r="C911" i="3"/>
  <c r="A911" i="3"/>
  <c r="F910" i="3"/>
  <c r="E910" i="3"/>
  <c r="D910" i="3"/>
  <c r="C910" i="3"/>
  <c r="A910" i="3"/>
  <c r="F909" i="3"/>
  <c r="E909" i="3"/>
  <c r="D909" i="3"/>
  <c r="C909" i="3"/>
  <c r="A909" i="3"/>
  <c r="F908" i="3"/>
  <c r="E908" i="3"/>
  <c r="D908" i="3"/>
  <c r="C908" i="3"/>
  <c r="A908" i="3"/>
  <c r="F907" i="3"/>
  <c r="E907" i="3"/>
  <c r="D907" i="3"/>
  <c r="C907" i="3"/>
  <c r="A907" i="3"/>
  <c r="F906" i="3"/>
  <c r="E906" i="3"/>
  <c r="D906" i="3"/>
  <c r="C906" i="3"/>
  <c r="A906" i="3"/>
  <c r="F905" i="3"/>
  <c r="E905" i="3"/>
  <c r="D905" i="3"/>
  <c r="C905" i="3"/>
  <c r="A905" i="3"/>
  <c r="F904" i="3"/>
  <c r="E904" i="3"/>
  <c r="D904" i="3"/>
  <c r="C904" i="3"/>
  <c r="A904" i="3"/>
  <c r="F903" i="3"/>
  <c r="E903" i="3"/>
  <c r="D903" i="3"/>
  <c r="C903" i="3"/>
  <c r="A903" i="3"/>
  <c r="F902" i="3"/>
  <c r="E902" i="3"/>
  <c r="D902" i="3"/>
  <c r="C902" i="3"/>
  <c r="A902" i="3"/>
  <c r="F901" i="3"/>
  <c r="E901" i="3"/>
  <c r="D901" i="3"/>
  <c r="C901" i="3"/>
  <c r="A901" i="3"/>
  <c r="F900" i="3"/>
  <c r="E900" i="3"/>
  <c r="D900" i="3"/>
  <c r="C900" i="3"/>
  <c r="A900" i="3"/>
  <c r="F899" i="3"/>
  <c r="E899" i="3"/>
  <c r="D899" i="3"/>
  <c r="C899" i="3"/>
  <c r="A899" i="3"/>
  <c r="F898" i="3"/>
  <c r="E898" i="3"/>
  <c r="D898" i="3"/>
  <c r="C898" i="3"/>
  <c r="A898" i="3"/>
  <c r="F897" i="3"/>
  <c r="E897" i="3"/>
  <c r="D897" i="3"/>
  <c r="C897" i="3"/>
  <c r="A897" i="3"/>
  <c r="F896" i="3"/>
  <c r="E896" i="3"/>
  <c r="D896" i="3"/>
  <c r="C896" i="3"/>
  <c r="A896" i="3"/>
  <c r="F895" i="3"/>
  <c r="E895" i="3"/>
  <c r="D895" i="3"/>
  <c r="C895" i="3"/>
  <c r="A895" i="3"/>
  <c r="F894" i="3"/>
  <c r="E894" i="3"/>
  <c r="D894" i="3"/>
  <c r="C894" i="3"/>
  <c r="A894" i="3"/>
  <c r="F893" i="3"/>
  <c r="E893" i="3"/>
  <c r="D893" i="3"/>
  <c r="C893" i="3"/>
  <c r="A893" i="3"/>
  <c r="F892" i="3"/>
  <c r="E892" i="3"/>
  <c r="D892" i="3"/>
  <c r="C892" i="3"/>
  <c r="A892" i="3"/>
  <c r="F891" i="3"/>
  <c r="E891" i="3"/>
  <c r="D891" i="3"/>
  <c r="C891" i="3"/>
  <c r="A891" i="3"/>
  <c r="F890" i="3"/>
  <c r="E890" i="3"/>
  <c r="D890" i="3"/>
  <c r="C890" i="3"/>
  <c r="A890" i="3"/>
  <c r="F889" i="3"/>
  <c r="E889" i="3"/>
  <c r="D889" i="3"/>
  <c r="C889" i="3"/>
  <c r="A889" i="3"/>
  <c r="F888" i="3"/>
  <c r="E888" i="3"/>
  <c r="D888" i="3"/>
  <c r="C888" i="3"/>
  <c r="A888" i="3"/>
  <c r="F887" i="3"/>
  <c r="E887" i="3"/>
  <c r="D887" i="3"/>
  <c r="C887" i="3"/>
  <c r="A887" i="3"/>
  <c r="F886" i="3"/>
  <c r="E886" i="3"/>
  <c r="D886" i="3"/>
  <c r="C886" i="3"/>
  <c r="A886" i="3"/>
  <c r="F885" i="3"/>
  <c r="E885" i="3"/>
  <c r="D885" i="3"/>
  <c r="C885" i="3"/>
  <c r="A885" i="3"/>
  <c r="F884" i="3"/>
  <c r="E884" i="3"/>
  <c r="D884" i="3"/>
  <c r="C884" i="3"/>
  <c r="A884" i="3"/>
  <c r="F883" i="3"/>
  <c r="E883" i="3"/>
  <c r="D883" i="3"/>
  <c r="C883" i="3"/>
  <c r="A883" i="3"/>
  <c r="F882" i="3"/>
  <c r="E882" i="3"/>
  <c r="D882" i="3"/>
  <c r="C882" i="3"/>
  <c r="A882" i="3"/>
  <c r="F881" i="3"/>
  <c r="E881" i="3"/>
  <c r="D881" i="3"/>
  <c r="C881" i="3"/>
  <c r="A881" i="3"/>
  <c r="F880" i="3"/>
  <c r="E880" i="3"/>
  <c r="D880" i="3"/>
  <c r="C880" i="3"/>
  <c r="A880" i="3"/>
  <c r="F879" i="3"/>
  <c r="E879" i="3"/>
  <c r="D879" i="3"/>
  <c r="C879" i="3"/>
  <c r="A879" i="3"/>
  <c r="F878" i="3"/>
  <c r="E878" i="3"/>
  <c r="D878" i="3"/>
  <c r="C878" i="3"/>
  <c r="A878" i="3"/>
  <c r="F877" i="3"/>
  <c r="E877" i="3"/>
  <c r="D877" i="3"/>
  <c r="C877" i="3"/>
  <c r="A877" i="3"/>
  <c r="F876" i="3"/>
  <c r="E876" i="3"/>
  <c r="D876" i="3"/>
  <c r="C876" i="3"/>
  <c r="A876" i="3"/>
  <c r="F875" i="3"/>
  <c r="E875" i="3"/>
  <c r="D875" i="3"/>
  <c r="C875" i="3"/>
  <c r="A875" i="3"/>
  <c r="F874" i="3"/>
  <c r="E874" i="3"/>
  <c r="D874" i="3"/>
  <c r="C874" i="3"/>
  <c r="A874" i="3"/>
  <c r="F873" i="3"/>
  <c r="E873" i="3"/>
  <c r="D873" i="3"/>
  <c r="C873" i="3"/>
  <c r="A873" i="3"/>
  <c r="F872" i="3"/>
  <c r="E872" i="3"/>
  <c r="D872" i="3"/>
  <c r="C872" i="3"/>
  <c r="A872" i="3"/>
  <c r="F871" i="3"/>
  <c r="E871" i="3"/>
  <c r="D871" i="3"/>
  <c r="C871" i="3"/>
  <c r="A871" i="3"/>
  <c r="F870" i="3"/>
  <c r="E870" i="3"/>
  <c r="D870" i="3"/>
  <c r="C870" i="3"/>
  <c r="A870" i="3"/>
  <c r="F869" i="3"/>
  <c r="E869" i="3"/>
  <c r="D869" i="3"/>
  <c r="C869" i="3"/>
  <c r="A869" i="3"/>
  <c r="F868" i="3"/>
  <c r="E868" i="3"/>
  <c r="D868" i="3"/>
  <c r="C868" i="3"/>
  <c r="A868" i="3"/>
  <c r="F867" i="3"/>
  <c r="E867" i="3"/>
  <c r="D867" i="3"/>
  <c r="C867" i="3"/>
  <c r="A867" i="3"/>
  <c r="F866" i="3"/>
  <c r="E866" i="3"/>
  <c r="D866" i="3"/>
  <c r="C866" i="3"/>
  <c r="A866" i="3"/>
  <c r="F865" i="3"/>
  <c r="E865" i="3"/>
  <c r="D865" i="3"/>
  <c r="C865" i="3"/>
  <c r="A865" i="3"/>
  <c r="F864" i="3"/>
  <c r="E864" i="3"/>
  <c r="D864" i="3"/>
  <c r="C864" i="3"/>
  <c r="A864" i="3"/>
  <c r="F863" i="3"/>
  <c r="E863" i="3"/>
  <c r="D863" i="3"/>
  <c r="C863" i="3"/>
  <c r="A863" i="3"/>
  <c r="F862" i="3"/>
  <c r="E862" i="3"/>
  <c r="D862" i="3"/>
  <c r="C862" i="3"/>
  <c r="A862" i="3"/>
  <c r="F861" i="3"/>
  <c r="E861" i="3"/>
  <c r="D861" i="3"/>
  <c r="C861" i="3"/>
  <c r="A861" i="3"/>
  <c r="F860" i="3"/>
  <c r="E860" i="3"/>
  <c r="D860" i="3"/>
  <c r="C860" i="3"/>
  <c r="A860" i="3"/>
  <c r="F859" i="3"/>
  <c r="E859" i="3"/>
  <c r="D859" i="3"/>
  <c r="C859" i="3"/>
  <c r="A859" i="3"/>
  <c r="F858" i="3"/>
  <c r="E858" i="3"/>
  <c r="D858" i="3"/>
  <c r="C858" i="3"/>
  <c r="A858" i="3"/>
  <c r="F857" i="3"/>
  <c r="E857" i="3"/>
  <c r="D857" i="3"/>
  <c r="C857" i="3"/>
  <c r="A857" i="3"/>
  <c r="F856" i="3"/>
  <c r="E856" i="3"/>
  <c r="D856" i="3"/>
  <c r="C856" i="3"/>
  <c r="A856" i="3"/>
  <c r="F855" i="3"/>
  <c r="E855" i="3"/>
  <c r="D855" i="3"/>
  <c r="C855" i="3"/>
  <c r="A855" i="3"/>
  <c r="F854" i="3"/>
  <c r="E854" i="3"/>
  <c r="D854" i="3"/>
  <c r="C854" i="3"/>
  <c r="A854" i="3"/>
  <c r="F853" i="3"/>
  <c r="E853" i="3"/>
  <c r="D853" i="3"/>
  <c r="C853" i="3"/>
  <c r="A853" i="3"/>
  <c r="F852" i="3"/>
  <c r="E852" i="3"/>
  <c r="D852" i="3"/>
  <c r="C852" i="3"/>
  <c r="A852" i="3"/>
  <c r="F851" i="3"/>
  <c r="E851" i="3"/>
  <c r="D851" i="3"/>
  <c r="C851" i="3"/>
  <c r="A851" i="3"/>
  <c r="F850" i="3"/>
  <c r="E850" i="3"/>
  <c r="D850" i="3"/>
  <c r="C850" i="3"/>
  <c r="A850" i="3"/>
  <c r="F849" i="3"/>
  <c r="E849" i="3"/>
  <c r="D849" i="3"/>
  <c r="C849" i="3"/>
  <c r="A849" i="3"/>
  <c r="F848" i="3"/>
  <c r="E848" i="3"/>
  <c r="D848" i="3"/>
  <c r="C848" i="3"/>
  <c r="A848" i="3"/>
  <c r="F847" i="3"/>
  <c r="E847" i="3"/>
  <c r="D847" i="3"/>
  <c r="C847" i="3"/>
  <c r="A847" i="3"/>
  <c r="F846" i="3"/>
  <c r="E846" i="3"/>
  <c r="D846" i="3"/>
  <c r="C846" i="3"/>
  <c r="A846" i="3"/>
  <c r="F845" i="3"/>
  <c r="E845" i="3"/>
  <c r="D845" i="3"/>
  <c r="C845" i="3"/>
  <c r="A845" i="3"/>
  <c r="F844" i="3"/>
  <c r="E844" i="3"/>
  <c r="D844" i="3"/>
  <c r="C844" i="3"/>
  <c r="A844" i="3"/>
  <c r="F843" i="3"/>
  <c r="E843" i="3"/>
  <c r="D843" i="3"/>
  <c r="C843" i="3"/>
  <c r="A843" i="3"/>
  <c r="F842" i="3"/>
  <c r="E842" i="3"/>
  <c r="D842" i="3"/>
  <c r="C842" i="3"/>
  <c r="A842" i="3"/>
  <c r="F841" i="3"/>
  <c r="E841" i="3"/>
  <c r="D841" i="3"/>
  <c r="C841" i="3"/>
  <c r="A841" i="3"/>
  <c r="F840" i="3"/>
  <c r="E840" i="3"/>
  <c r="D840" i="3"/>
  <c r="C840" i="3"/>
  <c r="A840" i="3"/>
  <c r="F839" i="3"/>
  <c r="E839" i="3"/>
  <c r="D839" i="3"/>
  <c r="C839" i="3"/>
  <c r="A839" i="3"/>
  <c r="F838" i="3"/>
  <c r="E838" i="3"/>
  <c r="D838" i="3"/>
  <c r="C838" i="3"/>
  <c r="A838" i="3"/>
  <c r="F837" i="3"/>
  <c r="E837" i="3"/>
  <c r="D837" i="3"/>
  <c r="C837" i="3"/>
  <c r="A837" i="3"/>
  <c r="F836" i="3"/>
  <c r="E836" i="3"/>
  <c r="D836" i="3"/>
  <c r="C836" i="3"/>
  <c r="A836" i="3"/>
  <c r="F835" i="3"/>
  <c r="E835" i="3"/>
  <c r="D835" i="3"/>
  <c r="C835" i="3"/>
  <c r="A835" i="3"/>
  <c r="F834" i="3"/>
  <c r="E834" i="3"/>
  <c r="D834" i="3"/>
  <c r="C834" i="3"/>
  <c r="A834" i="3"/>
  <c r="F833" i="3"/>
  <c r="E833" i="3"/>
  <c r="D833" i="3"/>
  <c r="C833" i="3"/>
  <c r="A833" i="3"/>
  <c r="F832" i="3"/>
  <c r="E832" i="3"/>
  <c r="D832" i="3"/>
  <c r="C832" i="3"/>
  <c r="A832" i="3"/>
  <c r="F831" i="3"/>
  <c r="E831" i="3"/>
  <c r="D831" i="3"/>
  <c r="C831" i="3"/>
  <c r="A831" i="3"/>
  <c r="F830" i="3"/>
  <c r="E830" i="3"/>
  <c r="D830" i="3"/>
  <c r="C830" i="3"/>
  <c r="A830" i="3"/>
  <c r="F829" i="3"/>
  <c r="E829" i="3"/>
  <c r="D829" i="3"/>
  <c r="C829" i="3"/>
  <c r="A829" i="3"/>
  <c r="F828" i="3"/>
  <c r="E828" i="3"/>
  <c r="D828" i="3"/>
  <c r="C828" i="3"/>
  <c r="A828" i="3"/>
  <c r="F827" i="3"/>
  <c r="E827" i="3"/>
  <c r="D827" i="3"/>
  <c r="C827" i="3"/>
  <c r="A827" i="3"/>
  <c r="F826" i="3"/>
  <c r="E826" i="3"/>
  <c r="D826" i="3"/>
  <c r="C826" i="3"/>
  <c r="A826" i="3"/>
  <c r="F825" i="3"/>
  <c r="E825" i="3"/>
  <c r="D825" i="3"/>
  <c r="C825" i="3"/>
  <c r="A825" i="3"/>
  <c r="F824" i="3"/>
  <c r="E824" i="3"/>
  <c r="D824" i="3"/>
  <c r="C824" i="3"/>
  <c r="A824" i="3"/>
  <c r="F823" i="3"/>
  <c r="E823" i="3"/>
  <c r="D823" i="3"/>
  <c r="C823" i="3"/>
  <c r="A823" i="3"/>
  <c r="F822" i="3"/>
  <c r="E822" i="3"/>
  <c r="D822" i="3"/>
  <c r="C822" i="3"/>
  <c r="A822" i="3"/>
  <c r="F821" i="3"/>
  <c r="E821" i="3"/>
  <c r="D821" i="3"/>
  <c r="C821" i="3"/>
  <c r="A821" i="3"/>
  <c r="F820" i="3"/>
  <c r="E820" i="3"/>
  <c r="D820" i="3"/>
  <c r="C820" i="3"/>
  <c r="A820" i="3"/>
  <c r="F819" i="3"/>
  <c r="E819" i="3"/>
  <c r="D819" i="3"/>
  <c r="C819" i="3"/>
  <c r="A819" i="3"/>
  <c r="F818" i="3"/>
  <c r="E818" i="3"/>
  <c r="D818" i="3"/>
  <c r="C818" i="3"/>
  <c r="A818" i="3"/>
  <c r="F817" i="3"/>
  <c r="E817" i="3"/>
  <c r="D817" i="3"/>
  <c r="C817" i="3"/>
  <c r="A817" i="3"/>
  <c r="F816" i="3"/>
  <c r="E816" i="3"/>
  <c r="D816" i="3"/>
  <c r="C816" i="3"/>
  <c r="A816" i="3"/>
  <c r="F815" i="3"/>
  <c r="E815" i="3"/>
  <c r="D815" i="3"/>
  <c r="C815" i="3"/>
  <c r="A815" i="3"/>
  <c r="F814" i="3"/>
  <c r="E814" i="3"/>
  <c r="D814" i="3"/>
  <c r="C814" i="3"/>
  <c r="A814" i="3"/>
  <c r="F813" i="3"/>
  <c r="E813" i="3"/>
  <c r="D813" i="3"/>
  <c r="C813" i="3"/>
  <c r="A813" i="3"/>
  <c r="F812" i="3"/>
  <c r="E812" i="3"/>
  <c r="D812" i="3"/>
  <c r="C812" i="3"/>
  <c r="A812" i="3"/>
  <c r="F811" i="3"/>
  <c r="E811" i="3"/>
  <c r="D811" i="3"/>
  <c r="C811" i="3"/>
  <c r="A811" i="3"/>
  <c r="F810" i="3"/>
  <c r="E810" i="3"/>
  <c r="D810" i="3"/>
  <c r="C810" i="3"/>
  <c r="A810" i="3"/>
  <c r="F809" i="3"/>
  <c r="E809" i="3"/>
  <c r="D809" i="3"/>
  <c r="C809" i="3"/>
  <c r="A809" i="3"/>
  <c r="F808" i="3"/>
  <c r="E808" i="3"/>
  <c r="D808" i="3"/>
  <c r="C808" i="3"/>
  <c r="A808" i="3"/>
  <c r="F807" i="3"/>
  <c r="E807" i="3"/>
  <c r="D807" i="3"/>
  <c r="C807" i="3"/>
  <c r="A807" i="3"/>
  <c r="F806" i="3"/>
  <c r="E806" i="3"/>
  <c r="D806" i="3"/>
  <c r="C806" i="3"/>
  <c r="A806" i="3"/>
  <c r="F805" i="3"/>
  <c r="E805" i="3"/>
  <c r="D805" i="3"/>
  <c r="C805" i="3"/>
  <c r="A805" i="3"/>
  <c r="F804" i="3"/>
  <c r="E804" i="3"/>
  <c r="D804" i="3"/>
  <c r="C804" i="3"/>
  <c r="A804" i="3"/>
  <c r="F803" i="3"/>
  <c r="E803" i="3"/>
  <c r="D803" i="3"/>
  <c r="C803" i="3"/>
  <c r="A803" i="3"/>
  <c r="F802" i="3"/>
  <c r="E802" i="3"/>
  <c r="D802" i="3"/>
  <c r="C802" i="3"/>
  <c r="A802" i="3"/>
  <c r="F801" i="3"/>
  <c r="E801" i="3"/>
  <c r="D801" i="3"/>
  <c r="C801" i="3"/>
  <c r="A801" i="3"/>
  <c r="F800" i="3"/>
  <c r="E800" i="3"/>
  <c r="D800" i="3"/>
  <c r="C800" i="3"/>
  <c r="A800" i="3"/>
  <c r="F799" i="3"/>
  <c r="E799" i="3"/>
  <c r="D799" i="3"/>
  <c r="C799" i="3"/>
  <c r="A799" i="3"/>
  <c r="F798" i="3"/>
  <c r="E798" i="3"/>
  <c r="D798" i="3"/>
  <c r="C798" i="3"/>
  <c r="A798" i="3"/>
  <c r="F797" i="3"/>
  <c r="E797" i="3"/>
  <c r="D797" i="3"/>
  <c r="C797" i="3"/>
  <c r="A797" i="3"/>
  <c r="F796" i="3"/>
  <c r="E796" i="3"/>
  <c r="D796" i="3"/>
  <c r="C796" i="3"/>
  <c r="A796" i="3"/>
  <c r="F795" i="3"/>
  <c r="E795" i="3"/>
  <c r="D795" i="3"/>
  <c r="C795" i="3"/>
  <c r="A795" i="3"/>
  <c r="F794" i="3"/>
  <c r="E794" i="3"/>
  <c r="D794" i="3"/>
  <c r="C794" i="3"/>
  <c r="A794" i="3"/>
  <c r="F793" i="3"/>
  <c r="E793" i="3"/>
  <c r="D793" i="3"/>
  <c r="C793" i="3"/>
  <c r="A793" i="3"/>
  <c r="F792" i="3"/>
  <c r="E792" i="3"/>
  <c r="D792" i="3"/>
  <c r="C792" i="3"/>
  <c r="A792" i="3"/>
  <c r="F791" i="3"/>
  <c r="E791" i="3"/>
  <c r="D791" i="3"/>
  <c r="C791" i="3"/>
  <c r="A791" i="3"/>
  <c r="F790" i="3"/>
  <c r="E790" i="3"/>
  <c r="D790" i="3"/>
  <c r="C790" i="3"/>
  <c r="A790" i="3"/>
  <c r="F789" i="3"/>
  <c r="E789" i="3"/>
  <c r="D789" i="3"/>
  <c r="C789" i="3"/>
  <c r="A789" i="3"/>
  <c r="F788" i="3"/>
  <c r="E788" i="3"/>
  <c r="D788" i="3"/>
  <c r="C788" i="3"/>
  <c r="A788" i="3"/>
  <c r="F787" i="3"/>
  <c r="E787" i="3"/>
  <c r="D787" i="3"/>
  <c r="C787" i="3"/>
  <c r="A787" i="3"/>
  <c r="F786" i="3"/>
  <c r="E786" i="3"/>
  <c r="D786" i="3"/>
  <c r="C786" i="3"/>
  <c r="A786" i="3"/>
  <c r="F785" i="3"/>
  <c r="E785" i="3"/>
  <c r="D785" i="3"/>
  <c r="C785" i="3"/>
  <c r="A785" i="3"/>
  <c r="F784" i="3"/>
  <c r="E784" i="3"/>
  <c r="D784" i="3"/>
  <c r="C784" i="3"/>
  <c r="A784" i="3"/>
  <c r="F783" i="3"/>
  <c r="E783" i="3"/>
  <c r="D783" i="3"/>
  <c r="C783" i="3"/>
  <c r="A783" i="3"/>
  <c r="F782" i="3"/>
  <c r="E782" i="3"/>
  <c r="D782" i="3"/>
  <c r="C782" i="3"/>
  <c r="A782" i="3"/>
  <c r="F781" i="3"/>
  <c r="E781" i="3"/>
  <c r="D781" i="3"/>
  <c r="C781" i="3"/>
  <c r="A781" i="3"/>
  <c r="F780" i="3"/>
  <c r="E780" i="3"/>
  <c r="D780" i="3"/>
  <c r="C780" i="3"/>
  <c r="A780" i="3"/>
  <c r="F779" i="3"/>
  <c r="E779" i="3"/>
  <c r="D779" i="3"/>
  <c r="C779" i="3"/>
  <c r="A779" i="3"/>
  <c r="F778" i="3"/>
  <c r="E778" i="3"/>
  <c r="D778" i="3"/>
  <c r="C778" i="3"/>
  <c r="A778" i="3"/>
  <c r="F777" i="3"/>
  <c r="E777" i="3"/>
  <c r="D777" i="3"/>
  <c r="C777" i="3"/>
  <c r="A777" i="3"/>
  <c r="F776" i="3"/>
  <c r="E776" i="3"/>
  <c r="D776" i="3"/>
  <c r="C776" i="3"/>
  <c r="A776" i="3"/>
  <c r="F775" i="3"/>
  <c r="E775" i="3"/>
  <c r="D775" i="3"/>
  <c r="C775" i="3"/>
  <c r="A775" i="3"/>
  <c r="F774" i="3"/>
  <c r="E774" i="3"/>
  <c r="D774" i="3"/>
  <c r="C774" i="3"/>
  <c r="A774" i="3"/>
  <c r="F773" i="3"/>
  <c r="E773" i="3"/>
  <c r="D773" i="3"/>
  <c r="C773" i="3"/>
  <c r="A773" i="3"/>
  <c r="F772" i="3"/>
  <c r="E772" i="3"/>
  <c r="D772" i="3"/>
  <c r="C772" i="3"/>
  <c r="A772" i="3"/>
  <c r="F771" i="3"/>
  <c r="E771" i="3"/>
  <c r="D771" i="3"/>
  <c r="C771" i="3"/>
  <c r="A771" i="3"/>
  <c r="F770" i="3"/>
  <c r="E770" i="3"/>
  <c r="D770" i="3"/>
  <c r="C770" i="3"/>
  <c r="A770" i="3"/>
  <c r="F769" i="3"/>
  <c r="E769" i="3"/>
  <c r="D769" i="3"/>
  <c r="C769" i="3"/>
  <c r="A769" i="3"/>
  <c r="F768" i="3"/>
  <c r="E768" i="3"/>
  <c r="D768" i="3"/>
  <c r="C768" i="3"/>
  <c r="A768" i="3"/>
  <c r="F767" i="3"/>
  <c r="E767" i="3"/>
  <c r="D767" i="3"/>
  <c r="C767" i="3"/>
  <c r="A767" i="3"/>
  <c r="F766" i="3"/>
  <c r="E766" i="3"/>
  <c r="D766" i="3"/>
  <c r="C766" i="3"/>
  <c r="A766" i="3"/>
  <c r="F765" i="3"/>
  <c r="E765" i="3"/>
  <c r="D765" i="3"/>
  <c r="C765" i="3"/>
  <c r="A765" i="3"/>
  <c r="F764" i="3"/>
  <c r="E764" i="3"/>
  <c r="D764" i="3"/>
  <c r="C764" i="3"/>
  <c r="A764" i="3"/>
  <c r="F763" i="3"/>
  <c r="E763" i="3"/>
  <c r="D763" i="3"/>
  <c r="C763" i="3"/>
  <c r="A763" i="3"/>
  <c r="F762" i="3"/>
  <c r="E762" i="3"/>
  <c r="D762" i="3"/>
  <c r="C762" i="3"/>
  <c r="A762" i="3"/>
  <c r="F761" i="3"/>
  <c r="E761" i="3"/>
  <c r="D761" i="3"/>
  <c r="C761" i="3"/>
  <c r="A761" i="3"/>
  <c r="F759" i="3"/>
  <c r="E759" i="3"/>
  <c r="D759" i="3"/>
  <c r="C759" i="3"/>
  <c r="A759" i="3"/>
  <c r="F758" i="3"/>
  <c r="E758" i="3"/>
  <c r="D758" i="3"/>
  <c r="C758" i="3"/>
  <c r="A758" i="3"/>
  <c r="F757" i="3"/>
  <c r="E757" i="3"/>
  <c r="D757" i="3"/>
  <c r="C757" i="3"/>
  <c r="A757" i="3"/>
  <c r="F756" i="3"/>
  <c r="E756" i="3"/>
  <c r="D756" i="3"/>
  <c r="C756" i="3"/>
  <c r="A756" i="3"/>
  <c r="F755" i="3"/>
  <c r="E755" i="3"/>
  <c r="D755" i="3"/>
  <c r="C755" i="3"/>
  <c r="A755" i="3"/>
  <c r="F754" i="3"/>
  <c r="E754" i="3"/>
  <c r="D754" i="3"/>
  <c r="C754" i="3"/>
  <c r="A754" i="3"/>
  <c r="F753" i="3"/>
  <c r="E753" i="3"/>
  <c r="D753" i="3"/>
  <c r="C753" i="3"/>
  <c r="A753" i="3"/>
  <c r="F752" i="3"/>
  <c r="E752" i="3"/>
  <c r="D752" i="3"/>
  <c r="C752" i="3"/>
  <c r="A752" i="3"/>
  <c r="F748" i="3"/>
  <c r="E748" i="3"/>
  <c r="D748" i="3"/>
  <c r="C748" i="3"/>
  <c r="A748" i="3"/>
  <c r="F747" i="3"/>
  <c r="E747" i="3"/>
  <c r="D747" i="3"/>
  <c r="C747" i="3"/>
  <c r="A747" i="3"/>
  <c r="F746" i="3"/>
  <c r="E746" i="3"/>
  <c r="D746" i="3"/>
  <c r="C746" i="3"/>
  <c r="A746" i="3"/>
  <c r="F745" i="3"/>
  <c r="E745" i="3"/>
  <c r="D745" i="3"/>
  <c r="C745" i="3"/>
  <c r="A745" i="3"/>
  <c r="F744" i="3"/>
  <c r="E744" i="3"/>
  <c r="D744" i="3"/>
  <c r="C744" i="3"/>
  <c r="A744" i="3"/>
  <c r="F743" i="3"/>
  <c r="E743" i="3"/>
  <c r="D743" i="3"/>
  <c r="C743" i="3"/>
  <c r="A743" i="3"/>
  <c r="F742" i="3"/>
  <c r="E742" i="3"/>
  <c r="D742" i="3"/>
  <c r="C742" i="3"/>
  <c r="A742" i="3"/>
  <c r="F741" i="3"/>
  <c r="E741" i="3"/>
  <c r="D741" i="3"/>
  <c r="C741" i="3"/>
  <c r="A741" i="3"/>
  <c r="F740" i="3"/>
  <c r="E740" i="3"/>
  <c r="D740" i="3"/>
  <c r="C740" i="3"/>
  <c r="A740" i="3"/>
  <c r="F739" i="3"/>
  <c r="E739" i="3"/>
  <c r="D739" i="3"/>
  <c r="C739" i="3"/>
  <c r="A739" i="3"/>
  <c r="F738" i="3"/>
  <c r="E738" i="3"/>
  <c r="D738" i="3"/>
  <c r="C738" i="3"/>
  <c r="A738" i="3"/>
  <c r="F737" i="3"/>
  <c r="E737" i="3"/>
  <c r="D737" i="3"/>
  <c r="C737" i="3"/>
  <c r="A737" i="3"/>
  <c r="F736" i="3"/>
  <c r="E736" i="3"/>
  <c r="D736" i="3"/>
  <c r="C736" i="3"/>
  <c r="A736" i="3"/>
  <c r="F735" i="3"/>
  <c r="E735" i="3"/>
  <c r="D735" i="3"/>
  <c r="C735" i="3"/>
  <c r="A735" i="3"/>
  <c r="F734" i="3"/>
  <c r="E734" i="3"/>
  <c r="D734" i="3"/>
  <c r="C734" i="3"/>
  <c r="A734" i="3"/>
  <c r="F733" i="3"/>
  <c r="E733" i="3"/>
  <c r="D733" i="3"/>
  <c r="C733" i="3"/>
  <c r="A733" i="3"/>
  <c r="F732" i="3"/>
  <c r="E732" i="3"/>
  <c r="D732" i="3"/>
  <c r="C732" i="3"/>
  <c r="A732" i="3"/>
  <c r="F731" i="3"/>
  <c r="E731" i="3"/>
  <c r="D731" i="3"/>
  <c r="C731" i="3"/>
  <c r="A731" i="3"/>
  <c r="F730" i="3"/>
  <c r="E730" i="3"/>
  <c r="D730" i="3"/>
  <c r="C730" i="3"/>
  <c r="A730" i="3"/>
  <c r="F729" i="3"/>
  <c r="E729" i="3"/>
  <c r="D729" i="3"/>
  <c r="C729" i="3"/>
  <c r="A729" i="3"/>
  <c r="F728" i="3"/>
  <c r="E728" i="3"/>
  <c r="D728" i="3"/>
  <c r="C728" i="3"/>
  <c r="A728" i="3"/>
  <c r="F727" i="3"/>
  <c r="E727" i="3"/>
  <c r="D727" i="3"/>
  <c r="C727" i="3"/>
  <c r="A727" i="3"/>
  <c r="F726" i="3"/>
  <c r="E726" i="3"/>
  <c r="D726" i="3"/>
  <c r="C726" i="3"/>
  <c r="A726" i="3"/>
  <c r="F725" i="3"/>
  <c r="E725" i="3"/>
  <c r="D725" i="3"/>
  <c r="C725" i="3"/>
  <c r="A725" i="3"/>
  <c r="F724" i="3"/>
  <c r="E724" i="3"/>
  <c r="D724" i="3"/>
  <c r="C724" i="3"/>
  <c r="A724" i="3"/>
  <c r="F723" i="3"/>
  <c r="E723" i="3"/>
  <c r="D723" i="3"/>
  <c r="C723" i="3"/>
  <c r="A723" i="3"/>
  <c r="F722" i="3"/>
  <c r="E722" i="3"/>
  <c r="D722" i="3"/>
  <c r="C722" i="3"/>
  <c r="A722" i="3"/>
  <c r="F721" i="3"/>
  <c r="E721" i="3"/>
  <c r="D721" i="3"/>
  <c r="C721" i="3"/>
  <c r="A721" i="3"/>
  <c r="F720" i="3"/>
  <c r="E720" i="3"/>
  <c r="D720" i="3"/>
  <c r="C720" i="3"/>
  <c r="A720" i="3"/>
  <c r="F719" i="3"/>
  <c r="E719" i="3"/>
  <c r="D719" i="3"/>
  <c r="C719" i="3"/>
  <c r="A719" i="3"/>
  <c r="F718" i="3"/>
  <c r="E718" i="3"/>
  <c r="D718" i="3"/>
  <c r="C718" i="3"/>
  <c r="A718" i="3"/>
  <c r="F717" i="3"/>
  <c r="E717" i="3"/>
  <c r="D717" i="3"/>
  <c r="C717" i="3"/>
  <c r="A717" i="3"/>
  <c r="F716" i="3"/>
  <c r="E716" i="3"/>
  <c r="D716" i="3"/>
  <c r="C716" i="3"/>
  <c r="A716" i="3"/>
  <c r="F715" i="3"/>
  <c r="E715" i="3"/>
  <c r="D715" i="3"/>
  <c r="C715" i="3"/>
  <c r="A715" i="3"/>
  <c r="F714" i="3"/>
  <c r="E714" i="3"/>
  <c r="D714" i="3"/>
  <c r="C714" i="3"/>
  <c r="A714" i="3"/>
  <c r="F713" i="3"/>
  <c r="E713" i="3"/>
  <c r="D713" i="3"/>
  <c r="C713" i="3"/>
  <c r="A713" i="3"/>
  <c r="F712" i="3"/>
  <c r="E712" i="3"/>
  <c r="D712" i="3"/>
  <c r="C712" i="3"/>
  <c r="A712" i="3"/>
  <c r="F711" i="3"/>
  <c r="E711" i="3"/>
  <c r="D711" i="3"/>
  <c r="C711" i="3"/>
  <c r="A711" i="3"/>
  <c r="F710" i="3"/>
  <c r="E710" i="3"/>
  <c r="D710" i="3"/>
  <c r="C710" i="3"/>
  <c r="A710" i="3"/>
  <c r="F709" i="3"/>
  <c r="E709" i="3"/>
  <c r="D709" i="3"/>
  <c r="C709" i="3"/>
  <c r="A709" i="3"/>
  <c r="F708" i="3"/>
  <c r="E708" i="3"/>
  <c r="D708" i="3"/>
  <c r="C708" i="3"/>
  <c r="A708" i="3"/>
  <c r="F707" i="3"/>
  <c r="E707" i="3"/>
  <c r="D707" i="3"/>
  <c r="C707" i="3"/>
  <c r="A707" i="3"/>
  <c r="F706" i="3"/>
  <c r="E706" i="3"/>
  <c r="D706" i="3"/>
  <c r="C706" i="3"/>
  <c r="A706" i="3"/>
  <c r="F705" i="3"/>
  <c r="E705" i="3"/>
  <c r="D705" i="3"/>
  <c r="C705" i="3"/>
  <c r="A705" i="3"/>
  <c r="F704" i="3"/>
  <c r="E704" i="3"/>
  <c r="D704" i="3"/>
  <c r="C704" i="3"/>
  <c r="A704" i="3"/>
  <c r="F703" i="3"/>
  <c r="E703" i="3"/>
  <c r="D703" i="3"/>
  <c r="C703" i="3"/>
  <c r="A703" i="3"/>
  <c r="F702" i="3"/>
  <c r="E702" i="3"/>
  <c r="D702" i="3"/>
  <c r="C702" i="3"/>
  <c r="A702" i="3"/>
  <c r="F701" i="3"/>
  <c r="E701" i="3"/>
  <c r="D701" i="3"/>
  <c r="C701" i="3"/>
  <c r="A701" i="3"/>
  <c r="F700" i="3"/>
  <c r="E700" i="3"/>
  <c r="D700" i="3"/>
  <c r="C700" i="3"/>
  <c r="A700" i="3"/>
  <c r="F699" i="3"/>
  <c r="E699" i="3"/>
  <c r="D699" i="3"/>
  <c r="C699" i="3"/>
  <c r="A699" i="3"/>
  <c r="F698" i="3"/>
  <c r="E698" i="3"/>
  <c r="D698" i="3"/>
  <c r="C698" i="3"/>
  <c r="A698" i="3"/>
  <c r="F697" i="3"/>
  <c r="E697" i="3"/>
  <c r="D697" i="3"/>
  <c r="C697" i="3"/>
  <c r="A697" i="3"/>
  <c r="F696" i="3"/>
  <c r="E696" i="3"/>
  <c r="D696" i="3"/>
  <c r="C696" i="3"/>
  <c r="A696" i="3"/>
  <c r="F695" i="3"/>
  <c r="E695" i="3"/>
  <c r="D695" i="3"/>
  <c r="C695" i="3"/>
  <c r="A695" i="3"/>
  <c r="F694" i="3"/>
  <c r="E694" i="3"/>
  <c r="D694" i="3"/>
  <c r="C694" i="3"/>
  <c r="A694" i="3"/>
  <c r="F693" i="3"/>
  <c r="E693" i="3"/>
  <c r="D693" i="3"/>
  <c r="C693" i="3"/>
  <c r="A693" i="3"/>
  <c r="F692" i="3"/>
  <c r="E692" i="3"/>
  <c r="D692" i="3"/>
  <c r="C692" i="3"/>
  <c r="A692" i="3"/>
  <c r="F691" i="3"/>
  <c r="E691" i="3"/>
  <c r="D691" i="3"/>
  <c r="C691" i="3"/>
  <c r="A691" i="3"/>
  <c r="F690" i="3"/>
  <c r="E690" i="3"/>
  <c r="D690" i="3"/>
  <c r="C690" i="3"/>
  <c r="A690" i="3"/>
  <c r="F689" i="3"/>
  <c r="E689" i="3"/>
  <c r="D689" i="3"/>
  <c r="C689" i="3"/>
  <c r="A689" i="3"/>
  <c r="F688" i="3"/>
  <c r="E688" i="3"/>
  <c r="D688" i="3"/>
  <c r="C688" i="3"/>
  <c r="A688" i="3"/>
  <c r="F687" i="3"/>
  <c r="E687" i="3"/>
  <c r="D687" i="3"/>
  <c r="C687" i="3"/>
  <c r="A687" i="3"/>
  <c r="F686" i="3"/>
  <c r="E686" i="3"/>
  <c r="D686" i="3"/>
  <c r="C686" i="3"/>
  <c r="A686" i="3"/>
  <c r="F685" i="3"/>
  <c r="E685" i="3"/>
  <c r="D685" i="3"/>
  <c r="C685" i="3"/>
  <c r="A685" i="3"/>
  <c r="F684" i="3"/>
  <c r="E684" i="3"/>
  <c r="D684" i="3"/>
  <c r="C684" i="3"/>
  <c r="A684" i="3"/>
  <c r="F683" i="3"/>
  <c r="E683" i="3"/>
  <c r="D683" i="3"/>
  <c r="C683" i="3"/>
  <c r="A683" i="3"/>
  <c r="F682" i="3"/>
  <c r="E682" i="3"/>
  <c r="D682" i="3"/>
  <c r="C682" i="3"/>
  <c r="A682" i="3"/>
  <c r="F681" i="3"/>
  <c r="E681" i="3"/>
  <c r="D681" i="3"/>
  <c r="C681" i="3"/>
  <c r="A681" i="3"/>
  <c r="F680" i="3"/>
  <c r="E680" i="3"/>
  <c r="D680" i="3"/>
  <c r="C680" i="3"/>
  <c r="A680" i="3"/>
  <c r="F679" i="3"/>
  <c r="E679" i="3"/>
  <c r="D679" i="3"/>
  <c r="C679" i="3"/>
  <c r="A679" i="3"/>
  <c r="F678" i="3"/>
  <c r="E678" i="3"/>
  <c r="D678" i="3"/>
  <c r="C678" i="3"/>
  <c r="A678" i="3"/>
  <c r="F677" i="3"/>
  <c r="E677" i="3"/>
  <c r="D677" i="3"/>
  <c r="C677" i="3"/>
  <c r="A677" i="3"/>
  <c r="F676" i="3"/>
  <c r="E676" i="3"/>
  <c r="D676" i="3"/>
  <c r="C676" i="3"/>
  <c r="A676" i="3"/>
  <c r="F675" i="3"/>
  <c r="E675" i="3"/>
  <c r="D675" i="3"/>
  <c r="C675" i="3"/>
  <c r="A675" i="3"/>
  <c r="F674" i="3"/>
  <c r="E674" i="3"/>
  <c r="D674" i="3"/>
  <c r="C674" i="3"/>
  <c r="A674" i="3"/>
  <c r="F673" i="3"/>
  <c r="E673" i="3"/>
  <c r="D673" i="3"/>
  <c r="C673" i="3"/>
  <c r="A673" i="3"/>
  <c r="F672" i="3"/>
  <c r="E672" i="3"/>
  <c r="D672" i="3"/>
  <c r="C672" i="3"/>
  <c r="A672" i="3"/>
  <c r="F671" i="3"/>
  <c r="E671" i="3"/>
  <c r="D671" i="3"/>
  <c r="C671" i="3"/>
  <c r="A671" i="3"/>
  <c r="F670" i="3"/>
  <c r="E670" i="3"/>
  <c r="D670" i="3"/>
  <c r="C670" i="3"/>
  <c r="A670" i="3"/>
  <c r="F669" i="3"/>
  <c r="E669" i="3"/>
  <c r="D669" i="3"/>
  <c r="C669" i="3"/>
  <c r="A669" i="3"/>
  <c r="F668" i="3"/>
  <c r="E668" i="3"/>
  <c r="D668" i="3"/>
  <c r="C668" i="3"/>
  <c r="A668" i="3"/>
  <c r="F667" i="3"/>
  <c r="E667" i="3"/>
  <c r="D667" i="3"/>
  <c r="C667" i="3"/>
  <c r="A667" i="3"/>
  <c r="F666" i="3"/>
  <c r="E666" i="3"/>
  <c r="D666" i="3"/>
  <c r="C666" i="3"/>
  <c r="A666" i="3"/>
  <c r="F665" i="3"/>
  <c r="E665" i="3"/>
  <c r="D665" i="3"/>
  <c r="C665" i="3"/>
  <c r="A665" i="3"/>
  <c r="F664" i="3"/>
  <c r="E664" i="3"/>
  <c r="D664" i="3"/>
  <c r="C664" i="3"/>
  <c r="A664" i="3"/>
  <c r="F663" i="3"/>
  <c r="E663" i="3"/>
  <c r="D663" i="3"/>
  <c r="C663" i="3"/>
  <c r="A663" i="3"/>
  <c r="F662" i="3"/>
  <c r="E662" i="3"/>
  <c r="D662" i="3"/>
  <c r="C662" i="3"/>
  <c r="A662" i="3"/>
  <c r="F661" i="3"/>
  <c r="E661" i="3"/>
  <c r="D661" i="3"/>
  <c r="C661" i="3"/>
  <c r="A661" i="3"/>
  <c r="F660" i="3"/>
  <c r="E660" i="3"/>
  <c r="D660" i="3"/>
  <c r="C660" i="3"/>
  <c r="A660" i="3"/>
  <c r="F659" i="3"/>
  <c r="E659" i="3"/>
  <c r="D659" i="3"/>
  <c r="C659" i="3"/>
  <c r="A659" i="3"/>
  <c r="F658" i="3"/>
  <c r="E658" i="3"/>
  <c r="D658" i="3"/>
  <c r="C658" i="3"/>
  <c r="A658" i="3"/>
  <c r="F657" i="3"/>
  <c r="E657" i="3"/>
  <c r="D657" i="3"/>
  <c r="C657" i="3"/>
  <c r="A657" i="3"/>
  <c r="F656" i="3"/>
  <c r="E656" i="3"/>
  <c r="D656" i="3"/>
  <c r="C656" i="3"/>
  <c r="A656" i="3"/>
  <c r="F655" i="3"/>
  <c r="E655" i="3"/>
  <c r="D655" i="3"/>
  <c r="C655" i="3"/>
  <c r="A655" i="3"/>
  <c r="F654" i="3"/>
  <c r="E654" i="3"/>
  <c r="D654" i="3"/>
  <c r="C654" i="3"/>
  <c r="A654" i="3"/>
  <c r="F653" i="3"/>
  <c r="E653" i="3"/>
  <c r="D653" i="3"/>
  <c r="C653" i="3"/>
  <c r="A653" i="3"/>
  <c r="F652" i="3"/>
  <c r="E652" i="3"/>
  <c r="D652" i="3"/>
  <c r="C652" i="3"/>
  <c r="A652" i="3"/>
  <c r="F651" i="3"/>
  <c r="E651" i="3"/>
  <c r="D651" i="3"/>
  <c r="C651" i="3"/>
  <c r="A651" i="3"/>
  <c r="F650" i="3"/>
  <c r="E650" i="3"/>
  <c r="D650" i="3"/>
  <c r="C650" i="3"/>
  <c r="A650" i="3"/>
  <c r="F649" i="3"/>
  <c r="E649" i="3"/>
  <c r="D649" i="3"/>
  <c r="C649" i="3"/>
  <c r="A649" i="3"/>
  <c r="F648" i="3"/>
  <c r="E648" i="3"/>
  <c r="D648" i="3"/>
  <c r="C648" i="3"/>
  <c r="A648" i="3"/>
  <c r="F647" i="3"/>
  <c r="E647" i="3"/>
  <c r="D647" i="3"/>
  <c r="C647" i="3"/>
  <c r="A647" i="3"/>
  <c r="F646" i="3"/>
  <c r="E646" i="3"/>
  <c r="D646" i="3"/>
  <c r="C646" i="3"/>
  <c r="A646" i="3"/>
  <c r="F645" i="3"/>
  <c r="E645" i="3"/>
  <c r="D645" i="3"/>
  <c r="C645" i="3"/>
  <c r="A645" i="3"/>
  <c r="F644" i="3"/>
  <c r="E644" i="3"/>
  <c r="D644" i="3"/>
  <c r="C644" i="3"/>
  <c r="A644" i="3"/>
  <c r="F643" i="3"/>
  <c r="E643" i="3"/>
  <c r="D643" i="3"/>
  <c r="C643" i="3"/>
  <c r="A643" i="3"/>
  <c r="F642" i="3"/>
  <c r="E642" i="3"/>
  <c r="D642" i="3"/>
  <c r="C642" i="3"/>
  <c r="A642" i="3"/>
  <c r="F641" i="3"/>
  <c r="E641" i="3"/>
  <c r="D641" i="3"/>
  <c r="C641" i="3"/>
  <c r="A641" i="3"/>
  <c r="F640" i="3"/>
  <c r="E640" i="3"/>
  <c r="D640" i="3"/>
  <c r="C640" i="3"/>
  <c r="A640" i="3"/>
  <c r="F639" i="3"/>
  <c r="E639" i="3"/>
  <c r="D639" i="3"/>
  <c r="C639" i="3"/>
  <c r="A639" i="3"/>
  <c r="F638" i="3"/>
  <c r="E638" i="3"/>
  <c r="D638" i="3"/>
  <c r="C638" i="3"/>
  <c r="A638" i="3"/>
  <c r="F637" i="3"/>
  <c r="E637" i="3"/>
  <c r="D637" i="3"/>
  <c r="C637" i="3"/>
  <c r="A637" i="3"/>
  <c r="F636" i="3"/>
  <c r="E636" i="3"/>
  <c r="D636" i="3"/>
  <c r="C636" i="3"/>
  <c r="A636" i="3"/>
  <c r="F635" i="3"/>
  <c r="E635" i="3"/>
  <c r="D635" i="3"/>
  <c r="C635" i="3"/>
  <c r="A635" i="3"/>
  <c r="F634" i="3"/>
  <c r="E634" i="3"/>
  <c r="D634" i="3"/>
  <c r="C634" i="3"/>
  <c r="A634" i="3"/>
  <c r="F633" i="3"/>
  <c r="E633" i="3"/>
  <c r="D633" i="3"/>
  <c r="C633" i="3"/>
  <c r="A633" i="3"/>
  <c r="F632" i="3"/>
  <c r="E632" i="3"/>
  <c r="D632" i="3"/>
  <c r="C632" i="3"/>
  <c r="A632" i="3"/>
  <c r="F631" i="3"/>
  <c r="E631" i="3"/>
  <c r="D631" i="3"/>
  <c r="C631" i="3"/>
  <c r="A631" i="3"/>
  <c r="F630" i="3"/>
  <c r="E630" i="3"/>
  <c r="D630" i="3"/>
  <c r="C630" i="3"/>
  <c r="A630" i="3"/>
  <c r="F629" i="3"/>
  <c r="E629" i="3"/>
  <c r="D629" i="3"/>
  <c r="C629" i="3"/>
  <c r="A629" i="3"/>
  <c r="F628" i="3"/>
  <c r="E628" i="3"/>
  <c r="D628" i="3"/>
  <c r="C628" i="3"/>
  <c r="A628" i="3"/>
  <c r="F627" i="3"/>
  <c r="E627" i="3"/>
  <c r="D627" i="3"/>
  <c r="C627" i="3"/>
  <c r="A627" i="3"/>
  <c r="F626" i="3"/>
  <c r="E626" i="3"/>
  <c r="D626" i="3"/>
  <c r="C626" i="3"/>
  <c r="A626" i="3"/>
  <c r="F625" i="3"/>
  <c r="E625" i="3"/>
  <c r="D625" i="3"/>
  <c r="C625" i="3"/>
  <c r="A625" i="3"/>
  <c r="F624" i="3"/>
  <c r="E624" i="3"/>
  <c r="D624" i="3"/>
  <c r="C624" i="3"/>
  <c r="A624" i="3"/>
  <c r="F623" i="3"/>
  <c r="E623" i="3"/>
  <c r="D623" i="3"/>
  <c r="C623" i="3"/>
  <c r="A623" i="3"/>
  <c r="F622" i="3"/>
  <c r="E622" i="3"/>
  <c r="D622" i="3"/>
  <c r="C622" i="3"/>
  <c r="A622" i="3"/>
  <c r="F621" i="3"/>
  <c r="E621" i="3"/>
  <c r="D621" i="3"/>
  <c r="C621" i="3"/>
  <c r="A621" i="3"/>
  <c r="F620" i="3"/>
  <c r="E620" i="3"/>
  <c r="D620" i="3"/>
  <c r="C620" i="3"/>
  <c r="A620" i="3"/>
  <c r="F619" i="3"/>
  <c r="E619" i="3"/>
  <c r="D619" i="3"/>
  <c r="C619" i="3"/>
  <c r="A619" i="3"/>
  <c r="F618" i="3"/>
  <c r="E618" i="3"/>
  <c r="D618" i="3"/>
  <c r="C618" i="3"/>
  <c r="A618" i="3"/>
  <c r="F617" i="3"/>
  <c r="E617" i="3"/>
  <c r="D617" i="3"/>
  <c r="C617" i="3"/>
  <c r="A617" i="3"/>
  <c r="F616" i="3"/>
  <c r="E616" i="3"/>
  <c r="D616" i="3"/>
  <c r="C616" i="3"/>
  <c r="A616" i="3"/>
  <c r="F615" i="3"/>
  <c r="E615" i="3"/>
  <c r="D615" i="3"/>
  <c r="C615" i="3"/>
  <c r="A615" i="3"/>
  <c r="F614" i="3"/>
  <c r="E614" i="3"/>
  <c r="D614" i="3"/>
  <c r="C614" i="3"/>
  <c r="A614" i="3"/>
  <c r="F613" i="3"/>
  <c r="E613" i="3"/>
  <c r="D613" i="3"/>
  <c r="C613" i="3"/>
  <c r="A613" i="3"/>
  <c r="F612" i="3"/>
  <c r="E612" i="3"/>
  <c r="D612" i="3"/>
  <c r="C612" i="3"/>
  <c r="A612" i="3"/>
  <c r="F611" i="3"/>
  <c r="E611" i="3"/>
  <c r="D611" i="3"/>
  <c r="C611" i="3"/>
  <c r="A611" i="3"/>
  <c r="F610" i="3"/>
  <c r="E610" i="3"/>
  <c r="D610" i="3"/>
  <c r="C610" i="3"/>
  <c r="A610" i="3"/>
  <c r="F609" i="3"/>
  <c r="E609" i="3"/>
  <c r="D609" i="3"/>
  <c r="C609" i="3"/>
  <c r="A609" i="3"/>
  <c r="F608" i="3"/>
  <c r="E608" i="3"/>
  <c r="D608" i="3"/>
  <c r="C608" i="3"/>
  <c r="A608" i="3"/>
  <c r="F607" i="3"/>
  <c r="E607" i="3"/>
  <c r="D607" i="3"/>
  <c r="C607" i="3"/>
  <c r="A607" i="3"/>
  <c r="F606" i="3"/>
  <c r="E606" i="3"/>
  <c r="D606" i="3"/>
  <c r="C606" i="3"/>
  <c r="A606" i="3"/>
  <c r="F605" i="3"/>
  <c r="E605" i="3"/>
  <c r="D605" i="3"/>
  <c r="C605" i="3"/>
  <c r="A605" i="3"/>
  <c r="F604" i="3"/>
  <c r="E604" i="3"/>
  <c r="D604" i="3"/>
  <c r="C604" i="3"/>
  <c r="A604" i="3"/>
  <c r="F603" i="3"/>
  <c r="E603" i="3"/>
  <c r="D603" i="3"/>
  <c r="C603" i="3"/>
  <c r="A603" i="3"/>
  <c r="F602" i="3"/>
  <c r="E602" i="3"/>
  <c r="D602" i="3"/>
  <c r="C602" i="3"/>
  <c r="A602" i="3"/>
  <c r="F601" i="3"/>
  <c r="E601" i="3"/>
  <c r="D601" i="3"/>
  <c r="C601" i="3"/>
  <c r="A601" i="3"/>
  <c r="F600" i="3"/>
  <c r="E600" i="3"/>
  <c r="D600" i="3"/>
  <c r="C600" i="3"/>
  <c r="A600" i="3"/>
  <c r="F599" i="3"/>
  <c r="E599" i="3"/>
  <c r="D599" i="3"/>
  <c r="C599" i="3"/>
  <c r="A599" i="3"/>
  <c r="F598" i="3"/>
  <c r="E598" i="3"/>
  <c r="D598" i="3"/>
  <c r="C598" i="3"/>
  <c r="A598" i="3"/>
  <c r="F597" i="3"/>
  <c r="E597" i="3"/>
  <c r="D597" i="3"/>
  <c r="C597" i="3"/>
  <c r="A597" i="3"/>
  <c r="F596" i="3"/>
  <c r="E596" i="3"/>
  <c r="D596" i="3"/>
  <c r="C596" i="3"/>
  <c r="A596" i="3"/>
  <c r="F595" i="3"/>
  <c r="E595" i="3"/>
  <c r="D595" i="3"/>
  <c r="C595" i="3"/>
  <c r="A595" i="3"/>
  <c r="F594" i="3"/>
  <c r="E594" i="3"/>
  <c r="D594" i="3"/>
  <c r="C594" i="3"/>
  <c r="A594" i="3"/>
  <c r="F593" i="3"/>
  <c r="E593" i="3"/>
  <c r="D593" i="3"/>
  <c r="C593" i="3"/>
  <c r="A593" i="3"/>
  <c r="F592" i="3"/>
  <c r="E592" i="3"/>
  <c r="D592" i="3"/>
  <c r="C592" i="3"/>
  <c r="A592" i="3"/>
  <c r="F591" i="3"/>
  <c r="E591" i="3"/>
  <c r="D591" i="3"/>
  <c r="C591" i="3"/>
  <c r="A591" i="3"/>
  <c r="F590" i="3"/>
  <c r="E590" i="3"/>
  <c r="D590" i="3"/>
  <c r="C590" i="3"/>
  <c r="A590" i="3"/>
  <c r="F589" i="3"/>
  <c r="E589" i="3"/>
  <c r="D589" i="3"/>
  <c r="C589" i="3"/>
  <c r="A589" i="3"/>
  <c r="F588" i="3"/>
  <c r="E588" i="3"/>
  <c r="D588" i="3"/>
  <c r="C588" i="3"/>
  <c r="A588" i="3"/>
  <c r="F587" i="3"/>
  <c r="E587" i="3"/>
  <c r="D587" i="3"/>
  <c r="C587" i="3"/>
  <c r="A587" i="3"/>
  <c r="F586" i="3"/>
  <c r="E586" i="3"/>
  <c r="D586" i="3"/>
  <c r="C586" i="3"/>
  <c r="A586" i="3"/>
  <c r="F585" i="3"/>
  <c r="E585" i="3"/>
  <c r="D585" i="3"/>
  <c r="C585" i="3"/>
  <c r="A585" i="3"/>
  <c r="F584" i="3"/>
  <c r="E584" i="3"/>
  <c r="D584" i="3"/>
  <c r="C584" i="3"/>
  <c r="A584" i="3"/>
  <c r="F583" i="3"/>
  <c r="E583" i="3"/>
  <c r="D583" i="3"/>
  <c r="C583" i="3"/>
  <c r="A583" i="3"/>
  <c r="F582" i="3"/>
  <c r="E582" i="3"/>
  <c r="D582" i="3"/>
  <c r="C582" i="3"/>
  <c r="A582" i="3"/>
  <c r="F581" i="3"/>
  <c r="E581" i="3"/>
  <c r="D581" i="3"/>
  <c r="C581" i="3"/>
  <c r="A581" i="3"/>
  <c r="F580" i="3"/>
  <c r="E580" i="3"/>
  <c r="D580" i="3"/>
  <c r="C580" i="3"/>
  <c r="A580" i="3"/>
  <c r="F579" i="3"/>
  <c r="E579" i="3"/>
  <c r="D579" i="3"/>
  <c r="C579" i="3"/>
  <c r="A579" i="3"/>
  <c r="F578" i="3"/>
  <c r="E578" i="3"/>
  <c r="D578" i="3"/>
  <c r="C578" i="3"/>
  <c r="A578" i="3"/>
  <c r="F577" i="3"/>
  <c r="E577" i="3"/>
  <c r="D577" i="3"/>
  <c r="C577" i="3"/>
  <c r="A577" i="3"/>
  <c r="F576" i="3"/>
  <c r="E576" i="3"/>
  <c r="D576" i="3"/>
  <c r="C576" i="3"/>
  <c r="A576" i="3"/>
  <c r="F575" i="3"/>
  <c r="E575" i="3"/>
  <c r="D575" i="3"/>
  <c r="C575" i="3"/>
  <c r="A575" i="3"/>
  <c r="F574" i="3"/>
  <c r="E574" i="3"/>
  <c r="D574" i="3"/>
  <c r="C574" i="3"/>
  <c r="A574" i="3"/>
  <c r="F573" i="3"/>
  <c r="E573" i="3"/>
  <c r="D573" i="3"/>
  <c r="C573" i="3"/>
  <c r="A573" i="3"/>
  <c r="F572" i="3"/>
  <c r="E572" i="3"/>
  <c r="D572" i="3"/>
  <c r="C572" i="3"/>
  <c r="A572" i="3"/>
  <c r="F571" i="3"/>
  <c r="E571" i="3"/>
  <c r="D571" i="3"/>
  <c r="C571" i="3"/>
  <c r="A571" i="3"/>
  <c r="F570" i="3"/>
  <c r="E570" i="3"/>
  <c r="D570" i="3"/>
  <c r="C570" i="3"/>
  <c r="A570" i="3"/>
  <c r="F569" i="3"/>
  <c r="E569" i="3"/>
  <c r="D569" i="3"/>
  <c r="C569" i="3"/>
  <c r="A569" i="3"/>
  <c r="F568" i="3"/>
  <c r="E568" i="3"/>
  <c r="D568" i="3"/>
  <c r="C568" i="3"/>
  <c r="A568" i="3"/>
  <c r="F567" i="3"/>
  <c r="E567" i="3"/>
  <c r="D567" i="3"/>
  <c r="C567" i="3"/>
  <c r="A567" i="3"/>
  <c r="F566" i="3"/>
  <c r="E566" i="3"/>
  <c r="D566" i="3"/>
  <c r="C566" i="3"/>
  <c r="A566" i="3"/>
  <c r="F565" i="3"/>
  <c r="E565" i="3"/>
  <c r="D565" i="3"/>
  <c r="C565" i="3"/>
  <c r="A565" i="3"/>
  <c r="F564" i="3"/>
  <c r="E564" i="3"/>
  <c r="D564" i="3"/>
  <c r="C564" i="3"/>
  <c r="A564" i="3"/>
  <c r="F563" i="3"/>
  <c r="E563" i="3"/>
  <c r="D563" i="3"/>
  <c r="C563" i="3"/>
  <c r="A563" i="3"/>
  <c r="F562" i="3"/>
  <c r="E562" i="3"/>
  <c r="D562" i="3"/>
  <c r="C562" i="3"/>
  <c r="A562" i="3"/>
  <c r="F561" i="3"/>
  <c r="E561" i="3"/>
  <c r="D561" i="3"/>
  <c r="C561" i="3"/>
  <c r="A561" i="3"/>
  <c r="F560" i="3"/>
  <c r="E560" i="3"/>
  <c r="D560" i="3"/>
  <c r="C560" i="3"/>
  <c r="A560" i="3"/>
  <c r="F559" i="3"/>
  <c r="E559" i="3"/>
  <c r="D559" i="3"/>
  <c r="C559" i="3"/>
  <c r="A559" i="3"/>
  <c r="F558" i="3"/>
  <c r="E558" i="3"/>
  <c r="D558" i="3"/>
  <c r="C558" i="3"/>
  <c r="A558" i="3"/>
  <c r="F557" i="3"/>
  <c r="E557" i="3"/>
  <c r="D557" i="3"/>
  <c r="C557" i="3"/>
  <c r="A557" i="3"/>
  <c r="F556" i="3"/>
  <c r="E556" i="3"/>
  <c r="D556" i="3"/>
  <c r="C556" i="3"/>
  <c r="A556" i="3"/>
  <c r="F555" i="3"/>
  <c r="E555" i="3"/>
  <c r="D555" i="3"/>
  <c r="C555" i="3"/>
  <c r="A555" i="3"/>
  <c r="F554" i="3"/>
  <c r="E554" i="3"/>
  <c r="D554" i="3"/>
  <c r="C554" i="3"/>
  <c r="A554" i="3"/>
  <c r="F553" i="3"/>
  <c r="E553" i="3"/>
  <c r="D553" i="3"/>
  <c r="C553" i="3"/>
  <c r="A553" i="3"/>
  <c r="F552" i="3"/>
  <c r="E552" i="3"/>
  <c r="D552" i="3"/>
  <c r="C552" i="3"/>
  <c r="A552" i="3"/>
  <c r="F551" i="3"/>
  <c r="E551" i="3"/>
  <c r="D551" i="3"/>
  <c r="C551" i="3"/>
  <c r="A551" i="3"/>
  <c r="F550" i="3"/>
  <c r="E550" i="3"/>
  <c r="D550" i="3"/>
  <c r="C550" i="3"/>
  <c r="A550" i="3"/>
  <c r="F549" i="3"/>
  <c r="E549" i="3"/>
  <c r="D549" i="3"/>
  <c r="C549" i="3"/>
  <c r="A549" i="3"/>
  <c r="F548" i="3"/>
  <c r="E548" i="3"/>
  <c r="D548" i="3"/>
  <c r="C548" i="3"/>
  <c r="A548" i="3"/>
  <c r="F547" i="3"/>
  <c r="E547" i="3"/>
  <c r="D547" i="3"/>
  <c r="C547" i="3"/>
  <c r="A547" i="3"/>
  <c r="F546" i="3"/>
  <c r="E546" i="3"/>
  <c r="D546" i="3"/>
  <c r="C546" i="3"/>
  <c r="A546" i="3"/>
  <c r="F545" i="3"/>
  <c r="E545" i="3"/>
  <c r="D545" i="3"/>
  <c r="C545" i="3"/>
  <c r="A545" i="3"/>
  <c r="F544" i="3"/>
  <c r="E544" i="3"/>
  <c r="D544" i="3"/>
  <c r="C544" i="3"/>
  <c r="A544" i="3"/>
  <c r="F543" i="3"/>
  <c r="E543" i="3"/>
  <c r="D543" i="3"/>
  <c r="C543" i="3"/>
  <c r="A543" i="3"/>
  <c r="F542" i="3"/>
  <c r="E542" i="3"/>
  <c r="D542" i="3"/>
  <c r="C542" i="3"/>
  <c r="A542" i="3"/>
  <c r="F541" i="3"/>
  <c r="E541" i="3"/>
  <c r="D541" i="3"/>
  <c r="C541" i="3"/>
  <c r="A541" i="3"/>
  <c r="F540" i="3"/>
  <c r="E540" i="3"/>
  <c r="D540" i="3"/>
  <c r="C540" i="3"/>
  <c r="A540" i="3"/>
  <c r="F539" i="3"/>
  <c r="E539" i="3"/>
  <c r="D539" i="3"/>
  <c r="C539" i="3"/>
  <c r="A539" i="3"/>
  <c r="F538" i="3"/>
  <c r="E538" i="3"/>
  <c r="D538" i="3"/>
  <c r="C538" i="3"/>
  <c r="A538" i="3"/>
  <c r="F537" i="3"/>
  <c r="E537" i="3"/>
  <c r="D537" i="3"/>
  <c r="C537" i="3"/>
  <c r="A537" i="3"/>
  <c r="F536" i="3"/>
  <c r="E536" i="3"/>
  <c r="D536" i="3"/>
  <c r="C536" i="3"/>
  <c r="A536" i="3"/>
  <c r="F535" i="3"/>
  <c r="E535" i="3"/>
  <c r="D535" i="3"/>
  <c r="C535" i="3"/>
  <c r="A535" i="3"/>
  <c r="F534" i="3"/>
  <c r="E534" i="3"/>
  <c r="D534" i="3"/>
  <c r="C534" i="3"/>
  <c r="A534" i="3"/>
  <c r="F533" i="3"/>
  <c r="E533" i="3"/>
  <c r="D533" i="3"/>
  <c r="C533" i="3"/>
  <c r="A533" i="3"/>
  <c r="F532" i="3"/>
  <c r="E532" i="3"/>
  <c r="D532" i="3"/>
  <c r="C532" i="3"/>
  <c r="A532" i="3"/>
  <c r="F531" i="3"/>
  <c r="E531" i="3"/>
  <c r="D531" i="3"/>
  <c r="C531" i="3"/>
  <c r="A531" i="3"/>
  <c r="F530" i="3"/>
  <c r="E530" i="3"/>
  <c r="D530" i="3"/>
  <c r="C530" i="3"/>
  <c r="A530" i="3"/>
  <c r="F529" i="3"/>
  <c r="E529" i="3"/>
  <c r="D529" i="3"/>
  <c r="C529" i="3"/>
  <c r="A529" i="3"/>
  <c r="F528" i="3"/>
  <c r="E528" i="3"/>
  <c r="D528" i="3"/>
  <c r="C528" i="3"/>
  <c r="A528" i="3"/>
  <c r="F527" i="3"/>
  <c r="E527" i="3"/>
  <c r="D527" i="3"/>
  <c r="C527" i="3"/>
  <c r="A527" i="3"/>
  <c r="F526" i="3"/>
  <c r="E526" i="3"/>
  <c r="D526" i="3"/>
  <c r="C526" i="3"/>
  <c r="A526" i="3"/>
  <c r="F525" i="3"/>
  <c r="E525" i="3"/>
  <c r="D525" i="3"/>
  <c r="C525" i="3"/>
  <c r="A525" i="3"/>
  <c r="F524" i="3"/>
  <c r="E524" i="3"/>
  <c r="D524" i="3"/>
  <c r="C524" i="3"/>
  <c r="A524" i="3"/>
  <c r="F523" i="3"/>
  <c r="E523" i="3"/>
  <c r="D523" i="3"/>
  <c r="C523" i="3"/>
  <c r="A523" i="3"/>
  <c r="F522" i="3"/>
  <c r="E522" i="3"/>
  <c r="D522" i="3"/>
  <c r="C522" i="3"/>
  <c r="A522" i="3"/>
  <c r="F521" i="3"/>
  <c r="E521" i="3"/>
  <c r="D521" i="3"/>
  <c r="C521" i="3"/>
  <c r="A521" i="3"/>
  <c r="F520" i="3"/>
  <c r="E520" i="3"/>
  <c r="D520" i="3"/>
  <c r="C520" i="3"/>
  <c r="A520" i="3"/>
  <c r="F519" i="3"/>
  <c r="E519" i="3"/>
  <c r="D519" i="3"/>
  <c r="C519" i="3"/>
  <c r="A519" i="3"/>
  <c r="F518" i="3"/>
  <c r="E518" i="3"/>
  <c r="D518" i="3"/>
  <c r="C518" i="3"/>
  <c r="A518" i="3"/>
  <c r="F517" i="3"/>
  <c r="E517" i="3"/>
  <c r="D517" i="3"/>
  <c r="C517" i="3"/>
  <c r="A517" i="3"/>
  <c r="F516" i="3"/>
  <c r="E516" i="3"/>
  <c r="D516" i="3"/>
  <c r="C516" i="3"/>
  <c r="A516" i="3"/>
  <c r="F515" i="3"/>
  <c r="E515" i="3"/>
  <c r="D515" i="3"/>
  <c r="C515" i="3"/>
  <c r="A515" i="3"/>
  <c r="F514" i="3"/>
  <c r="E514" i="3"/>
  <c r="D514" i="3"/>
  <c r="C514" i="3"/>
  <c r="A514" i="3"/>
  <c r="F513" i="3"/>
  <c r="E513" i="3"/>
  <c r="D513" i="3"/>
  <c r="C513" i="3"/>
  <c r="A513" i="3"/>
  <c r="F512" i="3"/>
  <c r="E512" i="3"/>
  <c r="D512" i="3"/>
  <c r="C512" i="3"/>
  <c r="A512" i="3"/>
  <c r="F511" i="3"/>
  <c r="E511" i="3"/>
  <c r="D511" i="3"/>
  <c r="C511" i="3"/>
  <c r="A511" i="3"/>
  <c r="F510" i="3"/>
  <c r="E510" i="3"/>
  <c r="D510" i="3"/>
  <c r="C510" i="3"/>
  <c r="A510" i="3"/>
  <c r="F509" i="3"/>
  <c r="E509" i="3"/>
  <c r="D509" i="3"/>
  <c r="C509" i="3"/>
  <c r="A509" i="3"/>
  <c r="F508" i="3"/>
  <c r="E508" i="3"/>
  <c r="D508" i="3"/>
  <c r="C508" i="3"/>
  <c r="A508" i="3"/>
  <c r="F507" i="3"/>
  <c r="E507" i="3"/>
  <c r="D507" i="3"/>
  <c r="C507" i="3"/>
  <c r="A507" i="3"/>
  <c r="F506" i="3"/>
  <c r="E506" i="3"/>
  <c r="D506" i="3"/>
  <c r="C506" i="3"/>
  <c r="A506" i="3"/>
  <c r="F505" i="3"/>
  <c r="E505" i="3"/>
  <c r="D505" i="3"/>
  <c r="C505" i="3"/>
  <c r="A505" i="3"/>
  <c r="F504" i="3"/>
  <c r="E504" i="3"/>
  <c r="D504" i="3"/>
  <c r="C504" i="3"/>
  <c r="A504" i="3"/>
  <c r="F503" i="3"/>
  <c r="E503" i="3"/>
  <c r="D503" i="3"/>
  <c r="C503" i="3"/>
  <c r="A503" i="3"/>
  <c r="F502" i="3"/>
  <c r="E502" i="3"/>
  <c r="D502" i="3"/>
  <c r="C502" i="3"/>
  <c r="A502" i="3"/>
  <c r="F501" i="3"/>
  <c r="E501" i="3"/>
  <c r="D501" i="3"/>
  <c r="C501" i="3"/>
  <c r="A501" i="3"/>
  <c r="F500" i="3"/>
  <c r="E500" i="3"/>
  <c r="D500" i="3"/>
  <c r="C500" i="3"/>
  <c r="A500" i="3"/>
  <c r="F499" i="3"/>
  <c r="E499" i="3"/>
  <c r="D499" i="3"/>
  <c r="C499" i="3"/>
  <c r="A499" i="3"/>
  <c r="F498" i="3"/>
  <c r="E498" i="3"/>
  <c r="D498" i="3"/>
  <c r="C498" i="3"/>
  <c r="A498" i="3"/>
  <c r="F497" i="3"/>
  <c r="E497" i="3"/>
  <c r="D497" i="3"/>
  <c r="C497" i="3"/>
  <c r="A497" i="3"/>
  <c r="F496" i="3"/>
  <c r="E496" i="3"/>
  <c r="D496" i="3"/>
  <c r="C496" i="3"/>
  <c r="A496" i="3"/>
  <c r="F495" i="3"/>
  <c r="E495" i="3"/>
  <c r="D495" i="3"/>
  <c r="C495" i="3"/>
  <c r="A495" i="3"/>
  <c r="F494" i="3"/>
  <c r="E494" i="3"/>
  <c r="D494" i="3"/>
  <c r="C494" i="3"/>
  <c r="A494" i="3"/>
  <c r="F493" i="3"/>
  <c r="E493" i="3"/>
  <c r="D493" i="3"/>
  <c r="C493" i="3"/>
  <c r="A493" i="3"/>
  <c r="F492" i="3"/>
  <c r="E492" i="3"/>
  <c r="D492" i="3"/>
  <c r="C492" i="3"/>
  <c r="A492" i="3"/>
  <c r="F491" i="3"/>
  <c r="E491" i="3"/>
  <c r="D491" i="3"/>
  <c r="C491" i="3"/>
  <c r="A491" i="3"/>
  <c r="F490" i="3"/>
  <c r="E490" i="3"/>
  <c r="D490" i="3"/>
  <c r="C490" i="3"/>
  <c r="A490" i="3"/>
  <c r="F489" i="3"/>
  <c r="E489" i="3"/>
  <c r="D489" i="3"/>
  <c r="C489" i="3"/>
  <c r="A489" i="3"/>
  <c r="F488" i="3"/>
  <c r="E488" i="3"/>
  <c r="D488" i="3"/>
  <c r="C488" i="3"/>
  <c r="A488" i="3"/>
  <c r="F487" i="3"/>
  <c r="E487" i="3"/>
  <c r="D487" i="3"/>
  <c r="C487" i="3"/>
  <c r="A487" i="3"/>
  <c r="F486" i="3"/>
  <c r="E486" i="3"/>
  <c r="D486" i="3"/>
  <c r="C486" i="3"/>
  <c r="A486" i="3"/>
  <c r="F485" i="3"/>
  <c r="E485" i="3"/>
  <c r="D485" i="3"/>
  <c r="C485" i="3"/>
  <c r="A485" i="3"/>
  <c r="F484" i="3"/>
  <c r="E484" i="3"/>
  <c r="D484" i="3"/>
  <c r="C484" i="3"/>
  <c r="A484" i="3"/>
  <c r="F483" i="3"/>
  <c r="E483" i="3"/>
  <c r="D483" i="3"/>
  <c r="C483" i="3"/>
  <c r="A483" i="3"/>
  <c r="F482" i="3"/>
  <c r="E482" i="3"/>
  <c r="D482" i="3"/>
  <c r="C482" i="3"/>
  <c r="A482" i="3"/>
  <c r="F481" i="3"/>
  <c r="E481" i="3"/>
  <c r="D481" i="3"/>
  <c r="C481" i="3"/>
  <c r="A481" i="3"/>
  <c r="F480" i="3"/>
  <c r="E480" i="3"/>
  <c r="D480" i="3"/>
  <c r="C480" i="3"/>
  <c r="A480" i="3"/>
  <c r="F479" i="3"/>
  <c r="E479" i="3"/>
  <c r="D479" i="3"/>
  <c r="C479" i="3"/>
  <c r="A479" i="3"/>
  <c r="F478" i="3"/>
  <c r="E478" i="3"/>
  <c r="D478" i="3"/>
  <c r="C478" i="3"/>
  <c r="A478" i="3"/>
  <c r="F477" i="3"/>
  <c r="E477" i="3"/>
  <c r="D477" i="3"/>
  <c r="C477" i="3"/>
  <c r="A477" i="3"/>
  <c r="F476" i="3"/>
  <c r="E476" i="3"/>
  <c r="D476" i="3"/>
  <c r="C476" i="3"/>
  <c r="A476" i="3"/>
  <c r="F475" i="3"/>
  <c r="E475" i="3"/>
  <c r="D475" i="3"/>
  <c r="C475" i="3"/>
  <c r="A475" i="3"/>
  <c r="F474" i="3"/>
  <c r="E474" i="3"/>
  <c r="D474" i="3"/>
  <c r="C474" i="3"/>
  <c r="A474" i="3"/>
  <c r="F473" i="3"/>
  <c r="E473" i="3"/>
  <c r="D473" i="3"/>
  <c r="C473" i="3"/>
  <c r="A473" i="3"/>
  <c r="F472" i="3"/>
  <c r="E472" i="3"/>
  <c r="D472" i="3"/>
  <c r="C472" i="3"/>
  <c r="A472" i="3"/>
  <c r="F471" i="3"/>
  <c r="E471" i="3"/>
  <c r="D471" i="3"/>
  <c r="C471" i="3"/>
  <c r="A471" i="3"/>
  <c r="F470" i="3"/>
  <c r="E470" i="3"/>
  <c r="D470" i="3"/>
  <c r="C470" i="3"/>
  <c r="A470" i="3"/>
  <c r="F469" i="3"/>
  <c r="E469" i="3"/>
  <c r="D469" i="3"/>
  <c r="C469" i="3"/>
  <c r="A469" i="3"/>
  <c r="F468" i="3"/>
  <c r="E468" i="3"/>
  <c r="D468" i="3"/>
  <c r="C468" i="3"/>
  <c r="A468" i="3"/>
  <c r="F467" i="3"/>
  <c r="E467" i="3"/>
  <c r="D467" i="3"/>
  <c r="C467" i="3"/>
  <c r="A467" i="3"/>
  <c r="F466" i="3"/>
  <c r="E466" i="3"/>
  <c r="D466" i="3"/>
  <c r="C466" i="3"/>
  <c r="A466" i="3"/>
  <c r="F465" i="3"/>
  <c r="E465" i="3"/>
  <c r="D465" i="3"/>
  <c r="C465" i="3"/>
  <c r="A465" i="3"/>
  <c r="F464" i="3"/>
  <c r="E464" i="3"/>
  <c r="D464" i="3"/>
  <c r="C464" i="3"/>
  <c r="A464" i="3"/>
  <c r="F463" i="3"/>
  <c r="E463" i="3"/>
  <c r="D463" i="3"/>
  <c r="C463" i="3"/>
  <c r="A463" i="3"/>
  <c r="F462" i="3"/>
  <c r="E462" i="3"/>
  <c r="D462" i="3"/>
  <c r="C462" i="3"/>
  <c r="A462" i="3"/>
  <c r="F461" i="3"/>
  <c r="E461" i="3"/>
  <c r="D461" i="3"/>
  <c r="C461" i="3"/>
  <c r="A461" i="3"/>
  <c r="F460" i="3"/>
  <c r="E460" i="3"/>
  <c r="D460" i="3"/>
  <c r="C460" i="3"/>
  <c r="A460" i="3"/>
  <c r="F459" i="3"/>
  <c r="E459" i="3"/>
  <c r="D459" i="3"/>
  <c r="C459" i="3"/>
  <c r="A459" i="3"/>
  <c r="F458" i="3"/>
  <c r="E458" i="3"/>
  <c r="D458" i="3"/>
  <c r="C458" i="3"/>
  <c r="A458" i="3"/>
  <c r="F457" i="3"/>
  <c r="E457" i="3"/>
  <c r="D457" i="3"/>
  <c r="C457" i="3"/>
  <c r="A457" i="3"/>
  <c r="F456" i="3"/>
  <c r="E456" i="3"/>
  <c r="D456" i="3"/>
  <c r="C456" i="3"/>
  <c r="A456" i="3"/>
  <c r="F455" i="3"/>
  <c r="E455" i="3"/>
  <c r="D455" i="3"/>
  <c r="C455" i="3"/>
  <c r="A455" i="3"/>
  <c r="F454" i="3"/>
  <c r="E454" i="3"/>
  <c r="D454" i="3"/>
  <c r="C454" i="3"/>
  <c r="A454" i="3"/>
  <c r="F453" i="3"/>
  <c r="E453" i="3"/>
  <c r="D453" i="3"/>
  <c r="C453" i="3"/>
  <c r="A453" i="3"/>
  <c r="F452" i="3"/>
  <c r="E452" i="3"/>
  <c r="D452" i="3"/>
  <c r="C452" i="3"/>
  <c r="A452" i="3"/>
  <c r="F451" i="3"/>
  <c r="E451" i="3"/>
  <c r="D451" i="3"/>
  <c r="C451" i="3"/>
  <c r="A451" i="3"/>
  <c r="F450" i="3"/>
  <c r="E450" i="3"/>
  <c r="D450" i="3"/>
  <c r="C450" i="3"/>
  <c r="A450" i="3"/>
  <c r="F449" i="3"/>
  <c r="E449" i="3"/>
  <c r="D449" i="3"/>
  <c r="C449" i="3"/>
  <c r="A449" i="3"/>
  <c r="F448" i="3"/>
  <c r="E448" i="3"/>
  <c r="D448" i="3"/>
  <c r="C448" i="3"/>
  <c r="A448" i="3"/>
  <c r="F447" i="3"/>
  <c r="E447" i="3"/>
  <c r="D447" i="3"/>
  <c r="C447" i="3"/>
  <c r="A447" i="3"/>
  <c r="F446" i="3"/>
  <c r="E446" i="3"/>
  <c r="D446" i="3"/>
  <c r="C446" i="3"/>
  <c r="A446" i="3"/>
  <c r="F445" i="3"/>
  <c r="E445" i="3"/>
  <c r="D445" i="3"/>
  <c r="C445" i="3"/>
  <c r="A445" i="3"/>
  <c r="F444" i="3"/>
  <c r="E444" i="3"/>
  <c r="D444" i="3"/>
  <c r="C444" i="3"/>
  <c r="A444" i="3"/>
  <c r="F443" i="3"/>
  <c r="E443" i="3"/>
  <c r="D443" i="3"/>
  <c r="C443" i="3"/>
  <c r="A443" i="3"/>
  <c r="F442" i="3"/>
  <c r="E442" i="3"/>
  <c r="D442" i="3"/>
  <c r="C442" i="3"/>
  <c r="A442" i="3"/>
  <c r="F441" i="3"/>
  <c r="E441" i="3"/>
  <c r="D441" i="3"/>
  <c r="C441" i="3"/>
  <c r="A441" i="3"/>
  <c r="F440" i="3"/>
  <c r="E440" i="3"/>
  <c r="D440" i="3"/>
  <c r="C440" i="3"/>
  <c r="A440" i="3"/>
  <c r="F439" i="3"/>
  <c r="E439" i="3"/>
  <c r="D439" i="3"/>
  <c r="C439" i="3"/>
  <c r="A439" i="3"/>
  <c r="F438" i="3"/>
  <c r="E438" i="3"/>
  <c r="D438" i="3"/>
  <c r="C438" i="3"/>
  <c r="A438" i="3"/>
  <c r="F437" i="3"/>
  <c r="E437" i="3"/>
  <c r="D437" i="3"/>
  <c r="C437" i="3"/>
  <c r="A437" i="3"/>
  <c r="F436" i="3"/>
  <c r="E436" i="3"/>
  <c r="D436" i="3"/>
  <c r="C436" i="3"/>
  <c r="A436" i="3"/>
  <c r="F435" i="3"/>
  <c r="E435" i="3"/>
  <c r="D435" i="3"/>
  <c r="C435" i="3"/>
  <c r="A435" i="3"/>
  <c r="F434" i="3"/>
  <c r="E434" i="3"/>
  <c r="D434" i="3"/>
  <c r="C434" i="3"/>
  <c r="A434" i="3"/>
  <c r="F433" i="3"/>
  <c r="E433" i="3"/>
  <c r="D433" i="3"/>
  <c r="C433" i="3"/>
  <c r="A433" i="3"/>
  <c r="F432" i="3"/>
  <c r="E432" i="3"/>
  <c r="D432" i="3"/>
  <c r="C432" i="3"/>
  <c r="A432" i="3"/>
  <c r="F431" i="3"/>
  <c r="E431" i="3"/>
  <c r="D431" i="3"/>
  <c r="C431" i="3"/>
  <c r="A431" i="3"/>
  <c r="F430" i="3"/>
  <c r="E430" i="3"/>
  <c r="D430" i="3"/>
  <c r="C430" i="3"/>
  <c r="A430" i="3"/>
  <c r="F429" i="3"/>
  <c r="E429" i="3"/>
  <c r="D429" i="3"/>
  <c r="C429" i="3"/>
  <c r="A429" i="3"/>
  <c r="F428" i="3"/>
  <c r="E428" i="3"/>
  <c r="D428" i="3"/>
  <c r="C428" i="3"/>
  <c r="A428" i="3"/>
  <c r="F427" i="3"/>
  <c r="E427" i="3"/>
  <c r="D427" i="3"/>
  <c r="C427" i="3"/>
  <c r="A427" i="3"/>
  <c r="F426" i="3"/>
  <c r="E426" i="3"/>
  <c r="D426" i="3"/>
  <c r="C426" i="3"/>
  <c r="A426" i="3"/>
  <c r="F425" i="3"/>
  <c r="E425" i="3"/>
  <c r="D425" i="3"/>
  <c r="C425" i="3"/>
  <c r="A425" i="3"/>
  <c r="F424" i="3"/>
  <c r="E424" i="3"/>
  <c r="D424" i="3"/>
  <c r="C424" i="3"/>
  <c r="A424" i="3"/>
  <c r="F423" i="3"/>
  <c r="E423" i="3"/>
  <c r="D423" i="3"/>
  <c r="C423" i="3"/>
  <c r="A423" i="3"/>
  <c r="F422" i="3"/>
  <c r="E422" i="3"/>
  <c r="D422" i="3"/>
  <c r="C422" i="3"/>
  <c r="A422" i="3"/>
  <c r="F421" i="3"/>
  <c r="E421" i="3"/>
  <c r="D421" i="3"/>
  <c r="C421" i="3"/>
  <c r="A421" i="3"/>
  <c r="F420" i="3"/>
  <c r="E420" i="3"/>
  <c r="D420" i="3"/>
  <c r="C420" i="3"/>
  <c r="A420" i="3"/>
  <c r="F419" i="3"/>
  <c r="E419" i="3"/>
  <c r="D419" i="3"/>
  <c r="C419" i="3"/>
  <c r="A419" i="3"/>
  <c r="F418" i="3"/>
  <c r="E418" i="3"/>
  <c r="D418" i="3"/>
  <c r="C418" i="3"/>
  <c r="A418" i="3"/>
  <c r="F417" i="3"/>
  <c r="E417" i="3"/>
  <c r="D417" i="3"/>
  <c r="C417" i="3"/>
  <c r="A417" i="3"/>
  <c r="F416" i="3"/>
  <c r="E416" i="3"/>
  <c r="D416" i="3"/>
  <c r="C416" i="3"/>
  <c r="A416" i="3"/>
  <c r="F415" i="3"/>
  <c r="E415" i="3"/>
  <c r="D415" i="3"/>
  <c r="C415" i="3"/>
  <c r="A415" i="3"/>
  <c r="F414" i="3"/>
  <c r="E414" i="3"/>
  <c r="D414" i="3"/>
  <c r="C414" i="3"/>
  <c r="A414" i="3"/>
  <c r="F413" i="3"/>
  <c r="E413" i="3"/>
  <c r="D413" i="3"/>
  <c r="C413" i="3"/>
  <c r="A413" i="3"/>
  <c r="F412" i="3"/>
  <c r="E412" i="3"/>
  <c r="D412" i="3"/>
  <c r="C412" i="3"/>
  <c r="A412" i="3"/>
  <c r="F411" i="3"/>
  <c r="E411" i="3"/>
  <c r="D411" i="3"/>
  <c r="C411" i="3"/>
  <c r="A411" i="3"/>
  <c r="F410" i="3"/>
  <c r="E410" i="3"/>
  <c r="D410" i="3"/>
  <c r="C410" i="3"/>
  <c r="A410" i="3"/>
  <c r="F409" i="3"/>
  <c r="E409" i="3"/>
  <c r="D409" i="3"/>
  <c r="C409" i="3"/>
  <c r="A409" i="3"/>
  <c r="F408" i="3"/>
  <c r="E408" i="3"/>
  <c r="D408" i="3"/>
  <c r="C408" i="3"/>
  <c r="A408" i="3"/>
  <c r="F407" i="3"/>
  <c r="E407" i="3"/>
  <c r="D407" i="3"/>
  <c r="C407" i="3"/>
  <c r="A407" i="3"/>
  <c r="F406" i="3"/>
  <c r="E406" i="3"/>
  <c r="D406" i="3"/>
  <c r="C406" i="3"/>
  <c r="A406" i="3"/>
  <c r="F405" i="3"/>
  <c r="E405" i="3"/>
  <c r="D405" i="3"/>
  <c r="C405" i="3"/>
  <c r="A405" i="3"/>
  <c r="F404" i="3"/>
  <c r="E404" i="3"/>
  <c r="D404" i="3"/>
  <c r="C404" i="3"/>
  <c r="A404" i="3"/>
  <c r="F403" i="3"/>
  <c r="E403" i="3"/>
  <c r="D403" i="3"/>
  <c r="C403" i="3"/>
  <c r="A403" i="3"/>
  <c r="F402" i="3"/>
  <c r="E402" i="3"/>
  <c r="D402" i="3"/>
  <c r="C402" i="3"/>
  <c r="A402" i="3"/>
  <c r="F401" i="3"/>
  <c r="E401" i="3"/>
  <c r="D401" i="3"/>
  <c r="C401" i="3"/>
  <c r="A401" i="3"/>
  <c r="F400" i="3"/>
  <c r="E400" i="3"/>
  <c r="D400" i="3"/>
  <c r="C400" i="3"/>
  <c r="A400" i="3"/>
  <c r="F399" i="3"/>
  <c r="E399" i="3"/>
  <c r="D399" i="3"/>
  <c r="C399" i="3"/>
  <c r="A399" i="3"/>
  <c r="F398" i="3"/>
  <c r="E398" i="3"/>
  <c r="D398" i="3"/>
  <c r="C398" i="3"/>
  <c r="A398" i="3"/>
  <c r="F397" i="3"/>
  <c r="E397" i="3"/>
  <c r="D397" i="3"/>
  <c r="C397" i="3"/>
  <c r="A397" i="3"/>
  <c r="F396" i="3"/>
  <c r="E396" i="3"/>
  <c r="D396" i="3"/>
  <c r="C396" i="3"/>
  <c r="A396" i="3"/>
  <c r="F395" i="3"/>
  <c r="E395" i="3"/>
  <c r="D395" i="3"/>
  <c r="C395" i="3"/>
  <c r="A395" i="3"/>
  <c r="F394" i="3"/>
  <c r="E394" i="3"/>
  <c r="D394" i="3"/>
  <c r="C394" i="3"/>
  <c r="A394" i="3"/>
  <c r="F393" i="3"/>
  <c r="E393" i="3"/>
  <c r="D393" i="3"/>
  <c r="C393" i="3"/>
  <c r="A393" i="3"/>
  <c r="F392" i="3"/>
  <c r="E392" i="3"/>
  <c r="D392" i="3"/>
  <c r="C392" i="3"/>
  <c r="A392" i="3"/>
  <c r="F391" i="3"/>
  <c r="E391" i="3"/>
  <c r="D391" i="3"/>
  <c r="C391" i="3"/>
  <c r="A391" i="3"/>
  <c r="F390" i="3"/>
  <c r="E390" i="3"/>
  <c r="D390" i="3"/>
  <c r="C390" i="3"/>
  <c r="A390" i="3"/>
  <c r="F389" i="3"/>
  <c r="E389" i="3"/>
  <c r="D389" i="3"/>
  <c r="C389" i="3"/>
  <c r="A389" i="3"/>
  <c r="F388" i="3"/>
  <c r="E388" i="3"/>
  <c r="D388" i="3"/>
  <c r="C388" i="3"/>
  <c r="A388" i="3"/>
  <c r="F387" i="3"/>
  <c r="E387" i="3"/>
  <c r="D387" i="3"/>
  <c r="C387" i="3"/>
  <c r="A387" i="3"/>
  <c r="F386" i="3"/>
  <c r="E386" i="3"/>
  <c r="D386" i="3"/>
  <c r="C386" i="3"/>
  <c r="A386" i="3"/>
  <c r="F385" i="3"/>
  <c r="E385" i="3"/>
  <c r="D385" i="3"/>
  <c r="C385" i="3"/>
  <c r="A385" i="3"/>
  <c r="F384" i="3"/>
  <c r="E384" i="3"/>
  <c r="D384" i="3"/>
  <c r="C384" i="3"/>
  <c r="A384" i="3"/>
  <c r="F383" i="3"/>
  <c r="E383" i="3"/>
  <c r="D383" i="3"/>
  <c r="C383" i="3"/>
  <c r="A383" i="3"/>
  <c r="F382" i="3"/>
  <c r="E382" i="3"/>
  <c r="D382" i="3"/>
  <c r="C382" i="3"/>
  <c r="A382" i="3"/>
  <c r="F381" i="3"/>
  <c r="E381" i="3"/>
  <c r="D381" i="3"/>
  <c r="C381" i="3"/>
  <c r="A381" i="3"/>
  <c r="F380" i="3"/>
  <c r="E380" i="3"/>
  <c r="D380" i="3"/>
  <c r="C380" i="3"/>
  <c r="A380" i="3"/>
  <c r="F379" i="3"/>
  <c r="E379" i="3"/>
  <c r="D379" i="3"/>
  <c r="C379" i="3"/>
  <c r="A379" i="3"/>
  <c r="F378" i="3"/>
  <c r="E378" i="3"/>
  <c r="D378" i="3"/>
  <c r="C378" i="3"/>
  <c r="A378" i="3"/>
  <c r="F377" i="3"/>
  <c r="E377" i="3"/>
  <c r="D377" i="3"/>
  <c r="C377" i="3"/>
  <c r="A377" i="3"/>
  <c r="F376" i="3"/>
  <c r="E376" i="3"/>
  <c r="D376" i="3"/>
  <c r="C376" i="3"/>
  <c r="A376" i="3"/>
  <c r="F375" i="3"/>
  <c r="E375" i="3"/>
  <c r="D375" i="3"/>
  <c r="C375" i="3"/>
  <c r="A375" i="3"/>
  <c r="F374" i="3"/>
  <c r="E374" i="3"/>
  <c r="D374" i="3"/>
  <c r="C374" i="3"/>
  <c r="A374" i="3"/>
  <c r="F373" i="3"/>
  <c r="E373" i="3"/>
  <c r="D373" i="3"/>
  <c r="C373" i="3"/>
  <c r="A373" i="3"/>
  <c r="F372" i="3"/>
  <c r="E372" i="3"/>
  <c r="D372" i="3"/>
  <c r="C372" i="3"/>
  <c r="A372" i="3"/>
  <c r="F371" i="3"/>
  <c r="E371" i="3"/>
  <c r="D371" i="3"/>
  <c r="C371" i="3"/>
  <c r="A371" i="3"/>
  <c r="F370" i="3"/>
  <c r="E370" i="3"/>
  <c r="D370" i="3"/>
  <c r="C370" i="3"/>
  <c r="A370" i="3"/>
  <c r="F369" i="3"/>
  <c r="E369" i="3"/>
  <c r="D369" i="3"/>
  <c r="C369" i="3"/>
  <c r="A369" i="3"/>
  <c r="F368" i="3"/>
  <c r="E368" i="3"/>
  <c r="D368" i="3"/>
  <c r="C368" i="3"/>
  <c r="A368" i="3"/>
  <c r="F367" i="3"/>
  <c r="E367" i="3"/>
  <c r="D367" i="3"/>
  <c r="C367" i="3"/>
  <c r="A367" i="3"/>
  <c r="F366" i="3"/>
  <c r="E366" i="3"/>
  <c r="D366" i="3"/>
  <c r="C366" i="3"/>
  <c r="A366" i="3"/>
  <c r="F365" i="3"/>
  <c r="E365" i="3"/>
  <c r="D365" i="3"/>
  <c r="C365" i="3"/>
  <c r="A365" i="3"/>
  <c r="F364" i="3"/>
  <c r="E364" i="3"/>
  <c r="D364" i="3"/>
  <c r="C364" i="3"/>
  <c r="A364" i="3"/>
  <c r="F363" i="3"/>
  <c r="E363" i="3"/>
  <c r="D363" i="3"/>
  <c r="C363" i="3"/>
  <c r="A363" i="3"/>
  <c r="F362" i="3"/>
  <c r="E362" i="3"/>
  <c r="D362" i="3"/>
  <c r="C362" i="3"/>
  <c r="A362" i="3"/>
  <c r="F361" i="3"/>
  <c r="E361" i="3"/>
  <c r="D361" i="3"/>
  <c r="C361" i="3"/>
  <c r="A361" i="3"/>
  <c r="F360" i="3"/>
  <c r="E360" i="3"/>
  <c r="D360" i="3"/>
  <c r="C360" i="3"/>
  <c r="A360" i="3"/>
  <c r="F359" i="3"/>
  <c r="E359" i="3"/>
  <c r="D359" i="3"/>
  <c r="C359" i="3"/>
  <c r="A359" i="3"/>
  <c r="F358" i="3"/>
  <c r="E358" i="3"/>
  <c r="D358" i="3"/>
  <c r="C358" i="3"/>
  <c r="A358" i="3"/>
  <c r="F357" i="3"/>
  <c r="E357" i="3"/>
  <c r="D357" i="3"/>
  <c r="C357" i="3"/>
  <c r="A357" i="3"/>
  <c r="F356" i="3"/>
  <c r="E356" i="3"/>
  <c r="D356" i="3"/>
  <c r="C356" i="3"/>
  <c r="A356" i="3"/>
  <c r="F355" i="3"/>
  <c r="E355" i="3"/>
  <c r="D355" i="3"/>
  <c r="C355" i="3"/>
  <c r="A355" i="3"/>
  <c r="F354" i="3"/>
  <c r="E354" i="3"/>
  <c r="D354" i="3"/>
  <c r="C354" i="3"/>
  <c r="A354" i="3"/>
  <c r="F353" i="3"/>
  <c r="E353" i="3"/>
  <c r="D353" i="3"/>
  <c r="C353" i="3"/>
  <c r="A353" i="3"/>
  <c r="F352" i="3"/>
  <c r="E352" i="3"/>
  <c r="D352" i="3"/>
  <c r="C352" i="3"/>
  <c r="A352" i="3"/>
  <c r="F351" i="3"/>
  <c r="E351" i="3"/>
  <c r="D351" i="3"/>
  <c r="C351" i="3"/>
  <c r="A351" i="3"/>
  <c r="F350" i="3"/>
  <c r="E350" i="3"/>
  <c r="D350" i="3"/>
  <c r="C350" i="3"/>
  <c r="A350" i="3"/>
  <c r="F349" i="3"/>
  <c r="E349" i="3"/>
  <c r="D349" i="3"/>
  <c r="C349" i="3"/>
  <c r="A349" i="3"/>
  <c r="F348" i="3"/>
  <c r="E348" i="3"/>
  <c r="D348" i="3"/>
  <c r="C348" i="3"/>
  <c r="A348" i="3"/>
  <c r="F347" i="3"/>
  <c r="E347" i="3"/>
  <c r="D347" i="3"/>
  <c r="C347" i="3"/>
  <c r="A347" i="3"/>
  <c r="F345" i="3"/>
  <c r="E345" i="3"/>
  <c r="D345" i="3"/>
  <c r="C345" i="3"/>
  <c r="A345" i="3"/>
  <c r="F344" i="3"/>
  <c r="E344" i="3"/>
  <c r="D344" i="3"/>
  <c r="C344" i="3"/>
  <c r="A344" i="3"/>
  <c r="F343" i="3"/>
  <c r="E343" i="3"/>
  <c r="D343" i="3"/>
  <c r="C343" i="3"/>
  <c r="A343" i="3"/>
  <c r="F342" i="3"/>
  <c r="E342" i="3"/>
  <c r="D342" i="3"/>
  <c r="C342" i="3"/>
  <c r="A342" i="3"/>
  <c r="F341" i="3"/>
  <c r="E341" i="3"/>
  <c r="D341" i="3"/>
  <c r="C341" i="3"/>
  <c r="A341" i="3"/>
  <c r="F340" i="3"/>
  <c r="E340" i="3"/>
  <c r="D340" i="3"/>
  <c r="C340" i="3"/>
  <c r="A340" i="3"/>
  <c r="F339" i="3"/>
  <c r="E339" i="3"/>
  <c r="D339" i="3"/>
  <c r="C339" i="3"/>
  <c r="A339" i="3"/>
  <c r="F338" i="3"/>
  <c r="E338" i="3"/>
  <c r="D338" i="3"/>
  <c r="C338" i="3"/>
  <c r="A338" i="3"/>
  <c r="F337" i="3"/>
  <c r="E337" i="3"/>
  <c r="D337" i="3"/>
  <c r="C337" i="3"/>
  <c r="A337" i="3"/>
  <c r="F336" i="3"/>
  <c r="E336" i="3"/>
  <c r="D336" i="3"/>
  <c r="C336" i="3"/>
  <c r="A336" i="3"/>
  <c r="F335" i="3"/>
  <c r="E335" i="3"/>
  <c r="D335" i="3"/>
  <c r="C335" i="3"/>
  <c r="A335" i="3"/>
  <c r="F334" i="3"/>
  <c r="E334" i="3"/>
  <c r="D334" i="3"/>
  <c r="C334" i="3"/>
  <c r="A334" i="3"/>
  <c r="F333" i="3"/>
  <c r="E333" i="3"/>
  <c r="D333" i="3"/>
  <c r="C333" i="3"/>
  <c r="A333" i="3"/>
  <c r="F332" i="3"/>
  <c r="E332" i="3"/>
  <c r="D332" i="3"/>
  <c r="C332" i="3"/>
  <c r="A332" i="3"/>
  <c r="F331" i="3"/>
  <c r="E331" i="3"/>
  <c r="D331" i="3"/>
  <c r="C331" i="3"/>
  <c r="A331" i="3"/>
  <c r="F330" i="3"/>
  <c r="E330" i="3"/>
  <c r="D330" i="3"/>
  <c r="C330" i="3"/>
  <c r="A330" i="3"/>
  <c r="F329" i="3"/>
  <c r="E329" i="3"/>
  <c r="D329" i="3"/>
  <c r="C329" i="3"/>
  <c r="A329" i="3"/>
  <c r="F328" i="3"/>
  <c r="E328" i="3"/>
  <c r="D328" i="3"/>
  <c r="C328" i="3"/>
  <c r="A328" i="3"/>
  <c r="F327" i="3"/>
  <c r="E327" i="3"/>
  <c r="D327" i="3"/>
  <c r="C327" i="3"/>
  <c r="A327" i="3"/>
  <c r="F326" i="3"/>
  <c r="E326" i="3"/>
  <c r="D326" i="3"/>
  <c r="C326" i="3"/>
  <c r="A326" i="3"/>
  <c r="F325" i="3"/>
  <c r="E325" i="3"/>
  <c r="D325" i="3"/>
  <c r="C325" i="3"/>
  <c r="A325" i="3"/>
  <c r="F324" i="3"/>
  <c r="E324" i="3"/>
  <c r="D324" i="3"/>
  <c r="C324" i="3"/>
  <c r="A324" i="3"/>
  <c r="F323" i="3"/>
  <c r="E323" i="3"/>
  <c r="D323" i="3"/>
  <c r="C323" i="3"/>
  <c r="A323" i="3"/>
  <c r="F322" i="3"/>
  <c r="E322" i="3"/>
  <c r="D322" i="3"/>
  <c r="C322" i="3"/>
  <c r="A322" i="3"/>
  <c r="F321" i="3"/>
  <c r="E321" i="3"/>
  <c r="D321" i="3"/>
  <c r="C321" i="3"/>
  <c r="A321" i="3"/>
  <c r="F320" i="3"/>
  <c r="E320" i="3"/>
  <c r="D320" i="3"/>
  <c r="C320" i="3"/>
  <c r="A320" i="3"/>
  <c r="F319" i="3"/>
  <c r="E319" i="3"/>
  <c r="D319" i="3"/>
  <c r="C319" i="3"/>
  <c r="A319" i="3"/>
  <c r="F318" i="3"/>
  <c r="E318" i="3"/>
  <c r="D318" i="3"/>
  <c r="C318" i="3"/>
  <c r="A318" i="3"/>
  <c r="F317" i="3"/>
  <c r="E317" i="3"/>
  <c r="D317" i="3"/>
  <c r="C317" i="3"/>
  <c r="A317" i="3"/>
  <c r="F316" i="3"/>
  <c r="E316" i="3"/>
  <c r="D316" i="3"/>
  <c r="C316" i="3"/>
  <c r="A316" i="3"/>
  <c r="F315" i="3"/>
  <c r="E315" i="3"/>
  <c r="D315" i="3"/>
  <c r="C315" i="3"/>
  <c r="A315" i="3"/>
  <c r="F314" i="3"/>
  <c r="E314" i="3"/>
  <c r="D314" i="3"/>
  <c r="C314" i="3"/>
  <c r="A314" i="3"/>
  <c r="F313" i="3"/>
  <c r="E313" i="3"/>
  <c r="D313" i="3"/>
  <c r="C313" i="3"/>
  <c r="A313" i="3"/>
  <c r="F312" i="3"/>
  <c r="E312" i="3"/>
  <c r="D312" i="3"/>
  <c r="C312" i="3"/>
  <c r="A312" i="3"/>
  <c r="F311" i="3"/>
  <c r="E311" i="3"/>
  <c r="D311" i="3"/>
  <c r="C311" i="3"/>
  <c r="A311" i="3"/>
  <c r="F310" i="3"/>
  <c r="E310" i="3"/>
  <c r="D310" i="3"/>
  <c r="C310" i="3"/>
  <c r="A310" i="3"/>
  <c r="F309" i="3"/>
  <c r="E309" i="3"/>
  <c r="D309" i="3"/>
  <c r="C309" i="3"/>
  <c r="A309" i="3"/>
  <c r="F308" i="3"/>
  <c r="E308" i="3"/>
  <c r="D308" i="3"/>
  <c r="C308" i="3"/>
  <c r="A308" i="3"/>
  <c r="F307" i="3"/>
  <c r="E307" i="3"/>
  <c r="D307" i="3"/>
  <c r="C307" i="3"/>
  <c r="A307" i="3"/>
  <c r="F306" i="3"/>
  <c r="E306" i="3"/>
  <c r="D306" i="3"/>
  <c r="C306" i="3"/>
  <c r="A306" i="3"/>
  <c r="F305" i="3"/>
  <c r="E305" i="3"/>
  <c r="D305" i="3"/>
  <c r="C305" i="3"/>
  <c r="A305" i="3"/>
  <c r="F304" i="3"/>
  <c r="E304" i="3"/>
  <c r="D304" i="3"/>
  <c r="C304" i="3"/>
  <c r="A304" i="3"/>
  <c r="F303" i="3"/>
  <c r="E303" i="3"/>
  <c r="D303" i="3"/>
  <c r="C303" i="3"/>
  <c r="A303" i="3"/>
  <c r="F302" i="3"/>
  <c r="E302" i="3"/>
  <c r="D302" i="3"/>
  <c r="C302" i="3"/>
  <c r="A302" i="3"/>
  <c r="F301" i="3"/>
  <c r="E301" i="3"/>
  <c r="D301" i="3"/>
  <c r="C301" i="3"/>
  <c r="A301" i="3"/>
  <c r="F300" i="3"/>
  <c r="E300" i="3"/>
  <c r="D300" i="3"/>
  <c r="C300" i="3"/>
  <c r="A300" i="3"/>
  <c r="F299" i="3"/>
  <c r="E299" i="3"/>
  <c r="D299" i="3"/>
  <c r="C299" i="3"/>
  <c r="A299" i="3"/>
  <c r="F298" i="3"/>
  <c r="E298" i="3"/>
  <c r="D298" i="3"/>
  <c r="C298" i="3"/>
  <c r="A298" i="3"/>
  <c r="F297" i="3"/>
  <c r="E297" i="3"/>
  <c r="D297" i="3"/>
  <c r="C297" i="3"/>
  <c r="A297" i="3"/>
  <c r="F296" i="3"/>
  <c r="E296" i="3"/>
  <c r="D296" i="3"/>
  <c r="C296" i="3"/>
  <c r="A296" i="3"/>
  <c r="F295" i="3"/>
  <c r="E295" i="3"/>
  <c r="D295" i="3"/>
  <c r="C295" i="3"/>
  <c r="A295" i="3"/>
  <c r="F294" i="3"/>
  <c r="E294" i="3"/>
  <c r="D294" i="3"/>
  <c r="C294" i="3"/>
  <c r="A294" i="3"/>
  <c r="F293" i="3"/>
  <c r="E293" i="3"/>
  <c r="D293" i="3"/>
  <c r="C293" i="3"/>
  <c r="A293" i="3"/>
  <c r="F292" i="3"/>
  <c r="E292" i="3"/>
  <c r="D292" i="3"/>
  <c r="C292" i="3"/>
  <c r="A292" i="3"/>
  <c r="F291" i="3"/>
  <c r="E291" i="3"/>
  <c r="D291" i="3"/>
  <c r="C291" i="3"/>
  <c r="A291" i="3"/>
  <c r="F290" i="3"/>
  <c r="E290" i="3"/>
  <c r="D290" i="3"/>
  <c r="C290" i="3"/>
  <c r="A290" i="3"/>
  <c r="F289" i="3"/>
  <c r="E289" i="3"/>
  <c r="D289" i="3"/>
  <c r="C289" i="3"/>
  <c r="A289" i="3"/>
  <c r="F288" i="3"/>
  <c r="E288" i="3"/>
  <c r="D288" i="3"/>
  <c r="C288" i="3"/>
  <c r="A288" i="3"/>
  <c r="F287" i="3"/>
  <c r="E287" i="3"/>
  <c r="D287" i="3"/>
  <c r="C287" i="3"/>
  <c r="A287" i="3"/>
  <c r="F286" i="3"/>
  <c r="E286" i="3"/>
  <c r="D286" i="3"/>
  <c r="C286" i="3"/>
  <c r="A286" i="3"/>
  <c r="F285" i="3"/>
  <c r="E285" i="3"/>
  <c r="D285" i="3"/>
  <c r="C285" i="3"/>
  <c r="A285" i="3"/>
  <c r="F284" i="3"/>
  <c r="E284" i="3"/>
  <c r="D284" i="3"/>
  <c r="C284" i="3"/>
  <c r="A284" i="3"/>
  <c r="F283" i="3"/>
  <c r="E283" i="3"/>
  <c r="D283" i="3"/>
  <c r="C283" i="3"/>
  <c r="A283" i="3"/>
  <c r="F282" i="3"/>
  <c r="E282" i="3"/>
  <c r="D282" i="3"/>
  <c r="C282" i="3"/>
  <c r="A282" i="3"/>
  <c r="F281" i="3"/>
  <c r="E281" i="3"/>
  <c r="D281" i="3"/>
  <c r="C281" i="3"/>
  <c r="A281" i="3"/>
  <c r="F280" i="3"/>
  <c r="E280" i="3"/>
  <c r="D280" i="3"/>
  <c r="C280" i="3"/>
  <c r="A280" i="3"/>
  <c r="F279" i="3"/>
  <c r="E279" i="3"/>
  <c r="D279" i="3"/>
  <c r="C279" i="3"/>
  <c r="A279" i="3"/>
  <c r="F278" i="3"/>
  <c r="E278" i="3"/>
  <c r="D278" i="3"/>
  <c r="C278" i="3"/>
  <c r="A278" i="3"/>
  <c r="F277" i="3"/>
  <c r="E277" i="3"/>
  <c r="D277" i="3"/>
  <c r="C277" i="3"/>
  <c r="A277" i="3"/>
  <c r="F276" i="3"/>
  <c r="E276" i="3"/>
  <c r="D276" i="3"/>
  <c r="C276" i="3"/>
  <c r="A276" i="3"/>
  <c r="F275" i="3"/>
  <c r="E275" i="3"/>
  <c r="D275" i="3"/>
  <c r="C275" i="3"/>
  <c r="A275" i="3"/>
  <c r="F274" i="3"/>
  <c r="E274" i="3"/>
  <c r="D274" i="3"/>
  <c r="C274" i="3"/>
  <c r="A274" i="3"/>
  <c r="F273" i="3"/>
  <c r="E273" i="3"/>
  <c r="D273" i="3"/>
  <c r="C273" i="3"/>
  <c r="A273" i="3"/>
  <c r="F272" i="3"/>
  <c r="E272" i="3"/>
  <c r="D272" i="3"/>
  <c r="C272" i="3"/>
  <c r="A272" i="3"/>
  <c r="F271" i="3"/>
  <c r="E271" i="3"/>
  <c r="D271" i="3"/>
  <c r="C271" i="3"/>
  <c r="A271" i="3"/>
  <c r="F270" i="3"/>
  <c r="E270" i="3"/>
  <c r="D270" i="3"/>
  <c r="C270" i="3"/>
  <c r="A270" i="3"/>
  <c r="F269" i="3"/>
  <c r="E269" i="3"/>
  <c r="D269" i="3"/>
  <c r="C269" i="3"/>
  <c r="A269" i="3"/>
  <c r="F268" i="3"/>
  <c r="E268" i="3"/>
  <c r="D268" i="3"/>
  <c r="C268" i="3"/>
  <c r="A268" i="3"/>
  <c r="F267" i="3"/>
  <c r="E267" i="3"/>
  <c r="D267" i="3"/>
  <c r="C267" i="3"/>
  <c r="A267" i="3"/>
  <c r="F266" i="3"/>
  <c r="E266" i="3"/>
  <c r="D266" i="3"/>
  <c r="C266" i="3"/>
  <c r="A266" i="3"/>
  <c r="F265" i="3"/>
  <c r="E265" i="3"/>
  <c r="D265" i="3"/>
  <c r="C265" i="3"/>
  <c r="A265" i="3"/>
  <c r="F264" i="3"/>
  <c r="E264" i="3"/>
  <c r="D264" i="3"/>
  <c r="C264" i="3"/>
  <c r="A264" i="3"/>
  <c r="F263" i="3"/>
  <c r="E263" i="3"/>
  <c r="D263" i="3"/>
  <c r="C263" i="3"/>
  <c r="A263" i="3"/>
  <c r="F262" i="3"/>
  <c r="E262" i="3"/>
  <c r="D262" i="3"/>
  <c r="C262" i="3"/>
  <c r="A262" i="3"/>
  <c r="F261" i="3"/>
  <c r="E261" i="3"/>
  <c r="D261" i="3"/>
  <c r="C261" i="3"/>
  <c r="A261" i="3"/>
  <c r="F260" i="3"/>
  <c r="E260" i="3"/>
  <c r="D260" i="3"/>
  <c r="C260" i="3"/>
  <c r="A260" i="3"/>
  <c r="F259" i="3"/>
  <c r="E259" i="3"/>
  <c r="D259" i="3"/>
  <c r="C259" i="3"/>
  <c r="A259" i="3"/>
  <c r="F258" i="3"/>
  <c r="E258" i="3"/>
  <c r="D258" i="3"/>
  <c r="C258" i="3"/>
  <c r="A258" i="3"/>
  <c r="F257" i="3"/>
  <c r="E257" i="3"/>
  <c r="D257" i="3"/>
  <c r="C257" i="3"/>
  <c r="A257" i="3"/>
  <c r="F256" i="3"/>
  <c r="E256" i="3"/>
  <c r="D256" i="3"/>
  <c r="C256" i="3"/>
  <c r="A256" i="3"/>
  <c r="F254" i="3"/>
  <c r="E254" i="3"/>
  <c r="D254" i="3"/>
  <c r="C254" i="3"/>
  <c r="A254" i="3"/>
  <c r="F253" i="3"/>
  <c r="E253" i="3"/>
  <c r="D253" i="3"/>
  <c r="C253" i="3"/>
  <c r="A253" i="3"/>
  <c r="F252" i="3"/>
  <c r="E252" i="3"/>
  <c r="D252" i="3"/>
  <c r="C252" i="3"/>
  <c r="A252" i="3"/>
  <c r="F251" i="3"/>
  <c r="E251" i="3"/>
  <c r="D251" i="3"/>
  <c r="C251" i="3"/>
  <c r="A251" i="3"/>
  <c r="F250" i="3"/>
  <c r="E250" i="3"/>
  <c r="D250" i="3"/>
  <c r="C250" i="3"/>
  <c r="A250" i="3"/>
  <c r="F249" i="3"/>
  <c r="E249" i="3"/>
  <c r="D249" i="3"/>
  <c r="C249" i="3"/>
  <c r="A249" i="3"/>
  <c r="F247" i="3"/>
  <c r="E247" i="3"/>
  <c r="D247" i="3"/>
  <c r="C247" i="3"/>
  <c r="A247" i="3"/>
  <c r="F245" i="3"/>
  <c r="E245" i="3"/>
  <c r="D245" i="3"/>
  <c r="C245" i="3"/>
  <c r="A245" i="3"/>
  <c r="F244" i="3"/>
  <c r="E244" i="3"/>
  <c r="D244" i="3"/>
  <c r="C244" i="3"/>
  <c r="A244" i="3"/>
  <c r="F243" i="3"/>
  <c r="E243" i="3"/>
  <c r="D243" i="3"/>
  <c r="C243" i="3"/>
  <c r="A243" i="3"/>
  <c r="F242" i="3"/>
  <c r="E242" i="3"/>
  <c r="D242" i="3"/>
  <c r="C242" i="3"/>
  <c r="A242" i="3"/>
  <c r="F241" i="3"/>
  <c r="E241" i="3"/>
  <c r="D241" i="3"/>
  <c r="C241" i="3"/>
  <c r="A241" i="3"/>
  <c r="F240" i="3"/>
  <c r="E240" i="3"/>
  <c r="D240" i="3"/>
  <c r="C240" i="3"/>
  <c r="A240" i="3"/>
  <c r="F239" i="3"/>
  <c r="E239" i="3"/>
  <c r="D239" i="3"/>
  <c r="C239" i="3"/>
  <c r="A239" i="3"/>
  <c r="F238" i="3"/>
  <c r="E238" i="3"/>
  <c r="D238" i="3"/>
  <c r="C238" i="3"/>
  <c r="A238" i="3"/>
  <c r="F237" i="3"/>
  <c r="E237" i="3"/>
  <c r="D237" i="3"/>
  <c r="C237" i="3"/>
  <c r="A237" i="3"/>
  <c r="F236" i="3"/>
  <c r="E236" i="3"/>
  <c r="D236" i="3"/>
  <c r="C236" i="3"/>
  <c r="A236" i="3"/>
  <c r="F235" i="3"/>
  <c r="E235" i="3"/>
  <c r="D235" i="3"/>
  <c r="C235" i="3"/>
  <c r="A235" i="3"/>
  <c r="F234" i="3"/>
  <c r="E234" i="3"/>
  <c r="D234" i="3"/>
  <c r="C234" i="3"/>
  <c r="A234" i="3"/>
  <c r="F233" i="3"/>
  <c r="E233" i="3"/>
  <c r="D233" i="3"/>
  <c r="C233" i="3"/>
  <c r="A233" i="3"/>
  <c r="F232" i="3"/>
  <c r="E232" i="3"/>
  <c r="D232" i="3"/>
  <c r="C232" i="3"/>
  <c r="A232" i="3"/>
  <c r="F231" i="3"/>
  <c r="E231" i="3"/>
  <c r="D231" i="3"/>
  <c r="C231" i="3"/>
  <c r="A231" i="3"/>
  <c r="F230" i="3"/>
  <c r="E230" i="3"/>
  <c r="D230" i="3"/>
  <c r="C230" i="3"/>
  <c r="A230" i="3"/>
  <c r="F229" i="3"/>
  <c r="E229" i="3"/>
  <c r="D229" i="3"/>
  <c r="C229" i="3"/>
  <c r="A229" i="3"/>
  <c r="F228" i="3"/>
  <c r="E228" i="3"/>
  <c r="D228" i="3"/>
  <c r="C228" i="3"/>
  <c r="A228" i="3"/>
  <c r="F227" i="3"/>
  <c r="E227" i="3"/>
  <c r="D227" i="3"/>
  <c r="C227" i="3"/>
  <c r="A227" i="3"/>
  <c r="F226" i="3"/>
  <c r="E226" i="3"/>
  <c r="D226" i="3"/>
  <c r="C226" i="3"/>
  <c r="A226" i="3"/>
  <c r="F221" i="3"/>
  <c r="E221" i="3"/>
  <c r="D221" i="3"/>
  <c r="C221" i="3"/>
  <c r="A221" i="3"/>
  <c r="F220" i="3"/>
  <c r="E220" i="3"/>
  <c r="D220" i="3"/>
  <c r="C220" i="3"/>
  <c r="A220" i="3"/>
  <c r="F219" i="3"/>
  <c r="E219" i="3"/>
  <c r="D219" i="3"/>
  <c r="C219" i="3"/>
  <c r="A219" i="3"/>
  <c r="F218" i="3"/>
  <c r="E218" i="3"/>
  <c r="D218" i="3"/>
  <c r="C218" i="3"/>
  <c r="A218" i="3"/>
  <c r="F217" i="3"/>
  <c r="E217" i="3"/>
  <c r="D217" i="3"/>
  <c r="C217" i="3"/>
  <c r="A217" i="3"/>
  <c r="F216" i="3"/>
  <c r="E216" i="3"/>
  <c r="D216" i="3"/>
  <c r="C216" i="3"/>
  <c r="A216" i="3"/>
  <c r="F215" i="3"/>
  <c r="E215" i="3"/>
  <c r="D215" i="3"/>
  <c r="C215" i="3"/>
  <c r="A215" i="3"/>
  <c r="F214" i="3"/>
  <c r="E214" i="3"/>
  <c r="D214" i="3"/>
  <c r="C214" i="3"/>
  <c r="A214" i="3"/>
  <c r="F213" i="3"/>
  <c r="E213" i="3"/>
  <c r="D213" i="3"/>
  <c r="C213" i="3"/>
  <c r="A213" i="3"/>
  <c r="F212" i="3"/>
  <c r="E212" i="3"/>
  <c r="D212" i="3"/>
  <c r="C212" i="3"/>
  <c r="A212" i="3"/>
  <c r="F211" i="3"/>
  <c r="E211" i="3"/>
  <c r="D211" i="3"/>
  <c r="C211" i="3"/>
  <c r="A211" i="3"/>
  <c r="F210" i="3"/>
  <c r="E210" i="3"/>
  <c r="D210" i="3"/>
  <c r="C210" i="3"/>
  <c r="A210" i="3"/>
  <c r="F209" i="3"/>
  <c r="E209" i="3"/>
  <c r="D209" i="3"/>
  <c r="C209" i="3"/>
  <c r="A209" i="3"/>
  <c r="F208" i="3"/>
  <c r="E208" i="3"/>
  <c r="D208" i="3"/>
  <c r="C208" i="3"/>
  <c r="A208" i="3"/>
  <c r="F207" i="3"/>
  <c r="E207" i="3"/>
  <c r="D207" i="3"/>
  <c r="C207" i="3"/>
  <c r="A207" i="3"/>
  <c r="F206" i="3"/>
  <c r="E206" i="3"/>
  <c r="D206" i="3"/>
  <c r="C206" i="3"/>
  <c r="A206" i="3"/>
  <c r="F205" i="3"/>
  <c r="E205" i="3"/>
  <c r="D205" i="3"/>
  <c r="C205" i="3"/>
  <c r="A205" i="3"/>
  <c r="F204" i="3"/>
  <c r="E204" i="3"/>
  <c r="D204" i="3"/>
  <c r="C204" i="3"/>
  <c r="A204" i="3"/>
  <c r="F203" i="3"/>
  <c r="E203" i="3"/>
  <c r="D203" i="3"/>
  <c r="C203" i="3"/>
  <c r="A203" i="3"/>
  <c r="F202" i="3"/>
  <c r="E202" i="3"/>
  <c r="D202" i="3"/>
  <c r="C202" i="3"/>
  <c r="A202" i="3"/>
  <c r="F201" i="3"/>
  <c r="E201" i="3"/>
  <c r="D201" i="3"/>
  <c r="C201" i="3"/>
  <c r="A201" i="3"/>
  <c r="F200" i="3"/>
  <c r="E200" i="3"/>
  <c r="D200" i="3"/>
  <c r="C200" i="3"/>
  <c r="A200" i="3"/>
  <c r="F199" i="3"/>
  <c r="E199" i="3"/>
  <c r="D199" i="3"/>
  <c r="C199" i="3"/>
  <c r="A199" i="3"/>
  <c r="F197" i="3"/>
  <c r="E197" i="3"/>
  <c r="D197" i="3"/>
  <c r="C197" i="3"/>
  <c r="A197" i="3"/>
  <c r="F196" i="3"/>
  <c r="E196" i="3"/>
  <c r="D196" i="3"/>
  <c r="C196" i="3"/>
  <c r="A196" i="3"/>
  <c r="F195" i="3"/>
  <c r="E195" i="3"/>
  <c r="D195" i="3"/>
  <c r="C195" i="3"/>
  <c r="A195" i="3"/>
  <c r="F194" i="3"/>
  <c r="E194" i="3"/>
  <c r="D194" i="3"/>
  <c r="C194" i="3"/>
  <c r="A194" i="3"/>
  <c r="F193" i="3"/>
  <c r="E193" i="3"/>
  <c r="D193" i="3"/>
  <c r="C193" i="3"/>
  <c r="A193" i="3"/>
  <c r="F192" i="3"/>
  <c r="E192" i="3"/>
  <c r="D192" i="3"/>
  <c r="C192" i="3"/>
  <c r="A192" i="3"/>
  <c r="F191" i="3"/>
  <c r="E191" i="3"/>
  <c r="D191" i="3"/>
  <c r="C191" i="3"/>
  <c r="A191" i="3"/>
  <c r="F190" i="3"/>
  <c r="E190" i="3"/>
  <c r="D190" i="3"/>
  <c r="C190" i="3"/>
  <c r="A190" i="3"/>
  <c r="F189" i="3"/>
  <c r="E189" i="3"/>
  <c r="D189" i="3"/>
  <c r="C189" i="3"/>
  <c r="A189" i="3"/>
  <c r="F188" i="3"/>
  <c r="E188" i="3"/>
  <c r="D188" i="3"/>
  <c r="C188" i="3"/>
  <c r="A188" i="3"/>
  <c r="F187" i="3"/>
  <c r="E187" i="3"/>
  <c r="D187" i="3"/>
  <c r="C187" i="3"/>
  <c r="A187" i="3"/>
  <c r="F186" i="3"/>
  <c r="E186" i="3"/>
  <c r="D186" i="3"/>
  <c r="C186" i="3"/>
  <c r="A186" i="3"/>
  <c r="F185" i="3"/>
  <c r="E185" i="3"/>
  <c r="D185" i="3"/>
  <c r="C185" i="3"/>
  <c r="A185" i="3"/>
  <c r="F184" i="3"/>
  <c r="E184" i="3"/>
  <c r="D184" i="3"/>
  <c r="C184" i="3"/>
  <c r="A184" i="3"/>
  <c r="F183" i="3"/>
  <c r="E183" i="3"/>
  <c r="D183" i="3"/>
  <c r="C183" i="3"/>
  <c r="A183" i="3"/>
  <c r="F182" i="3"/>
  <c r="E182" i="3"/>
  <c r="D182" i="3"/>
  <c r="C182" i="3"/>
  <c r="A182" i="3"/>
  <c r="F181" i="3"/>
  <c r="E181" i="3"/>
  <c r="D181" i="3"/>
  <c r="C181" i="3"/>
  <c r="A181" i="3"/>
  <c r="F180" i="3"/>
  <c r="E180" i="3"/>
  <c r="D180" i="3"/>
  <c r="C180" i="3"/>
  <c r="A180" i="3"/>
  <c r="F179" i="3"/>
  <c r="E179" i="3"/>
  <c r="D179" i="3"/>
  <c r="C179" i="3"/>
  <c r="A179" i="3"/>
  <c r="F178" i="3"/>
  <c r="E178" i="3"/>
  <c r="D178" i="3"/>
  <c r="C178" i="3"/>
  <c r="A178" i="3"/>
  <c r="F177" i="3"/>
  <c r="E177" i="3"/>
  <c r="D177" i="3"/>
  <c r="C177" i="3"/>
  <c r="A177" i="3"/>
  <c r="F176" i="3"/>
  <c r="E176" i="3"/>
  <c r="D176" i="3"/>
  <c r="C176" i="3"/>
  <c r="A176" i="3"/>
  <c r="F175" i="3"/>
  <c r="E175" i="3"/>
  <c r="D175" i="3"/>
  <c r="C175" i="3"/>
  <c r="A175" i="3"/>
  <c r="F174" i="3"/>
  <c r="E174" i="3"/>
  <c r="D174" i="3"/>
  <c r="C174" i="3"/>
  <c r="A174" i="3"/>
  <c r="F173" i="3"/>
  <c r="E173" i="3"/>
  <c r="D173" i="3"/>
  <c r="C173" i="3"/>
  <c r="A173" i="3"/>
  <c r="F172" i="3"/>
  <c r="E172" i="3"/>
  <c r="D172" i="3"/>
  <c r="C172" i="3"/>
  <c r="A172" i="3"/>
  <c r="F171" i="3"/>
  <c r="E171" i="3"/>
  <c r="D171" i="3"/>
  <c r="C171" i="3"/>
  <c r="A171" i="3"/>
  <c r="F170" i="3"/>
  <c r="E170" i="3"/>
  <c r="D170" i="3"/>
  <c r="C170" i="3"/>
  <c r="A170" i="3"/>
  <c r="F169" i="3"/>
  <c r="E169" i="3"/>
  <c r="D169" i="3"/>
  <c r="C169" i="3"/>
  <c r="A169" i="3"/>
  <c r="F168" i="3"/>
  <c r="E168" i="3"/>
  <c r="D168" i="3"/>
  <c r="C168" i="3"/>
  <c r="A168" i="3"/>
  <c r="F167" i="3"/>
  <c r="E167" i="3"/>
  <c r="D167" i="3"/>
  <c r="C167" i="3"/>
  <c r="A167" i="3"/>
  <c r="F166" i="3"/>
  <c r="E166" i="3"/>
  <c r="D166" i="3"/>
  <c r="C166" i="3"/>
  <c r="A166" i="3"/>
  <c r="F165" i="3"/>
  <c r="E165" i="3"/>
  <c r="D165" i="3"/>
  <c r="C165" i="3"/>
  <c r="A165" i="3"/>
  <c r="F164" i="3"/>
  <c r="E164" i="3"/>
  <c r="D164" i="3"/>
  <c r="C164" i="3"/>
  <c r="A164" i="3"/>
  <c r="F163" i="3"/>
  <c r="E163" i="3"/>
  <c r="D163" i="3"/>
  <c r="C163" i="3"/>
  <c r="A163" i="3"/>
  <c r="F162" i="3"/>
  <c r="E162" i="3"/>
  <c r="D162" i="3"/>
  <c r="C162" i="3"/>
  <c r="A162" i="3"/>
  <c r="F161" i="3"/>
  <c r="E161" i="3"/>
  <c r="D161" i="3"/>
  <c r="C161" i="3"/>
  <c r="A161" i="3"/>
  <c r="F160" i="3"/>
  <c r="E160" i="3"/>
  <c r="D160" i="3"/>
  <c r="C160" i="3"/>
  <c r="A160" i="3"/>
  <c r="F159" i="3"/>
  <c r="E159" i="3"/>
  <c r="D159" i="3"/>
  <c r="C159" i="3"/>
  <c r="A159" i="3"/>
  <c r="F158" i="3"/>
  <c r="E158" i="3"/>
  <c r="D158" i="3"/>
  <c r="C158" i="3"/>
  <c r="A158" i="3"/>
  <c r="F157" i="3"/>
  <c r="E157" i="3"/>
  <c r="D157" i="3"/>
  <c r="C157" i="3"/>
  <c r="A157" i="3"/>
  <c r="F156" i="3"/>
  <c r="E156" i="3"/>
  <c r="D156" i="3"/>
  <c r="C156" i="3"/>
  <c r="A156" i="3"/>
  <c r="F155" i="3"/>
  <c r="E155" i="3"/>
  <c r="D155" i="3"/>
  <c r="C155" i="3"/>
  <c r="A155" i="3"/>
  <c r="F154" i="3"/>
  <c r="E154" i="3"/>
  <c r="D154" i="3"/>
  <c r="C154" i="3"/>
  <c r="A154" i="3"/>
  <c r="F153" i="3"/>
  <c r="E153" i="3"/>
  <c r="D153" i="3"/>
  <c r="C153" i="3"/>
  <c r="A153" i="3"/>
  <c r="F152" i="3"/>
  <c r="E152" i="3"/>
  <c r="D152" i="3"/>
  <c r="C152" i="3"/>
  <c r="A152" i="3"/>
  <c r="F151" i="3"/>
  <c r="E151" i="3"/>
  <c r="D151" i="3"/>
  <c r="C151" i="3"/>
  <c r="A151" i="3"/>
  <c r="F150" i="3"/>
  <c r="E150" i="3"/>
  <c r="D150" i="3"/>
  <c r="C150" i="3"/>
  <c r="A150" i="3"/>
  <c r="F149" i="3"/>
  <c r="E149" i="3"/>
  <c r="D149" i="3"/>
  <c r="C149" i="3"/>
  <c r="A149" i="3"/>
  <c r="F148" i="3"/>
  <c r="E148" i="3"/>
  <c r="D148" i="3"/>
  <c r="C148" i="3"/>
  <c r="A148" i="3"/>
  <c r="F147" i="3"/>
  <c r="E147" i="3"/>
  <c r="D147" i="3"/>
  <c r="C147" i="3"/>
  <c r="A147" i="3"/>
  <c r="F146" i="3"/>
  <c r="E146" i="3"/>
  <c r="D146" i="3"/>
  <c r="C146" i="3"/>
  <c r="A146" i="3"/>
  <c r="F145" i="3"/>
  <c r="E145" i="3"/>
  <c r="D145" i="3"/>
  <c r="C145" i="3"/>
  <c r="A145" i="3"/>
  <c r="F144" i="3"/>
  <c r="E144" i="3"/>
  <c r="D144" i="3"/>
  <c r="C144" i="3"/>
  <c r="A144" i="3"/>
  <c r="F143" i="3"/>
  <c r="E143" i="3"/>
  <c r="D143" i="3"/>
  <c r="C143" i="3"/>
  <c r="A143" i="3"/>
  <c r="F142" i="3"/>
  <c r="E142" i="3"/>
  <c r="D142" i="3"/>
  <c r="C142" i="3"/>
  <c r="A142" i="3"/>
  <c r="F141" i="3"/>
  <c r="E141" i="3"/>
  <c r="D141" i="3"/>
  <c r="C141" i="3"/>
  <c r="A141" i="3"/>
  <c r="F140" i="3"/>
  <c r="E140" i="3"/>
  <c r="D140" i="3"/>
  <c r="C140" i="3"/>
  <c r="A140" i="3"/>
  <c r="F139" i="3"/>
  <c r="E139" i="3"/>
  <c r="D139" i="3"/>
  <c r="C139" i="3"/>
  <c r="A139" i="3"/>
  <c r="F138" i="3"/>
  <c r="E138" i="3"/>
  <c r="D138" i="3"/>
  <c r="C138" i="3"/>
  <c r="A138" i="3"/>
  <c r="F137" i="3"/>
  <c r="E137" i="3"/>
  <c r="D137" i="3"/>
  <c r="C137" i="3"/>
  <c r="A137" i="3"/>
  <c r="F136" i="3"/>
  <c r="E136" i="3"/>
  <c r="D136" i="3"/>
  <c r="C136" i="3"/>
  <c r="A136" i="3"/>
  <c r="F135" i="3"/>
  <c r="E135" i="3"/>
  <c r="D135" i="3"/>
  <c r="C135" i="3"/>
  <c r="A135" i="3"/>
  <c r="F134" i="3"/>
  <c r="E134" i="3"/>
  <c r="D134" i="3"/>
  <c r="C134" i="3"/>
  <c r="A134" i="3"/>
  <c r="F133" i="3"/>
  <c r="E133" i="3"/>
  <c r="D133" i="3"/>
  <c r="C133" i="3"/>
  <c r="A133" i="3"/>
  <c r="F132" i="3"/>
  <c r="E132" i="3"/>
  <c r="D132" i="3"/>
  <c r="C132" i="3"/>
  <c r="A132" i="3"/>
  <c r="F131" i="3"/>
  <c r="E131" i="3"/>
  <c r="D131" i="3"/>
  <c r="C131" i="3"/>
  <c r="A131" i="3"/>
  <c r="F130" i="3"/>
  <c r="E130" i="3"/>
  <c r="D130" i="3"/>
  <c r="C130" i="3"/>
  <c r="A130" i="3"/>
  <c r="F129" i="3"/>
  <c r="E129" i="3"/>
  <c r="D129" i="3"/>
  <c r="C129" i="3"/>
  <c r="A129" i="3"/>
  <c r="F128" i="3"/>
  <c r="E128" i="3"/>
  <c r="D128" i="3"/>
  <c r="C128" i="3"/>
  <c r="A128" i="3"/>
  <c r="F127" i="3"/>
  <c r="E127" i="3"/>
  <c r="D127" i="3"/>
  <c r="C127" i="3"/>
  <c r="A127" i="3"/>
  <c r="F126" i="3"/>
  <c r="E126" i="3"/>
  <c r="D126" i="3"/>
  <c r="C126" i="3"/>
  <c r="A126" i="3"/>
  <c r="F125" i="3"/>
  <c r="E125" i="3"/>
  <c r="D125" i="3"/>
  <c r="C125" i="3"/>
  <c r="A125" i="3"/>
  <c r="F124" i="3"/>
  <c r="E124" i="3"/>
  <c r="D124" i="3"/>
  <c r="C124" i="3"/>
  <c r="A124" i="3"/>
  <c r="F123" i="3"/>
  <c r="E123" i="3"/>
  <c r="D123" i="3"/>
  <c r="C123" i="3"/>
  <c r="A123" i="3"/>
  <c r="F122" i="3"/>
  <c r="E122" i="3"/>
  <c r="D122" i="3"/>
  <c r="C122" i="3"/>
  <c r="A122" i="3"/>
  <c r="F121" i="3"/>
  <c r="E121" i="3"/>
  <c r="D121" i="3"/>
  <c r="C121" i="3"/>
  <c r="A121" i="3"/>
  <c r="F120" i="3"/>
  <c r="E120" i="3"/>
  <c r="D120" i="3"/>
  <c r="C120" i="3"/>
  <c r="A120" i="3"/>
  <c r="F119" i="3"/>
  <c r="E119" i="3"/>
  <c r="D119" i="3"/>
  <c r="C119" i="3"/>
  <c r="A119" i="3"/>
  <c r="F118" i="3"/>
  <c r="E118" i="3"/>
  <c r="D118" i="3"/>
  <c r="C118" i="3"/>
  <c r="A118" i="3"/>
  <c r="F117" i="3"/>
  <c r="E117" i="3"/>
  <c r="D117" i="3"/>
  <c r="C117" i="3"/>
  <c r="A117" i="3"/>
  <c r="F116" i="3"/>
  <c r="E116" i="3"/>
  <c r="D116" i="3"/>
  <c r="C116" i="3"/>
  <c r="A116" i="3"/>
  <c r="F115" i="3"/>
  <c r="E115" i="3"/>
  <c r="D115" i="3"/>
  <c r="C115" i="3"/>
  <c r="A115" i="3"/>
  <c r="F114" i="3"/>
  <c r="E114" i="3"/>
  <c r="D114" i="3"/>
  <c r="C114" i="3"/>
  <c r="A114" i="3"/>
  <c r="F113" i="3"/>
  <c r="E113" i="3"/>
  <c r="D113" i="3"/>
  <c r="C113" i="3"/>
  <c r="A113" i="3"/>
  <c r="F112" i="3"/>
  <c r="E112" i="3"/>
  <c r="D112" i="3"/>
  <c r="C112" i="3"/>
  <c r="A112" i="3"/>
  <c r="F111" i="3"/>
  <c r="E111" i="3"/>
  <c r="D111" i="3"/>
  <c r="C111" i="3"/>
  <c r="A111" i="3"/>
  <c r="F110" i="3"/>
  <c r="E110" i="3"/>
  <c r="D110" i="3"/>
  <c r="C110" i="3"/>
  <c r="A110" i="3"/>
  <c r="F109" i="3"/>
  <c r="E109" i="3"/>
  <c r="D109" i="3"/>
  <c r="C109" i="3"/>
  <c r="A109" i="3"/>
  <c r="F108" i="3"/>
  <c r="E108" i="3"/>
  <c r="D108" i="3"/>
  <c r="C108" i="3"/>
  <c r="A108" i="3"/>
  <c r="F107" i="3"/>
  <c r="E107" i="3"/>
  <c r="D107" i="3"/>
  <c r="C107" i="3"/>
  <c r="A107" i="3"/>
  <c r="F106" i="3"/>
  <c r="E106" i="3"/>
  <c r="D106" i="3"/>
  <c r="C106" i="3"/>
  <c r="A106" i="3"/>
  <c r="F105" i="3"/>
  <c r="E105" i="3"/>
  <c r="D105" i="3"/>
  <c r="C105" i="3"/>
  <c r="A105" i="3"/>
  <c r="F104" i="3"/>
  <c r="E104" i="3"/>
  <c r="D104" i="3"/>
  <c r="C104" i="3"/>
  <c r="A104" i="3"/>
  <c r="F103" i="3"/>
  <c r="E103" i="3"/>
  <c r="D103" i="3"/>
  <c r="C103" i="3"/>
  <c r="A103" i="3"/>
  <c r="F102" i="3"/>
  <c r="E102" i="3"/>
  <c r="D102" i="3"/>
  <c r="C102" i="3"/>
  <c r="A102" i="3"/>
  <c r="F101" i="3"/>
  <c r="E101" i="3"/>
  <c r="D101" i="3"/>
  <c r="C101" i="3"/>
  <c r="A101" i="3"/>
  <c r="F100" i="3"/>
  <c r="E100" i="3"/>
  <c r="D100" i="3"/>
  <c r="C100" i="3"/>
  <c r="A100" i="3"/>
  <c r="F98" i="3"/>
  <c r="E98" i="3"/>
  <c r="D98" i="3"/>
  <c r="C98" i="3"/>
  <c r="A98" i="3"/>
  <c r="F97" i="3"/>
  <c r="E97" i="3"/>
  <c r="D97" i="3"/>
  <c r="C97" i="3"/>
  <c r="A97" i="3"/>
  <c r="F96" i="3"/>
  <c r="E96" i="3"/>
  <c r="D96" i="3"/>
  <c r="C96" i="3"/>
  <c r="A96" i="3"/>
  <c r="F95" i="3"/>
  <c r="E95" i="3"/>
  <c r="D95" i="3"/>
  <c r="C95" i="3"/>
  <c r="A95" i="3"/>
  <c r="F94" i="3"/>
  <c r="E94" i="3"/>
  <c r="D94" i="3"/>
  <c r="C94" i="3"/>
  <c r="A94" i="3"/>
  <c r="F93" i="3"/>
  <c r="E93" i="3"/>
  <c r="D93" i="3"/>
  <c r="C93" i="3"/>
  <c r="A93" i="3"/>
  <c r="F92" i="3"/>
  <c r="E92" i="3"/>
  <c r="D92" i="3"/>
  <c r="C92" i="3"/>
  <c r="A92" i="3"/>
  <c r="F91" i="3"/>
  <c r="E91" i="3"/>
  <c r="D91" i="3"/>
  <c r="C91" i="3"/>
  <c r="A91" i="3"/>
  <c r="F90" i="3"/>
  <c r="E90" i="3"/>
  <c r="D90" i="3"/>
  <c r="C90" i="3"/>
  <c r="A90" i="3"/>
  <c r="F89" i="3"/>
  <c r="E89" i="3"/>
  <c r="D89" i="3"/>
  <c r="C89" i="3"/>
  <c r="A89" i="3"/>
  <c r="F88" i="3"/>
  <c r="E88" i="3"/>
  <c r="D88" i="3"/>
  <c r="C88" i="3"/>
  <c r="A88" i="3"/>
  <c r="F87" i="3"/>
  <c r="E87" i="3"/>
  <c r="D87" i="3"/>
  <c r="C87" i="3"/>
  <c r="A87" i="3"/>
  <c r="F86" i="3"/>
  <c r="E86" i="3"/>
  <c r="D86" i="3"/>
  <c r="C86" i="3"/>
  <c r="A86" i="3"/>
  <c r="F85" i="3"/>
  <c r="E85" i="3"/>
  <c r="D85" i="3"/>
  <c r="C85" i="3"/>
  <c r="A85" i="3"/>
  <c r="F84" i="3"/>
  <c r="E84" i="3"/>
  <c r="D84" i="3"/>
  <c r="C84" i="3"/>
  <c r="A84" i="3"/>
  <c r="F83" i="3"/>
  <c r="E83" i="3"/>
  <c r="D83" i="3"/>
  <c r="C83" i="3"/>
  <c r="A83" i="3"/>
  <c r="F82" i="3"/>
  <c r="E82" i="3"/>
  <c r="D82" i="3"/>
  <c r="C82" i="3"/>
  <c r="A82" i="3"/>
  <c r="F81" i="3"/>
  <c r="E81" i="3"/>
  <c r="D81" i="3"/>
  <c r="C81" i="3"/>
  <c r="A81" i="3"/>
  <c r="F80" i="3"/>
  <c r="E80" i="3"/>
  <c r="D80" i="3"/>
  <c r="C80" i="3"/>
  <c r="A80" i="3"/>
  <c r="F79" i="3"/>
  <c r="E79" i="3"/>
  <c r="D79" i="3"/>
  <c r="C79" i="3"/>
  <c r="A79" i="3"/>
  <c r="F78" i="3"/>
  <c r="E78" i="3"/>
  <c r="D78" i="3"/>
  <c r="C78" i="3"/>
  <c r="A78" i="3"/>
  <c r="F77" i="3"/>
  <c r="E77" i="3"/>
  <c r="D77" i="3"/>
  <c r="C77" i="3"/>
  <c r="A77" i="3"/>
  <c r="F76" i="3"/>
  <c r="E76" i="3"/>
  <c r="D76" i="3"/>
  <c r="C76" i="3"/>
  <c r="A76" i="3"/>
  <c r="F75" i="3"/>
  <c r="E75" i="3"/>
  <c r="D75" i="3"/>
  <c r="C75" i="3"/>
  <c r="A75" i="3"/>
  <c r="F74" i="3"/>
  <c r="E74" i="3"/>
  <c r="D74" i="3"/>
  <c r="C74" i="3"/>
  <c r="A74" i="3"/>
  <c r="F73" i="3"/>
  <c r="E73" i="3"/>
  <c r="D73" i="3"/>
  <c r="C73" i="3"/>
  <c r="A73" i="3"/>
  <c r="F72" i="3"/>
  <c r="E72" i="3"/>
  <c r="D72" i="3"/>
  <c r="C72" i="3"/>
  <c r="A72" i="3"/>
  <c r="F71" i="3"/>
  <c r="E71" i="3"/>
  <c r="D71" i="3"/>
  <c r="C71" i="3"/>
  <c r="A71" i="3"/>
  <c r="F70" i="3"/>
  <c r="E70" i="3"/>
  <c r="D70" i="3"/>
  <c r="C70" i="3"/>
  <c r="A70" i="3"/>
  <c r="F69" i="3"/>
  <c r="E69" i="3"/>
  <c r="D69" i="3"/>
  <c r="C69" i="3"/>
  <c r="A69" i="3"/>
  <c r="F68" i="3"/>
  <c r="E68" i="3"/>
  <c r="D68" i="3"/>
  <c r="C68" i="3"/>
  <c r="A68" i="3"/>
  <c r="F67" i="3"/>
  <c r="E67" i="3"/>
  <c r="D67" i="3"/>
  <c r="C67" i="3"/>
  <c r="A67" i="3"/>
  <c r="F66" i="3"/>
  <c r="E66" i="3"/>
  <c r="D66" i="3"/>
  <c r="C66" i="3"/>
  <c r="A66" i="3"/>
  <c r="F65" i="3"/>
  <c r="E65" i="3"/>
  <c r="D65" i="3"/>
  <c r="C65" i="3"/>
  <c r="A65" i="3"/>
  <c r="F64" i="3"/>
  <c r="E64" i="3"/>
  <c r="D64" i="3"/>
  <c r="C64" i="3"/>
  <c r="A64" i="3"/>
  <c r="F63" i="3"/>
  <c r="E63" i="3"/>
  <c r="D63" i="3"/>
  <c r="C63" i="3"/>
  <c r="A63" i="3"/>
  <c r="F62" i="3"/>
  <c r="E62" i="3"/>
  <c r="D62" i="3"/>
  <c r="C62" i="3"/>
  <c r="A62" i="3"/>
  <c r="F61" i="3"/>
  <c r="E61" i="3"/>
  <c r="D61" i="3"/>
  <c r="C61" i="3"/>
  <c r="A61" i="3"/>
  <c r="F60" i="3"/>
  <c r="E60" i="3"/>
  <c r="D60" i="3"/>
  <c r="C60" i="3"/>
  <c r="A60" i="3"/>
  <c r="F59" i="3"/>
  <c r="E59" i="3"/>
  <c r="D59" i="3"/>
  <c r="C59" i="3"/>
  <c r="A59" i="3"/>
  <c r="F58" i="3"/>
  <c r="E58" i="3"/>
  <c r="D58" i="3"/>
  <c r="C58" i="3"/>
  <c r="A58" i="3"/>
  <c r="F57" i="3"/>
  <c r="E57" i="3"/>
  <c r="D57" i="3"/>
  <c r="C57" i="3"/>
  <c r="A57" i="3"/>
  <c r="F56" i="3"/>
  <c r="E56" i="3"/>
  <c r="D56" i="3"/>
  <c r="C56" i="3"/>
  <c r="A56" i="3"/>
  <c r="F55" i="3"/>
  <c r="E55" i="3"/>
  <c r="D55" i="3"/>
  <c r="C55" i="3"/>
  <c r="A55" i="3"/>
  <c r="F54" i="3"/>
  <c r="E54" i="3"/>
  <c r="D54" i="3"/>
  <c r="C54" i="3"/>
  <c r="A54" i="3"/>
  <c r="F53" i="3"/>
  <c r="E53" i="3"/>
  <c r="D53" i="3"/>
  <c r="C53" i="3"/>
  <c r="A53" i="3"/>
  <c r="F52" i="3"/>
  <c r="E52" i="3"/>
  <c r="D52" i="3"/>
  <c r="C52" i="3"/>
  <c r="A52" i="3"/>
  <c r="F51" i="3"/>
  <c r="E51" i="3"/>
  <c r="D51" i="3"/>
  <c r="C51" i="3"/>
  <c r="A51" i="3"/>
  <c r="F50" i="3"/>
  <c r="E50" i="3"/>
  <c r="D50" i="3"/>
  <c r="C50" i="3"/>
  <c r="A50" i="3"/>
  <c r="F49" i="3"/>
  <c r="E49" i="3"/>
  <c r="D49" i="3"/>
  <c r="C49" i="3"/>
  <c r="A49" i="3"/>
  <c r="F48" i="3"/>
  <c r="E48" i="3"/>
  <c r="D48" i="3"/>
  <c r="C48" i="3"/>
  <c r="A48" i="3"/>
  <c r="F47" i="3"/>
  <c r="E47" i="3"/>
  <c r="D47" i="3"/>
  <c r="C47" i="3"/>
  <c r="A47" i="3"/>
  <c r="F46" i="3"/>
  <c r="E46" i="3"/>
  <c r="D46" i="3"/>
  <c r="C46" i="3"/>
  <c r="A46" i="3"/>
  <c r="F45" i="3"/>
  <c r="E45" i="3"/>
  <c r="D45" i="3"/>
  <c r="C45" i="3"/>
  <c r="A45" i="3"/>
  <c r="F44" i="3"/>
  <c r="E44" i="3"/>
  <c r="D44" i="3"/>
  <c r="C44" i="3"/>
  <c r="A44" i="3"/>
  <c r="F43" i="3"/>
  <c r="E43" i="3"/>
  <c r="D43" i="3"/>
  <c r="C43" i="3"/>
  <c r="A43" i="3"/>
  <c r="F42" i="3"/>
  <c r="E42" i="3"/>
  <c r="D42" i="3"/>
  <c r="C42" i="3"/>
  <c r="A42" i="3"/>
  <c r="F41" i="3"/>
  <c r="E41" i="3"/>
  <c r="D41" i="3"/>
  <c r="C41" i="3"/>
  <c r="A41" i="3"/>
  <c r="F40" i="3"/>
  <c r="E40" i="3"/>
  <c r="D40" i="3"/>
  <c r="C40" i="3"/>
  <c r="A40" i="3"/>
  <c r="F39" i="3"/>
  <c r="E39" i="3"/>
  <c r="D39" i="3"/>
  <c r="C39" i="3"/>
  <c r="A39" i="3"/>
  <c r="F38" i="3"/>
  <c r="E38" i="3"/>
  <c r="D38" i="3"/>
  <c r="C38" i="3"/>
  <c r="A38" i="3"/>
  <c r="F37" i="3"/>
  <c r="E37" i="3"/>
  <c r="D37" i="3"/>
  <c r="C37" i="3"/>
  <c r="A37" i="3"/>
  <c r="F36" i="3"/>
  <c r="E36" i="3"/>
  <c r="D36" i="3"/>
  <c r="C36" i="3"/>
  <c r="A36" i="3"/>
  <c r="F35" i="3"/>
  <c r="E35" i="3"/>
  <c r="D35" i="3"/>
  <c r="C35" i="3"/>
  <c r="A35" i="3"/>
  <c r="F34" i="3"/>
  <c r="E34" i="3"/>
  <c r="D34" i="3"/>
  <c r="C34" i="3"/>
  <c r="A34" i="3"/>
  <c r="F33" i="3"/>
  <c r="E33" i="3"/>
  <c r="D33" i="3"/>
  <c r="C33" i="3"/>
  <c r="A33" i="3"/>
  <c r="F32" i="3"/>
  <c r="E32" i="3"/>
  <c r="D32" i="3"/>
  <c r="C32" i="3"/>
  <c r="A32" i="3"/>
  <c r="F31" i="3"/>
  <c r="E31" i="3"/>
  <c r="D31" i="3"/>
  <c r="C31" i="3"/>
  <c r="A31" i="3"/>
  <c r="F30" i="3"/>
  <c r="E30" i="3"/>
  <c r="D30" i="3"/>
  <c r="C30" i="3"/>
  <c r="A30" i="3"/>
  <c r="F29" i="3"/>
  <c r="E29" i="3"/>
  <c r="D29" i="3"/>
  <c r="C29" i="3"/>
  <c r="A29" i="3"/>
  <c r="F28" i="3"/>
  <c r="E28" i="3"/>
  <c r="D28" i="3"/>
  <c r="C28" i="3"/>
  <c r="A28" i="3"/>
  <c r="F27" i="3"/>
  <c r="E27" i="3"/>
  <c r="D27" i="3"/>
  <c r="C27" i="3"/>
  <c r="A27" i="3"/>
  <c r="F26" i="3"/>
  <c r="E26" i="3"/>
  <c r="D26" i="3"/>
  <c r="C26" i="3"/>
  <c r="A26" i="3"/>
  <c r="F25" i="3"/>
  <c r="E25" i="3"/>
  <c r="D25" i="3"/>
  <c r="C25" i="3"/>
  <c r="A25" i="3"/>
  <c r="F24" i="3"/>
  <c r="E24" i="3"/>
  <c r="D24" i="3"/>
  <c r="C24" i="3"/>
  <c r="A24" i="3"/>
  <c r="F23" i="3"/>
  <c r="E23" i="3"/>
  <c r="D23" i="3"/>
  <c r="C23" i="3"/>
  <c r="A23" i="3"/>
  <c r="F22" i="3"/>
  <c r="E22" i="3"/>
  <c r="D22" i="3"/>
  <c r="C22" i="3"/>
  <c r="A22" i="3"/>
  <c r="F21" i="3"/>
  <c r="E21" i="3"/>
  <c r="D21" i="3"/>
  <c r="C21" i="3"/>
  <c r="A21" i="3"/>
  <c r="F20" i="3"/>
  <c r="E20" i="3"/>
  <c r="D20" i="3"/>
  <c r="C20" i="3"/>
  <c r="A20" i="3"/>
  <c r="F19" i="3"/>
  <c r="E19" i="3"/>
  <c r="D19" i="3"/>
  <c r="C19" i="3"/>
  <c r="A19" i="3"/>
  <c r="F18" i="3"/>
  <c r="E18" i="3"/>
  <c r="D18" i="3"/>
  <c r="C18" i="3"/>
  <c r="A18" i="3"/>
  <c r="F17" i="3"/>
  <c r="E17" i="3"/>
  <c r="D17" i="3"/>
  <c r="C17" i="3"/>
  <c r="A17" i="3"/>
  <c r="F16" i="3"/>
  <c r="E16" i="3"/>
  <c r="D16" i="3"/>
  <c r="C16" i="3"/>
  <c r="A16" i="3"/>
  <c r="F15" i="3"/>
  <c r="E15" i="3"/>
  <c r="D15" i="3"/>
  <c r="C15" i="3"/>
  <c r="A15" i="3"/>
  <c r="F14" i="3"/>
  <c r="E14" i="3"/>
  <c r="D14" i="3"/>
  <c r="C14" i="3"/>
  <c r="A14" i="3"/>
  <c r="F13" i="3"/>
  <c r="E13" i="3"/>
  <c r="D13" i="3"/>
  <c r="C13" i="3"/>
  <c r="A13" i="3"/>
  <c r="F12" i="3"/>
  <c r="E12" i="3"/>
  <c r="D12" i="3"/>
  <c r="C12" i="3"/>
  <c r="A12" i="3"/>
  <c r="F11" i="3"/>
  <c r="E11" i="3"/>
  <c r="D11" i="3"/>
  <c r="C11" i="3"/>
  <c r="A11" i="3"/>
  <c r="F10" i="3"/>
  <c r="E10" i="3"/>
  <c r="D10" i="3"/>
  <c r="C10" i="3"/>
  <c r="A10" i="3"/>
  <c r="F9" i="3"/>
  <c r="E9" i="3"/>
  <c r="D9" i="3"/>
  <c r="C9" i="3"/>
  <c r="A9" i="3"/>
  <c r="F8" i="3"/>
  <c r="E8" i="3"/>
  <c r="D8" i="3"/>
  <c r="C8" i="3"/>
  <c r="A8" i="3"/>
  <c r="F7" i="3"/>
  <c r="E7" i="3"/>
  <c r="D7" i="3"/>
  <c r="C7" i="3"/>
  <c r="A7" i="3"/>
  <c r="F6" i="3"/>
  <c r="E6" i="3"/>
  <c r="D6" i="3"/>
  <c r="C6" i="3"/>
  <c r="A6" i="3"/>
  <c r="F5" i="3"/>
  <c r="E5" i="3"/>
  <c r="D5" i="3"/>
  <c r="C5" i="3"/>
  <c r="A5" i="3"/>
  <c r="F4" i="3"/>
  <c r="E4" i="3"/>
  <c r="D4" i="3"/>
  <c r="C4" i="3"/>
  <c r="A4" i="3"/>
  <c r="F3" i="3"/>
  <c r="E3" i="3"/>
  <c r="D3" i="3"/>
  <c r="C3" i="3"/>
  <c r="A3" i="3"/>
  <c r="D47" i="2"/>
  <c r="C47" i="2"/>
  <c r="B47" i="2"/>
  <c r="A47" i="2"/>
  <c r="D46" i="2"/>
  <c r="C46" i="2"/>
  <c r="B46" i="2"/>
  <c r="A46" i="2"/>
  <c r="D45" i="2"/>
  <c r="C45" i="2"/>
  <c r="A45" i="2"/>
  <c r="D44" i="2"/>
  <c r="C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 l="1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A3" i="2"/>
  <c r="B3" i="2"/>
  <c r="C3" i="2"/>
  <c r="D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61" authorId="0" shapeId="0" xr:uid="{70546D98-559D-4031-9EBB-0B23B5FDA89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10-05-2019
removing the storage version
</t>
        </r>
      </text>
    </comment>
  </commentList>
</comments>
</file>

<file path=xl/sharedStrings.xml><?xml version="1.0" encoding="utf-8"?>
<sst xmlns="http://schemas.openxmlformats.org/spreadsheetml/2006/main" count="8118" uniqueCount="2698">
  <si>
    <t>DimName</t>
  </si>
  <si>
    <t>SetName</t>
  </si>
  <si>
    <t>Region</t>
  </si>
  <si>
    <t>Okey_IN</t>
  </si>
  <si>
    <t>Okey_NOTIN</t>
  </si>
  <si>
    <t>Name_LIKE</t>
  </si>
  <si>
    <t>Name_NOTLIKE</t>
  </si>
  <si>
    <t>Desc_LIKE</t>
  </si>
  <si>
    <t>Desc_NOTLIKE</t>
  </si>
  <si>
    <t>InputCom_LIKE</t>
  </si>
  <si>
    <t>InputCom_NOTLIKE</t>
  </si>
  <si>
    <t>OutputCom_LIKE</t>
  </si>
  <si>
    <t>OutputCom_NOTLIKE</t>
  </si>
  <si>
    <t>AndOr_Pos</t>
  </si>
  <si>
    <t>AndOr_Neg</t>
  </si>
  <si>
    <t>UnSelected</t>
  </si>
  <si>
    <t>AndOr_Pos_forSets</t>
  </si>
  <si>
    <t>AndOr_Neg_forSets</t>
  </si>
  <si>
    <t>Process</t>
  </si>
  <si>
    <t>-</t>
  </si>
  <si>
    <t>CHP</t>
  </si>
  <si>
    <t>*BIO*</t>
  </si>
  <si>
    <t>AND</t>
  </si>
  <si>
    <t>OR</t>
  </si>
  <si>
    <t>*COA*</t>
  </si>
  <si>
    <t>DMD</t>
  </si>
  <si>
    <t>Commodity</t>
  </si>
  <si>
    <t>C*</t>
  </si>
  <si>
    <t>CCK*</t>
  </si>
  <si>
    <t>CM*</t>
  </si>
  <si>
    <t>CO*</t>
  </si>
  <si>
    <t>CR*</t>
  </si>
  <si>
    <t>I*</t>
  </si>
  <si>
    <t>R*</t>
  </si>
  <si>
    <t>T*</t>
  </si>
  <si>
    <t>THS*</t>
  </si>
  <si>
    <t>TRF*</t>
  </si>
  <si>
    <t>*</t>
  </si>
  <si>
    <t>IRE</t>
  </si>
  <si>
    <t>EXP*</t>
  </si>
  <si>
    <t>*ELC*</t>
  </si>
  <si>
    <t>*OIL*</t>
  </si>
  <si>
    <t>IMP_ELC</t>
  </si>
  <si>
    <t>NRG_BIO</t>
  </si>
  <si>
    <t>NRG</t>
  </si>
  <si>
    <t>NRG_COAL</t>
  </si>
  <si>
    <t>NRG_ELC</t>
  </si>
  <si>
    <t>NRG_OIL</t>
  </si>
  <si>
    <t>MIN*,RNW*</t>
  </si>
  <si>
    <t>PSET_PN</t>
  </si>
  <si>
    <t>PSET_PD</t>
  </si>
  <si>
    <t>PSET_CI</t>
  </si>
  <si>
    <t>PSET_CO</t>
  </si>
  <si>
    <t>SetDesc</t>
  </si>
  <si>
    <t>T_Pos_AndOr</t>
  </si>
  <si>
    <t>T_Neg_AndOr</t>
  </si>
  <si>
    <t>Comment</t>
  </si>
  <si>
    <t>CSET_SET</t>
  </si>
  <si>
    <t>~TFM_Csets</t>
  </si>
  <si>
    <t>PSet_set</t>
  </si>
  <si>
    <t>~TFM_Psets</t>
  </si>
  <si>
    <t>*LPG*</t>
  </si>
  <si>
    <t>CWH*</t>
  </si>
  <si>
    <t>IFB*</t>
  </si>
  <si>
    <t>INM_ALL</t>
  </si>
  <si>
    <t>IOT*</t>
  </si>
  <si>
    <t>IPP_ALL</t>
  </si>
  <si>
    <t>*DSL*</t>
  </si>
  <si>
    <t>*GSL*</t>
  </si>
  <si>
    <t>*KER*</t>
  </si>
  <si>
    <t>RWH*</t>
  </si>
  <si>
    <t>PREF*</t>
  </si>
  <si>
    <t>TMD*</t>
  </si>
  <si>
    <t>ZZDMY</t>
  </si>
  <si>
    <t>CSET_CN</t>
  </si>
  <si>
    <t>CSET_CD</t>
  </si>
  <si>
    <t>KER_ALL</t>
  </si>
  <si>
    <t>BIOMASS COLLECTED</t>
  </si>
  <si>
    <t>*COLLECTED*</t>
  </si>
  <si>
    <t>BIOMASS COMMODITIES</t>
  </si>
  <si>
    <t>*BIOMASS*</t>
  </si>
  <si>
    <t>BIOMASS DELIVERED</t>
  </si>
  <si>
    <t>*DELIVERED*</t>
  </si>
  <si>
    <t>BIOMASS TOTAL</t>
  </si>
  <si>
    <t>BIOMASS COLLECTED,BIOMASS COMMODITIES,BIOMASS DELIVERED</t>
  </si>
  <si>
    <t>CO2_ALL</t>
  </si>
  <si>
    <t>*CO2</t>
  </si>
  <si>
    <t>COAL MOSTLY</t>
  </si>
  <si>
    <t>*COMMERCIAL*</t>
  </si>
  <si>
    <t>DSH_ALL</t>
  </si>
  <si>
    <t>*DSH*</t>
  </si>
  <si>
    <t>DSL_ALL</t>
  </si>
  <si>
    <t>DSU_ALL</t>
  </si>
  <si>
    <t>*DSU*</t>
  </si>
  <si>
    <t>ETH</t>
  </si>
  <si>
    <t>*ETH*</t>
  </si>
  <si>
    <t>ETH_E85 SUMMARY</t>
  </si>
  <si>
    <t>*E85*</t>
  </si>
  <si>
    <t>GSL_ALL</t>
  </si>
  <si>
    <t>IND_ALLCOMODITIES</t>
  </si>
  <si>
    <t>IND_CHP</t>
  </si>
  <si>
    <t>ASP_ALL</t>
  </si>
  <si>
    <t>*ASP*</t>
  </si>
  <si>
    <t>elc</t>
  </si>
  <si>
    <t>NRG_MTH</t>
  </si>
  <si>
    <t>*MTH*</t>
  </si>
  <si>
    <t>NRG_LPG</t>
  </si>
  <si>
    <t>NRG_KER</t>
  </si>
  <si>
    <t>NRG_JET</t>
  </si>
  <si>
    <t>*JTF*</t>
  </si>
  <si>
    <t>NRG_H2</t>
  </si>
  <si>
    <t>*H2*</t>
  </si>
  <si>
    <t>*CHPELC</t>
  </si>
  <si>
    <t>NRG_ETH</t>
  </si>
  <si>
    <t>JTF_ALL</t>
  </si>
  <si>
    <t>NRG_DSL</t>
  </si>
  <si>
    <t>*DSL*,*DSU*</t>
  </si>
  <si>
    <t>NRG_DSH</t>
  </si>
  <si>
    <t>LPG_ALL</t>
  </si>
  <si>
    <t>CAFE</t>
  </si>
  <si>
    <t>TLE85X,TLGSL,TRNCNGL,TRNDSL,TRNELC,TRNH2,TRNLPGEZ</t>
  </si>
  <si>
    <t>NRG_GSL</t>
  </si>
  <si>
    <t>*GS*</t>
  </si>
  <si>
    <t>Sfuel-RES</t>
  </si>
  <si>
    <t>RES*</t>
  </si>
  <si>
    <t>*EA</t>
  </si>
  <si>
    <t>NRG_RFO</t>
  </si>
  <si>
    <t>*RF*</t>
  </si>
  <si>
    <t>NRG_URN</t>
  </si>
  <si>
    <t>MAT</t>
  </si>
  <si>
    <t>*UR*</t>
  </si>
  <si>
    <t>PFS_ALL</t>
  </si>
  <si>
    <t>*PFS*</t>
  </si>
  <si>
    <t>PTC_ALL</t>
  </si>
  <si>
    <t>*PTC*</t>
  </si>
  <si>
    <t>REFOUTPUT_ALL</t>
  </si>
  <si>
    <t>*R</t>
  </si>
  <si>
    <t>*REFINERIES</t>
  </si>
  <si>
    <t>RFH_ALL</t>
  </si>
  <si>
    <t>*RFH*</t>
  </si>
  <si>
    <t>RFL_ALL</t>
  </si>
  <si>
    <t>*RFL*</t>
  </si>
  <si>
    <t>COAL COMMODITIES</t>
  </si>
  <si>
    <t>CSTM*</t>
  </si>
  <si>
    <t>Sfuel-IND</t>
  </si>
  <si>
    <t>IND*</t>
  </si>
  <si>
    <t>Sfuel-TRN</t>
  </si>
  <si>
    <t>TRN*</t>
  </si>
  <si>
    <t>TESTSET1_BIO</t>
  </si>
  <si>
    <t>B*EA</t>
  </si>
  <si>
    <t>NRG_NGA</t>
  </si>
  <si>
    <t>*NGA*</t>
  </si>
  <si>
    <t>S_*</t>
  </si>
  <si>
    <t>Sfuel-COM</t>
  </si>
  <si>
    <t>COM*</t>
  </si>
  <si>
    <t>IMLOH_ALL</t>
  </si>
  <si>
    <t>IML*B*BIO,IML*B*WOD,IML*B*TOM,IMLEOHT*,IMLOHTOSTM</t>
  </si>
  <si>
    <t>IML*BST*</t>
  </si>
  <si>
    <t>IMF_OTH</t>
  </si>
  <si>
    <t>IMFS*OTH*</t>
  </si>
  <si>
    <t>IMFA_ALL</t>
  </si>
  <si>
    <t>IMFAC*</t>
  </si>
  <si>
    <t>IMFA_COA</t>
  </si>
  <si>
    <t>IMFACCOA*</t>
  </si>
  <si>
    <t>IMFA_DST</t>
  </si>
  <si>
    <t>IMFACDST*</t>
  </si>
  <si>
    <t>IMFA_ELC</t>
  </si>
  <si>
    <t>IMFACELC*</t>
  </si>
  <si>
    <t>INFA_ALL</t>
  </si>
  <si>
    <t>INFAC*</t>
  </si>
  <si>
    <t>IMFA_NGA</t>
  </si>
  <si>
    <t>IMFACNGA*</t>
  </si>
  <si>
    <t>IMF_COK</t>
  </si>
  <si>
    <t>IMFS*COK*</t>
  </si>
  <si>
    <t>IMLOH_COA</t>
  </si>
  <si>
    <t>IMLEOHTCOA</t>
  </si>
  <si>
    <t>IMLOH_LPG</t>
  </si>
  <si>
    <t>IMLEOHTLPG</t>
  </si>
  <si>
    <t>IMLPH_ALL</t>
  </si>
  <si>
    <t>IMLEPRH*</t>
  </si>
  <si>
    <t>IMLPH_ELC</t>
  </si>
  <si>
    <t>IMLEPRHELC</t>
  </si>
  <si>
    <t>IMLPH_NGA</t>
  </si>
  <si>
    <t>IMLEPRHNGA</t>
  </si>
  <si>
    <t>IMFA_LPG</t>
  </si>
  <si>
    <t>IMFACLPG*</t>
  </si>
  <si>
    <t>IMAPH_NGA</t>
  </si>
  <si>
    <t>IMAEPRHNGA</t>
  </si>
  <si>
    <t>IMAFS_NGA</t>
  </si>
  <si>
    <t>IMAEFEDNGA</t>
  </si>
  <si>
    <t>IMAFS_PTC</t>
  </si>
  <si>
    <t>IMAEFEDPTC</t>
  </si>
  <si>
    <t>IMAMD_ALL</t>
  </si>
  <si>
    <t>IMAEMDR*</t>
  </si>
  <si>
    <t>IMAMD_ELC</t>
  </si>
  <si>
    <t>IMAEMDRELC</t>
  </si>
  <si>
    <t>IMAMD_NGA</t>
  </si>
  <si>
    <t>IMAEMDRNGA</t>
  </si>
  <si>
    <t>IMF_NGA</t>
  </si>
  <si>
    <t>IMFS*NGA*</t>
  </si>
  <si>
    <t>IMAPH_ELC</t>
  </si>
  <si>
    <t>IMAEPRHELC</t>
  </si>
  <si>
    <t>IMF_DST</t>
  </si>
  <si>
    <t>IMF*DST*</t>
  </si>
  <si>
    <t>IMAST_ALL</t>
  </si>
  <si>
    <t>IMA*B*</t>
  </si>
  <si>
    <t>IMAST_CHP</t>
  </si>
  <si>
    <t>IMABOLFSTM</t>
  </si>
  <si>
    <t>IMAST_NGA</t>
  </si>
  <si>
    <t>IMF_ALL</t>
  </si>
  <si>
    <t>IMFS*</t>
  </si>
  <si>
    <t>IMF_COA</t>
  </si>
  <si>
    <t>IMFS*COA*</t>
  </si>
  <si>
    <t>IMM_ELC</t>
  </si>
  <si>
    <t>IMM*ELC*</t>
  </si>
  <si>
    <t>IMAPH_ALL</t>
  </si>
  <si>
    <t>IMAEPRH*</t>
  </si>
  <si>
    <t>IMOH_BIO</t>
  </si>
  <si>
    <t>IMOHBIO*</t>
  </si>
  <si>
    <t>INFA_ELC</t>
  </si>
  <si>
    <t>INFACELC*</t>
  </si>
  <si>
    <t>IMOOH_ALL</t>
  </si>
  <si>
    <t>IMO*B*BIO,IMO*B*WOD,IMO*B*TOM,IMOEOHT*,IMOOHTOSTM</t>
  </si>
  <si>
    <t>IMO*BST*</t>
  </si>
  <si>
    <t>IMOMD_NGA</t>
  </si>
  <si>
    <t>IMOEMDRNGA</t>
  </si>
  <si>
    <t>IMOMD_ELC</t>
  </si>
  <si>
    <t>IMOEMDRELC</t>
  </si>
  <si>
    <t>IMOMD_DST</t>
  </si>
  <si>
    <t>IMOEMDRDST</t>
  </si>
  <si>
    <t>IMOMD_ALL</t>
  </si>
  <si>
    <t>IMOEMDR*</t>
  </si>
  <si>
    <t>IMOH_RFL</t>
  </si>
  <si>
    <t>IMOHRFL*</t>
  </si>
  <si>
    <t>IMOH_PTC</t>
  </si>
  <si>
    <t>IMOH*PTC*</t>
  </si>
  <si>
    <t>IMOH_OTH</t>
  </si>
  <si>
    <t>IMOH*OTH*</t>
  </si>
  <si>
    <t>IMOH_NGA</t>
  </si>
  <si>
    <t>IMOH*NGA*</t>
  </si>
  <si>
    <t>IMOH_MET</t>
  </si>
  <si>
    <t>IMOHMET*</t>
  </si>
  <si>
    <t>IMOH_LPG</t>
  </si>
  <si>
    <t>IMOHLPG*</t>
  </si>
  <si>
    <t>IMOH_ELC</t>
  </si>
  <si>
    <t>IMOH*ELC*</t>
  </si>
  <si>
    <t>IMM_ALL</t>
  </si>
  <si>
    <t>IMM*</t>
  </si>
  <si>
    <t>IMOFS_ALL</t>
  </si>
  <si>
    <t>IMOEFED*</t>
  </si>
  <si>
    <t>IMAFA_ELC</t>
  </si>
  <si>
    <t>IMAEFACELC</t>
  </si>
  <si>
    <t>IMM_NGA</t>
  </si>
  <si>
    <t>IMM*NGA*</t>
  </si>
  <si>
    <t>IMOFA_ALL</t>
  </si>
  <si>
    <t>IMOEFAC*</t>
  </si>
  <si>
    <t>IMOFA_DST</t>
  </si>
  <si>
    <t>IMOEFACDST</t>
  </si>
  <si>
    <t>IMOFA_ELC</t>
  </si>
  <si>
    <t>IMOEFACELC</t>
  </si>
  <si>
    <t>IMOH_DST</t>
  </si>
  <si>
    <t>IMOH*DST*</t>
  </si>
  <si>
    <t>IMOFA_NGA</t>
  </si>
  <si>
    <t>IMOEFACNGA</t>
  </si>
  <si>
    <t>IMOH_COA</t>
  </si>
  <si>
    <t>IMOHCOA*</t>
  </si>
  <si>
    <t>IMOFS_BIO</t>
  </si>
  <si>
    <t>IMOEFEDBIO</t>
  </si>
  <si>
    <t>IMOFS_NGA</t>
  </si>
  <si>
    <t>IMOEFEDNGA</t>
  </si>
  <si>
    <t>IMOFS_OTP</t>
  </si>
  <si>
    <t>IMOEFEDOTP</t>
  </si>
  <si>
    <t>IMOFS_PTC</t>
  </si>
  <si>
    <t>IMOEFEDPTC</t>
  </si>
  <si>
    <t>IMOH_ALL</t>
  </si>
  <si>
    <t>IMOH*</t>
  </si>
  <si>
    <t>IMM_DST</t>
  </si>
  <si>
    <t>IMM*DST*</t>
  </si>
  <si>
    <t>IMOFA_LPG</t>
  </si>
  <si>
    <t>IMOEFACLPG</t>
  </si>
  <si>
    <t>IFDST_RFL</t>
  </si>
  <si>
    <t>IFFA_LPG</t>
  </si>
  <si>
    <t>IFFACLPG*</t>
  </si>
  <si>
    <t>IFDST_ALL</t>
  </si>
  <si>
    <t>IFD*B*</t>
  </si>
  <si>
    <t>IFDST_CHP</t>
  </si>
  <si>
    <t>IFDBOLFSTM</t>
  </si>
  <si>
    <t>IFDST_COA</t>
  </si>
  <si>
    <t>IFDST_DST</t>
  </si>
  <si>
    <t>IFDPH_NGA</t>
  </si>
  <si>
    <t>IFDEPRHNGA</t>
  </si>
  <si>
    <t>IFDST_NGA</t>
  </si>
  <si>
    <t>IFDPH_LPG</t>
  </si>
  <si>
    <t>IFDEPRHLPG</t>
  </si>
  <si>
    <t>IFF_ALL</t>
  </si>
  <si>
    <t>IFFS*</t>
  </si>
  <si>
    <t>IFF_DST</t>
  </si>
  <si>
    <t>IFFS*DST*</t>
  </si>
  <si>
    <t>IFF_NGA</t>
  </si>
  <si>
    <t>IFFS*NGA*</t>
  </si>
  <si>
    <t>IFFA_ALL</t>
  </si>
  <si>
    <t>IFFAC*</t>
  </si>
  <si>
    <t>IFFA_DST</t>
  </si>
  <si>
    <t>IFFACDST*</t>
  </si>
  <si>
    <t>IMAFS_ALL</t>
  </si>
  <si>
    <t>IMAEFED*</t>
  </si>
  <si>
    <t>IFDST_ELC</t>
  </si>
  <si>
    <t>IFD*B*ELC</t>
  </si>
  <si>
    <t>IFDOH_ELC</t>
  </si>
  <si>
    <t>IFDEOHTELC</t>
  </si>
  <si>
    <t>IFDMD_ELC</t>
  </si>
  <si>
    <t>IFDEMDRELC</t>
  </si>
  <si>
    <t>IFDMD_NGA</t>
  </si>
  <si>
    <t>IFDEMDRNGA</t>
  </si>
  <si>
    <t>IFDOH_ALL</t>
  </si>
  <si>
    <t>IFD*B*BIO,IFD*B*WOD,IFD*B*TOM,IFDEOHT*,IFDOHTOSTM</t>
  </si>
  <si>
    <t>IFD*BST*</t>
  </si>
  <si>
    <t>IFDOH_BIO</t>
  </si>
  <si>
    <t>IFDOH_CHP</t>
  </si>
  <si>
    <t>IFDOHTOSTM</t>
  </si>
  <si>
    <t>IFDPH_RFL</t>
  </si>
  <si>
    <t>IFDEPRHRFL</t>
  </si>
  <si>
    <t>IFDOH_DST</t>
  </si>
  <si>
    <t>IFDEOHTDST</t>
  </si>
  <si>
    <t>IFFA_NGA</t>
  </si>
  <si>
    <t>IFFACNGA*</t>
  </si>
  <si>
    <t>IFDOH_NGA</t>
  </si>
  <si>
    <t>IFDOH_RFL</t>
  </si>
  <si>
    <t>IFDEOHTRFL</t>
  </si>
  <si>
    <t>IFDPH_ALL</t>
  </si>
  <si>
    <t>IFDEPRH*</t>
  </si>
  <si>
    <t>IFDPH_COA</t>
  </si>
  <si>
    <t>IFDEPRHCOA</t>
  </si>
  <si>
    <t>IFDPH_DST</t>
  </si>
  <si>
    <t>IFDEPRHDST</t>
  </si>
  <si>
    <t>IFDPH_ELC</t>
  </si>
  <si>
    <t>IFDEPRHELC</t>
  </si>
  <si>
    <t>IFDOH_COA</t>
  </si>
  <si>
    <t>IFDEOHTCOA</t>
  </si>
  <si>
    <t>IFS_FSTM</t>
  </si>
  <si>
    <t>IFB*STM</t>
  </si>
  <si>
    <t>IFFA_ELC</t>
  </si>
  <si>
    <t>IFFACELC*</t>
  </si>
  <si>
    <t>IFP_RFL</t>
  </si>
  <si>
    <t>IFP*RFL*</t>
  </si>
  <si>
    <t>IFS_ALL</t>
  </si>
  <si>
    <t>IFS_CHP</t>
  </si>
  <si>
    <t>IF*STM*</t>
  </si>
  <si>
    <t>IFS_COA</t>
  </si>
  <si>
    <t>IFB*COA*</t>
  </si>
  <si>
    <t>IFP_LPG</t>
  </si>
  <si>
    <t>IFP*LPG*</t>
  </si>
  <si>
    <t>IFS_ELC</t>
  </si>
  <si>
    <t>IFB*ELC*</t>
  </si>
  <si>
    <t>IFP_ELC</t>
  </si>
  <si>
    <t>IFP*ELC*</t>
  </si>
  <si>
    <t>IFS_LPG</t>
  </si>
  <si>
    <t>IFB*LPG*</t>
  </si>
  <si>
    <t>IFS_NGA</t>
  </si>
  <si>
    <t>IFB*NGA*</t>
  </si>
  <si>
    <t>IFS_RFL</t>
  </si>
  <si>
    <t>IFB*RFL*</t>
  </si>
  <si>
    <t>IMAFA_ALL</t>
  </si>
  <si>
    <t>IMAEFAC*</t>
  </si>
  <si>
    <t>IMAFA_DST</t>
  </si>
  <si>
    <t>IMAEFACDST</t>
  </si>
  <si>
    <t>INF_OTH</t>
  </si>
  <si>
    <t>INFS*OTH*</t>
  </si>
  <si>
    <t>IFS_DST</t>
  </si>
  <si>
    <t>IFB*DST*</t>
  </si>
  <si>
    <t>IFOH_ELC</t>
  </si>
  <si>
    <t>IFOHELC*</t>
  </si>
  <si>
    <t>IFM_ALL</t>
  </si>
  <si>
    <t>IFM*</t>
  </si>
  <si>
    <t>IFM_DST</t>
  </si>
  <si>
    <t>IFM*DST*</t>
  </si>
  <si>
    <t>IFM_ELC</t>
  </si>
  <si>
    <t>IFM*ELC*</t>
  </si>
  <si>
    <t>IFM_NGA</t>
  </si>
  <si>
    <t>IFM*NGA*</t>
  </si>
  <si>
    <t>IFOH_ALL</t>
  </si>
  <si>
    <t>IFOH*</t>
  </si>
  <si>
    <t>IFP_NGA</t>
  </si>
  <si>
    <t>IFP*NGA*</t>
  </si>
  <si>
    <t>IFOH_COA</t>
  </si>
  <si>
    <t>IFOHCOA*</t>
  </si>
  <si>
    <t>IMAFA_NGA</t>
  </si>
  <si>
    <t>IMAEFACNGA</t>
  </si>
  <si>
    <t>IFOH_LPG</t>
  </si>
  <si>
    <t>IFOHLPG*</t>
  </si>
  <si>
    <t>IFOH_NGA</t>
  </si>
  <si>
    <t>IFOH*NGA*</t>
  </si>
  <si>
    <t>IFOH_STM</t>
  </si>
  <si>
    <t>*IFOHSTM*</t>
  </si>
  <si>
    <t>IFP_ALL</t>
  </si>
  <si>
    <t>IFP*</t>
  </si>
  <si>
    <t>IFP_COA</t>
  </si>
  <si>
    <t>IFP*COA*</t>
  </si>
  <si>
    <t>IFP_DST</t>
  </si>
  <si>
    <t>IFP*DST*</t>
  </si>
  <si>
    <t>IFOH_BIO</t>
  </si>
  <si>
    <t>IFOHBIO*</t>
  </si>
  <si>
    <t>IMSPH_ELC</t>
  </si>
  <si>
    <t>IMSEPRHELC</t>
  </si>
  <si>
    <t>IMTMD_ALL</t>
  </si>
  <si>
    <t>IMTEMDR*</t>
  </si>
  <si>
    <t>IMTFS_PTC</t>
  </si>
  <si>
    <t>IMTEFEDPTC</t>
  </si>
  <si>
    <t>IMTFS_NGA</t>
  </si>
  <si>
    <t>IMTEFEDNGA</t>
  </si>
  <si>
    <t>IMTFS_COK</t>
  </si>
  <si>
    <t>IMTEFEDCOK</t>
  </si>
  <si>
    <t>IMTFS_BIO</t>
  </si>
  <si>
    <t>IMTEFEDBIO</t>
  </si>
  <si>
    <t>IMTFS_ALL</t>
  </si>
  <si>
    <t>IMTEFED*</t>
  </si>
  <si>
    <t>IMTFA_NGA</t>
  </si>
  <si>
    <t>IMTEFACNGA</t>
  </si>
  <si>
    <t>IMTFA_ELC</t>
  </si>
  <si>
    <t>IMTEFACELC</t>
  </si>
  <si>
    <t>IMTFA_DST</t>
  </si>
  <si>
    <t>IMTEFACDST</t>
  </si>
  <si>
    <t>IMTFA_COA</t>
  </si>
  <si>
    <t>IMTEFACCOA</t>
  </si>
  <si>
    <t>IMTFA_ALL</t>
  </si>
  <si>
    <t>IMTEFAC*</t>
  </si>
  <si>
    <t>IMSST_NGA</t>
  </si>
  <si>
    <t>IMSST_CHP</t>
  </si>
  <si>
    <t>IMSBOLFSTM</t>
  </si>
  <si>
    <t>INFA_DST</t>
  </si>
  <si>
    <t>INFACDST*</t>
  </si>
  <si>
    <t>IMSOH_ELC</t>
  </si>
  <si>
    <t>IMSEOHTELC</t>
  </si>
  <si>
    <t>IMSFS_NGA</t>
  </si>
  <si>
    <t>IMSEFEDNGA</t>
  </si>
  <si>
    <t>IMSFS_PTC</t>
  </si>
  <si>
    <t>IMSEFEDPTC</t>
  </si>
  <si>
    <t>IMSMD_ALL</t>
  </si>
  <si>
    <t>IMSEMDR*</t>
  </si>
  <si>
    <t>IMSMD_ELC</t>
  </si>
  <si>
    <t>IMSEMDRELC</t>
  </si>
  <si>
    <t>IMSMD_NGA</t>
  </si>
  <si>
    <t>IMSEMDRNGA</t>
  </si>
  <si>
    <t>IMSST_ALL</t>
  </si>
  <si>
    <t>IMS*B*</t>
  </si>
  <si>
    <t>IMSOH_BIO</t>
  </si>
  <si>
    <t>IMS*B*BIO,IMS*B*WOD,IMS*B*TOM,IMSEOHTBIO</t>
  </si>
  <si>
    <t>IMSPH_NGA</t>
  </si>
  <si>
    <t>IMSEPRHNGA</t>
  </si>
  <si>
    <t>IMSOH_PTC</t>
  </si>
  <si>
    <t>IMSEOHTPTC</t>
  </si>
  <si>
    <t>IMSOH_RFL</t>
  </si>
  <si>
    <t>IMSEOHTRFL</t>
  </si>
  <si>
    <t>IMSPH_ALL</t>
  </si>
  <si>
    <t>IMSEPRH*</t>
  </si>
  <si>
    <t>IMSPH_COA</t>
  </si>
  <si>
    <t>IMSEPRHCOA</t>
  </si>
  <si>
    <t>IMSPH_DST</t>
  </si>
  <si>
    <t>IMSEPRHDST</t>
  </si>
  <si>
    <t>IMTOH_ALL</t>
  </si>
  <si>
    <t>IMT*B*BIO,IMT*B*WOD,IMT*B*TOM,IMTEOHT*,IMTOHTOSTM</t>
  </si>
  <si>
    <t>IMT*BST*</t>
  </si>
  <si>
    <t>IMSOH_ALL</t>
  </si>
  <si>
    <t>IMS*B*BIO,IMS*B*WOD,IMS*B*TOM,IMSEOHT*,IMSOHTOSTM</t>
  </si>
  <si>
    <t>IMS*BST*</t>
  </si>
  <si>
    <t>INCPH_COA</t>
  </si>
  <si>
    <t>INCEPRHCOA</t>
  </si>
  <si>
    <t>IMTMD_ELC</t>
  </si>
  <si>
    <t>IMTEMDRELC</t>
  </si>
  <si>
    <t>INCFS_OTP</t>
  </si>
  <si>
    <t>INCEFEDOTP</t>
  </si>
  <si>
    <t>INCFS_PTC</t>
  </si>
  <si>
    <t>INCEFEDPTC</t>
  </si>
  <si>
    <t>INCOH_ALL</t>
  </si>
  <si>
    <t>INC*B*BIO,INC*B*WOD,INC*B*TOM,INCEOHT*,INCOHTOSTM</t>
  </si>
  <si>
    <t>INC*BST*</t>
  </si>
  <si>
    <t>INCOH_OTP</t>
  </si>
  <si>
    <t>INCEOHTOTP</t>
  </si>
  <si>
    <t>INCFA_ELC</t>
  </si>
  <si>
    <t>INCEFACELC</t>
  </si>
  <si>
    <t>INCPH_ALL</t>
  </si>
  <si>
    <t>INCEPRH*</t>
  </si>
  <si>
    <t>INCFA_DST</t>
  </si>
  <si>
    <t>INCEFACDST</t>
  </si>
  <si>
    <t>INCPH_ELC</t>
  </si>
  <si>
    <t>INCEPRHELC</t>
  </si>
  <si>
    <t>INCPH_NGA</t>
  </si>
  <si>
    <t>INCEPRHNGA</t>
  </si>
  <si>
    <t>IND_ALUMINUM</t>
  </si>
  <si>
    <t>*ALUMINUM*</t>
  </si>
  <si>
    <t>IND_CEMENT</t>
  </si>
  <si>
    <t>IN*</t>
  </si>
  <si>
    <t>ING*</t>
  </si>
  <si>
    <t>IND_CHEM</t>
  </si>
  <si>
    <t>IC*</t>
  </si>
  <si>
    <t>IND_FOOD</t>
  </si>
  <si>
    <t>IF*</t>
  </si>
  <si>
    <t>INCOH_PTC</t>
  </si>
  <si>
    <t>INCEOHTPTC</t>
  </si>
  <si>
    <t>IMTPH_DST</t>
  </si>
  <si>
    <t>IMTEPRHDST</t>
  </si>
  <si>
    <t>IMSFS_ALL</t>
  </si>
  <si>
    <t>IMSEFED*</t>
  </si>
  <si>
    <t>IMTOH_BIO</t>
  </si>
  <si>
    <t>IMT*B*BIO,IMT*B*WOD,IMT*B*TOM,IMTEOHTBIO</t>
  </si>
  <si>
    <t>IMTOH_ELC</t>
  </si>
  <si>
    <t>IMTEOHTELC</t>
  </si>
  <si>
    <t>IMTOH_PTC</t>
  </si>
  <si>
    <t>IMTEOHTPTC</t>
  </si>
  <si>
    <t>IMTOH_RFL</t>
  </si>
  <si>
    <t>IMTEOHTRFL</t>
  </si>
  <si>
    <t>INCFS_ALL</t>
  </si>
  <si>
    <t>INCEFED*</t>
  </si>
  <si>
    <t>IMTPH_COA</t>
  </si>
  <si>
    <t>IMTEPRHCOA</t>
  </si>
  <si>
    <t>IMTMD_NGA</t>
  </si>
  <si>
    <t>IMTEMDRNGA</t>
  </si>
  <si>
    <t>IMTPH_ELC</t>
  </si>
  <si>
    <t>IMTEPRHELC</t>
  </si>
  <si>
    <t>IMTPH_NGA</t>
  </si>
  <si>
    <t>IMTEPRHNGA</t>
  </si>
  <si>
    <t>IMTST_ALL</t>
  </si>
  <si>
    <t>IMT*B*</t>
  </si>
  <si>
    <t>IMTST_CHP</t>
  </si>
  <si>
    <t>IMTBOLFSTM</t>
  </si>
  <si>
    <t>IMTST_NGA</t>
  </si>
  <si>
    <t>INCFA_ALL</t>
  </si>
  <si>
    <t>INCEFAC*</t>
  </si>
  <si>
    <t>IMTPH_ALL</t>
  </si>
  <si>
    <t>IMTEPRH*</t>
  </si>
  <si>
    <t>INGFA_NGA</t>
  </si>
  <si>
    <t>INGEFACNGA</t>
  </si>
  <si>
    <t>IMOOH_NGA</t>
  </si>
  <si>
    <t>INGOH_LPG</t>
  </si>
  <si>
    <t>INGEOHTLPG</t>
  </si>
  <si>
    <t>INGOH_DST</t>
  </si>
  <si>
    <t>INGEOHTDST</t>
  </si>
  <si>
    <t>INGOH_COA</t>
  </si>
  <si>
    <t>INGEOHTCOA</t>
  </si>
  <si>
    <t>IFDMD_DST</t>
  </si>
  <si>
    <t>IFDEMDRDST</t>
  </si>
  <si>
    <t>INGOH_RFL</t>
  </si>
  <si>
    <t>INGEOHTRFL</t>
  </si>
  <si>
    <t>IFDFA_ELC</t>
  </si>
  <si>
    <t>IFDEFACELC</t>
  </si>
  <si>
    <t>INGPH_ALL</t>
  </si>
  <si>
    <t>INGEPRH*</t>
  </si>
  <si>
    <t>IND_NONMFG</t>
  </si>
  <si>
    <t>IX*</t>
  </si>
  <si>
    <t>INGFA_ELC</t>
  </si>
  <si>
    <t>INGEFACELC</t>
  </si>
  <si>
    <t>INGFA_ALL</t>
  </si>
  <si>
    <t>INGEFAC*</t>
  </si>
  <si>
    <t>INFA_NGA</t>
  </si>
  <si>
    <t>INFACNGA*</t>
  </si>
  <si>
    <t>IMOOH_BIO</t>
  </si>
  <si>
    <t>IMO*BIO,IMO*B*WOD,IMO*B*TOM,IMOEOHTBIO</t>
  </si>
  <si>
    <t>IMSFS_COK</t>
  </si>
  <si>
    <t>IMSEFEDCOK</t>
  </si>
  <si>
    <t>INGOH_ALL</t>
  </si>
  <si>
    <t>ING*B*BIO,ING*B*WOD,ING*B*TOM,INGEOHT*,INGOHTOSTM</t>
  </si>
  <si>
    <t>ING*BST*</t>
  </si>
  <si>
    <t>IND_OTHMETALS</t>
  </si>
  <si>
    <t>IMO*</t>
  </si>
  <si>
    <t>INF_NGA</t>
  </si>
  <si>
    <t>INFS*NGA*</t>
  </si>
  <si>
    <t>INF_DST</t>
  </si>
  <si>
    <t>INFS*DST*</t>
  </si>
  <si>
    <t>INF_ALL</t>
  </si>
  <si>
    <t>INFS*</t>
  </si>
  <si>
    <t>IND_TECHEXT</t>
  </si>
  <si>
    <t>I*TECHEXT</t>
  </si>
  <si>
    <t>IND_STEEL</t>
  </si>
  <si>
    <t>*STEEL*</t>
  </si>
  <si>
    <t>INGOH_NGA</t>
  </si>
  <si>
    <t>INFA_LPG</t>
  </si>
  <si>
    <t>IMOOH_OTP</t>
  </si>
  <si>
    <t>IMOEOHTOTP</t>
  </si>
  <si>
    <t>IND_OTHER</t>
  </si>
  <si>
    <t>INGST_NGA</t>
  </si>
  <si>
    <t>ING*B*NGA</t>
  </si>
  <si>
    <t>INGST_CHP</t>
  </si>
  <si>
    <t>INGBOLFSTM</t>
  </si>
  <si>
    <t>INGST_ALL</t>
  </si>
  <si>
    <t>ING*B*</t>
  </si>
  <si>
    <t>INGPH_NGA</t>
  </si>
  <si>
    <t>INGEPRHNGA</t>
  </si>
  <si>
    <t>INGPH_ELC</t>
  </si>
  <si>
    <t>INGEPRHELC</t>
  </si>
  <si>
    <t>IND_PAPER</t>
  </si>
  <si>
    <t>IP*</t>
  </si>
  <si>
    <t>IMS_RFL</t>
  </si>
  <si>
    <t>IMB*RFL*</t>
  </si>
  <si>
    <t>IMOOH_COA</t>
  </si>
  <si>
    <t>IMOEOHTCOA</t>
  </si>
  <si>
    <t>IMPORTED FUELS</t>
  </si>
  <si>
    <t>IMP*</t>
  </si>
  <si>
    <t>IMS_ALL</t>
  </si>
  <si>
    <t>IMB*</t>
  </si>
  <si>
    <t>IMS_COA</t>
  </si>
  <si>
    <t>IMB*COA*</t>
  </si>
  <si>
    <t>IMS_ELC</t>
  </si>
  <si>
    <t>IMB*ELC*</t>
  </si>
  <si>
    <t>IMP_NGA</t>
  </si>
  <si>
    <t>SEP_IMP</t>
  </si>
  <si>
    <t>IMP*NGA*</t>
  </si>
  <si>
    <t>IMS_NGA</t>
  </si>
  <si>
    <t>IMB*NGA*</t>
  </si>
  <si>
    <t>IMP_LPG</t>
  </si>
  <si>
    <t>IMP*LPG*</t>
  </si>
  <si>
    <t>IMSFA_ALL</t>
  </si>
  <si>
    <t>IMSEFAC*</t>
  </si>
  <si>
    <t>IMSFA_COA</t>
  </si>
  <si>
    <t>IMSEFACCOA</t>
  </si>
  <si>
    <t>IMSFA_DST</t>
  </si>
  <si>
    <t>IMSEFACDST</t>
  </si>
  <si>
    <t>IMSFA_ELC</t>
  </si>
  <si>
    <t>IMSEFACELC</t>
  </si>
  <si>
    <t>IMSFA_NGA</t>
  </si>
  <si>
    <t>IMSEFACNGA</t>
  </si>
  <si>
    <t>IND_GLASS</t>
  </si>
  <si>
    <t>*GLASS*</t>
  </si>
  <si>
    <t>IMS_FSTM</t>
  </si>
  <si>
    <t>IMB*FSTM*</t>
  </si>
  <si>
    <t>IMOST_CHP</t>
  </si>
  <si>
    <t>IMOBOLFSTM</t>
  </si>
  <si>
    <t>IMOOH_PTC</t>
  </si>
  <si>
    <t>IMOEOHTPTC</t>
  </si>
  <si>
    <t>IMOOH_RFL</t>
  </si>
  <si>
    <t>IMOEOHTRFL</t>
  </si>
  <si>
    <t>IMOPH_ALL</t>
  </si>
  <si>
    <t>IMOEPRH*</t>
  </si>
  <si>
    <t>IMOPH_ELC</t>
  </si>
  <si>
    <t>IMOEPRHELC</t>
  </si>
  <si>
    <t>IMOPH_LPG</t>
  </si>
  <si>
    <t>IMOEPRHLPG</t>
  </si>
  <si>
    <t>IMP_RFL</t>
  </si>
  <si>
    <t>IMP*RFL*</t>
  </si>
  <si>
    <t>IMOST_ALL</t>
  </si>
  <si>
    <t>IMO*B*</t>
  </si>
  <si>
    <t>IMSFS_BIO</t>
  </si>
  <si>
    <t>IMSEFEDBIO</t>
  </si>
  <si>
    <t>IMOST_ELC</t>
  </si>
  <si>
    <t>IMO*B*ELC</t>
  </si>
  <si>
    <t>IMOST_NGA</t>
  </si>
  <si>
    <t>IMP_ALL</t>
  </si>
  <si>
    <t>IMP_COA</t>
  </si>
  <si>
    <t>IMP*COA*</t>
  </si>
  <si>
    <t>IMP_DST</t>
  </si>
  <si>
    <t>IMP*DST*</t>
  </si>
  <si>
    <t>IMP*ELC*</t>
  </si>
  <si>
    <t>IMOPH_NGA</t>
  </si>
  <si>
    <t>IMOEPRHNGA</t>
  </si>
  <si>
    <t>ELC-NUK</t>
  </si>
  <si>
    <t>EU*</t>
  </si>
  <si>
    <t>ELC-BIO</t>
  </si>
  <si>
    <t>E*BIO*</t>
  </si>
  <si>
    <t>ELC-COAL</t>
  </si>
  <si>
    <t>*COAL*</t>
  </si>
  <si>
    <t>ELC</t>
  </si>
  <si>
    <t>ELC-DSL</t>
  </si>
  <si>
    <t>ELCDSLEA</t>
  </si>
  <si>
    <t>ELC-GEO</t>
  </si>
  <si>
    <t>EGEO*</t>
  </si>
  <si>
    <t>ELC-HYD</t>
  </si>
  <si>
    <t>EH*</t>
  </si>
  <si>
    <t>ELC-LFG</t>
  </si>
  <si>
    <t>E*LFG*</t>
  </si>
  <si>
    <t>IFDFA_NGA</t>
  </si>
  <si>
    <t>IFDEFACNGA</t>
  </si>
  <si>
    <t>ELC-NGA</t>
  </si>
  <si>
    <t>*NATURAL GAS*</t>
  </si>
  <si>
    <t>ELCAQEM1</t>
  </si>
  <si>
    <t>SEELC*</t>
  </si>
  <si>
    <t>ELC-PET</t>
  </si>
  <si>
    <t>ERFL*,EDSL*</t>
  </si>
  <si>
    <t>ELC-RFL</t>
  </si>
  <si>
    <t>ELCRFLEA</t>
  </si>
  <si>
    <t>ELC-RPS</t>
  </si>
  <si>
    <t>ELC-BIO,ELC-GEO,ELC-HYD,ELC-LFG,ELC-MSW,ELC-SOL,ELC-WND</t>
  </si>
  <si>
    <t>ELC-SOL</t>
  </si>
  <si>
    <t>ES*</t>
  </si>
  <si>
    <t>ELC-WND</t>
  </si>
  <si>
    <t>EWND*</t>
  </si>
  <si>
    <t>WND</t>
  </si>
  <si>
    <t>EMF_RNW</t>
  </si>
  <si>
    <t>ELC-HYD,ELC-SOL,ELC-WND</t>
  </si>
  <si>
    <t>ELC-MSW</t>
  </si>
  <si>
    <t>EMSW*</t>
  </si>
  <si>
    <t>DMD_OFF</t>
  </si>
  <si>
    <t>dmd</t>
  </si>
  <si>
    <t>DMD_COM</t>
  </si>
  <si>
    <t>DMD_CRF</t>
  </si>
  <si>
    <t>DMD_CSC</t>
  </si>
  <si>
    <t>CSC*</t>
  </si>
  <si>
    <t>DMD_CSH</t>
  </si>
  <si>
    <t>CSH*</t>
  </si>
  <si>
    <t>DMD_CVT</t>
  </si>
  <si>
    <t>CVT*</t>
  </si>
  <si>
    <t>DMD_CWH</t>
  </si>
  <si>
    <t>ELCAQEM3</t>
  </si>
  <si>
    <t>SEC*</t>
  </si>
  <si>
    <t>DMD_MISC</t>
  </si>
  <si>
    <t>ELCAQEM2</t>
  </si>
  <si>
    <t>SELFG*</t>
  </si>
  <si>
    <t>DMD_RSD</t>
  </si>
  <si>
    <t>DMD_TRN</t>
  </si>
  <si>
    <t>DOM FUEL PROD</t>
  </si>
  <si>
    <t>MIN*</t>
  </si>
  <si>
    <t>ELC_ETH</t>
  </si>
  <si>
    <t>EETHB*</t>
  </si>
  <si>
    <t>ELC-ALL</t>
  </si>
  <si>
    <t>E*</t>
  </si>
  <si>
    <t>ELCAQEM_ALL</t>
  </si>
  <si>
    <t>ELCAQEM1,ELCAQEM2,ELCAQEM3</t>
  </si>
  <si>
    <t>ETH_CORN</t>
  </si>
  <si>
    <t>P*</t>
  </si>
  <si>
    <t>CRNETH*</t>
  </si>
  <si>
    <t>DMD_IND</t>
  </si>
  <si>
    <t>ICF_RFL</t>
  </si>
  <si>
    <t>ICFS*RFL*</t>
  </si>
  <si>
    <t>ERNW-ALL</t>
  </si>
  <si>
    <t>EBIO,EGEO,EHYD,ELC-SOL,ELC-WND,ELGF,EMSW</t>
  </si>
  <si>
    <t>ICAST_NGA</t>
  </si>
  <si>
    <t>ICF_ALL</t>
  </si>
  <si>
    <t>ICFS*</t>
  </si>
  <si>
    <t>ICF_COA</t>
  </si>
  <si>
    <t>ICFS*COA*</t>
  </si>
  <si>
    <t>ICF_LPG</t>
  </si>
  <si>
    <t>ICFS*LPG*</t>
  </si>
  <si>
    <t>ICF_NGA</t>
  </si>
  <si>
    <t>ICFS*NGA*</t>
  </si>
  <si>
    <t>ICAST_ALL</t>
  </si>
  <si>
    <t>ICA*B*</t>
  </si>
  <si>
    <t>ICF_PFS</t>
  </si>
  <si>
    <t>ICFS*PFS*</t>
  </si>
  <si>
    <t>ICAPH_NGA</t>
  </si>
  <si>
    <t>ICAEPRHNGA</t>
  </si>
  <si>
    <t>ICFA_ALL</t>
  </si>
  <si>
    <t>ICFAC*</t>
  </si>
  <si>
    <t>ICFA_DST</t>
  </si>
  <si>
    <t>ICFACDST*</t>
  </si>
  <si>
    <t>ICFA_ELC</t>
  </si>
  <si>
    <t>ICFACELC*</t>
  </si>
  <si>
    <t>ICFA_LPG</t>
  </si>
  <si>
    <t>ICFACLPG*</t>
  </si>
  <si>
    <t>ICFA_NGA</t>
  </si>
  <si>
    <t>ICFACNGA*</t>
  </si>
  <si>
    <t>ICFA_RFL</t>
  </si>
  <si>
    <t>ICFACRFL*</t>
  </si>
  <si>
    <t>ICIFA_ALL</t>
  </si>
  <si>
    <t>ICIEFAC*</t>
  </si>
  <si>
    <t>ICF_OTH</t>
  </si>
  <si>
    <t>ICF*OTH*</t>
  </si>
  <si>
    <t>ICAFS_NGA</t>
  </si>
  <si>
    <t>ICAEFEDNGA</t>
  </si>
  <si>
    <t>DMD_CMISC</t>
  </si>
  <si>
    <t>ETH_IMP</t>
  </si>
  <si>
    <t>ETHIMP</t>
  </si>
  <si>
    <t>ETHANOL PROCESSES</t>
  </si>
  <si>
    <t>ICAFA_ALL</t>
  </si>
  <si>
    <t>ICAEFAC*</t>
  </si>
  <si>
    <t>ICAFA_DST</t>
  </si>
  <si>
    <t>ICAEFACDST</t>
  </si>
  <si>
    <t>ICAFA_ELC</t>
  </si>
  <si>
    <t>ICAEFACELC</t>
  </si>
  <si>
    <t>ICAST_CHP</t>
  </si>
  <si>
    <t>ICABOLFSTM</t>
  </si>
  <si>
    <t>ICAFS_ALL</t>
  </si>
  <si>
    <t>ICAEFED*</t>
  </si>
  <si>
    <t>ETH_ALL</t>
  </si>
  <si>
    <t>CRNETH</t>
  </si>
  <si>
    <t>ICAFS_PFS</t>
  </si>
  <si>
    <t>ICAEFEDPFS</t>
  </si>
  <si>
    <t>ICAMD_ALL</t>
  </si>
  <si>
    <t>ICAEMDR*</t>
  </si>
  <si>
    <t>ICAMD_ELC</t>
  </si>
  <si>
    <t>ICAEMDRELC</t>
  </si>
  <si>
    <t>ICAMD_NGA</t>
  </si>
  <si>
    <t>ICAEMDRNGA</t>
  </si>
  <si>
    <t>ICAPH_ALL</t>
  </si>
  <si>
    <t>ICAEPRH*</t>
  </si>
  <si>
    <t>ICAPH_COA</t>
  </si>
  <si>
    <t>ICAEPRHCOA</t>
  </si>
  <si>
    <t>ICAPH_ELC</t>
  </si>
  <si>
    <t>ICAEPRHELC</t>
  </si>
  <si>
    <t>ICAFA_NGA</t>
  </si>
  <si>
    <t>ICAEFACNGA</t>
  </si>
  <si>
    <t>COM-PV</t>
  </si>
  <si>
    <t>ESOLPVCOM</t>
  </si>
  <si>
    <t>CRF-WIC</t>
  </si>
  <si>
    <t>CRFWIR*</t>
  </si>
  <si>
    <t>CLT-INC</t>
  </si>
  <si>
    <t>CLTINC*</t>
  </si>
  <si>
    <t>CLT-LED</t>
  </si>
  <si>
    <t>CLT*</t>
  </si>
  <si>
    <t>*LED*</t>
  </si>
  <si>
    <t>CLT-T5</t>
  </si>
  <si>
    <t>CLT*T5*</t>
  </si>
  <si>
    <t>CLT-T8</t>
  </si>
  <si>
    <t>CLT*T8*</t>
  </si>
  <si>
    <t>CMISC</t>
  </si>
  <si>
    <t>COF*</t>
  </si>
  <si>
    <t>CLT-HAL</t>
  </si>
  <si>
    <t>CLTHAL*</t>
  </si>
  <si>
    <t>COF-ALL</t>
  </si>
  <si>
    <t>COF.ELC.OFFEQUP</t>
  </si>
  <si>
    <t>CLT-CFL</t>
  </si>
  <si>
    <t>CLTCFL*</t>
  </si>
  <si>
    <t>CRF-ALL</t>
  </si>
  <si>
    <t>CRF*</t>
  </si>
  <si>
    <t>CRF-BEV</t>
  </si>
  <si>
    <t>CRFBV*</t>
  </si>
  <si>
    <t>CRF-CEN</t>
  </si>
  <si>
    <t>CRFCEN*</t>
  </si>
  <si>
    <t>CRF-ICM</t>
  </si>
  <si>
    <t>CRFICM*</t>
  </si>
  <si>
    <t>CRF-RIF</t>
  </si>
  <si>
    <t>CRFRIF*</t>
  </si>
  <si>
    <t>CRF-RIR</t>
  </si>
  <si>
    <t>CRFRIR*</t>
  </si>
  <si>
    <t>DMD_COFF</t>
  </si>
  <si>
    <t>COAL TO CHP</t>
  </si>
  <si>
    <t>SCEBSTCE*</t>
  </si>
  <si>
    <t>CCK-ELC</t>
  </si>
  <si>
    <t>CCKEL*</t>
  </si>
  <si>
    <t>_ALLTECH</t>
  </si>
  <si>
    <t>TCH</t>
  </si>
  <si>
    <t>BIODIESEL PROCESSES</t>
  </si>
  <si>
    <t>*BDL*</t>
  </si>
  <si>
    <t>BIOF_ADV2</t>
  </si>
  <si>
    <t>PRODUCTION OF*</t>
  </si>
  <si>
    <t>BIOFUELS PROCESSES</t>
  </si>
  <si>
    <t>BIOMASS CORN</t>
  </si>
  <si>
    <t>RNWBCRN*</t>
  </si>
  <si>
    <t>BIOMASS PROCESSES</t>
  </si>
  <si>
    <t>CLT-HID</t>
  </si>
  <si>
    <t>*HID*</t>
  </si>
  <si>
    <t>CCK-ALL</t>
  </si>
  <si>
    <t>CRF-WIF</t>
  </si>
  <si>
    <t>CRFWIF*</t>
  </si>
  <si>
    <t>CCK-NG</t>
  </si>
  <si>
    <t>CCKNG*</t>
  </si>
  <si>
    <t>CCK-OVN</t>
  </si>
  <si>
    <t>*INDUCTION*</t>
  </si>
  <si>
    <t>CCK-RNG</t>
  </si>
  <si>
    <t>*RANGE*</t>
  </si>
  <si>
    <t>CCS TECHS</t>
  </si>
  <si>
    <t>E*CCS*</t>
  </si>
  <si>
    <t>CHPI_ALL</t>
  </si>
  <si>
    <t>I*BST*</t>
  </si>
  <si>
    <t>CHPI_NG</t>
  </si>
  <si>
    <t>I*BSTNGA</t>
  </si>
  <si>
    <t>CLT-ALL</t>
  </si>
  <si>
    <t>CANIMP</t>
  </si>
  <si>
    <t>SCNGAC*</t>
  </si>
  <si>
    <t>CWH-EHP</t>
  </si>
  <si>
    <t>CWHEHP*</t>
  </si>
  <si>
    <t>CRF-RVM</t>
  </si>
  <si>
    <t>CRFRVM*</t>
  </si>
  <si>
    <t>CTL-ALL</t>
  </si>
  <si>
    <t>PCOADSU*</t>
  </si>
  <si>
    <t>CTN-ALL</t>
  </si>
  <si>
    <t>PCOASNG*</t>
  </si>
  <si>
    <t>CVT-ALL</t>
  </si>
  <si>
    <t>CVT-CAV</t>
  </si>
  <si>
    <t>*CAV*</t>
  </si>
  <si>
    <t>CVT-VAV</t>
  </si>
  <si>
    <t>*VAV*</t>
  </si>
  <si>
    <t>CSH-FUR</t>
  </si>
  <si>
    <t>*Furnace*</t>
  </si>
  <si>
    <t>CWH-DSL</t>
  </si>
  <si>
    <t>COMDSL</t>
  </si>
  <si>
    <t>CSH-ELO</t>
  </si>
  <si>
    <t>CSHELO*</t>
  </si>
  <si>
    <t>CWH-ELC</t>
  </si>
  <si>
    <t>*SOLAR*</t>
  </si>
  <si>
    <t>CWH-NG</t>
  </si>
  <si>
    <t>CWHN*</t>
  </si>
  <si>
    <t>CWH-NGI</t>
  </si>
  <si>
    <t>CWHNGI*</t>
  </si>
  <si>
    <t>CWH-SOL</t>
  </si>
  <si>
    <t>CWHSLN*</t>
  </si>
  <si>
    <t>DMD_CCK</t>
  </si>
  <si>
    <t>DMD_CLT</t>
  </si>
  <si>
    <t>ICIFS_ALL</t>
  </si>
  <si>
    <t>ICIEFED*</t>
  </si>
  <si>
    <t>CWH-ALL</t>
  </si>
  <si>
    <t>CSC-NG</t>
  </si>
  <si>
    <t>COMNGA</t>
  </si>
  <si>
    <t>CSC-AHP</t>
  </si>
  <si>
    <t>CSCAHP*</t>
  </si>
  <si>
    <t>CSC-ALL</t>
  </si>
  <si>
    <t>CSC-CC</t>
  </si>
  <si>
    <t>CSCCC*</t>
  </si>
  <si>
    <t>CSC-CEN</t>
  </si>
  <si>
    <t>CSCCAC*</t>
  </si>
  <si>
    <t>CSC-CH</t>
  </si>
  <si>
    <t>*chiller*</t>
  </si>
  <si>
    <t>CSC-ELC</t>
  </si>
  <si>
    <t>CSH-NG</t>
  </si>
  <si>
    <t>CSC-HP</t>
  </si>
  <si>
    <t>*HP*</t>
  </si>
  <si>
    <t>DMD_CMISS</t>
  </si>
  <si>
    <t>CSC-RC</t>
  </si>
  <si>
    <t>CSCCRC*</t>
  </si>
  <si>
    <t>CSC-RF</t>
  </si>
  <si>
    <t>CSCRAC*</t>
  </si>
  <si>
    <t>CSC-WW</t>
  </si>
  <si>
    <t>CSCWAC*</t>
  </si>
  <si>
    <t>CSH-ALL</t>
  </si>
  <si>
    <t>CSH-BLR</t>
  </si>
  <si>
    <t>*Boiler*</t>
  </si>
  <si>
    <t>CSH-DSL</t>
  </si>
  <si>
    <t>CSH-ELC</t>
  </si>
  <si>
    <t>CSC-GHP</t>
  </si>
  <si>
    <t>CSCGHP*</t>
  </si>
  <si>
    <t>ICS_RFL</t>
  </si>
  <si>
    <t>ICB*RFL*</t>
  </si>
  <si>
    <t>ICTFS_NGA</t>
  </si>
  <si>
    <t>ICTEFEDNGA</t>
  </si>
  <si>
    <t>ICS_ALL</t>
  </si>
  <si>
    <t>ICB*</t>
  </si>
  <si>
    <t>ICS_COA</t>
  </si>
  <si>
    <t>ICB*COA*</t>
  </si>
  <si>
    <t>ICS_DST</t>
  </si>
  <si>
    <t>ICB*DST*</t>
  </si>
  <si>
    <t>ICS_ELC</t>
  </si>
  <si>
    <t>ICB*ELC*</t>
  </si>
  <si>
    <t>ICS_FTSM</t>
  </si>
  <si>
    <t>ICB*FSTM*</t>
  </si>
  <si>
    <t>ICPST_LPG</t>
  </si>
  <si>
    <t>ICP*B*LPG</t>
  </si>
  <si>
    <t>ICS_NGA</t>
  </si>
  <si>
    <t>ICB*NGA*</t>
  </si>
  <si>
    <t>ICPST_ELC</t>
  </si>
  <si>
    <t>ICP*B*ELC</t>
  </si>
  <si>
    <t>ICTFA_ALL</t>
  </si>
  <si>
    <t>ICTEFAC*</t>
  </si>
  <si>
    <t>ICTFA_COA</t>
  </si>
  <si>
    <t>ICTEFACCOA</t>
  </si>
  <si>
    <t>ICTFA_DST</t>
  </si>
  <si>
    <t>ICTEFACDST</t>
  </si>
  <si>
    <t>ICTFA_ELC</t>
  </si>
  <si>
    <t>ICTEFACELC</t>
  </si>
  <si>
    <t>ICTFA_NGA</t>
  </si>
  <si>
    <t>ICTEFACNGA</t>
  </si>
  <si>
    <t>ICTFS_ALL</t>
  </si>
  <si>
    <t>ICTEFED*</t>
  </si>
  <si>
    <t>ICPFS_LPG</t>
  </si>
  <si>
    <t>ICPEFEDLPG</t>
  </si>
  <si>
    <t>ICS_LPG</t>
  </si>
  <si>
    <t>ICB*LPG*</t>
  </si>
  <si>
    <t>ICPOH_OTP</t>
  </si>
  <si>
    <t>ICPEOHTOTP</t>
  </si>
  <si>
    <t>ICIFA_ELC</t>
  </si>
  <si>
    <t>ICIEFACELC</t>
  </si>
  <si>
    <t>ICPFS_PFS</t>
  </si>
  <si>
    <t>ICPEFEDPFS</t>
  </si>
  <si>
    <t>ICPMD_ALL</t>
  </si>
  <si>
    <t>ICPEMDR*</t>
  </si>
  <si>
    <t>ICPMD_ELC</t>
  </si>
  <si>
    <t>ICPEMDRELC</t>
  </si>
  <si>
    <t>ICPMD_NGA</t>
  </si>
  <si>
    <t>ICPEMDRNGA</t>
  </si>
  <si>
    <t>ICPOH_ALL</t>
  </si>
  <si>
    <t>ICP*B*BIO,ICP*B*WOD,ICP*B*WOD,ICP*B*TOM,ICPEOHT*,ICPOHTOSTM</t>
  </si>
  <si>
    <t>ICP*BST*</t>
  </si>
  <si>
    <t>ICPST_NGA</t>
  </si>
  <si>
    <t>ICPOH_ELC</t>
  </si>
  <si>
    <t>ICPEOHTELC</t>
  </si>
  <si>
    <t>ICTFS_OTP</t>
  </si>
  <si>
    <t>ICTEFEDOTP</t>
  </si>
  <si>
    <t>ICPOH_RFL</t>
  </si>
  <si>
    <t>ICPEOHTRFL</t>
  </si>
  <si>
    <t>ICPPH_ALL</t>
  </si>
  <si>
    <t>ICPEPRH*</t>
  </si>
  <si>
    <t>ICPPH_ELC</t>
  </si>
  <si>
    <t>ICPEPRHELC</t>
  </si>
  <si>
    <t>ICPPH_NGA</t>
  </si>
  <si>
    <t>ICPEPRHNGA</t>
  </si>
  <si>
    <t>ICPST_ALL</t>
  </si>
  <si>
    <t>ICP*B*,ICPBOLFSTM</t>
  </si>
  <si>
    <t>ICPST_CHP</t>
  </si>
  <si>
    <t>ICPBOLFSTM</t>
  </si>
  <si>
    <t>ICPST_COA</t>
  </si>
  <si>
    <t>ICPOH_DST</t>
  </si>
  <si>
    <t>ICPEOHTDST</t>
  </si>
  <si>
    <t>IFDFA_DST</t>
  </si>
  <si>
    <t>IFDEFACDST</t>
  </si>
  <si>
    <t>ICTFS_BIO</t>
  </si>
  <si>
    <t>ICTEFEDBIO</t>
  </si>
  <si>
    <t>ICTST_COA</t>
  </si>
  <si>
    <t>ICTST_DST</t>
  </si>
  <si>
    <t>ICTST_ELC</t>
  </si>
  <si>
    <t>ICT*B*ELC</t>
  </si>
  <si>
    <t>ICTST_NGA</t>
  </si>
  <si>
    <t>ICTST_RFL</t>
  </si>
  <si>
    <t>ICTST_ALL</t>
  </si>
  <si>
    <t>ICT*B*</t>
  </si>
  <si>
    <t>IFDFA_COA</t>
  </si>
  <si>
    <t>IFDEFACCOA</t>
  </si>
  <si>
    <t>ICTPH_RFL</t>
  </si>
  <si>
    <t>ICTEPRHRFL</t>
  </si>
  <si>
    <t>INOMD_DST</t>
  </si>
  <si>
    <t>INOEMDRDST</t>
  </si>
  <si>
    <t>IFDFA_LPG</t>
  </si>
  <si>
    <t>IFDEFACLPG</t>
  </si>
  <si>
    <t>INMD*</t>
  </si>
  <si>
    <t>IFDFS_ALL</t>
  </si>
  <si>
    <t>IFDEFED*</t>
  </si>
  <si>
    <t>IFDFS_BIO</t>
  </si>
  <si>
    <t>IFDEFEDBIO</t>
  </si>
  <si>
    <t>IFDFS_LPG</t>
  </si>
  <si>
    <t>IFDEFEDLPG</t>
  </si>
  <si>
    <t>IFDFS_NGA</t>
  </si>
  <si>
    <t>IFDEFEDNGA</t>
  </si>
  <si>
    <t>IFDFA_ALL</t>
  </si>
  <si>
    <t>IFDEFAC*</t>
  </si>
  <si>
    <t>ICTOH_CHP</t>
  </si>
  <si>
    <t>ICTOHTOSTM</t>
  </si>
  <si>
    <t>ICTFS_PTC</t>
  </si>
  <si>
    <t>ICTEFEDPTC</t>
  </si>
  <si>
    <t>ICTFS_RFL</t>
  </si>
  <si>
    <t>ICTEFEDRFL</t>
  </si>
  <si>
    <t>ICTMD_ALL</t>
  </si>
  <si>
    <t>ICTEMDR*</t>
  </si>
  <si>
    <t>ICTMD_DST</t>
  </si>
  <si>
    <t>ICTEMDRDST</t>
  </si>
  <si>
    <t>ICTMD_ELC</t>
  </si>
  <si>
    <t>ICTEMDRELC</t>
  </si>
  <si>
    <t>ICTMD_NGA</t>
  </si>
  <si>
    <t>ICTEMDRNGA</t>
  </si>
  <si>
    <t>ICTST_CHP</t>
  </si>
  <si>
    <t>ICTBOLFSTM</t>
  </si>
  <si>
    <t>ICTOH_BIO</t>
  </si>
  <si>
    <t>ICPFS_ALL</t>
  </si>
  <si>
    <t>ICPEFED*</t>
  </si>
  <si>
    <t>ICTOH_ELC</t>
  </si>
  <si>
    <t>ICTEOHTELC</t>
  </si>
  <si>
    <t>ICTOH_OTP</t>
  </si>
  <si>
    <t>ICTEOHTOTP</t>
  </si>
  <si>
    <t>ICTOH_PTC</t>
  </si>
  <si>
    <t>ICTEOHTPTC</t>
  </si>
  <si>
    <t>ICTPH_ALL</t>
  </si>
  <si>
    <t>ICTEPRH*</t>
  </si>
  <si>
    <t>ICTPH_DST</t>
  </si>
  <si>
    <t>ICTEPRHDST</t>
  </si>
  <si>
    <t>ICTPH_ELC</t>
  </si>
  <si>
    <t>ICTEPRHELC</t>
  </si>
  <si>
    <t>ICTPH_NGA</t>
  </si>
  <si>
    <t>ICTEPRHNGA</t>
  </si>
  <si>
    <t>ICTOH_ALL</t>
  </si>
  <si>
    <t>ICT*B*BIO,ICT*B*WOD,ICT*B*TOM,ICTEOHT*,ICTOHTOSTM</t>
  </si>
  <si>
    <t>ICT*BST*</t>
  </si>
  <si>
    <t>ICOFA_ELC</t>
  </si>
  <si>
    <t>ICOEFACELC</t>
  </si>
  <si>
    <t>ICOH_DST</t>
  </si>
  <si>
    <t>ICOH*DST*</t>
  </si>
  <si>
    <t>ICM_COA</t>
  </si>
  <si>
    <t>ICMDRCOA*</t>
  </si>
  <si>
    <t>ICM_DST</t>
  </si>
  <si>
    <t>ICM*DST*</t>
  </si>
  <si>
    <t>ICM_ELC</t>
  </si>
  <si>
    <t>ICM*ELC*</t>
  </si>
  <si>
    <t>ICM_LPG</t>
  </si>
  <si>
    <t>ICM*LPG*</t>
  </si>
  <si>
    <t>ICM_NGA</t>
  </si>
  <si>
    <t>ICM*NGA*</t>
  </si>
  <si>
    <t>*CHP*</t>
  </si>
  <si>
    <t>ICIST_NGA</t>
  </si>
  <si>
    <t>ICOFA_ALL</t>
  </si>
  <si>
    <t>ICOEFAC*</t>
  </si>
  <si>
    <t>ICIST_COA</t>
  </si>
  <si>
    <t>ICOFA_NGA</t>
  </si>
  <si>
    <t>ICOEFACNGA</t>
  </si>
  <si>
    <t>ICOFS_ALL</t>
  </si>
  <si>
    <t>ICOEFED*</t>
  </si>
  <si>
    <t>ICOFS_LPG</t>
  </si>
  <si>
    <t>ICOEFEDLPG</t>
  </si>
  <si>
    <t>ICOFS_NGA</t>
  </si>
  <si>
    <t>ICOEFEDNGA</t>
  </si>
  <si>
    <t>ICOFS_PFS</t>
  </si>
  <si>
    <t>ICOEFEDPFS</t>
  </si>
  <si>
    <t>ICOH_ALL</t>
  </si>
  <si>
    <t>ICOH*</t>
  </si>
  <si>
    <t>ICPFS_NGA</t>
  </si>
  <si>
    <t>ICPEFEDNGA</t>
  </si>
  <si>
    <t>ICO_RFL</t>
  </si>
  <si>
    <t>ICO*RFL*</t>
  </si>
  <si>
    <t>ICIOH_OTP</t>
  </si>
  <si>
    <t>ICIEOHTOTP</t>
  </si>
  <si>
    <t>IFDMD_ALL</t>
  </si>
  <si>
    <t>IFDEMDR*</t>
  </si>
  <si>
    <t>ICIFS_NGA</t>
  </si>
  <si>
    <t>ICIEFEDNGA</t>
  </si>
  <si>
    <t>ICIFS_PFS</t>
  </si>
  <si>
    <t>ICIEFEDPFS</t>
  </si>
  <si>
    <t>ICIMD_ALL</t>
  </si>
  <si>
    <t>ICIEMDR*</t>
  </si>
  <si>
    <t>ICIMD_ELC</t>
  </si>
  <si>
    <t>ICIEMDRELC</t>
  </si>
  <si>
    <t>ICIMD_NGA</t>
  </si>
  <si>
    <t>ICIEMDRNGA</t>
  </si>
  <si>
    <t>ICM_ALL</t>
  </si>
  <si>
    <t>ICM*</t>
  </si>
  <si>
    <t>ICIOH_ELC</t>
  </si>
  <si>
    <t>ICIEOHTELC</t>
  </si>
  <si>
    <t>ICOH_ELC</t>
  </si>
  <si>
    <t>ICOH*ELC*</t>
  </si>
  <si>
    <t>ICIPH_ALL</t>
  </si>
  <si>
    <t>ICIEPRH*</t>
  </si>
  <si>
    <t>ICIPH_COA</t>
  </si>
  <si>
    <t>ICIEPRHCOA</t>
  </si>
  <si>
    <t>ICIPH_ELC</t>
  </si>
  <si>
    <t>ICIEPRHELC</t>
  </si>
  <si>
    <t>ICIPH_NGA</t>
  </si>
  <si>
    <t>ICIEPRHNGA</t>
  </si>
  <si>
    <t>ICIPH_RFL</t>
  </si>
  <si>
    <t>ICIEPRHRFL</t>
  </si>
  <si>
    <t>ICIST_ALL</t>
  </si>
  <si>
    <t>ICI*B*,ICIBOLFSTM</t>
  </si>
  <si>
    <t>ICIST_CHP</t>
  </si>
  <si>
    <t>ICIBOLFSTM</t>
  </si>
  <si>
    <t>ICIOH_ALL</t>
  </si>
  <si>
    <t>ICI*B*BIO,ICI*B*WOD,ICI*B*TOM,ICIEOHT*,ICIOHTOSTM</t>
  </si>
  <si>
    <t>ICI*BST*</t>
  </si>
  <si>
    <t>ICP_DST</t>
  </si>
  <si>
    <t>ICP*DST*</t>
  </si>
  <si>
    <t>ICOH_COA</t>
  </si>
  <si>
    <t>ICOST_COA</t>
  </si>
  <si>
    <t>ICOST_ELC</t>
  </si>
  <si>
    <t>ICO*B*ELC</t>
  </si>
  <si>
    <t>ICOST_NGA</t>
  </si>
  <si>
    <t>ICOST_RFL</t>
  </si>
  <si>
    <t>ICP</t>
  </si>
  <si>
    <t>ICP*</t>
  </si>
  <si>
    <t>ICOST_ALL</t>
  </si>
  <si>
    <t>ICO*B*,ICOBOLFSTM</t>
  </si>
  <si>
    <t>ICP_COA</t>
  </si>
  <si>
    <t>ICP*COA*</t>
  </si>
  <si>
    <t>ICOPH_NGA</t>
  </si>
  <si>
    <t>ICOEPRHNGA</t>
  </si>
  <si>
    <t>ICP_ELC</t>
  </si>
  <si>
    <t>ICP*ELC*</t>
  </si>
  <si>
    <t>ICP_LPG</t>
  </si>
  <si>
    <t>ICP*LPG*</t>
  </si>
  <si>
    <t>ICP_NGA</t>
  </si>
  <si>
    <t>ICP*NGA*</t>
  </si>
  <si>
    <t>ICP_RFL</t>
  </si>
  <si>
    <t>ICP*RFL*</t>
  </si>
  <si>
    <t>ICPFA_ALL</t>
  </si>
  <si>
    <t>ICPEFAC*</t>
  </si>
  <si>
    <t>ICPFA_ELC</t>
  </si>
  <si>
    <t>ICPEFACELC</t>
  </si>
  <si>
    <t>ICPFA_NGA</t>
  </si>
  <si>
    <t>ICPEFACNGA</t>
  </si>
  <si>
    <t>ICP_ALL</t>
  </si>
  <si>
    <t>ICOOH_ALL</t>
  </si>
  <si>
    <t>ICO*B*BIO,ICO*B*WOD,ICO*B*TOM,ICOEOHT*,ICOOHTOSTM</t>
  </si>
  <si>
    <t>ICO*BST*</t>
  </si>
  <si>
    <t>ICOH_LPG</t>
  </si>
  <si>
    <t>ICOH*LPG*</t>
  </si>
  <si>
    <t>ICOH_NGA</t>
  </si>
  <si>
    <t>ICOH*NGA*</t>
  </si>
  <si>
    <t>ICOH_OTH</t>
  </si>
  <si>
    <t>ICOH*OTH*</t>
  </si>
  <si>
    <t>ICOH_RFL</t>
  </si>
  <si>
    <t>ICOH*RFL*</t>
  </si>
  <si>
    <t>ICOH_RSTM</t>
  </si>
  <si>
    <t>ICOHRSTM*</t>
  </si>
  <si>
    <t>ICOMD_ALL</t>
  </si>
  <si>
    <t>ICOEMDR*</t>
  </si>
  <si>
    <t>ICOST_CHP</t>
  </si>
  <si>
    <t>ICOBOLFSTM</t>
  </si>
  <si>
    <t>ICOMD_NGA</t>
  </si>
  <si>
    <t>ICOEMDRNGA</t>
  </si>
  <si>
    <t>ICIFA_NGA</t>
  </si>
  <si>
    <t>ICIEFACNGA</t>
  </si>
  <si>
    <t>ICOOH_DST</t>
  </si>
  <si>
    <t>ICOEOHTDST</t>
  </si>
  <si>
    <t>ICOOH_LPG</t>
  </si>
  <si>
    <t>ICOEOHTLPG</t>
  </si>
  <si>
    <t>ICOOH_NGA</t>
  </si>
  <si>
    <t>ICOEOHTNGA</t>
  </si>
  <si>
    <t>ICOOH_OTP</t>
  </si>
  <si>
    <t>ICOEOHTOTP</t>
  </si>
  <si>
    <t>ICOPH_ALL</t>
  </si>
  <si>
    <t>ICOEPRH*</t>
  </si>
  <si>
    <t>ICOPH_COA</t>
  </si>
  <si>
    <t>ICOEPRHCOA</t>
  </si>
  <si>
    <t>ICOPH_ELC</t>
  </si>
  <si>
    <t>ICOEPRHELC</t>
  </si>
  <si>
    <t>ICOMD_ELC</t>
  </si>
  <si>
    <t>ICOEMDRELC</t>
  </si>
  <si>
    <t>RLT-RCFL</t>
  </si>
  <si>
    <t>RLTRCFL*</t>
  </si>
  <si>
    <t>REF_COLLECTORS</t>
  </si>
  <si>
    <t>*FROM REF*</t>
  </si>
  <si>
    <t>RLT-EHAL</t>
  </si>
  <si>
    <t>RLTEHPS*</t>
  </si>
  <si>
    <t>RLT-EINC</t>
  </si>
  <si>
    <t>RLTEINC*</t>
  </si>
  <si>
    <t>RLT-EXT</t>
  </si>
  <si>
    <t>RLTE*</t>
  </si>
  <si>
    <t>RLT-GSL</t>
  </si>
  <si>
    <t>RLT*</t>
  </si>
  <si>
    <t>RLT-INC</t>
  </si>
  <si>
    <t>RLTGINC*</t>
  </si>
  <si>
    <t>RLT-CFL</t>
  </si>
  <si>
    <t>RLT*CFL*</t>
  </si>
  <si>
    <t>RLT-LFL</t>
  </si>
  <si>
    <t>RLTL*</t>
  </si>
  <si>
    <t>RLT-ALL</t>
  </si>
  <si>
    <t>RLT-REF</t>
  </si>
  <si>
    <t>RLTR*</t>
  </si>
  <si>
    <t>RLT-RHAL</t>
  </si>
  <si>
    <t>RLTRHAL*</t>
  </si>
  <si>
    <t>RLT-RINC</t>
  </si>
  <si>
    <t>RLTRINC*</t>
  </si>
  <si>
    <t>RMISC</t>
  </si>
  <si>
    <t>ROTH*</t>
  </si>
  <si>
    <t>RNW_ALL</t>
  </si>
  <si>
    <t>EB*,ESOL*,EWND*,ELFG*,EMSW*,ECHPB*,EHY*</t>
  </si>
  <si>
    <t>ROTH</t>
  </si>
  <si>
    <t>RO*</t>
  </si>
  <si>
    <t>RLT-LED</t>
  </si>
  <si>
    <t>RLTGLED*</t>
  </si>
  <si>
    <t>RES-ELC</t>
  </si>
  <si>
    <t>ITP_ELC</t>
  </si>
  <si>
    <t>ITP*ELC*</t>
  </si>
  <si>
    <t>REFOUT-ASP</t>
  </si>
  <si>
    <t>*ASP_E</t>
  </si>
  <si>
    <t>REFOUT-JTF</t>
  </si>
  <si>
    <t>*JTF_E</t>
  </si>
  <si>
    <t>REFOUT-LPG</t>
  </si>
  <si>
    <t>*LPG_E</t>
  </si>
  <si>
    <t>REFOUT-PFS</t>
  </si>
  <si>
    <t>*PFS_E</t>
  </si>
  <si>
    <t>REFOUT-PTC</t>
  </si>
  <si>
    <t>*PTC_E</t>
  </si>
  <si>
    <t>RLT-ECFL</t>
  </si>
  <si>
    <t>RLTECFL*</t>
  </si>
  <si>
    <t>RES</t>
  </si>
  <si>
    <t>RNW*</t>
  </si>
  <si>
    <t>RPS_R2_T1</t>
  </si>
  <si>
    <t>ELC-GEO,ELC-SOL,ELC-WND</t>
  </si>
  <si>
    <t>RESID CHECK</t>
  </si>
  <si>
    <t>RES-LIQ</t>
  </si>
  <si>
    <t>RESLPG,RESKER,RESDSL</t>
  </si>
  <si>
    <t>RES-NG</t>
  </si>
  <si>
    <t>RESNGA</t>
  </si>
  <si>
    <t>RES-PV</t>
  </si>
  <si>
    <t>ESOLPVRES</t>
  </si>
  <si>
    <t>RETROFITS_ALL</t>
  </si>
  <si>
    <t>RFZ</t>
  </si>
  <si>
    <t>RFZ*</t>
  </si>
  <si>
    <t>REFOUT-RFL</t>
  </si>
  <si>
    <t>*RFL_E</t>
  </si>
  <si>
    <t>RSH-KER</t>
  </si>
  <si>
    <t>RSH*</t>
  </si>
  <si>
    <t>RESKER</t>
  </si>
  <si>
    <t>RSC-NG</t>
  </si>
  <si>
    <t>RSC*</t>
  </si>
  <si>
    <t>RSC-RAC</t>
  </si>
  <si>
    <t>RSCRAC*</t>
  </si>
  <si>
    <t>RSH-ALL</t>
  </si>
  <si>
    <t>RSH-BIO</t>
  </si>
  <si>
    <t>RESBIO</t>
  </si>
  <si>
    <t>RSH-DSL</t>
  </si>
  <si>
    <t>RESDSL</t>
  </si>
  <si>
    <t>RSH-ELC</t>
  </si>
  <si>
    <t>RPS_R1_T1</t>
  </si>
  <si>
    <t>ELC-SOL,ELC-WND</t>
  </si>
  <si>
    <t>RSH-HP</t>
  </si>
  <si>
    <t>RSH*HP*</t>
  </si>
  <si>
    <t>RSC-ALL</t>
  </si>
  <si>
    <t>RSH-LPG</t>
  </si>
  <si>
    <t>RESLPG</t>
  </si>
  <si>
    <t>RSH-NG</t>
  </si>
  <si>
    <t>RSH-RD</t>
  </si>
  <si>
    <t>RSH*RD*</t>
  </si>
  <si>
    <t>RWH-ALL</t>
  </si>
  <si>
    <t>RWH-DSL</t>
  </si>
  <si>
    <t>RWH-ELC</t>
  </si>
  <si>
    <t>RSH-FUR</t>
  </si>
  <si>
    <t>RSH*FR*</t>
  </si>
  <si>
    <t>RPS_R4_T3</t>
  </si>
  <si>
    <t>ELC-BIO,ELC-LFG,ELC-MSW,ELC-SOL,ELC-WND</t>
  </si>
  <si>
    <t>PRI_MIN</t>
  </si>
  <si>
    <t>RPS_R2_T2</t>
  </si>
  <si>
    <t>ELC-BIO,ELC-GEO,ELC-SOL,ELC-WND</t>
  </si>
  <si>
    <t>RPS_R2_T3</t>
  </si>
  <si>
    <t>ELC-BIO,ELC-GEO,ELC-MSW,ELC-SOL,ELC-WND</t>
  </si>
  <si>
    <t>RPS_R3_T1</t>
  </si>
  <si>
    <t>RPS_R3_T2</t>
  </si>
  <si>
    <t>RPS_R3_T3</t>
  </si>
  <si>
    <t>ELC-BIO,ELC-GEO,ELC-LFG,ELC-MSW,ELC-NUK,ELC-SOL,ELC-WND</t>
  </si>
  <si>
    <t>ECOALIGCCS</t>
  </si>
  <si>
    <t>RSC-HP</t>
  </si>
  <si>
    <t>RSC*HP*</t>
  </si>
  <si>
    <t>RPS_R4_T2</t>
  </si>
  <si>
    <t>RSC-CEN</t>
  </si>
  <si>
    <t>*CAC*</t>
  </si>
  <si>
    <t>RPS_R5_T1</t>
  </si>
  <si>
    <t>ELC-BIO,ELC-GEO,ELC-LFG,ELC-SOL,ELC-WND</t>
  </si>
  <si>
    <t>RPS_R5_T2</t>
  </si>
  <si>
    <t>ELC-BIO,ELC-GEO,ELC-LFG,ELC-NGA,ELC-SOL,ELC-WND</t>
  </si>
  <si>
    <t>RPS_R7_T1</t>
  </si>
  <si>
    <t>ELC-BIO,ELC-GEO,ELC-LFG,ELC-MSW,ELC-SOL,ELC-WND</t>
  </si>
  <si>
    <t>RPS_R8_T1</t>
  </si>
  <si>
    <t>RPS_R9_T1</t>
  </si>
  <si>
    <t>RRF</t>
  </si>
  <si>
    <t>RRF*</t>
  </si>
  <si>
    <t>RPS_R1_T2</t>
  </si>
  <si>
    <t>RPS_R4_T1</t>
  </si>
  <si>
    <t>LDCONVC</t>
  </si>
  <si>
    <t>TL*</t>
  </si>
  <si>
    <t>*.CONV.*</t>
  </si>
  <si>
    <t>REFINERIES</t>
  </si>
  <si>
    <t>IXO_KER</t>
  </si>
  <si>
    <t>PRC</t>
  </si>
  <si>
    <t>XIOTHKER</t>
  </si>
  <si>
    <t>LDADVEC</t>
  </si>
  <si>
    <t>*.AE85.*</t>
  </si>
  <si>
    <t>LDADVET</t>
  </si>
  <si>
    <t>LDADVGC</t>
  </si>
  <si>
    <t>*.AGSL.*</t>
  </si>
  <si>
    <t>LDADVGT</t>
  </si>
  <si>
    <t>IXO_ETH</t>
  </si>
  <si>
    <t>XIOTHETH</t>
  </si>
  <si>
    <t>LDCNGT</t>
  </si>
  <si>
    <t>*.CNG*.*</t>
  </si>
  <si>
    <t>IXO_ALL</t>
  </si>
  <si>
    <t>XIOTH*</t>
  </si>
  <si>
    <t>LDCONVT</t>
  </si>
  <si>
    <t>LDDSLC</t>
  </si>
  <si>
    <t>*.DSL.*</t>
  </si>
  <si>
    <t>LDDSLT</t>
  </si>
  <si>
    <t>LDE85C</t>
  </si>
  <si>
    <t>*.ETHX.*</t>
  </si>
  <si>
    <t>LDE85T</t>
  </si>
  <si>
    <t>LDELCC</t>
  </si>
  <si>
    <t>*.ELC.*</t>
  </si>
  <si>
    <t>LDCNGC</t>
  </si>
  <si>
    <t>ITS_RFL</t>
  </si>
  <si>
    <t>ITB*RFL*</t>
  </si>
  <si>
    <t>INOH_RFL</t>
  </si>
  <si>
    <t>INOH*RFL*</t>
  </si>
  <si>
    <t>ITP_NGA</t>
  </si>
  <si>
    <t>ITP*NGA*</t>
  </si>
  <si>
    <t>ITS_ALL</t>
  </si>
  <si>
    <t>ITB*</t>
  </si>
  <si>
    <t>ITS_COA</t>
  </si>
  <si>
    <t>ITB*COA*</t>
  </si>
  <si>
    <t>ITS_DST</t>
  </si>
  <si>
    <t>ITB*DST*</t>
  </si>
  <si>
    <t>ITS_ELC</t>
  </si>
  <si>
    <t>ITB*ELC*</t>
  </si>
  <si>
    <t>IXO_JTF</t>
  </si>
  <si>
    <t>XIOTHJTF</t>
  </si>
  <si>
    <t>ITS_NGA</t>
  </si>
  <si>
    <t>ITB*NGA*</t>
  </si>
  <si>
    <t>LDFCGT</t>
  </si>
  <si>
    <t>*.FCG.*</t>
  </si>
  <si>
    <t>IXN_ALL</t>
  </si>
  <si>
    <t>IXN*</t>
  </si>
  <si>
    <t>IXN_ASP</t>
  </si>
  <si>
    <t>IXN*ASP*</t>
  </si>
  <si>
    <t>IXN_BIO</t>
  </si>
  <si>
    <t>IXN*BIO*</t>
  </si>
  <si>
    <t>IXN_ELC</t>
  </si>
  <si>
    <t>IXN*ELC*</t>
  </si>
  <si>
    <t>IXN_LPG</t>
  </si>
  <si>
    <t>IXN*LPG*</t>
  </si>
  <si>
    <t>IXN_NGA</t>
  </si>
  <si>
    <t>IXN*NGA*</t>
  </si>
  <si>
    <t>ITS_FSTM</t>
  </si>
  <si>
    <t>ITB*FSTM*</t>
  </si>
  <si>
    <t>NGA_CO2</t>
  </si>
  <si>
    <t>SEN*</t>
  </si>
  <si>
    <t>LDP20GT</t>
  </si>
  <si>
    <t>*.P20G.*</t>
  </si>
  <si>
    <t>LDP40EC</t>
  </si>
  <si>
    <t>*.PHVE.*</t>
  </si>
  <si>
    <t>LDP40ET</t>
  </si>
  <si>
    <t>LDP40GC</t>
  </si>
  <si>
    <t>*.PHVG.*</t>
  </si>
  <si>
    <t>LDP40GT</t>
  </si>
  <si>
    <t>MINCOAL</t>
  </si>
  <si>
    <t>MINC*</t>
  </si>
  <si>
    <t>LDELCT</t>
  </si>
  <si>
    <t>NGA_ALL</t>
  </si>
  <si>
    <t>CON</t>
  </si>
  <si>
    <t>EN*</t>
  </si>
  <si>
    <t>LDP20EC</t>
  </si>
  <si>
    <t>*.P20E.*</t>
  </si>
  <si>
    <t>NGAD-ALL</t>
  </si>
  <si>
    <t>MINNGAD*</t>
  </si>
  <si>
    <t>NOX RETROFITS 1</t>
  </si>
  <si>
    <t>*LNB*</t>
  </si>
  <si>
    <t>NOX RETROFITS 2</t>
  </si>
  <si>
    <t>SEC*2*</t>
  </si>
  <si>
    <t>NUC_ALL</t>
  </si>
  <si>
    <t>OIL_ALL</t>
  </si>
  <si>
    <t>ED*</t>
  </si>
  <si>
    <t>OILD-ALL</t>
  </si>
  <si>
    <t>MINOILD*</t>
  </si>
  <si>
    <t>MINNGA</t>
  </si>
  <si>
    <t>MINNG*</t>
  </si>
  <si>
    <t>LDHEVGT</t>
  </si>
  <si>
    <t>*.HEV.*</t>
  </si>
  <si>
    <t>RWH-NG</t>
  </si>
  <si>
    <t>LDFCHC</t>
  </si>
  <si>
    <t>*.FCH.*</t>
  </si>
  <si>
    <t>LDFCHT</t>
  </si>
  <si>
    <t>LDHEVDC</t>
  </si>
  <si>
    <t>*.DHEV.*</t>
  </si>
  <si>
    <t>LDHEVDT</t>
  </si>
  <si>
    <t>LDHEVEC</t>
  </si>
  <si>
    <t>*.HE85.*</t>
  </si>
  <si>
    <t>LDP20GC</t>
  </si>
  <si>
    <t>LDHEVGC</t>
  </si>
  <si>
    <t>LDP20ET</t>
  </si>
  <si>
    <t>LDLPGC</t>
  </si>
  <si>
    <t>*.LPG.*</t>
  </si>
  <si>
    <t>LDLPGT</t>
  </si>
  <si>
    <t>LDMODEC</t>
  </si>
  <si>
    <t>*.ME85.*</t>
  </si>
  <si>
    <t>LDMODET</t>
  </si>
  <si>
    <t>LDMODGC</t>
  </si>
  <si>
    <t>*.MGSL.*</t>
  </si>
  <si>
    <t>LDMODGT</t>
  </si>
  <si>
    <t>LDFCGC</t>
  </si>
  <si>
    <t>LDHEVET</t>
  </si>
  <si>
    <t>TL-PHEV10</t>
  </si>
  <si>
    <t>TL*P10*</t>
  </si>
  <si>
    <t>RWH-INST</t>
  </si>
  <si>
    <t>RWHEWHV4*</t>
  </si>
  <si>
    <t>TL-LPGX</t>
  </si>
  <si>
    <t>*LPGX*</t>
  </si>
  <si>
    <t>TLLS-ALL</t>
  </si>
  <si>
    <t>TLLS*</t>
  </si>
  <si>
    <t>TLM-ALL</t>
  </si>
  <si>
    <t>TLM*</t>
  </si>
  <si>
    <t>TLMC-ALL</t>
  </si>
  <si>
    <t>TLMC*</t>
  </si>
  <si>
    <t>TLP-ALL</t>
  </si>
  <si>
    <t>TLP*</t>
  </si>
  <si>
    <t>TL-HEV</t>
  </si>
  <si>
    <t>*GSL*HEV*</t>
  </si>
  <si>
    <t>TL-PHEV</t>
  </si>
  <si>
    <t>TL*PHV*</t>
  </si>
  <si>
    <t>TL-H2FCV</t>
  </si>
  <si>
    <t>TL*FCH*</t>
  </si>
  <si>
    <t>TL-PHEV20</t>
  </si>
  <si>
    <t>TL*P20*</t>
  </si>
  <si>
    <t>TL-PHEV40</t>
  </si>
  <si>
    <t>TL-PHEV40E</t>
  </si>
  <si>
    <t>TL*PHVE*</t>
  </si>
  <si>
    <t>TLSS-ALL</t>
  </si>
  <si>
    <t>TLSS*</t>
  </si>
  <si>
    <t>TL-TLC</t>
  </si>
  <si>
    <t>TLC*</t>
  </si>
  <si>
    <t>*.C.*</t>
  </si>
  <si>
    <t>TL-TLF</t>
  </si>
  <si>
    <t>TLF*</t>
  </si>
  <si>
    <t>*.F.*</t>
  </si>
  <si>
    <t>TLPG_ALL</t>
  </si>
  <si>
    <t>T*LPG*</t>
  </si>
  <si>
    <t>TLEP-ALL</t>
  </si>
  <si>
    <t>TLEP*</t>
  </si>
  <si>
    <t>TLEC-ALL</t>
  </si>
  <si>
    <t>TLEC*</t>
  </si>
  <si>
    <t>TLEF-ALL</t>
  </si>
  <si>
    <t>TLEF*</t>
  </si>
  <si>
    <t>TL-ELC</t>
  </si>
  <si>
    <t>*ELC</t>
  </si>
  <si>
    <t>TL-ELCA</t>
  </si>
  <si>
    <t>TL*ELC</t>
  </si>
  <si>
    <t>TL-ELCB</t>
  </si>
  <si>
    <t>TL*ELCB</t>
  </si>
  <si>
    <t>TLELS-ALL</t>
  </si>
  <si>
    <t>TLELS*</t>
  </si>
  <si>
    <t>TL-LPG</t>
  </si>
  <si>
    <t>TRNLPG*</t>
  </si>
  <si>
    <t>TLEMC-ALL</t>
  </si>
  <si>
    <t>TLEMC*</t>
  </si>
  <si>
    <t>TL-TLMC</t>
  </si>
  <si>
    <t>TL*MC*</t>
  </si>
  <si>
    <t>TLESS-ALL</t>
  </si>
  <si>
    <t>TLESS*</t>
  </si>
  <si>
    <t>TL-ETHX</t>
  </si>
  <si>
    <t>*ETHX*</t>
  </si>
  <si>
    <t>TLF-ALL</t>
  </si>
  <si>
    <t>TL-FCV</t>
  </si>
  <si>
    <t>TL-GSL</t>
  </si>
  <si>
    <t>TLGSL</t>
  </si>
  <si>
    <t>TL-H2</t>
  </si>
  <si>
    <t>TRNH2</t>
  </si>
  <si>
    <t>TLEM-ALL</t>
  </si>
  <si>
    <t>TLEM*</t>
  </si>
  <si>
    <t>TRP-IR</t>
  </si>
  <si>
    <t>*intercity*</t>
  </si>
  <si>
    <t>TRP</t>
  </si>
  <si>
    <t>TRF-ALL</t>
  </si>
  <si>
    <t>TRF-B20</t>
  </si>
  <si>
    <t>TRFB*</t>
  </si>
  <si>
    <t>TRH_ALL</t>
  </si>
  <si>
    <t>T*RFH*</t>
  </si>
  <si>
    <t>TRP-ALL</t>
  </si>
  <si>
    <t>TRPCR</t>
  </si>
  <si>
    <t>COMMUTER RAIL*</t>
  </si>
  <si>
    <t>TRP-CR</t>
  </si>
  <si>
    <t>Commuter Rail*</t>
  </si>
  <si>
    <t>TL-TLLS</t>
  </si>
  <si>
    <t>*.LS.*</t>
  </si>
  <si>
    <t>TRP-ELC</t>
  </si>
  <si>
    <t>*commuter*</t>
  </si>
  <si>
    <t>TRNELC</t>
  </si>
  <si>
    <t>TRD_NGA_R2</t>
  </si>
  <si>
    <t>TRD_NG*</t>
  </si>
  <si>
    <t>TRP-PT</t>
  </si>
  <si>
    <t>TP*SUB</t>
  </si>
  <si>
    <t>TS-ALL</t>
  </si>
  <si>
    <t>TS*</t>
  </si>
  <si>
    <t>TS-DSH</t>
  </si>
  <si>
    <t>TSDSH*</t>
  </si>
  <si>
    <t>TS-DSL</t>
  </si>
  <si>
    <t>TSDSL*</t>
  </si>
  <si>
    <t>ZTECH_ALL</t>
  </si>
  <si>
    <t>Z*</t>
  </si>
  <si>
    <t>ZZ_ENC_ALL</t>
  </si>
  <si>
    <t>SRCENCP</t>
  </si>
  <si>
    <t>TRP-DSL</t>
  </si>
  <si>
    <t>*Commuter*</t>
  </si>
  <si>
    <t>TM-LPG</t>
  </si>
  <si>
    <t>TM*</t>
  </si>
  <si>
    <t>TRNLPG1</t>
  </si>
  <si>
    <t>TL-DSL</t>
  </si>
  <si>
    <t>TLDSL</t>
  </si>
  <si>
    <t>TL-TLP</t>
  </si>
  <si>
    <t>*.P.*</t>
  </si>
  <si>
    <t>TL-TLSS</t>
  </si>
  <si>
    <t>*.SS.*</t>
  </si>
  <si>
    <t>TM-ALL</t>
  </si>
  <si>
    <t>TM-B20X</t>
  </si>
  <si>
    <t>TMB20X</t>
  </si>
  <si>
    <t>TM-CNG</t>
  </si>
  <si>
    <t>TMC*</t>
  </si>
  <si>
    <t>TR-DSL</t>
  </si>
  <si>
    <t>TRDSL</t>
  </si>
  <si>
    <t>TM-GSL</t>
  </si>
  <si>
    <t>TMG*</t>
  </si>
  <si>
    <t>TRD_OIL</t>
  </si>
  <si>
    <t>TRD_OIL*</t>
  </si>
  <si>
    <t>TMR-DSL</t>
  </si>
  <si>
    <t>TO-DSL</t>
  </si>
  <si>
    <t>TODSL</t>
  </si>
  <si>
    <t>TO-GSL</t>
  </si>
  <si>
    <t>TOGSL1</t>
  </si>
  <si>
    <t>TP-ELC</t>
  </si>
  <si>
    <t>TP*</t>
  </si>
  <si>
    <t>TRADE_GSR</t>
  </si>
  <si>
    <t>TRD_GSR*</t>
  </si>
  <si>
    <t>TRADES</t>
  </si>
  <si>
    <t>TRD*</t>
  </si>
  <si>
    <t>TL-TLM</t>
  </si>
  <si>
    <t>*.M.*</t>
  </si>
  <si>
    <t>TM-DSL</t>
  </si>
  <si>
    <t>TB-ALL</t>
  </si>
  <si>
    <t>TB*</t>
  </si>
  <si>
    <t>SUP_IMP-NGA</t>
  </si>
  <si>
    <t>IMPNGA*</t>
  </si>
  <si>
    <t>SUP_IMP-OIL</t>
  </si>
  <si>
    <t>IMPOIL*</t>
  </si>
  <si>
    <t>SUP_IMP-RFL</t>
  </si>
  <si>
    <t>IMPRF*</t>
  </si>
  <si>
    <t>SUP_IMP-URN</t>
  </si>
  <si>
    <t>IMPUR*,IMPNU*</t>
  </si>
  <si>
    <t>TA-ALL</t>
  </si>
  <si>
    <t>TA*</t>
  </si>
  <si>
    <t>TA-GSL</t>
  </si>
  <si>
    <t>TAP*</t>
  </si>
  <si>
    <t>TC-ALL</t>
  </si>
  <si>
    <t>TC*</t>
  </si>
  <si>
    <t>TB20X_ALL</t>
  </si>
  <si>
    <t>T*B20X</t>
  </si>
  <si>
    <t>SUP_IMP-LPG</t>
  </si>
  <si>
    <t>IMPLPG*</t>
  </si>
  <si>
    <t>TB-B20X</t>
  </si>
  <si>
    <t>TBB20X</t>
  </si>
  <si>
    <t>TB-CNG</t>
  </si>
  <si>
    <t>TBC*</t>
  </si>
  <si>
    <t>TB-DSL</t>
  </si>
  <si>
    <t>TBD*</t>
  </si>
  <si>
    <t>TB-GSL</t>
  </si>
  <si>
    <t>TBG*</t>
  </si>
  <si>
    <t>TB-H2</t>
  </si>
  <si>
    <t>TL-E85X</t>
  </si>
  <si>
    <t>TLE85X</t>
  </si>
  <si>
    <t>TA-JTF</t>
  </si>
  <si>
    <t>TAJ*</t>
  </si>
  <si>
    <t>SUP_IMP-DST</t>
  </si>
  <si>
    <t>IMPDSH*</t>
  </si>
  <si>
    <t>ITP_ALL</t>
  </si>
  <si>
    <t>ITP*</t>
  </si>
  <si>
    <t>RWH-SOL</t>
  </si>
  <si>
    <t>SOL</t>
  </si>
  <si>
    <t>SOX RETROFITS</t>
  </si>
  <si>
    <t>FGD*</t>
  </si>
  <si>
    <t>SUP_EXP</t>
  </si>
  <si>
    <t>SUP_IMP</t>
  </si>
  <si>
    <t>SUP_IMP-BIOD</t>
  </si>
  <si>
    <t>IMPB*</t>
  </si>
  <si>
    <t>SUP_IMP-MTH</t>
  </si>
  <si>
    <t>IMPMTH*</t>
  </si>
  <si>
    <t>SUP_IMP-DSLU</t>
  </si>
  <si>
    <t>IMPDSL*,IMPDSU*</t>
  </si>
  <si>
    <t>SUP_IMP-MISS</t>
  </si>
  <si>
    <t>SUP_IMP-ELC</t>
  </si>
  <si>
    <t>IMPELC*</t>
  </si>
  <si>
    <t>SUP_IMP-ETH</t>
  </si>
  <si>
    <t>IMPETH*</t>
  </si>
  <si>
    <t>SUP_IMP-GSL</t>
  </si>
  <si>
    <t>IMPG*</t>
  </si>
  <si>
    <t>SUP_IMP-H2</t>
  </si>
  <si>
    <t>IMPH*</t>
  </si>
  <si>
    <t>SUP_IMP-JET</t>
  </si>
  <si>
    <t>IMPJ*</t>
  </si>
  <si>
    <t>SUP_IMP-KER</t>
  </si>
  <si>
    <t>IMPKER*</t>
  </si>
  <si>
    <t>TC-B20X</t>
  </si>
  <si>
    <t>TCB20X</t>
  </si>
  <si>
    <t>SUP_IMP-COAL</t>
  </si>
  <si>
    <t>IMPC*</t>
  </si>
  <si>
    <t>IMPCOK*</t>
  </si>
  <si>
    <t>TL-ALL</t>
  </si>
  <si>
    <t>TH-GSL</t>
  </si>
  <si>
    <t>THGSL</t>
  </si>
  <si>
    <t>TH-LPG</t>
  </si>
  <si>
    <t>TH*</t>
  </si>
  <si>
    <t>THR-DSL</t>
  </si>
  <si>
    <t>THLD*</t>
  </si>
  <si>
    <t>THS-ALL</t>
  </si>
  <si>
    <t>THS-CNG</t>
  </si>
  <si>
    <t>THSC*</t>
  </si>
  <si>
    <t>THS-GSL</t>
  </si>
  <si>
    <t>THSG*</t>
  </si>
  <si>
    <t>TBR-DSL</t>
  </si>
  <si>
    <t>TL-ADV</t>
  </si>
  <si>
    <t>TH-B20X</t>
  </si>
  <si>
    <t>THB20X</t>
  </si>
  <si>
    <t>TL-ALL-ICE</t>
  </si>
  <si>
    <t>*AGSL*</t>
  </si>
  <si>
    <t>TLC-ALL</t>
  </si>
  <si>
    <t>TL-CNG</t>
  </si>
  <si>
    <t>TRNCNGL</t>
  </si>
  <si>
    <t>TL-CNGX</t>
  </si>
  <si>
    <t>*CNGX*</t>
  </si>
  <si>
    <t>TL-CONV</t>
  </si>
  <si>
    <t>*CONV*</t>
  </si>
  <si>
    <t>RWH-LPG</t>
  </si>
  <si>
    <t>TJTF_ALL</t>
  </si>
  <si>
    <t>T*JTF*</t>
  </si>
  <si>
    <t>TCR-GSL</t>
  </si>
  <si>
    <t>TCG*</t>
  </si>
  <si>
    <t>TC-CNG</t>
  </si>
  <si>
    <t>TCCNG</t>
  </si>
  <si>
    <t>TC-DSL</t>
  </si>
  <si>
    <t>TCD*</t>
  </si>
  <si>
    <t>TC-E85X</t>
  </si>
  <si>
    <t>TCE85X</t>
  </si>
  <si>
    <t>TC-GSL</t>
  </si>
  <si>
    <t>TC-LPG</t>
  </si>
  <si>
    <t>TCNG_ALL</t>
  </si>
  <si>
    <t>T*CNG</t>
  </si>
  <si>
    <t>TH-DSL</t>
  </si>
  <si>
    <t>THDSL</t>
  </si>
  <si>
    <t>TCR-DSL</t>
  </si>
  <si>
    <t>TH-CNG</t>
  </si>
  <si>
    <t>THCNG</t>
  </si>
  <si>
    <t>TDSL_ALL</t>
  </si>
  <si>
    <t>S*</t>
  </si>
  <si>
    <t>T*DSL*</t>
  </si>
  <si>
    <t>TE85X_ALL</t>
  </si>
  <si>
    <t>T*E85X</t>
  </si>
  <si>
    <t>TELC_ALL</t>
  </si>
  <si>
    <t>T*ELC*</t>
  </si>
  <si>
    <t>TESTSET2_COALNGCO2</t>
  </si>
  <si>
    <t>BIOMASS COFIRING*</t>
  </si>
  <si>
    <t>ELCCO2</t>
  </si>
  <si>
    <t>TGSL_ALL</t>
  </si>
  <si>
    <t>T*GSL*</t>
  </si>
  <si>
    <t>TH-ALL</t>
  </si>
  <si>
    <t>TL-DSLT</t>
  </si>
  <si>
    <t>TC-OTF</t>
  </si>
  <si>
    <t>TCC*</t>
  </si>
  <si>
    <t>IPAST_COA</t>
  </si>
  <si>
    <t>IOTST_DST</t>
  </si>
  <si>
    <t>IPAPH_ALL</t>
  </si>
  <si>
    <t>IPAEPRH*</t>
  </si>
  <si>
    <t>IPAPH_COA</t>
  </si>
  <si>
    <t>IPAEPRHCOA</t>
  </si>
  <si>
    <t>IPAPH_ELC</t>
  </si>
  <si>
    <t>IPAEPRHELC</t>
  </si>
  <si>
    <t>IPAPH_NGA</t>
  </si>
  <si>
    <t>IPAEPRHNGA</t>
  </si>
  <si>
    <t>IPAPH_RFL</t>
  </si>
  <si>
    <t>IPAEPRHRFL</t>
  </si>
  <si>
    <t>IPAOH_OTP</t>
  </si>
  <si>
    <t>IPAEOHTOTP</t>
  </si>
  <si>
    <t>IPAST_CHP</t>
  </si>
  <si>
    <t>IPABOLFSTM</t>
  </si>
  <si>
    <t>IPAOH_NGA</t>
  </si>
  <si>
    <t>IPAST_ELC</t>
  </si>
  <si>
    <t>IPA*B*ELC</t>
  </si>
  <si>
    <t>IPAST_NGA</t>
  </si>
  <si>
    <t>IPAST_RFL</t>
  </si>
  <si>
    <t>IPBFA_ALL</t>
  </si>
  <si>
    <t>IPBEFAC*</t>
  </si>
  <si>
    <t>IPBFA_DST</t>
  </si>
  <si>
    <t>IPBEFACDST</t>
  </si>
  <si>
    <t>IPBFA_ELC</t>
  </si>
  <si>
    <t>IPBEFACELC</t>
  </si>
  <si>
    <t>IPAST_ALL</t>
  </si>
  <si>
    <t>IPA*B*</t>
  </si>
  <si>
    <t>IPAMD_ALL</t>
  </si>
  <si>
    <t>IPAEMDR*</t>
  </si>
  <si>
    <t>ITP_LPG</t>
  </si>
  <si>
    <t>ITP*LPG*</t>
  </si>
  <si>
    <t>IOTST_NGA</t>
  </si>
  <si>
    <t>IOTST_RFL</t>
  </si>
  <si>
    <t>IPAFA_ALL</t>
  </si>
  <si>
    <t>IPAEFAC*</t>
  </si>
  <si>
    <t>IPAFA_DST</t>
  </si>
  <si>
    <t>IPAEFACDST</t>
  </si>
  <si>
    <t>IPAFA_ELC</t>
  </si>
  <si>
    <t>IPAEFACELC</t>
  </si>
  <si>
    <t>IPAOH_PTC</t>
  </si>
  <si>
    <t>IPAEOHTPTC</t>
  </si>
  <si>
    <t>IPAFA_RFL</t>
  </si>
  <si>
    <t>IPAEFACRFL</t>
  </si>
  <si>
    <t>IPBMD_ELC</t>
  </si>
  <si>
    <t>IPBEMDRELC</t>
  </si>
  <si>
    <t>IPAMD_ELC</t>
  </si>
  <si>
    <t>IPAEMDRELC</t>
  </si>
  <si>
    <t>IPAMD_NGA</t>
  </si>
  <si>
    <t>IPAEMDRNGA</t>
  </si>
  <si>
    <t>IPAOH_ALL</t>
  </si>
  <si>
    <t>IPA*B*BIO,IPA*B*WOD,IPA*B*TOM,IPAEOHT*,IPAOHTOSTM</t>
  </si>
  <si>
    <t>IPA*BST*</t>
  </si>
  <si>
    <t>IPAOH_BIO</t>
  </si>
  <si>
    <t>IPAOH_CHP</t>
  </si>
  <si>
    <t>IPAOHTOSTM</t>
  </si>
  <si>
    <t>IPAOH_ELC</t>
  </si>
  <si>
    <t>IPAEOHTELC</t>
  </si>
  <si>
    <t>IPAFA_NGA</t>
  </si>
  <si>
    <t>IPAEFACNGA</t>
  </si>
  <si>
    <t>INS_COA</t>
  </si>
  <si>
    <t>INB*COA*</t>
  </si>
  <si>
    <t>IPBST_RFL</t>
  </si>
  <si>
    <t>IPFA_ALL</t>
  </si>
  <si>
    <t>IPFAC*</t>
  </si>
  <si>
    <t>IPFA_COA</t>
  </si>
  <si>
    <t>IPFA*COA*</t>
  </si>
  <si>
    <t>IPFA_DST</t>
  </si>
  <si>
    <t>IPFA*DST*</t>
  </si>
  <si>
    <t>IPFA_ELC</t>
  </si>
  <si>
    <t>IPFA*ELC*</t>
  </si>
  <si>
    <t>IPFA_LPG</t>
  </si>
  <si>
    <t>IPFA*LPG*</t>
  </si>
  <si>
    <t>IPBFA_NGA</t>
  </si>
  <si>
    <t>IPBEFACNGA</t>
  </si>
  <si>
    <t>IPFA_RFL</t>
  </si>
  <si>
    <t>IPFA*RFL*</t>
  </si>
  <si>
    <t>IPBST_COA</t>
  </si>
  <si>
    <t>INS_DST</t>
  </si>
  <si>
    <t>INB*DST*</t>
  </si>
  <si>
    <t>INS_ELC</t>
  </si>
  <si>
    <t>INB*ELC*</t>
  </si>
  <si>
    <t>INS_FSTM</t>
  </si>
  <si>
    <t>INB*FSTM*</t>
  </si>
  <si>
    <t>INS_NGA</t>
  </si>
  <si>
    <t>INB*NGA*</t>
  </si>
  <si>
    <t>IOF_ALL</t>
  </si>
  <si>
    <t>IOFS*</t>
  </si>
  <si>
    <t>IOF_COA</t>
  </si>
  <si>
    <t>IOFS*COA*</t>
  </si>
  <si>
    <t>IPFA_NGA</t>
  </si>
  <si>
    <t>IPFA*NGA*</t>
  </si>
  <si>
    <t>IPBOH_PTC</t>
  </si>
  <si>
    <t>IPBEOHTPTC</t>
  </si>
  <si>
    <t>IOTST_COA</t>
  </si>
  <si>
    <t>IPBMD_NGA</t>
  </si>
  <si>
    <t>IPBEMDRNGA</t>
  </si>
  <si>
    <t>IPBOH_ALL</t>
  </si>
  <si>
    <t>IPB*B*BIO,IPB*B*WOD,IPB*B*TOM,IPBEOHT*,IPBOHTOSTM</t>
  </si>
  <si>
    <t>IPB*BST*</t>
  </si>
  <si>
    <t>IPBOH_BIO</t>
  </si>
  <si>
    <t>IPBIO</t>
  </si>
  <si>
    <t>IPBOH_CHP</t>
  </si>
  <si>
    <t>IPBOHTOSTM</t>
  </si>
  <si>
    <t>IPBOH_ELC</t>
  </si>
  <si>
    <t>IPBEOHTELC</t>
  </si>
  <si>
    <t>IPBST_NGA</t>
  </si>
  <si>
    <t>IPBOH_OTP</t>
  </si>
  <si>
    <t>IPBEOHTOTP</t>
  </si>
  <si>
    <t>IPBST_ELC</t>
  </si>
  <si>
    <t>IPB*B*ELC</t>
  </si>
  <si>
    <t>IPBPH_ALL</t>
  </si>
  <si>
    <t>IPBEPRH*</t>
  </si>
  <si>
    <t>IPBPH_ELC</t>
  </si>
  <si>
    <t>IPBEPRHELC</t>
  </si>
  <si>
    <t>IPBPH_NGA</t>
  </si>
  <si>
    <t>IPBEPRHNGA</t>
  </si>
  <si>
    <t>IPBPH_RFL</t>
  </si>
  <si>
    <t>IPBEPRHRFL</t>
  </si>
  <si>
    <t>IPBST_ALL</t>
  </si>
  <si>
    <t>IPB*B*</t>
  </si>
  <si>
    <t>IPBST_CHP</t>
  </si>
  <si>
    <t>IPBBOLFSTM</t>
  </si>
  <si>
    <t>IPBMD_ALL</t>
  </si>
  <si>
    <t>IPBEMDR*</t>
  </si>
  <si>
    <t>IPBOH_NGA</t>
  </si>
  <si>
    <t>IPBEOHTNGA</t>
  </si>
  <si>
    <t>INOPH_ALL</t>
  </si>
  <si>
    <t>INOEPRH*</t>
  </si>
  <si>
    <t>IOTST_ELC</t>
  </si>
  <si>
    <t>IOT*B*ELC</t>
  </si>
  <si>
    <t>INOOH_ALL</t>
  </si>
  <si>
    <t>INO*B*BIO,INO*B*WOD,INO*B*TOM,INOEOHT*,INOOHTOSTM</t>
  </si>
  <si>
    <t>INO*BST*</t>
  </si>
  <si>
    <t>INOOH_BIO</t>
  </si>
  <si>
    <t>INO*B*BIO,INO*B*WOD,INO*B*TOM,INOEOHTBIO</t>
  </si>
  <si>
    <t>INOOH_ELC</t>
  </si>
  <si>
    <t>INOEOHTELC</t>
  </si>
  <si>
    <t>INOOH_NGA</t>
  </si>
  <si>
    <t>INOOH_OTP</t>
  </si>
  <si>
    <t>INOEOHTOTP</t>
  </si>
  <si>
    <t>INOMD_ELC</t>
  </si>
  <si>
    <t>INOEMDRELC</t>
  </si>
  <si>
    <t>INOOH_RFL</t>
  </si>
  <si>
    <t>INOEOHTRFL</t>
  </si>
  <si>
    <t>ZZ*</t>
  </si>
  <si>
    <t>INOPH_COA</t>
  </si>
  <si>
    <t>INOEPRHCOA</t>
  </si>
  <si>
    <t>INOPH_DST</t>
  </si>
  <si>
    <t>INOEPRHDST</t>
  </si>
  <si>
    <t>INOPH_ELC</t>
  </si>
  <si>
    <t>INOEPRHELC</t>
  </si>
  <si>
    <t>INOPH_LPG</t>
  </si>
  <si>
    <t>INOEPRHLPG</t>
  </si>
  <si>
    <t>INOPH_NGA</t>
  </si>
  <si>
    <t>INOEPRHNGA</t>
  </si>
  <si>
    <t>INOST_ALL</t>
  </si>
  <si>
    <t>INO*B*</t>
  </si>
  <si>
    <t>INOOH_PTC</t>
  </si>
  <si>
    <t>INOEOHTPTC</t>
  </si>
  <si>
    <t>INOH_COA</t>
  </si>
  <si>
    <t>INOH*COA*</t>
  </si>
  <si>
    <t>INM_ELC</t>
  </si>
  <si>
    <t>INM*ELC*</t>
  </si>
  <si>
    <t>INM_NGA</t>
  </si>
  <si>
    <t>INM*NGA*</t>
  </si>
  <si>
    <t>INOFA_ALL</t>
  </si>
  <si>
    <t>INOEFAC*</t>
  </si>
  <si>
    <t>INOFA_DST</t>
  </si>
  <si>
    <t>INOEFACDST</t>
  </si>
  <si>
    <t>INOFA_ELC</t>
  </si>
  <si>
    <t>INOEFACELC</t>
  </si>
  <si>
    <t>INOFA_LPG</t>
  </si>
  <si>
    <t>INOEFACLPG</t>
  </si>
  <si>
    <t>INOMD_NGA</t>
  </si>
  <si>
    <t>INOEMDRNGA</t>
  </si>
  <si>
    <t>INOH_ALL</t>
  </si>
  <si>
    <t>INOH*</t>
  </si>
  <si>
    <t>INP_ALL</t>
  </si>
  <si>
    <t>INP*</t>
  </si>
  <si>
    <t>INOH_DST</t>
  </si>
  <si>
    <t>INOH*DST*</t>
  </si>
  <si>
    <t>INOH_ELC</t>
  </si>
  <si>
    <t>INOH*ELC*</t>
  </si>
  <si>
    <t>INOH_NGA</t>
  </si>
  <si>
    <t>INOH*NGA*</t>
  </si>
  <si>
    <t>INOH_OTH</t>
  </si>
  <si>
    <t>INOH*OTH*</t>
  </si>
  <si>
    <t>INOH_PTC</t>
  </si>
  <si>
    <t>INOH*PTC*</t>
  </si>
  <si>
    <t>INOMD_ALL</t>
  </si>
  <si>
    <t>INOEMDR*</t>
  </si>
  <si>
    <t>INOFA_NGA</t>
  </si>
  <si>
    <t>INOEFACNGA</t>
  </si>
  <si>
    <t>IOTPH_DST</t>
  </si>
  <si>
    <t>IOTEPRHDST</t>
  </si>
  <si>
    <t>IOTOH_ELC</t>
  </si>
  <si>
    <t>IOTEOHTELC</t>
  </si>
  <si>
    <t>IOTOH_LPG</t>
  </si>
  <si>
    <t>IOTEOHTLPG</t>
  </si>
  <si>
    <t>IOTOH_NGA</t>
  </si>
  <si>
    <t>IOTOH_OTP</t>
  </si>
  <si>
    <t>IOTEOHTOTP</t>
  </si>
  <si>
    <t>IOTOH_PTC</t>
  </si>
  <si>
    <t>IOTEOHTPTC</t>
  </si>
  <si>
    <t>IOTOH_RFL</t>
  </si>
  <si>
    <t>IOTEOHTRFL</t>
  </si>
  <si>
    <t>INOST_CHP</t>
  </si>
  <si>
    <t>INOBOLFSTM</t>
  </si>
  <si>
    <t>IOTPH_COA</t>
  </si>
  <si>
    <t>IOTEPRHCOA</t>
  </si>
  <si>
    <t>IOTOH_BIO</t>
  </si>
  <si>
    <t>IOTPH_ELC</t>
  </si>
  <si>
    <t>IOTEPRHELC</t>
  </si>
  <si>
    <t>IOTPH_LPG</t>
  </si>
  <si>
    <t>IOTEPRHLPG</t>
  </si>
  <si>
    <t>IOTPH_NGA</t>
  </si>
  <si>
    <t>IOTEPRHNGA</t>
  </si>
  <si>
    <t>IOTPH_RFL</t>
  </si>
  <si>
    <t>IOTEPRHRFL</t>
  </si>
  <si>
    <t>IOTST_ALL</t>
  </si>
  <si>
    <t>IOT*B*</t>
  </si>
  <si>
    <t>IOTST_CHP</t>
  </si>
  <si>
    <t>IOTBOLFSTM</t>
  </si>
  <si>
    <t>IOTPH_ALL</t>
  </si>
  <si>
    <t>IOTEPRH*</t>
  </si>
  <si>
    <t>IOTMD_ALL</t>
  </si>
  <si>
    <t>IOTEMDR*</t>
  </si>
  <si>
    <t>IOF_LPG</t>
  </si>
  <si>
    <t>IOFS*LPG*</t>
  </si>
  <si>
    <t>INP_COA</t>
  </si>
  <si>
    <t>INP*COA*</t>
  </si>
  <si>
    <t>INP_DST</t>
  </si>
  <si>
    <t>INP*DST*</t>
  </si>
  <si>
    <t>INP_ELC</t>
  </si>
  <si>
    <t>INP*ELC*</t>
  </si>
  <si>
    <t>INP_LPG</t>
  </si>
  <si>
    <t>INP*LPG*</t>
  </si>
  <si>
    <t>INP_NGA</t>
  </si>
  <si>
    <t>INP*NGA*</t>
  </si>
  <si>
    <t>IOTOH_DST</t>
  </si>
  <si>
    <t>IOTEOHTDST</t>
  </si>
  <si>
    <t>INS_ALL</t>
  </si>
  <si>
    <t>INB*</t>
  </si>
  <si>
    <t>IOTOH_CHP</t>
  </si>
  <si>
    <t>IOTOHTOSTM</t>
  </si>
  <si>
    <t>IOTMD_COA</t>
  </si>
  <si>
    <t>IOTEMDRCOA</t>
  </si>
  <si>
    <t>IOTMD_DST</t>
  </si>
  <si>
    <t>IOTEMDRDST</t>
  </si>
  <si>
    <t>IOTMD_ELC</t>
  </si>
  <si>
    <t>IOTEMDRELC</t>
  </si>
  <si>
    <t>IOTMD_LPG</t>
  </si>
  <si>
    <t>IOTEMDRLPG</t>
  </si>
  <si>
    <t>IOTMD_NGA</t>
  </si>
  <si>
    <t>IOTEMDRNGA</t>
  </si>
  <si>
    <t>IOTOH_ALL</t>
  </si>
  <si>
    <t>IOT*B*BIO,IOT*B*WOD,IOT*B*WOD,OT*B*TOM,IOTEOHT*,IOTOHTOSTM</t>
  </si>
  <si>
    <t>IOT*BST*</t>
  </si>
  <si>
    <t>INOST_NGA</t>
  </si>
  <si>
    <t>INP_RFL</t>
  </si>
  <si>
    <t>INP*RFL*</t>
  </si>
  <si>
    <t>IPOOH_PTC</t>
  </si>
  <si>
    <t>IPOEOHTPTC</t>
  </si>
  <si>
    <t>IOF_COK</t>
  </si>
  <si>
    <t>IOFS*COK*</t>
  </si>
  <si>
    <t>IPOMD_NGA</t>
  </si>
  <si>
    <t>IPOEMDRNGA</t>
  </si>
  <si>
    <t>IPOOH_ALL</t>
  </si>
  <si>
    <t>IPO*B*BIO,IPO*B*WOD,IPO*B*TOM,IPOEOHT*,IPOOHTOSTM</t>
  </si>
  <si>
    <t>IPO*BST*</t>
  </si>
  <si>
    <t>IPOOH_BIO</t>
  </si>
  <si>
    <t>IPOOH_CHP</t>
  </si>
  <si>
    <t>IPOOHTOSTM</t>
  </si>
  <si>
    <t>IPOOH_ELC</t>
  </si>
  <si>
    <t>IPOEOHTELC</t>
  </si>
  <si>
    <t>IPOMD_ALL</t>
  </si>
  <si>
    <t>IPOEMDR*</t>
  </si>
  <si>
    <t>IPOOH_OTP</t>
  </si>
  <si>
    <t>IPOEOHTOTP</t>
  </si>
  <si>
    <t>IPOH_RSTM</t>
  </si>
  <si>
    <t>*IPOHRSTM*</t>
  </si>
  <si>
    <t>IPOPH_ALL</t>
  </si>
  <si>
    <t>IPOEPRH*</t>
  </si>
  <si>
    <t>IPOPH_DST</t>
  </si>
  <si>
    <t>IPOEPRHDST</t>
  </si>
  <si>
    <t>IPOPH_ELC</t>
  </si>
  <si>
    <t>IPOEPRHELC</t>
  </si>
  <si>
    <t>IPOPH_NGA</t>
  </si>
  <si>
    <t>IPOEPRHNGA</t>
  </si>
  <si>
    <t>IPOST_ALL</t>
  </si>
  <si>
    <t>IPO*B*</t>
  </si>
  <si>
    <t>IPOST_CHP</t>
  </si>
  <si>
    <t>IPOBOLFSTM</t>
  </si>
  <si>
    <t>IPOOH_NGA</t>
  </si>
  <si>
    <t>IPOEOHTNGA</t>
  </si>
  <si>
    <t>IPOFA_NGA</t>
  </si>
  <si>
    <t>IPOEFACNGA</t>
  </si>
  <si>
    <t>IPM_ALL</t>
  </si>
  <si>
    <t>IPM*</t>
  </si>
  <si>
    <t>IPM_COA</t>
  </si>
  <si>
    <t>IPM*COA*</t>
  </si>
  <si>
    <t>IPM_ELC</t>
  </si>
  <si>
    <t>IPM*ELC*</t>
  </si>
  <si>
    <t>IPM_NGA</t>
  </si>
  <si>
    <t>IPM*NGA*</t>
  </si>
  <si>
    <t>IPM_RFL</t>
  </si>
  <si>
    <t>IPM*RFL*</t>
  </si>
  <si>
    <t>IPOFA_ALL</t>
  </si>
  <si>
    <t>IPOEFAC*</t>
  </si>
  <si>
    <t>IPOMD_ELC</t>
  </si>
  <si>
    <t>IPOEMDRELC</t>
  </si>
  <si>
    <t>IPOFA_LPG</t>
  </si>
  <si>
    <t>IPOEFACLPG</t>
  </si>
  <si>
    <t>IPOST_NGA</t>
  </si>
  <si>
    <t>IPOH_ALL</t>
  </si>
  <si>
    <t>IPOH*</t>
  </si>
  <si>
    <t>IPOH_BIO</t>
  </si>
  <si>
    <t>IPO*</t>
  </si>
  <si>
    <t>IPOH_ELC</t>
  </si>
  <si>
    <t>IPOHELC*</t>
  </si>
  <si>
    <t>IPOH_LPG</t>
  </si>
  <si>
    <t>IPOHLPG*</t>
  </si>
  <si>
    <t>IPOH_NGA</t>
  </si>
  <si>
    <t>IPOHNGA*</t>
  </si>
  <si>
    <t>IPOH_RFL</t>
  </si>
  <si>
    <t>IPOHRFL*</t>
  </si>
  <si>
    <t>IPOFA_ELC</t>
  </si>
  <si>
    <t>IPOEFACELC</t>
  </si>
  <si>
    <t>ITM_ALL</t>
  </si>
  <si>
    <t>ITM*</t>
  </si>
  <si>
    <t>ITF_DST</t>
  </si>
  <si>
    <t>ITFS*DST*</t>
  </si>
  <si>
    <t>ITF_OTH</t>
  </si>
  <si>
    <t>ITFS*OTH*</t>
  </si>
  <si>
    <t>ITFA_ALL</t>
  </si>
  <si>
    <t>ITFAC*</t>
  </si>
  <si>
    <t>ITFA_DST</t>
  </si>
  <si>
    <t>ITFACDST*</t>
  </si>
  <si>
    <t>ITFA_ELC</t>
  </si>
  <si>
    <t>ITFACELC*</t>
  </si>
  <si>
    <t>ITFA_LPG</t>
  </si>
  <si>
    <t>ITFACLPG*</t>
  </si>
  <si>
    <t>IPOST_COA</t>
  </si>
  <si>
    <t>ITFA_RFL</t>
  </si>
  <si>
    <t>ITFACRFL*</t>
  </si>
  <si>
    <t>IPS_RFL</t>
  </si>
  <si>
    <t>IPB*RFL*</t>
  </si>
  <si>
    <t>ITM_ELC</t>
  </si>
  <si>
    <t>ITM*ELC*</t>
  </si>
  <si>
    <t>ITM_NGA</t>
  </si>
  <si>
    <t>ITM*NGA*</t>
  </si>
  <si>
    <t>ITOH_ALL</t>
  </si>
  <si>
    <t>ITOH*</t>
  </si>
  <si>
    <t>ITOH_ELC</t>
  </si>
  <si>
    <t>ITOH*ELC*</t>
  </si>
  <si>
    <t>ITOH_NGA</t>
  </si>
  <si>
    <t>ITOH*NGA*</t>
  </si>
  <si>
    <t>ITOH_RSTM</t>
  </si>
  <si>
    <t>ITOH*RSTM*</t>
  </si>
  <si>
    <t>ITFA_NGA</t>
  </si>
  <si>
    <t>ITFACNGA*</t>
  </si>
  <si>
    <t>IPP_RFL</t>
  </si>
  <si>
    <t>IPPRH*RFL*</t>
  </si>
  <si>
    <t>IPLST_ALL</t>
  </si>
  <si>
    <t>IPL*B*</t>
  </si>
  <si>
    <t>IPOST_RFL</t>
  </si>
  <si>
    <t>IPO*B*RFL</t>
  </si>
  <si>
    <t>IPPRH*</t>
  </si>
  <si>
    <t>IPP_COA</t>
  </si>
  <si>
    <t>IPPRH*COA*</t>
  </si>
  <si>
    <t>IPP_DST</t>
  </si>
  <si>
    <t>IPPRH*DST*</t>
  </si>
  <si>
    <t>IPP_ELC</t>
  </si>
  <si>
    <t>IPPRH*ELC*</t>
  </si>
  <si>
    <t>ITF_COA</t>
  </si>
  <si>
    <t>ITFS*COA*</t>
  </si>
  <si>
    <t>IPP_NGA</t>
  </si>
  <si>
    <t>IPPRH*NGA*</t>
  </si>
  <si>
    <t>ITF_ALL</t>
  </si>
  <si>
    <t>ITFS*</t>
  </si>
  <si>
    <t>IPS_ALL</t>
  </si>
  <si>
    <t>IPB*</t>
  </si>
  <si>
    <t>IPS_COA</t>
  </si>
  <si>
    <t>IPB*COA*</t>
  </si>
  <si>
    <t>IPS_DST</t>
  </si>
  <si>
    <t>IPB*DST*</t>
  </si>
  <si>
    <t>IPS_ELC</t>
  </si>
  <si>
    <t>IPB*ELC*</t>
  </si>
  <si>
    <t>IPS_FSTM</t>
  </si>
  <si>
    <t>IPBOR*STM*</t>
  </si>
  <si>
    <t>IPS_NGA</t>
  </si>
  <si>
    <t>IPB*NGA*</t>
  </si>
  <si>
    <t>IPOST_ELC</t>
  </si>
  <si>
    <t>IPO*B*ELC</t>
  </si>
  <si>
    <t>IPP_LPG</t>
  </si>
  <si>
    <t>IPPRH*LPG*</t>
  </si>
  <si>
    <t>IOOH_RSTM</t>
  </si>
  <si>
    <t>IOOHRSTM*</t>
  </si>
  <si>
    <t>IOOH_COA</t>
  </si>
  <si>
    <t>IOOHCOA*</t>
  </si>
  <si>
    <t>IOOH_DST</t>
  </si>
  <si>
    <t>IOOH*DST*</t>
  </si>
  <si>
    <t>IOOH_ELC</t>
  </si>
  <si>
    <t>IOOH*ELC*</t>
  </si>
  <si>
    <t>IOOH_LPG</t>
  </si>
  <si>
    <t>IOOHLPG*</t>
  </si>
  <si>
    <t>IOOH_NGA</t>
  </si>
  <si>
    <t>IOOHNGA*</t>
  </si>
  <si>
    <t>IOOH_OTH</t>
  </si>
  <si>
    <t>IOOHOTH*</t>
  </si>
  <si>
    <t>IOP_RFL</t>
  </si>
  <si>
    <t>IOP*RFL*</t>
  </si>
  <si>
    <t>IOOH_RFL</t>
  </si>
  <si>
    <t>IOOH*RFL*</t>
  </si>
  <si>
    <t>IOM_RFL</t>
  </si>
  <si>
    <t>IOM*RFL*</t>
  </si>
  <si>
    <t>IOP_ALL</t>
  </si>
  <si>
    <t>IOP*</t>
  </si>
  <si>
    <t>IOP_COA</t>
  </si>
  <si>
    <t>IOP*COA*</t>
  </si>
  <si>
    <t>IOP_DST</t>
  </si>
  <si>
    <t>IOP*DST*</t>
  </si>
  <si>
    <t>IOP_ELC</t>
  </si>
  <si>
    <t>IOP*ELC*</t>
  </si>
  <si>
    <t>IOP_LPG</t>
  </si>
  <si>
    <t>IOP*LPG*</t>
  </si>
  <si>
    <t>IPLST_NGA</t>
  </si>
  <si>
    <t>IOOH_PTC</t>
  </si>
  <si>
    <t>IOOHPTC*</t>
  </si>
  <si>
    <t>IOFA_ELC</t>
  </si>
  <si>
    <t>IOFACELC*</t>
  </si>
  <si>
    <t>INM_DST</t>
  </si>
  <si>
    <t>INM*DST*</t>
  </si>
  <si>
    <t>IOF_NGA</t>
  </si>
  <si>
    <t>IOFS*NGA*</t>
  </si>
  <si>
    <t>IOF_OTH</t>
  </si>
  <si>
    <t>IOFS*OTH*</t>
  </si>
  <si>
    <t>IOF_PTC</t>
  </si>
  <si>
    <t>IOFS*PTC*</t>
  </si>
  <si>
    <t>IOF_RFL</t>
  </si>
  <si>
    <t>IOFS*RFL*</t>
  </si>
  <si>
    <t>IOFA_ALL</t>
  </si>
  <si>
    <t>IOFAC*</t>
  </si>
  <si>
    <t>IOOH_BIO</t>
  </si>
  <si>
    <t>IOOHBIO*</t>
  </si>
  <si>
    <t>IOFA_DST</t>
  </si>
  <si>
    <t>IOFACDST*</t>
  </si>
  <si>
    <t>IOOH_ALL</t>
  </si>
  <si>
    <t>IOOH*</t>
  </si>
  <si>
    <t>IOFA_LPG</t>
  </si>
  <si>
    <t>IOFACLPG*</t>
  </si>
  <si>
    <t>IOFA_NGA</t>
  </si>
  <si>
    <t>IOFACNGA*</t>
  </si>
  <si>
    <t>IOM_ALL</t>
  </si>
  <si>
    <t>IOM*</t>
  </si>
  <si>
    <t>IOM_DST</t>
  </si>
  <si>
    <t>IOM*DST*</t>
  </si>
  <si>
    <t>IOM_ELC</t>
  </si>
  <si>
    <t>IOM*ELC*</t>
  </si>
  <si>
    <t>IOM_NGA</t>
  </si>
  <si>
    <t>IOM*NGA*</t>
  </si>
  <si>
    <t>IOS_ALL</t>
  </si>
  <si>
    <t>IOB*</t>
  </si>
  <si>
    <t>IOFA_COA</t>
  </si>
  <si>
    <t>IOFACCOA*</t>
  </si>
  <si>
    <t>IPLOH_OTP</t>
  </si>
  <si>
    <t>IPLEOHTOTP</t>
  </si>
  <si>
    <t>IOTFS_LPG</t>
  </si>
  <si>
    <t>IOTEFEDLPG</t>
  </si>
  <si>
    <t>IOTFS_NGA</t>
  </si>
  <si>
    <t>IOTEFEDNGA</t>
  </si>
  <si>
    <t>IOTFS_OTP</t>
  </si>
  <si>
    <t>IOTEFEDOTP</t>
  </si>
  <si>
    <t>IOTFS_PTC</t>
  </si>
  <si>
    <t>IOTEFEDPTC</t>
  </si>
  <si>
    <t>IOTFS_RFL</t>
  </si>
  <si>
    <t>IOTEFEDRFL</t>
  </si>
  <si>
    <t>IPLOH_ALL</t>
  </si>
  <si>
    <t>IPL*B*BIO,IPL*B*WOD,IPL*B*TOM,IPLEOHT*,IPLOHTOSTM</t>
  </si>
  <si>
    <t>IPL*BST*</t>
  </si>
  <si>
    <t>IOP_NGA</t>
  </si>
  <si>
    <t>IOP*NGA*</t>
  </si>
  <si>
    <t>IPLOH_CHP</t>
  </si>
  <si>
    <t>IPLOHTOSTM</t>
  </si>
  <si>
    <t>IOTFS_BIO</t>
  </si>
  <si>
    <t>IOTEFEDBIO</t>
  </si>
  <si>
    <t>IPLOH_PTC</t>
  </si>
  <si>
    <t>IPLEOHTPTC</t>
  </si>
  <si>
    <t>IPLPH_ALL</t>
  </si>
  <si>
    <t>IPLEPRH*</t>
  </si>
  <si>
    <t>IPLPH_ELC</t>
  </si>
  <si>
    <t>IPLEPRHELC</t>
  </si>
  <si>
    <t>IPLPH_NGA</t>
  </si>
  <si>
    <t>IPLEPRHNGA</t>
  </si>
  <si>
    <t>IPLPH_RFL</t>
  </si>
  <si>
    <t>IPLEPRHRFL</t>
  </si>
  <si>
    <t>IOF_DST</t>
  </si>
  <si>
    <t>IOFS*DST*</t>
  </si>
  <si>
    <t>IPLOH_BIO</t>
  </si>
  <si>
    <t>IPL*B*BIO,IPL*B*WOD,IPL*B*TOM,IPLEOHTBIO</t>
  </si>
  <si>
    <t>IOTFA_COA</t>
  </si>
  <si>
    <t>IOTEFACCOA</t>
  </si>
  <si>
    <t>IOS_COA</t>
  </si>
  <si>
    <t>IOB*COA*</t>
  </si>
  <si>
    <t>IOS_DST</t>
  </si>
  <si>
    <t>IOB*DST*</t>
  </si>
  <si>
    <t>IOS_ELC</t>
  </si>
  <si>
    <t>IOB*ELC*</t>
  </si>
  <si>
    <t>IOS_FSTM</t>
  </si>
  <si>
    <t>IOB*FSTM*</t>
  </si>
  <si>
    <t>IOS_LPG</t>
  </si>
  <si>
    <t>IOB*LPG*</t>
  </si>
  <si>
    <t>IOS_NGA</t>
  </si>
  <si>
    <t>IOB*NGA*</t>
  </si>
  <si>
    <t>IOTFS_DST</t>
  </si>
  <si>
    <t>IOTEFEDDST</t>
  </si>
  <si>
    <t>IOTFA_ALL</t>
  </si>
  <si>
    <t>IOTEFAC*</t>
  </si>
  <si>
    <t>IOTFS_COK</t>
  </si>
  <si>
    <t>IOTEFEDCOK</t>
  </si>
  <si>
    <t>IOTFA_DST</t>
  </si>
  <si>
    <t>IOTEFACDST</t>
  </si>
  <si>
    <t>IOTFA_ELC</t>
  </si>
  <si>
    <t>IOTEFACELC</t>
  </si>
  <si>
    <t>IOTFA_LPG</t>
  </si>
  <si>
    <t>IOTEFACLPG</t>
  </si>
  <si>
    <t>IOTFA_NGA</t>
  </si>
  <si>
    <t>IOTEFACNGA</t>
  </si>
  <si>
    <t>IOTFA_RFL</t>
  </si>
  <si>
    <t>IOTEFACRFL</t>
  </si>
  <si>
    <t>IOTFS_ALL</t>
  </si>
  <si>
    <t>IOTEFED*</t>
  </si>
  <si>
    <t>IPLST_CHP</t>
  </si>
  <si>
    <t>IPLBOLFSTM</t>
  </si>
  <si>
    <t>IOS_RFL</t>
  </si>
  <si>
    <t>IOB*RFL*</t>
  </si>
  <si>
    <t>CCK</t>
  </si>
  <si>
    <t>Commercial Cooking</t>
  </si>
  <si>
    <t>CLT</t>
  </si>
  <si>
    <t>Commercial Lighting</t>
  </si>
  <si>
    <t>COF</t>
  </si>
  <si>
    <t>Commercial Office Equipment</t>
  </si>
  <si>
    <t>CRF</t>
  </si>
  <si>
    <t>Commercial Refrigeration</t>
  </si>
  <si>
    <t>CSC</t>
  </si>
  <si>
    <t>Commercial Cooling</t>
  </si>
  <si>
    <t>CSH</t>
  </si>
  <si>
    <t>Commercial Heating</t>
  </si>
  <si>
    <t>CVT</t>
  </si>
  <si>
    <t>Commercial Ventilation</t>
  </si>
  <si>
    <t>CWH</t>
  </si>
  <si>
    <t>Commercial Water Heating</t>
  </si>
  <si>
    <t>ICA</t>
  </si>
  <si>
    <t>Ag Chemicals Industry End Demand</t>
  </si>
  <si>
    <t>ICI</t>
  </si>
  <si>
    <t>Inorganic Chemicals Industry End Demand</t>
  </si>
  <si>
    <t>ICO</t>
  </si>
  <si>
    <t>Organic Chemicals Industry End Demand</t>
  </si>
  <si>
    <t>PFR Industry End Demand</t>
  </si>
  <si>
    <t>ICT</t>
  </si>
  <si>
    <t>Other Chemicals Industry End Demand</t>
  </si>
  <si>
    <t>IFD</t>
  </si>
  <si>
    <t>Food Industry End Demand</t>
  </si>
  <si>
    <t>IMA</t>
  </si>
  <si>
    <t>Primary Aluminum Industry End Demand</t>
  </si>
  <si>
    <t>IML</t>
  </si>
  <si>
    <t>Secondary Aluminum Industry End Demand</t>
  </si>
  <si>
    <t>IMO</t>
  </si>
  <si>
    <t>Other Metals Industry End Demand</t>
  </si>
  <si>
    <t>IMS</t>
  </si>
  <si>
    <t>Primary Steel Industry End Demand</t>
  </si>
  <si>
    <t>IMT</t>
  </si>
  <si>
    <t>Secondary Steel Industry End Demand</t>
  </si>
  <si>
    <t>INC</t>
  </si>
  <si>
    <t>Cement Industry End Demand</t>
  </si>
  <si>
    <t>ING</t>
  </si>
  <si>
    <t>Glass Industry End Demand</t>
  </si>
  <si>
    <t>INO</t>
  </si>
  <si>
    <t>Other Non-Metals Industry End Demand</t>
  </si>
  <si>
    <t>IOT</t>
  </si>
  <si>
    <t>Other Industry End Demand</t>
  </si>
  <si>
    <t>IPA</t>
  </si>
  <si>
    <t>Paper Industry End Demand</t>
  </si>
  <si>
    <t>IPB</t>
  </si>
  <si>
    <t>Paperboard Industry End Demand</t>
  </si>
  <si>
    <t>IPL</t>
  </si>
  <si>
    <t>Pulp Industry End Demand</t>
  </si>
  <si>
    <t>IPO</t>
  </si>
  <si>
    <t>Other Pulp and Paper Industry End Demand</t>
  </si>
  <si>
    <t>IXNONM</t>
  </si>
  <si>
    <t>Aggregate Non-Manufacturing Demand</t>
  </si>
  <si>
    <t>Residential Freezing</t>
  </si>
  <si>
    <t>RLT</t>
  </si>
  <si>
    <t>Residential Lighting</t>
  </si>
  <si>
    <t>ROE</t>
  </si>
  <si>
    <t>Residential Refrigeration</t>
  </si>
  <si>
    <t>RSC</t>
  </si>
  <si>
    <t>Residential Cooling</t>
  </si>
  <si>
    <t>RSH</t>
  </si>
  <si>
    <t>Residential Heating</t>
  </si>
  <si>
    <t>RWH</t>
  </si>
  <si>
    <t>Residential Water Heating</t>
  </si>
  <si>
    <t>TA</t>
  </si>
  <si>
    <t>TRN.AIR</t>
  </si>
  <si>
    <t>TB</t>
  </si>
  <si>
    <t>TRN.BUS</t>
  </si>
  <si>
    <t>TC</t>
  </si>
  <si>
    <t>TRN.TRUCK.COMMERCIAL</t>
  </si>
  <si>
    <t>THL</t>
  </si>
  <si>
    <t>TRN.TRUCK.HDV Long Haul</t>
  </si>
  <si>
    <t>THS</t>
  </si>
  <si>
    <t>TRN.TRUCK.HDV Short Haul</t>
  </si>
  <si>
    <t>TL</t>
  </si>
  <si>
    <t>TRN.LDV</t>
  </si>
  <si>
    <t>TM</t>
  </si>
  <si>
    <t>TRN.TRUCK.MDV</t>
  </si>
  <si>
    <t>TRF</t>
  </si>
  <si>
    <t>TRN.RAIL.FREIGHT</t>
  </si>
  <si>
    <t>TRN.RAIL.PASS</t>
  </si>
  <si>
    <t>TS</t>
  </si>
  <si>
    <t>TRN.SHIP</t>
  </si>
  <si>
    <t>-IRE</t>
  </si>
  <si>
    <t>IND___</t>
  </si>
  <si>
    <t>T*,-*EA</t>
  </si>
  <si>
    <t>T*CNG*</t>
  </si>
  <si>
    <t>T*B20*</t>
  </si>
  <si>
    <t>T*E85*</t>
  </si>
  <si>
    <t>Trn_CNG</t>
  </si>
  <si>
    <t>Trn_Diesel</t>
  </si>
  <si>
    <t>Trn_Gasoline</t>
  </si>
  <si>
    <t>Trn_B20</t>
  </si>
  <si>
    <t>Trn_E85</t>
  </si>
  <si>
    <t>Trn_Electricity</t>
  </si>
  <si>
    <t>Trn_Jetfuel</t>
  </si>
  <si>
    <t>Trn_LPG</t>
  </si>
  <si>
    <t>Trn_RFH</t>
  </si>
  <si>
    <t>Diesel</t>
  </si>
  <si>
    <t>LPG</t>
  </si>
  <si>
    <t>Nat Gas</t>
  </si>
  <si>
    <t>RFL</t>
  </si>
  <si>
    <t>*AGR*</t>
  </si>
  <si>
    <t>Ag residue</t>
  </si>
  <si>
    <t>Asphalt</t>
  </si>
  <si>
    <t>Biomass</t>
  </si>
  <si>
    <t>Coal</t>
  </si>
  <si>
    <t>*COK*</t>
  </si>
  <si>
    <t>Coke</t>
  </si>
  <si>
    <t>Electricity</t>
  </si>
  <si>
    <t>*MET*</t>
  </si>
  <si>
    <t>MetCoal</t>
  </si>
  <si>
    <t>*OTH*</t>
  </si>
  <si>
    <t>Other</t>
  </si>
  <si>
    <t>Feedstock</t>
  </si>
  <si>
    <t>Petcoke</t>
  </si>
  <si>
    <t>Kerosene</t>
  </si>
  <si>
    <t>CNG</t>
  </si>
  <si>
    <t>Gasoline</t>
  </si>
  <si>
    <t>*B20*</t>
  </si>
  <si>
    <t>B20</t>
  </si>
  <si>
    <t>E85</t>
  </si>
  <si>
    <t>Jetfuel</t>
  </si>
  <si>
    <t>RFH</t>
  </si>
  <si>
    <t>All-ELC</t>
  </si>
  <si>
    <t>*PFS*,-*STM*</t>
  </si>
  <si>
    <t>*CNG*,-*ELC*</t>
  </si>
  <si>
    <t>*SOL*</t>
  </si>
  <si>
    <t>Solar</t>
  </si>
  <si>
    <t>CM?</t>
  </si>
  <si>
    <t>dd_C_CMS</t>
  </si>
  <si>
    <t>Commercial Miscellaneous</t>
  </si>
  <si>
    <t>RO?</t>
  </si>
  <si>
    <t>dd_R_ROA</t>
  </si>
  <si>
    <t>Residential Other Appliances - all</t>
  </si>
  <si>
    <t>TOH???</t>
  </si>
  <si>
    <t>dd_T_TOH</t>
  </si>
  <si>
    <t>TRN.OH</t>
  </si>
  <si>
    <t>ELC,INDELC,TRNELC,TLELC</t>
  </si>
  <si>
    <t>*BIO*,ELCBI*</t>
  </si>
  <si>
    <t>*COA*,CSTM*</t>
  </si>
  <si>
    <t>*HYD*</t>
  </si>
  <si>
    <t>Hydro</t>
  </si>
  <si>
    <t>*WND*</t>
  </si>
  <si>
    <t>Wind</t>
  </si>
  <si>
    <t>URN*</t>
  </si>
  <si>
    <t>All-Nuc</t>
  </si>
  <si>
    <t>Nuclear</t>
  </si>
  <si>
    <t>*LFG*,*MSW*</t>
  </si>
  <si>
    <t>All-Was</t>
  </si>
  <si>
    <t>Waste</t>
  </si>
  <si>
    <t>CH4_ALL</t>
  </si>
  <si>
    <t>*CH4</t>
  </si>
  <si>
    <t>NOX_ALL</t>
  </si>
  <si>
    <t>*NOX</t>
  </si>
  <si>
    <t>PM10_ALL</t>
  </si>
  <si>
    <t>*PM10</t>
  </si>
  <si>
    <t>RES_FUELS</t>
  </si>
  <si>
    <t>ELC,RESNGA,RESLPG,RESKER,RESDSL,RESBIO</t>
  </si>
  <si>
    <t>RESIDENTIAL DMDS</t>
  </si>
  <si>
    <t>DEM</t>
  </si>
  <si>
    <t>SO2_ALL</t>
  </si>
  <si>
    <t>*SO2</t>
  </si>
  <si>
    <t>CO2 RETROFITS</t>
  </si>
  <si>
    <t>*CO2*RETRO*</t>
  </si>
  <si>
    <t>*PASS THROUGH*</t>
  </si>
  <si>
    <t>IC EXISTING</t>
  </si>
  <si>
    <t>ICAST_COA</t>
  </si>
  <si>
    <t>ICAEBSTCOA</t>
  </si>
  <si>
    <t>ICA*NGA</t>
  </si>
  <si>
    <t>ICI*COA</t>
  </si>
  <si>
    <t>ICI*BSACOA</t>
  </si>
  <si>
    <t>ICIST_DST</t>
  </si>
  <si>
    <t>ICIEBOLDST</t>
  </si>
  <si>
    <t>ICI*NGA</t>
  </si>
  <si>
    <t>ICI*BSANGA</t>
  </si>
  <si>
    <t>ICOH*COA</t>
  </si>
  <si>
    <t>ICO*COA</t>
  </si>
  <si>
    <t>ICO*BSACOA</t>
  </si>
  <si>
    <t>ICOST_DST</t>
  </si>
  <si>
    <t>ICOEBOLDST,ICOEBLLDST</t>
  </si>
  <si>
    <t>ICO*NGA</t>
  </si>
  <si>
    <t>ICO*BSANGA</t>
  </si>
  <si>
    <t>ICO*RFL</t>
  </si>
  <si>
    <t>ICPOH_NGA</t>
  </si>
  <si>
    <t>ICPNREGNGA</t>
  </si>
  <si>
    <t>ICP*COA</t>
  </si>
  <si>
    <t>ICP*NGA</t>
  </si>
  <si>
    <t>ICPST_RFL</t>
  </si>
  <si>
    <t>ICPE*RFL</t>
  </si>
  <si>
    <t>ICT*BIO</t>
  </si>
  <si>
    <t>ICTOH_NGA</t>
  </si>
  <si>
    <t>ICTNREGNGA</t>
  </si>
  <si>
    <t>ICT*COA</t>
  </si>
  <si>
    <t>ICT*DST</t>
  </si>
  <si>
    <t>ICT*NGA</t>
  </si>
  <si>
    <t>ICT*RFL</t>
  </si>
  <si>
    <t>IFD EXISTING</t>
  </si>
  <si>
    <t>IFD*</t>
  </si>
  <si>
    <t>IFD*BIO,IFD*B*WOD,IFD*B*TOM,IFDEOHTBIO,IFD*AGR</t>
  </si>
  <si>
    <t>IFDEOHTNGA,IFDNREGNGA</t>
  </si>
  <si>
    <t>IFD*COA</t>
  </si>
  <si>
    <t>IFD*BSACOA</t>
  </si>
  <si>
    <t>IFD*DST</t>
  </si>
  <si>
    <t>IFD*BSADST</t>
  </si>
  <si>
    <t>IFDST_LPG</t>
  </si>
  <si>
    <t>IFD*LPG</t>
  </si>
  <si>
    <t>IFD*NGA</t>
  </si>
  <si>
    <t>IFD*BSANGA</t>
  </si>
  <si>
    <t>IFD*RFL</t>
  </si>
  <si>
    <t>IFD*BSARFL</t>
  </si>
  <si>
    <t>IM EXISTING</t>
  </si>
  <si>
    <t>IM*</t>
  </si>
  <si>
    <t>IMAOH_PTC</t>
  </si>
  <si>
    <t>IMAEOHTPTC</t>
  </si>
  <si>
    <t>IMAST_COA</t>
  </si>
  <si>
    <t>IMAECPVCOA</t>
  </si>
  <si>
    <t>IMA*NGA</t>
  </si>
  <si>
    <t>IMLOH_NGA</t>
  </si>
  <si>
    <t>IMLNREGNGA</t>
  </si>
  <si>
    <t>IMLST_COA</t>
  </si>
  <si>
    <t>IMLEBSTCOA</t>
  </si>
  <si>
    <t>IMLST_NGA</t>
  </si>
  <si>
    <t>IML*NGA</t>
  </si>
  <si>
    <t>IMOEOHTNGA,IMONREGNGA</t>
  </si>
  <si>
    <t>IMOST_COA</t>
  </si>
  <si>
    <t>IMOECPVCOA</t>
  </si>
  <si>
    <t>IMOST_DST</t>
  </si>
  <si>
    <t>IMOEBLLDST</t>
  </si>
  <si>
    <t>IMO*NGA</t>
  </si>
  <si>
    <t>IMO*BSANGA</t>
  </si>
  <si>
    <t>IMOST_RFL</t>
  </si>
  <si>
    <t>IMOEBHLRFL</t>
  </si>
  <si>
    <t>IMSOH_NGA</t>
  </si>
  <si>
    <t>IMSNREGNGA</t>
  </si>
  <si>
    <t>IMSST_COA</t>
  </si>
  <si>
    <t>IMSEBPVCOA</t>
  </si>
  <si>
    <t>IMSST_DST</t>
  </si>
  <si>
    <t>IMSEBOLDST</t>
  </si>
  <si>
    <t>IMS*NGA</t>
  </si>
  <si>
    <t>IMSST_RFL</t>
  </si>
  <si>
    <t>IMSE*RFL</t>
  </si>
  <si>
    <t>IMTOH_NGA</t>
  </si>
  <si>
    <t>IMTNREGNGA</t>
  </si>
  <si>
    <t>IMTST_COA</t>
  </si>
  <si>
    <t>IMTEBPVCOA</t>
  </si>
  <si>
    <t>IMT*NGA</t>
  </si>
  <si>
    <t>IMTST_RFL</t>
  </si>
  <si>
    <t>IMTE*RFL</t>
  </si>
  <si>
    <t>IN EXISTING</t>
  </si>
  <si>
    <t>INCST_DST</t>
  </si>
  <si>
    <t>INCEBOLDST</t>
  </si>
  <si>
    <t>INCST_NGA</t>
  </si>
  <si>
    <t>INCEREGNGA</t>
  </si>
  <si>
    <t>INDUSTRIAL PROC - IX</t>
  </si>
  <si>
    <t>IXNON*</t>
  </si>
  <si>
    <t>INDUSTRIAL PROCESSES</t>
  </si>
  <si>
    <t>*TECHEXT</t>
  </si>
  <si>
    <t>INGEOHTNGA,INGNREGNGA</t>
  </si>
  <si>
    <t>INOEOHTNGA,INONREGNGA</t>
  </si>
  <si>
    <t>INOST_COA</t>
  </si>
  <si>
    <t>INOEBSTCOA</t>
  </si>
  <si>
    <t>INO*NGA</t>
  </si>
  <si>
    <t>IO EXISTING</t>
  </si>
  <si>
    <t>IO*</t>
  </si>
  <si>
    <t>IOT EXISTING</t>
  </si>
  <si>
    <t>IOTE*</t>
  </si>
  <si>
    <t>IOT*BIO,IOT*IPBIO,IOT*WOD</t>
  </si>
  <si>
    <t>IOTEOHTNGA,IOTNREGNGA</t>
  </si>
  <si>
    <t>IOT*COA</t>
  </si>
  <si>
    <t>IOT*DST</t>
  </si>
  <si>
    <t>IOTST_LPG</t>
  </si>
  <si>
    <t>IOT*LPG</t>
  </si>
  <si>
    <t>IOT*NGA</t>
  </si>
  <si>
    <t>IOT*RFL</t>
  </si>
  <si>
    <t>IP EXISTING</t>
  </si>
  <si>
    <t>IPA*BIO,IPA*TOM,IPA*WOD,IPA*BLQ</t>
  </si>
  <si>
    <t>IPAEOHTNGA,IPANREGNGA</t>
  </si>
  <si>
    <t>IPA*COA</t>
  </si>
  <si>
    <t>IPAST_DST</t>
  </si>
  <si>
    <t>IPA*DST</t>
  </si>
  <si>
    <t>IPA*NGA</t>
  </si>
  <si>
    <t>IPA*RFL</t>
  </si>
  <si>
    <t>IPB*BIO,IPB*TOM,IPB*WOD</t>
  </si>
  <si>
    <t>IPB*COA</t>
  </si>
  <si>
    <t>IPBST_DST</t>
  </si>
  <si>
    <t>IPB*DST</t>
  </si>
  <si>
    <t>IPB*NGA</t>
  </si>
  <si>
    <t>IPB*RFL</t>
  </si>
  <si>
    <t>IPLPH_DSL</t>
  </si>
  <si>
    <t>IPLEPRHDST</t>
  </si>
  <si>
    <t>IPLST_COA</t>
  </si>
  <si>
    <t>IPLEBSTCOA</t>
  </si>
  <si>
    <t>IPLST_DST</t>
  </si>
  <si>
    <t>IPLEBSADST,IPLNCLLDST,IPLEBOLDST</t>
  </si>
  <si>
    <t>IPL*NGA</t>
  </si>
  <si>
    <t>IPLST_RFL</t>
  </si>
  <si>
    <t>IPLEBSARFL,IPLNCHLRFL</t>
  </si>
  <si>
    <t>IPO*BIO,IPO*WOD,IPO*TOM</t>
  </si>
  <si>
    <t>IPO*COA</t>
  </si>
  <si>
    <t>IPOST_DST</t>
  </si>
  <si>
    <t>IPOEBOLDST,IPOEBLLDST</t>
  </si>
  <si>
    <t>IPO*NGA</t>
  </si>
  <si>
    <t>IX EXISTING</t>
  </si>
  <si>
    <t>IXNON EXISTING</t>
  </si>
  <si>
    <t>RES_TECHS</t>
  </si>
  <si>
    <t>RLT*,RSC*,RSH*,RWH*</t>
  </si>
  <si>
    <t>RPS_ALL</t>
  </si>
  <si>
    <t>ECSTM*LE</t>
  </si>
  <si>
    <t>ELC-COAL-LE</t>
  </si>
  <si>
    <t>coal life extension</t>
  </si>
  <si>
    <t>S_*,-*LFG*</t>
  </si>
  <si>
    <t>*BIO*,-S_*</t>
  </si>
  <si>
    <t>S_*,-*DST*,-*ETH*</t>
  </si>
  <si>
    <t>ROG,-ROE,-ROL</t>
  </si>
  <si>
    <t>KMA*B*BIO,-IMA*B*WOD,-IMA*B*TOM,-IMA*BST*,-IMA*BSA*</t>
  </si>
  <si>
    <t>IFD*B*BIO,-IFD*B*WOD,-IFD*B*TOM,-IFD*BST*,-IFD*BSA*</t>
  </si>
  <si>
    <t>IFD*BSTBIO,-IFD*BSTWOD,-IFD*BSTTOM</t>
  </si>
  <si>
    <t>IMO*BSTBIO,-IMO*BSTWOD,-IMO*BSTTOM</t>
  </si>
  <si>
    <t>IMO*B*BIO,-IMO*B*WOD,-IMO*B*TOM,-IMO*BST*,-IMO*BSA*</t>
  </si>
  <si>
    <t>ESOLPVCOM,-ESOLPVRES,-ESTORAGE</t>
  </si>
  <si>
    <t>ICA*BIO,-ICA*B*WOD,-ICA*B*TOM,-ICA*BST*,-ICA*BSA*</t>
  </si>
  <si>
    <t>ICP*B*BIO,-ICP*B*WOD,-ICP*B*TOM,-ICP*BST*,-ICP*BSA*</t>
  </si>
  <si>
    <t>ICP*BSTELC,-ICP*BSAELC</t>
  </si>
  <si>
    <t>ICP*BSTLPG,-ICP*BSALPG</t>
  </si>
  <si>
    <t>ICT*B*BIO,-ICT*B*WOD,-ICT*B*TOM,-ICT*BST*,-ICT*BSA*</t>
  </si>
  <si>
    <t>IMS*B*BIO,-IMS*B*WOD,-IMS*B*TOM,-IMS*BST*,-IMS*BSA*</t>
  </si>
  <si>
    <t>ICI*B*BIO,-ICI*B*WOD,-ICI*B*TOM,-ICI*BST*,-ICI*BSA*</t>
  </si>
  <si>
    <t>ICO*BSTELC,-ICO*BSAELC</t>
  </si>
  <si>
    <t>ICO*B*BIO,-ICO*B*WOD,-ICO*B*TOM,-ICO*BST*,-ICO*BSA*</t>
  </si>
  <si>
    <t>IPBLGCC,-IPBORBIO00</t>
  </si>
  <si>
    <t>IPL*BSTBIO,-IPL*BSTWOD,-IPL*BSTTOM</t>
  </si>
  <si>
    <t>IPL*B*BIO,-IPL*B*WOD,-IPL*B*TOM,-IPL*BST*,-IPL*BSA*</t>
  </si>
  <si>
    <t>IPB*B*BIO,-IPB*B*WOD,-IPB*B*TOM,-IPB*BST*,-IPBPBSA*</t>
  </si>
  <si>
    <t>IPO*B*BIO,-IPO*B*WOD,-IPO*B*TOM,-IPO*BST*,-IPO*BSA*</t>
  </si>
  <si>
    <t>IPO*BSTRFL,-IPO*BSARFL</t>
  </si>
  <si>
    <t>*ASP*,-*COK*,-*Z,-*OIL*,-*PFS*</t>
  </si>
  <si>
    <t>ING*B*BIO,-ING*B*WOD,-ING*B*TOM,-ING*BST*,-ING*BSA*</t>
  </si>
  <si>
    <t>INO*BST*BIO,-INO*BSTWOD,-INO*BSTTOM</t>
  </si>
  <si>
    <t>INO*B*BIO,-INO*B*WOD,-INO*B*TOM,-INO*BST*,-INO*BSA*</t>
  </si>
  <si>
    <t>IMS*BSTBIO,-IMS*BSTWOD,-IMS*BSTTOM</t>
  </si>
  <si>
    <t>IMT*B*BIO,-IMT*B*WOD,-IMT*B*TOM,-IMT*BST*,-IMT*BSA*</t>
  </si>
  <si>
    <t>IMT*BSTBIO,-IMT*BSTWOD,-IMT*BSTTOM</t>
  </si>
  <si>
    <t>IOT*B*BIO,-IOT*B*WOD,-IOT*B*TOM,-IOT*BST*,-IOT*BSA*</t>
  </si>
  <si>
    <t>IPA*B*BIO,-IPA*B*WOD,-IPA*B*TOM,-IPA*BST*,-IPA*BSA*</t>
  </si>
  <si>
    <t>DMD_CCK,-DMD_CLT,-DMD_CMISC,-DMD_COFF,-DMD_CRF,-DMD_CSC,-DMD_CSH,-DMD_CVT,-DMD_CWH</t>
  </si>
  <si>
    <t>SUP_IMP-BIOD,-SUP_IMP-COAL,-SUP_IMP-DSLU,-SUP_IMP-DST,-SUP_IMP-ELC,-SUP_IMP-ETH,-SUP_IMP-GSL,-SUP_IMP-H2,-SUP_IMP-JET,-SUP_IMP-KER,-SUP_IMP-LPG,-SUP_IMP-MTH,-SUP_IMP-NGA,-SUP_IMP-OIL,-SUP_IMP-RFL,-SUP_IMP-URN</t>
  </si>
  <si>
    <t>,-INDCO,-INDCO2,-INDBC,-INDCH4,-INDSO2,-INDVOC,-INDN2O,-INDNOX,-INDOC,-INDPM10,-INDPM25,-</t>
  </si>
  <si>
    <t>,-UPSCO2,-</t>
  </si>
  <si>
    <t>,-RESBIO,-</t>
  </si>
  <si>
    <t>,-IMAEFACNGA,-IMAEFEDNGA,-IMAEMDRNGA,-IMAEPRHNGA,-</t>
  </si>
  <si>
    <t>,-IMLEPRHNGA,-IMLNREGNGA,-</t>
  </si>
  <si>
    <t>,-IFDEFACDST,-IFDEMDRDST,-IFDEOHTDST,-IFDEPRHDST,-</t>
  </si>
  <si>
    <t>,-IFDEFACLPG,-IFDEFEDLPG,-IFDEPRHLPG,-</t>
  </si>
  <si>
    <t>,-IFDEFEDNGA,-IFDEMDRNGA,-IFDEOHTNGA,-IFDEPRHNGA,-IFDEFACNGA,-</t>
  </si>
  <si>
    <t>,-IFDEOHTRFL,-IFDEPRHRFL,-</t>
  </si>
  <si>
    <t>,-IFDEFEDBIO,-</t>
  </si>
  <si>
    <t>,-IFDEFACCOA,-IFDEOHTCOA,-IFDEPRHCOA,-</t>
  </si>
  <si>
    <t>,-IMOEFEDBIO,-</t>
  </si>
  <si>
    <t>,-IMPDEMZ,-IMPMATZ,-IMPNRGZ,-IMPNURN1,-IMPNURN2,-IMPNURN3,-</t>
  </si>
  <si>
    <t>,-IMOEMDRNGA,-IMOEFEDNGA,-IMOEFACNGA,-IMOEOHTNGA,-IMOEPRHNGA,-</t>
  </si>
  <si>
    <t>,-TLEMCGSL,-</t>
  </si>
  <si>
    <t>,-EBIOIGCCCS,-SELFGST,-SELFGICE,-SELFGGT,-SELFGGCC,-SEELCWTE,-SEELCRFL,-SEELCRFH,-SEELCDSL,-SEELCBSTM,-SEELCBIGCC,-</t>
  </si>
  <si>
    <t>,-ESTORAGE,-ESOLPVRES,-ESOLPVCOM,-</t>
  </si>
  <si>
    <t>,-MINNURN1,-MINNURN2,-MINBMSW1,-MINBMSW2,-MINBMSW3,-</t>
  </si>
  <si>
    <t>,-IMPMTHP11,-IMPMTHP12,-IMPMTHP13,-IMPMTHP14,-IMPMTHP15,-IMPMTHP21,-IMPMTHP22,-IMPMTHP23,-IMPMTHP24,-IMPMTHP25,-IMPMTHP31,-IMPMTHP32,-IMPMTHP33,-IMPMTHP34,-IMPMTHP35,-IMPMTHP41,-IMPMTHP42,-IMPMTHP43,-IMPMTHP44,-IMPMTHP45,-IMPMTHP51,-IMPMTHP52,-IMPMTHP53,-IMPMTHP54,-IMPMTHP55,-</t>
  </si>
  <si>
    <t>,-ICAEFACNGA,-ICAEFEDNGA,-ICAEMDRNGA,-ICAEPRHNGA,-</t>
  </si>
  <si>
    <t>,-PECGETHB15,-PFSRETHB15,-PPMRETHB15,-PWSYOBDL1,-PWSYOBDL2,-PWSYOBDL3,-PCRNETHDC,-PCRNETHDN,-PVSYOBDL,-PCRNETHDE,-PCRNETHWE,-</t>
  </si>
  <si>
    <t>,-IMPMTHP11,-IMPMTHP12,-IMPMTHP13,-IMPMTHP14,-IMPMTHP15,-IMPMTHP21,-IMPMTHP22,-IMPMTHP23,-IMPMTHP24,-IMPMTHP25,-IMPMTHP31,-IMPMTHP32,-IMPMTHP33,-IMPMTHP34,-IMPMTHP35,-IMPMTHP41,-IMPMTHP42,-IMPMTHP43,-IMPMTHP44,-IMPMTHP45,-IMPMTHP51,-IMPMTHP52,-IMPMTHP53,-IMPMTHP55,-IMPMTHP54,-</t>
  </si>
  <si>
    <t>,-CS,-</t>
  </si>
  <si>
    <t>,-CLTHPS150R,-CLTHPS70,-CLTHPS70R,-CLTHS100,-CLTHS150,-CLTHSLD,-CLTHSLED,-</t>
  </si>
  <si>
    <t>,-ICPEFACNGA,-ICPEFEDNGA,-ICPEMDRNGA,-ICPEPRHNGA,-ICPNREGNGA,-</t>
  </si>
  <si>
    <t>,-ICPEOHTRFL,-</t>
  </si>
  <si>
    <t>,-ICTEFACDST,-ICTEMDRDST,-ICTEPRHDST,-</t>
  </si>
  <si>
    <t>,-ICTEFACNGA,-ICTEFEDNGA,-ICTEMDRNGA,-ICTEPRHNGA,-ICTNREGNGA,-</t>
  </si>
  <si>
    <t>,-ICTEFEDRFL,-ICTEPRHRFL,-</t>
  </si>
  <si>
    <t>,-ICTEFEDBIO,-</t>
  </si>
  <si>
    <t>,-ICTEFACCOA,-</t>
  </si>
  <si>
    <t>,-ICIEFACNGA,-ICIEFEDNGA,-ICIEMDRNGA,-ICIEPRHNGA,-</t>
  </si>
  <si>
    <t>,-ICIEPRHCOA,-</t>
  </si>
  <si>
    <t>,-ICOEFACNGA,-ICOEFEDNGA,-ICOEMDRNGA,-ICOEOHTNGA,-ICOEPRHNGA,-</t>
  </si>
  <si>
    <t>,-ICOEPRHCOA,-</t>
  </si>
  <si>
    <t>,-IPOEFACNGA,-IPOEMDRNGA,-IPOEOHTNGA,-IPOEPRHNGA,-</t>
  </si>
  <si>
    <t>,-IPLEPRHNGA,-</t>
  </si>
  <si>
    <t>,-IPBEFACDST,-</t>
  </si>
  <si>
    <t>,-IPBEFACNGA,-IPBEFEDNGA,-IPBEMDRNGA,-IPBEOHTNGA,-IPBEPRHNGA,-</t>
  </si>
  <si>
    <t>,-IPBEPRHRFL,-</t>
  </si>
  <si>
    <t>,-ECOALIGCCS,-</t>
  </si>
  <si>
    <t>,-SECSTBLN2O,-SECSTBLN2U,-SECSTBLS2O,-SECSTBLS2U,-SECSTLLN2O,-SECSTLLN2U,-SECSTLLS2O,-SECSTLLS2U,-SECSTSLN2O,-SECSTSLN2U,-SECSTSLS2O,-SECSTSLS2U,-</t>
  </si>
  <si>
    <t>,-INOEFACNGA,-INOEMDRNGA,-INOEOHTNGA,-INOEPRHNGA,-INONREGNGA,-</t>
  </si>
  <si>
    <t>,-IMSEFACNGA,-IMSEFEDNGA,-IMSEMDRNGA,-IMSEPRHNGA,-IMSNREGNGA,-</t>
  </si>
  <si>
    <t>,-IMSEOHTRFL,-</t>
  </si>
  <si>
    <t>,-IMSEFEDBIO,-</t>
  </si>
  <si>
    <t>,-INDELC000,-</t>
  </si>
  <si>
    <t>,-IMTEFACNGA,-IMTEFEDNGA,-IMTEMDRNGA,-IMTEPRHNGA,-IMTNREGNGA,-</t>
  </si>
  <si>
    <t>,-IMTEOHTRFL,-</t>
  </si>
  <si>
    <t>,-IMTEFEDBIO,-</t>
  </si>
  <si>
    <t>,-IOTEFACDST,-IOTEFEDDST,-IOTEMDRDST,-IOTEOHTDST,-IOTEPRHDST,-</t>
  </si>
  <si>
    <t>,-IOTEFACCOA,-IOTEMDRCOA,-IOTEPRHCOA,-</t>
  </si>
  <si>
    <t>,-IOTEFEDLPG,-IOTEMDRLPG,-IOTEOHTLPG,-IOTEFACLPG,-IOTEPRHLPG,-</t>
  </si>
  <si>
    <t>,-IOTEFEDNGA,-IOTEMDRNGA,-IOTEOHTNGA,-IOTEPRHNGA,-IOTEFACNGA,-IOTNREGNGA,-</t>
  </si>
  <si>
    <t>,-IOTEFACRFL,-IOTEFEDRFL,-IOTEOHTRFL,-IOTEPRHRFL,-</t>
  </si>
  <si>
    <t>,-IOTEFEDBIO,-</t>
  </si>
  <si>
    <t>,-IPAEFACDST,-</t>
  </si>
  <si>
    <t>,-IPAEFACNGA,-IPAEMDRNGA,-IPAEOHTNGA,-IPAEPRHNGA,-IPANREGNGA,-</t>
  </si>
  <si>
    <t>,-IPAEFACRFL,-IPAEPRHRFL,-</t>
  </si>
  <si>
    <t>,-IPAEPRHCOA,-</t>
  </si>
  <si>
    <t>~TFM_PSets</t>
  </si>
  <si>
    <t>t_pos_andor_forsets</t>
  </si>
  <si>
    <t>t_pos_andor</t>
  </si>
  <si>
    <t>t_neg_andor_forsets</t>
  </si>
  <si>
    <t>t_neg_andor</t>
  </si>
  <si>
    <t>setname</t>
  </si>
  <si>
    <t>setdesc</t>
  </si>
  <si>
    <t>pset_set</t>
  </si>
  <si>
    <t>pset_pn</t>
  </si>
  <si>
    <t>pset_pd</t>
  </si>
  <si>
    <t>pset_co</t>
  </si>
  <si>
    <t>pset_ci</t>
  </si>
  <si>
    <t>TM-H2</t>
  </si>
  <si>
    <t>TMH2</t>
  </si>
  <si>
    <t>TH-H2</t>
  </si>
  <si>
    <t>TBTH*</t>
  </si>
  <si>
    <t>CM*, COF*</t>
  </si>
  <si>
    <t>TH-ELC</t>
  </si>
  <si>
    <t>TLH2</t>
  </si>
  <si>
    <t>TM-ELC</t>
  </si>
  <si>
    <t>TMELC</t>
  </si>
  <si>
    <t>TC-ELC</t>
  </si>
  <si>
    <t>TCELC</t>
  </si>
  <si>
    <t>TB*CNG*</t>
  </si>
  <si>
    <t>TB*GSL*</t>
  </si>
  <si>
    <t>And</t>
  </si>
  <si>
    <t>Or</t>
  </si>
  <si>
    <t>TB-ELC</t>
  </si>
  <si>
    <t>TBTEVC,TBSEVC</t>
  </si>
  <si>
    <t>TB*DSL*,TB*HEV*</t>
  </si>
  <si>
    <t>TB-LPG</t>
  </si>
  <si>
    <t>TB*LPG*</t>
  </si>
  <si>
    <t>TM*LPG*</t>
  </si>
  <si>
    <t>TH*LPG*</t>
  </si>
  <si>
    <t>TC*LPG*</t>
  </si>
  <si>
    <t>TL*LPG*</t>
  </si>
  <si>
    <t>TL*CNG*</t>
  </si>
  <si>
    <t>TH*B20*</t>
  </si>
  <si>
    <t>TH*CNG*</t>
  </si>
  <si>
    <t>TH*DSL*</t>
  </si>
  <si>
    <t>TH*ELC</t>
  </si>
  <si>
    <t>TH*GSL*</t>
  </si>
  <si>
    <t>TH*H2</t>
  </si>
  <si>
    <t>THL-GSL</t>
  </si>
  <si>
    <t>THLG*</t>
  </si>
  <si>
    <t>THL-ALL</t>
  </si>
  <si>
    <t>THL*</t>
  </si>
  <si>
    <t>THDNEW</t>
  </si>
  <si>
    <t>All new TB, TC, TM, THS, and THL techs.</t>
  </si>
  <si>
    <t>THDELC</t>
  </si>
  <si>
    <t>Just the ELCs covered by MOU</t>
  </si>
  <si>
    <t>TB*, TC*, TM*, THS*, THL*, -TB*E, -TC*E, -TM*E, -THS*E, -THL*E, -T*ELCL3, -T*ELCL2,</t>
  </si>
  <si>
    <t>TBSEVC, TBTEVC, TCELC, THLELC, THSELC, TMELC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</si>
</sst>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0A7-6C03-4181-BEB8-CD6B98E31E5B}">
  <dimension ref="A1:K14"/>
  <sheetViews>
    <sheetView tabSelected="1" workbookViewId="0"/>
  </sheetViews>
  <sheetFormatPr defaultRowHeight="15" x14ac:dyDescent="0.25"/>
  <sheetData>
    <row r="1" spans="1:11" x14ac:dyDescent="0.25">
      <c r="A1" t="s">
        <v>2645</v>
      </c>
    </row>
    <row r="2" spans="1:11" x14ac:dyDescent="0.25">
      <c r="A2" t="s">
        <v>2646</v>
      </c>
      <c r="B2" t="s">
        <v>2647</v>
      </c>
      <c r="C2" t="s">
        <v>2648</v>
      </c>
      <c r="D2" t="s">
        <v>2649</v>
      </c>
      <c r="E2" t="s">
        <v>2650</v>
      </c>
      <c r="F2" t="s">
        <v>2651</v>
      </c>
      <c r="G2" t="s">
        <v>2652</v>
      </c>
      <c r="H2" t="s">
        <v>2653</v>
      </c>
      <c r="I2" t="s">
        <v>2654</v>
      </c>
      <c r="J2" t="s">
        <v>2655</v>
      </c>
      <c r="K2" t="s">
        <v>2656</v>
      </c>
    </row>
    <row r="3" spans="1:11" x14ac:dyDescent="0.25">
      <c r="E3" t="s">
        <v>2657</v>
      </c>
      <c r="H3" t="s">
        <v>2658</v>
      </c>
    </row>
    <row r="4" spans="1:11" x14ac:dyDescent="0.25">
      <c r="A4" t="s">
        <v>2670</v>
      </c>
      <c r="B4" t="s">
        <v>2670</v>
      </c>
      <c r="C4" t="s">
        <v>2671</v>
      </c>
      <c r="D4" t="s">
        <v>2671</v>
      </c>
      <c r="E4" t="s">
        <v>2659</v>
      </c>
      <c r="H4" t="s">
        <v>2687</v>
      </c>
    </row>
    <row r="5" spans="1:11" x14ac:dyDescent="0.25">
      <c r="E5" t="s">
        <v>1598</v>
      </c>
      <c r="H5" t="s">
        <v>2660</v>
      </c>
      <c r="K5" t="s">
        <v>111</v>
      </c>
    </row>
    <row r="6" spans="1:11" x14ac:dyDescent="0.25">
      <c r="A6" t="s">
        <v>2670</v>
      </c>
      <c r="B6" t="s">
        <v>2670</v>
      </c>
      <c r="C6" t="s">
        <v>2671</v>
      </c>
      <c r="D6" t="s">
        <v>2671</v>
      </c>
      <c r="E6" t="s">
        <v>2662</v>
      </c>
      <c r="H6" t="s">
        <v>2685</v>
      </c>
    </row>
    <row r="7" spans="1:11" x14ac:dyDescent="0.25">
      <c r="E7" t="s">
        <v>2664</v>
      </c>
      <c r="H7" t="s">
        <v>2665</v>
      </c>
    </row>
    <row r="8" spans="1:11" x14ac:dyDescent="0.25">
      <c r="E8" t="s">
        <v>2666</v>
      </c>
      <c r="H8" t="s">
        <v>2667</v>
      </c>
    </row>
    <row r="9" spans="1:11" x14ac:dyDescent="0.25">
      <c r="A9" t="s">
        <v>2670</v>
      </c>
      <c r="B9" t="s">
        <v>2670</v>
      </c>
      <c r="C9" t="s">
        <v>2671</v>
      </c>
      <c r="D9" t="s">
        <v>2671</v>
      </c>
      <c r="E9" t="s">
        <v>2672</v>
      </c>
      <c r="H9" t="s">
        <v>2673</v>
      </c>
    </row>
    <row r="10" spans="1:11" x14ac:dyDescent="0.25">
      <c r="A10" t="s">
        <v>2670</v>
      </c>
      <c r="B10" t="s">
        <v>2670</v>
      </c>
      <c r="C10" t="s">
        <v>2671</v>
      </c>
      <c r="D10" t="s">
        <v>2671</v>
      </c>
      <c r="E10" t="s">
        <v>2675</v>
      </c>
      <c r="H10" t="s">
        <v>2676</v>
      </c>
    </row>
    <row r="11" spans="1:11" x14ac:dyDescent="0.25">
      <c r="A11" t="s">
        <v>2670</v>
      </c>
      <c r="B11" t="s">
        <v>2670</v>
      </c>
      <c r="C11" t="s">
        <v>2671</v>
      </c>
      <c r="D11" t="s">
        <v>2671</v>
      </c>
      <c r="E11" t="s">
        <v>2688</v>
      </c>
      <c r="H11" t="s">
        <v>2689</v>
      </c>
    </row>
    <row r="12" spans="1:11" x14ac:dyDescent="0.25">
      <c r="A12" t="s">
        <v>2670</v>
      </c>
      <c r="B12" t="s">
        <v>2670</v>
      </c>
      <c r="C12" t="s">
        <v>2671</v>
      </c>
      <c r="D12" t="s">
        <v>2671</v>
      </c>
      <c r="E12" t="s">
        <v>2690</v>
      </c>
      <c r="H12" t="s">
        <v>2691</v>
      </c>
    </row>
    <row r="13" spans="1:11" x14ac:dyDescent="0.25">
      <c r="A13" t="s">
        <v>2670</v>
      </c>
      <c r="B13" t="s">
        <v>2670</v>
      </c>
      <c r="C13" t="s">
        <v>2670</v>
      </c>
      <c r="D13" t="s">
        <v>2670</v>
      </c>
      <c r="E13" t="s">
        <v>2692</v>
      </c>
      <c r="F13" t="s">
        <v>2693</v>
      </c>
      <c r="H13" t="s">
        <v>2696</v>
      </c>
    </row>
    <row r="14" spans="1:11" x14ac:dyDescent="0.25">
      <c r="A14" t="s">
        <v>2670</v>
      </c>
      <c r="B14" t="s">
        <v>2670</v>
      </c>
      <c r="C14" t="s">
        <v>2670</v>
      </c>
      <c r="D14" t="s">
        <v>2670</v>
      </c>
      <c r="E14" t="s">
        <v>2694</v>
      </c>
      <c r="F14" t="s">
        <v>2695</v>
      </c>
      <c r="H14" t="s">
        <v>2697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FE1B-86E9-4F27-83BB-2357D7EB1219}">
  <dimension ref="A1:H88"/>
  <sheetViews>
    <sheetView workbookViewId="0">
      <selection activeCell="A29" sqref="A29"/>
    </sheetView>
  </sheetViews>
  <sheetFormatPr defaultRowHeight="15" x14ac:dyDescent="0.25"/>
  <cols>
    <col min="2" max="2" width="24.7109375" bestFit="1" customWidth="1"/>
    <col min="3" max="3" width="20.5703125" customWidth="1"/>
    <col min="4" max="4" width="13.140625" bestFit="1" customWidth="1"/>
    <col min="5" max="5" width="10.42578125" bestFit="1" customWidth="1"/>
    <col min="12" max="12" width="44.140625" bestFit="1" customWidth="1"/>
    <col min="13" max="13" width="18.28515625" bestFit="1" customWidth="1"/>
  </cols>
  <sheetData>
    <row r="1" spans="1:8" x14ac:dyDescent="0.25">
      <c r="A1" t="s">
        <v>58</v>
      </c>
    </row>
    <row r="2" spans="1:8" x14ac:dyDescent="0.25">
      <c r="A2" t="s">
        <v>57</v>
      </c>
      <c r="B2" t="s">
        <v>74</v>
      </c>
      <c r="C2" t="s">
        <v>75</v>
      </c>
      <c r="D2" t="s">
        <v>1</v>
      </c>
      <c r="E2" t="s">
        <v>53</v>
      </c>
      <c r="F2" t="s">
        <v>54</v>
      </c>
      <c r="G2" t="s">
        <v>55</v>
      </c>
      <c r="H2" t="s">
        <v>56</v>
      </c>
    </row>
    <row r="3" spans="1:8" x14ac:dyDescent="0.25">
      <c r="A3" t="str">
        <f>setrules!D2&amp;IF(setrules!E2="","",",-"&amp;setrules!E2)</f>
        <v/>
      </c>
      <c r="B3" t="str">
        <f>setrules!F2&amp;IF(setrules!G2="","",",-"&amp;setrules!G2)</f>
        <v>*CH4</v>
      </c>
      <c r="C3" t="str">
        <f>setrules!H2&amp;IF(setrules!I2="","",",-"&amp;setrules!I2)</f>
        <v/>
      </c>
      <c r="D3" t="str">
        <f>setrules!B2</f>
        <v>CH4_ALL</v>
      </c>
    </row>
    <row r="4" spans="1:8" x14ac:dyDescent="0.25">
      <c r="A4" t="str">
        <f>setrules!D3&amp;IF(setrules!E3="","",",-"&amp;setrules!E3)</f>
        <v>NRG</v>
      </c>
      <c r="B4" t="str">
        <f>setrules!F3&amp;IF(setrules!G3="","",",-"&amp;setrules!G3)</f>
        <v>*LPG*</v>
      </c>
      <c r="C4" t="str">
        <f>setrules!H3&amp;IF(setrules!I3="","",",-"&amp;setrules!I3)</f>
        <v/>
      </c>
      <c r="D4" t="str">
        <f>setrules!B3</f>
        <v>NRG_LPG</v>
      </c>
    </row>
    <row r="5" spans="1:8" x14ac:dyDescent="0.25">
      <c r="A5" t="str">
        <f>setrules!D4&amp;IF(setrules!E4="","",",-"&amp;setrules!E4)</f>
        <v>ETH</v>
      </c>
      <c r="B5" t="str">
        <f>setrules!F4&amp;IF(setrules!G4="","",",-"&amp;setrules!G4)</f>
        <v/>
      </c>
      <c r="C5" t="str">
        <f>setrules!H4&amp;IF(setrules!I4="","",",-"&amp;setrules!I4)</f>
        <v>*E85*</v>
      </c>
      <c r="D5" t="str">
        <f>setrules!B4</f>
        <v>ETH_E85 SUMMARY</v>
      </c>
    </row>
    <row r="6" spans="1:8" x14ac:dyDescent="0.25">
      <c r="A6" t="str">
        <f>setrules!D5&amp;IF(setrules!E5="","",",-"&amp;setrules!E5)</f>
        <v/>
      </c>
      <c r="B6" t="str">
        <f>setrules!F5&amp;IF(setrules!G5="","",",-"&amp;setrules!G5)</f>
        <v>*DSU*</v>
      </c>
      <c r="C6" t="str">
        <f>setrules!H5&amp;IF(setrules!I5="","",",-"&amp;setrules!I5)</f>
        <v/>
      </c>
      <c r="D6" t="str">
        <f>setrules!B5</f>
        <v>DSU_ALL</v>
      </c>
    </row>
    <row r="7" spans="1:8" x14ac:dyDescent="0.25">
      <c r="A7" t="str">
        <f>setrules!D6&amp;IF(setrules!E6="","",",-"&amp;setrules!E6)</f>
        <v/>
      </c>
      <c r="B7" t="str">
        <f>setrules!F6&amp;IF(setrules!G6="","",",-"&amp;setrules!G6)</f>
        <v>*DSH*</v>
      </c>
      <c r="C7" t="str">
        <f>setrules!H6&amp;IF(setrules!I6="","",",-"&amp;setrules!I6)</f>
        <v/>
      </c>
      <c r="D7" t="str">
        <f>setrules!B6</f>
        <v>DSH_ALL</v>
      </c>
    </row>
    <row r="8" spans="1:8" x14ac:dyDescent="0.25">
      <c r="A8" t="str">
        <f>setrules!D7&amp;IF(setrules!E7="","",",-"&amp;setrules!E7)</f>
        <v/>
      </c>
      <c r="B8" t="str">
        <f>setrules!F7&amp;IF(setrules!G7="","",",-"&amp;setrules!G7)</f>
        <v>C*</v>
      </c>
      <c r="C8" t="str">
        <f>setrules!H7&amp;IF(setrules!I7="","",",-"&amp;setrules!I7)</f>
        <v>,-*COMMERCIAL*</v>
      </c>
      <c r="D8" t="str">
        <f>setrules!B7</f>
        <v>COAL MOSTLY</v>
      </c>
    </row>
    <row r="9" spans="1:8" x14ac:dyDescent="0.25">
      <c r="A9" t="str">
        <f>setrules!D8&amp;IF(setrules!E8="","",",-"&amp;setrules!E8)</f>
        <v>IND_CHP</v>
      </c>
      <c r="B9" t="str">
        <f>setrules!F8&amp;IF(setrules!G8="","",",-"&amp;setrules!G8)</f>
        <v>I*</v>
      </c>
      <c r="C9" t="str">
        <f>setrules!H8&amp;IF(setrules!I8="","",",-"&amp;setrules!I8)</f>
        <v/>
      </c>
      <c r="D9" t="str">
        <f>setrules!B8</f>
        <v>IND_ALLCOMODITIES</v>
      </c>
    </row>
    <row r="10" spans="1:8" x14ac:dyDescent="0.25">
      <c r="A10" t="str">
        <f>setrules!D9&amp;IF(setrules!E9="","",",-"&amp;setrules!E9)</f>
        <v/>
      </c>
      <c r="B10" t="str">
        <f>setrules!F9&amp;IF(setrules!G9="","",",-"&amp;setrules!G9)</f>
        <v>*CO2</v>
      </c>
      <c r="C10" t="str">
        <f>setrules!H9&amp;IF(setrules!I9="","",",-"&amp;setrules!I9)</f>
        <v/>
      </c>
      <c r="D10" t="str">
        <f>setrules!B9</f>
        <v>CO2_ALL</v>
      </c>
    </row>
    <row r="11" spans="1:8" x14ac:dyDescent="0.25">
      <c r="A11" t="str">
        <f>setrules!D10&amp;IF(setrules!E10="","",",-"&amp;setrules!E10)</f>
        <v/>
      </c>
      <c r="B11" t="str">
        <f>setrules!F10&amp;IF(setrules!G10="","",",-"&amp;setrules!G10)</f>
        <v>*CHPELC</v>
      </c>
      <c r="C11" t="str">
        <f>setrules!H10&amp;IF(setrules!I10="","",",-"&amp;setrules!I10)</f>
        <v/>
      </c>
      <c r="D11" t="str">
        <f>setrules!B10</f>
        <v>IND_CHP</v>
      </c>
    </row>
    <row r="12" spans="1:8" x14ac:dyDescent="0.25">
      <c r="A12" t="str">
        <f>setrules!D11&amp;IF(setrules!E11="","",",-"&amp;setrules!E11)</f>
        <v/>
      </c>
      <c r="B12" t="str">
        <f>setrules!F11&amp;IF(setrules!G11="","",",-"&amp;setrules!G11)</f>
        <v>TLE85X,TLGSL,TRNCNGL,TRNDSL,TRNELC,TRNH2,TRNLPGEZ</v>
      </c>
      <c r="C12" t="str">
        <f>setrules!H11&amp;IF(setrules!I11="","",",-"&amp;setrules!I11)</f>
        <v/>
      </c>
      <c r="D12" t="str">
        <f>setrules!B11</f>
        <v>CAFE</v>
      </c>
    </row>
    <row r="13" spans="1:8" x14ac:dyDescent="0.25">
      <c r="A13" t="str">
        <f>setrules!D12&amp;IF(setrules!E12="","",",-"&amp;setrules!E12)</f>
        <v>BIOMASS COLLECTED,BIOMASS COMMODITIES,BIOMASS DELIVERED</v>
      </c>
      <c r="B13" t="str">
        <f>setrules!F12&amp;IF(setrules!G12="","",",-"&amp;setrules!G12)</f>
        <v>*</v>
      </c>
      <c r="C13" t="str">
        <f>setrules!H12&amp;IF(setrules!I12="","",",-"&amp;setrules!I12)</f>
        <v/>
      </c>
      <c r="D13" t="str">
        <f>setrules!B12</f>
        <v>BIOMASS TOTAL</v>
      </c>
    </row>
    <row r="14" spans="1:8" x14ac:dyDescent="0.25">
      <c r="A14" t="str">
        <f>setrules!D13&amp;IF(setrules!E13="","",",-"&amp;setrules!E13)</f>
        <v/>
      </c>
      <c r="B14" t="str">
        <f>setrules!F13&amp;IF(setrules!G13="","",",-"&amp;setrules!G13)</f>
        <v/>
      </c>
      <c r="C14" t="str">
        <f>setrules!H13&amp;IF(setrules!I13="","",",-"&amp;setrules!I13)</f>
        <v>*DELIVERED*</v>
      </c>
      <c r="D14" t="str">
        <f>setrules!B13</f>
        <v>BIOMASS DELIVERED</v>
      </c>
    </row>
    <row r="15" spans="1:8" x14ac:dyDescent="0.25">
      <c r="A15" t="str">
        <f>setrules!D14&amp;IF(setrules!E14="","",",-"&amp;setrules!E14)</f>
        <v/>
      </c>
      <c r="B15" t="str">
        <f>setrules!F14&amp;IF(setrules!G14="","",",-"&amp;setrules!G14)</f>
        <v/>
      </c>
      <c r="C15" t="str">
        <f>setrules!H14&amp;IF(setrules!I14="","",",-"&amp;setrules!I14)</f>
        <v>*BIOMASS*</v>
      </c>
      <c r="D15" t="str">
        <f>setrules!B14</f>
        <v>BIOMASS COMMODITIES</v>
      </c>
    </row>
    <row r="16" spans="1:8" x14ac:dyDescent="0.25">
      <c r="A16" t="str">
        <f>setrules!D15&amp;IF(setrules!E15="","",",-"&amp;setrules!E15)</f>
        <v/>
      </c>
      <c r="B16" t="str">
        <f>setrules!F15&amp;IF(setrules!G15="","",",-"&amp;setrules!G15)</f>
        <v/>
      </c>
      <c r="C16" t="str">
        <f>setrules!H15&amp;IF(setrules!I15="","",",-"&amp;setrules!I15)</f>
        <v>*COLLECTED*</v>
      </c>
      <c r="D16" t="str">
        <f>setrules!B15</f>
        <v>BIOMASS COLLECTED</v>
      </c>
    </row>
    <row r="17" spans="1:4" x14ac:dyDescent="0.25">
      <c r="A17" t="str">
        <f>setrules!D16&amp;IF(setrules!E16="","",",-"&amp;setrules!E16)</f>
        <v/>
      </c>
      <c r="B17" t="str">
        <f>setrules!F16&amp;IF(setrules!G16="","",",-"&amp;setrules!G16)</f>
        <v>*ASP*</v>
      </c>
      <c r="C17" t="str">
        <f>setrules!H16&amp;IF(setrules!I16="","",",-"&amp;setrules!I16)</f>
        <v/>
      </c>
      <c r="D17" t="str">
        <f>setrules!B16</f>
        <v>ASP_ALL</v>
      </c>
    </row>
    <row r="18" spans="1:4" x14ac:dyDescent="0.25">
      <c r="A18" t="str">
        <f>setrules!D17&amp;IF(setrules!E17="","",",-"&amp;setrules!E17)</f>
        <v/>
      </c>
      <c r="B18" t="str">
        <f>setrules!F17&amp;IF(setrules!G17="","",",-"&amp;setrules!G17)</f>
        <v>CSTM*</v>
      </c>
      <c r="C18" t="str">
        <f>setrules!H17&amp;IF(setrules!I17="","",",-"&amp;setrules!I17)</f>
        <v/>
      </c>
      <c r="D18" t="str">
        <f>setrules!B17</f>
        <v>COAL COMMODITIES</v>
      </c>
    </row>
    <row r="19" spans="1:4" x14ac:dyDescent="0.25">
      <c r="A19" t="str">
        <f>setrules!D18&amp;IF(setrules!E18="","",",-"&amp;setrules!E18)</f>
        <v>NRG</v>
      </c>
      <c r="B19" t="str">
        <f>setrules!F18&amp;IF(setrules!G18="","",",-"&amp;setrules!G18)</f>
        <v>*DSH*</v>
      </c>
      <c r="C19" t="str">
        <f>setrules!H18&amp;IF(setrules!I18="","",",-"&amp;setrules!I18)</f>
        <v/>
      </c>
      <c r="D19" t="str">
        <f>setrules!B18</f>
        <v>NRG_DSH</v>
      </c>
    </row>
    <row r="20" spans="1:4" x14ac:dyDescent="0.25">
      <c r="A20" t="str">
        <f>setrules!D19&amp;IF(setrules!E19="","",",-"&amp;setrules!E19)</f>
        <v>NRG</v>
      </c>
      <c r="B20" t="str">
        <f>setrules!F19&amp;IF(setrules!G19="","",",-"&amp;setrules!G19)</f>
        <v>*KER*</v>
      </c>
      <c r="C20" t="str">
        <f>setrules!H19&amp;IF(setrules!I19="","",",-"&amp;setrules!I19)</f>
        <v/>
      </c>
      <c r="D20" t="str">
        <f>setrules!B19</f>
        <v>NRG_KER</v>
      </c>
    </row>
    <row r="21" spans="1:4" x14ac:dyDescent="0.25">
      <c r="A21" t="str">
        <f>setrules!D20&amp;IF(setrules!E20="","",",-"&amp;setrules!E20)</f>
        <v>NRG</v>
      </c>
      <c r="B21" t="str">
        <f>setrules!F20&amp;IF(setrules!G20="","",",-"&amp;setrules!G20)</f>
        <v>*JTF*</v>
      </c>
      <c r="C21" t="str">
        <f>setrules!H20&amp;IF(setrules!I20="","",",-"&amp;setrules!I20)</f>
        <v/>
      </c>
      <c r="D21" t="str">
        <f>setrules!B20</f>
        <v>NRG_JET</v>
      </c>
    </row>
    <row r="22" spans="1:4" x14ac:dyDescent="0.25">
      <c r="A22" t="str">
        <f>setrules!D21&amp;IF(setrules!E21="","",",-"&amp;setrules!E21)</f>
        <v>NRG</v>
      </c>
      <c r="B22" t="str">
        <f>setrules!F21&amp;IF(setrules!G21="","",",-"&amp;setrules!G21)</f>
        <v>*H2*</v>
      </c>
      <c r="C22" t="str">
        <f>setrules!H21&amp;IF(setrules!I21="","",",-"&amp;setrules!I21)</f>
        <v>*H2*</v>
      </c>
      <c r="D22" t="str">
        <f>setrules!B21</f>
        <v>NRG_H2</v>
      </c>
    </row>
    <row r="23" spans="1:4" x14ac:dyDescent="0.25">
      <c r="A23" t="str">
        <f>setrules!D22&amp;IF(setrules!E22="","",",-"&amp;setrules!E22)</f>
        <v>NRG</v>
      </c>
      <c r="B23" t="str">
        <f>setrules!F22&amp;IF(setrules!G22="","",",-"&amp;setrules!G22)</f>
        <v>*GS*,-S_*,-*LFG*</v>
      </c>
      <c r="C23" t="str">
        <f>setrules!H22&amp;IF(setrules!I22="","",",-"&amp;setrules!I22)</f>
        <v/>
      </c>
      <c r="D23" t="str">
        <f>setrules!B22</f>
        <v>NRG_GSL</v>
      </c>
    </row>
    <row r="24" spans="1:4" x14ac:dyDescent="0.25">
      <c r="A24" t="str">
        <f>setrules!D23&amp;IF(setrules!E23="","",",-"&amp;setrules!E23)</f>
        <v>NRG</v>
      </c>
      <c r="B24" t="str">
        <f>setrules!F23&amp;IF(setrules!G23="","",",-"&amp;setrules!G23)</f>
        <v>*ETH*</v>
      </c>
      <c r="C24" t="str">
        <f>setrules!H23&amp;IF(setrules!I23="","",",-"&amp;setrules!I23)</f>
        <v/>
      </c>
      <c r="D24" t="str">
        <f>setrules!B23</f>
        <v>NRG_ETH</v>
      </c>
    </row>
    <row r="25" spans="1:4" x14ac:dyDescent="0.25">
      <c r="A25" t="str">
        <f>setrules!D24&amp;IF(setrules!E24="","",",-"&amp;setrules!E24)</f>
        <v/>
      </c>
      <c r="B25" t="str">
        <f>setrules!F24&amp;IF(setrules!G24="","",",-"&amp;setrules!G24)</f>
        <v>*GSL*</v>
      </c>
      <c r="C25" t="str">
        <f>setrules!H24&amp;IF(setrules!I24="","",",-"&amp;setrules!I24)</f>
        <v/>
      </c>
      <c r="D25" t="str">
        <f>setrules!B24</f>
        <v>GSL_ALL</v>
      </c>
    </row>
    <row r="26" spans="1:4" x14ac:dyDescent="0.25">
      <c r="A26" t="str">
        <f>setrules!D25&amp;IF(setrules!E25="","",",-"&amp;setrules!E25)</f>
        <v>NRG</v>
      </c>
      <c r="B26" t="str">
        <f>setrules!F25&amp;IF(setrules!G25="","",",-"&amp;setrules!G25)</f>
        <v>*DSL*,*DSU*,-*BIO*,-S_*</v>
      </c>
      <c r="C26" t="str">
        <f>setrules!H25&amp;IF(setrules!I25="","",",-"&amp;setrules!I25)</f>
        <v>,-*OIL*</v>
      </c>
      <c r="D26" t="str">
        <f>setrules!B25</f>
        <v>NRG_DSL</v>
      </c>
    </row>
    <row r="27" spans="1:4" x14ac:dyDescent="0.25">
      <c r="A27" t="str">
        <f>setrules!D26&amp;IF(setrules!E26="","",",-"&amp;setrules!E26)</f>
        <v/>
      </c>
      <c r="B27" t="str">
        <f>setrules!F26&amp;IF(setrules!G26="","",",-"&amp;setrules!G26)</f>
        <v>*DSL*</v>
      </c>
      <c r="C27" t="str">
        <f>setrules!H26&amp;IF(setrules!I26="","",",-"&amp;setrules!I26)</f>
        <v/>
      </c>
      <c r="D27" t="str">
        <f>setrules!B26</f>
        <v>DSL_ALL</v>
      </c>
    </row>
    <row r="28" spans="1:4" x14ac:dyDescent="0.25">
      <c r="A28" t="str">
        <f>setrules!D27&amp;IF(setrules!E27="","",",-"&amp;setrules!E27)</f>
        <v>NRG</v>
      </c>
      <c r="B28" t="str">
        <f>setrules!F27&amp;IF(setrules!G27="","",",-"&amp;setrules!G27)</f>
        <v>C*</v>
      </c>
      <c r="C28" t="str">
        <f>setrules!H27&amp;IF(setrules!I27="","",",-"&amp;setrules!I27)</f>
        <v>*COA*</v>
      </c>
      <c r="D28" t="str">
        <f>setrules!B27</f>
        <v>NRG_COAL</v>
      </c>
    </row>
    <row r="29" spans="1:4" x14ac:dyDescent="0.25">
      <c r="A29" t="str">
        <f>setrules!D28&amp;IF(setrules!E28="","",",-"&amp;setrules!E28)</f>
        <v>NRG</v>
      </c>
      <c r="B29" t="str">
        <f>setrules!F28&amp;IF(setrules!G28="","",",-"&amp;setrules!G28)</f>
        <v>*BIO*,-S_*,-*DST*,-*ETH*</v>
      </c>
      <c r="C29" t="str">
        <f>setrules!H28&amp;IF(setrules!I28="","",",-"&amp;setrules!I28)</f>
        <v/>
      </c>
      <c r="D29" t="str">
        <f>setrules!B28</f>
        <v>NRG_BIO</v>
      </c>
    </row>
    <row r="30" spans="1:4" x14ac:dyDescent="0.25">
      <c r="A30" t="str">
        <f>setrules!D29&amp;IF(setrules!E29="","",",-"&amp;setrules!E29)</f>
        <v/>
      </c>
      <c r="B30" t="str">
        <f>setrules!F29&amp;IF(setrules!G29="","",",-"&amp;setrules!G29)</f>
        <v>*NOX</v>
      </c>
      <c r="C30" t="str">
        <f>setrules!H29&amp;IF(setrules!I29="","",",-"&amp;setrules!I29)</f>
        <v/>
      </c>
      <c r="D30" t="str">
        <f>setrules!B29</f>
        <v>NOX_ALL</v>
      </c>
    </row>
    <row r="31" spans="1:4" x14ac:dyDescent="0.25">
      <c r="A31" t="str">
        <f>setrules!D30&amp;IF(setrules!E30="","",",-"&amp;setrules!E30)</f>
        <v/>
      </c>
      <c r="B31" t="str">
        <f>setrules!F30&amp;IF(setrules!G30="","",",-"&amp;setrules!G30)</f>
        <v>*LPG*</v>
      </c>
      <c r="C31" t="str">
        <f>setrules!H30&amp;IF(setrules!I30="","",",-"&amp;setrules!I30)</f>
        <v/>
      </c>
      <c r="D31" t="str">
        <f>setrules!B30</f>
        <v>LPG_ALL</v>
      </c>
    </row>
    <row r="32" spans="1:4" x14ac:dyDescent="0.25">
      <c r="A32" t="str">
        <f>setrules!D31&amp;IF(setrules!E31="","",",-"&amp;setrules!E31)</f>
        <v/>
      </c>
      <c r="B32" t="str">
        <f>setrules!F31&amp;IF(setrules!G31="","",",-"&amp;setrules!G31)</f>
        <v>*KER*</v>
      </c>
      <c r="C32" t="str">
        <f>setrules!H31&amp;IF(setrules!I31="","",",-"&amp;setrules!I31)</f>
        <v/>
      </c>
      <c r="D32" t="str">
        <f>setrules!B31</f>
        <v>KER_ALL</v>
      </c>
    </row>
    <row r="33" spans="1:4" x14ac:dyDescent="0.25">
      <c r="A33" t="str">
        <f>setrules!D32&amp;IF(setrules!E32="","",",-"&amp;setrules!E32)</f>
        <v/>
      </c>
      <c r="B33" t="str">
        <f>setrules!F32&amp;IF(setrules!G32="","",",-"&amp;setrules!G32)</f>
        <v>*JTF*</v>
      </c>
      <c r="C33" t="str">
        <f>setrules!H32&amp;IF(setrules!I32="","",",-"&amp;setrules!I32)</f>
        <v/>
      </c>
      <c r="D33" t="str">
        <f>setrules!B32</f>
        <v>JTF_ALL</v>
      </c>
    </row>
    <row r="34" spans="1:4" x14ac:dyDescent="0.25">
      <c r="A34" t="str">
        <f>setrules!D33&amp;IF(setrules!E33="","",",-"&amp;setrules!E33)</f>
        <v>elc</v>
      </c>
      <c r="B34" t="str">
        <f>setrules!F33&amp;IF(setrules!G33="","",",-"&amp;setrules!G33)</f>
        <v>*ELC*</v>
      </c>
      <c r="C34" t="str">
        <f>setrules!H33&amp;IF(setrules!I33="","",",-"&amp;setrules!I33)</f>
        <v/>
      </c>
      <c r="D34" t="str">
        <f>setrules!B33</f>
        <v>NRG_ELC</v>
      </c>
    </row>
    <row r="35" spans="1:4" x14ac:dyDescent="0.25">
      <c r="A35" t="str">
        <f>setrules!D34&amp;IF(setrules!E34="","",",-"&amp;setrules!E34)</f>
        <v/>
      </c>
      <c r="B35" t="str">
        <f>setrules!F34&amp;IF(setrules!G34="","",",-"&amp;setrules!G34)</f>
        <v>*PTC*</v>
      </c>
      <c r="C35" t="str">
        <f>setrules!H34&amp;IF(setrules!I34="","",",-"&amp;setrules!I34)</f>
        <v/>
      </c>
      <c r="D35" t="str">
        <f>setrules!B34</f>
        <v>PTC_ALL</v>
      </c>
    </row>
    <row r="36" spans="1:4" x14ac:dyDescent="0.25">
      <c r="A36" t="str">
        <f>setrules!D35&amp;IF(setrules!E35="","",",-"&amp;setrules!E35)</f>
        <v>NRG</v>
      </c>
      <c r="B36" t="str">
        <f>setrules!F35&amp;IF(setrules!G35="","",",-"&amp;setrules!G35)</f>
        <v>RES*,-*EA</v>
      </c>
      <c r="C36" t="str">
        <f>setrules!H35&amp;IF(setrules!I35="","",",-"&amp;setrules!I35)</f>
        <v/>
      </c>
      <c r="D36" t="str">
        <f>setrules!B35</f>
        <v>Sfuel-RES</v>
      </c>
    </row>
    <row r="37" spans="1:4" x14ac:dyDescent="0.25">
      <c r="A37" t="str">
        <f>setrules!D36&amp;IF(setrules!E36="","",",-"&amp;setrules!E36)</f>
        <v>NRG</v>
      </c>
      <c r="B37" t="str">
        <f>setrules!F36&amp;IF(setrules!G36="","",",-"&amp;setrules!G36)</f>
        <v>IND*,-*EA</v>
      </c>
      <c r="C37" t="str">
        <f>setrules!H36&amp;IF(setrules!I36="","",",-"&amp;setrules!I36)</f>
        <v/>
      </c>
      <c r="D37" t="str">
        <f>setrules!B36</f>
        <v>Sfuel-IND</v>
      </c>
    </row>
    <row r="38" spans="1:4" x14ac:dyDescent="0.25">
      <c r="A38" t="str">
        <f>setrules!D37&amp;IF(setrules!E37="","",",-"&amp;setrules!E37)</f>
        <v>NRG</v>
      </c>
      <c r="B38" t="str">
        <f>setrules!F37&amp;IF(setrules!G37="","",",-"&amp;setrules!G37)</f>
        <v>COM*,-*EA</v>
      </c>
      <c r="C38" t="str">
        <f>setrules!H37&amp;IF(setrules!I37="","",",-"&amp;setrules!I37)</f>
        <v/>
      </c>
      <c r="D38" t="str">
        <f>setrules!B37</f>
        <v>Sfuel-COM</v>
      </c>
    </row>
    <row r="39" spans="1:4" x14ac:dyDescent="0.25">
      <c r="A39" t="str">
        <f>setrules!D38&amp;IF(setrules!E38="","",",-"&amp;setrules!E38)</f>
        <v/>
      </c>
      <c r="B39" t="str">
        <f>setrules!F38&amp;IF(setrules!G38="","",",-"&amp;setrules!G38)</f>
        <v>*RFL*</v>
      </c>
      <c r="C39" t="str">
        <f>setrules!H38&amp;IF(setrules!I38="","",",-"&amp;setrules!I38)</f>
        <v/>
      </c>
      <c r="D39" t="str">
        <f>setrules!B38</f>
        <v>RFL_ALL</v>
      </c>
    </row>
    <row r="40" spans="1:4" x14ac:dyDescent="0.25">
      <c r="A40" t="str">
        <f>setrules!D39&amp;IF(setrules!E39="","",",-"&amp;setrules!E39)</f>
        <v/>
      </c>
      <c r="B40" t="str">
        <f>setrules!F39&amp;IF(setrules!G39="","",",-"&amp;setrules!G39)</f>
        <v>*RFH*</v>
      </c>
      <c r="C40" t="str">
        <f>setrules!H39&amp;IF(setrules!I39="","",",-"&amp;setrules!I39)</f>
        <v/>
      </c>
      <c r="D40" t="str">
        <f>setrules!B39</f>
        <v>RFH_ALL</v>
      </c>
    </row>
    <row r="41" spans="1:4" x14ac:dyDescent="0.25">
      <c r="A41" t="str">
        <f>setrules!D40&amp;IF(setrules!E40="","",",-"&amp;setrules!E40)</f>
        <v>DEM</v>
      </c>
      <c r="B41" t="str">
        <f>setrules!F40&amp;IF(setrules!G40="","",",-"&amp;setrules!G40)</f>
        <v>R*,-ROG,-ROE,-ROL</v>
      </c>
      <c r="C41" t="str">
        <f>setrules!H40&amp;IF(setrules!I40="","",",-"&amp;setrules!I40)</f>
        <v/>
      </c>
      <c r="D41" t="str">
        <f>setrules!B40</f>
        <v>RESIDENTIAL DMDS</v>
      </c>
    </row>
    <row r="42" spans="1:4" x14ac:dyDescent="0.25">
      <c r="A42" t="str">
        <f>setrules!D41&amp;IF(setrules!E41="","",",-"&amp;setrules!E41)</f>
        <v>NRG</v>
      </c>
      <c r="B42" t="str">
        <f>setrules!F41&amp;IF(setrules!G41="","",",-"&amp;setrules!G41)</f>
        <v>TRN*,-*EA</v>
      </c>
      <c r="C42" t="str">
        <f>setrules!H41&amp;IF(setrules!I41="","",",-"&amp;setrules!I41)</f>
        <v/>
      </c>
      <c r="D42" t="str">
        <f>setrules!B41</f>
        <v>Sfuel-TRN</v>
      </c>
    </row>
    <row r="43" spans="1:4" x14ac:dyDescent="0.25">
      <c r="A43" t="str">
        <f>setrules!D42&amp;IF(setrules!E42="","",",-"&amp;setrules!E42)</f>
        <v/>
      </c>
      <c r="B43" t="str">
        <f>setrules!F42&amp;IF(setrules!G42="","",",-"&amp;setrules!G42)</f>
        <v>*R</v>
      </c>
      <c r="C43" t="str">
        <f>setrules!H42&amp;IF(setrules!I42="","",",-"&amp;setrules!I42)</f>
        <v>*REFINERIES</v>
      </c>
      <c r="D43" t="str">
        <f>setrules!B42</f>
        <v>REFOUTPUT_ALL</v>
      </c>
    </row>
    <row r="44" spans="1:4" x14ac:dyDescent="0.25">
      <c r="A44" s="1" t="str">
        <f>setrules!D43&amp;IF(setrules!E43="","",",-"&amp;setrules!E43)</f>
        <v>MAT</v>
      </c>
      <c r="B44" s="1" t="s">
        <v>2322</v>
      </c>
      <c r="C44" s="1" t="str">
        <f>setrules!H43&amp;IF(setrules!I43="","",",-"&amp;setrules!I43)</f>
        <v/>
      </c>
      <c r="D44" s="1" t="str">
        <f>setrules!B43</f>
        <v>NRG_URN</v>
      </c>
    </row>
    <row r="45" spans="1:4" x14ac:dyDescent="0.25">
      <c r="A45" s="1" t="str">
        <f>setrules!D44&amp;IF(setrules!E44="","",",-"&amp;setrules!E44)</f>
        <v/>
      </c>
      <c r="B45" s="1" t="s">
        <v>2323</v>
      </c>
      <c r="C45" s="1" t="str">
        <f>setrules!H44&amp;IF(setrules!I44="","",",-"&amp;setrules!I44)</f>
        <v/>
      </c>
      <c r="D45" s="1" t="str">
        <f>setrules!B44</f>
        <v>PM10_ALL</v>
      </c>
    </row>
    <row r="46" spans="1:4" x14ac:dyDescent="0.25">
      <c r="A46" t="str">
        <f>setrules!D46&amp;IF(setrules!E46="","",",-"&amp;setrules!E46)</f>
        <v>NRG</v>
      </c>
      <c r="B46" t="str">
        <f>setrules!F46&amp;IF(setrules!G46="","",",-"&amp;setrules!G46)</f>
        <v>*RF*</v>
      </c>
      <c r="C46" t="str">
        <f>setrules!H46&amp;IF(setrules!I46="","",",-"&amp;setrules!I46)</f>
        <v>*OIL*</v>
      </c>
      <c r="D46" t="str">
        <f>setrules!B46</f>
        <v>NRG_RFO</v>
      </c>
    </row>
    <row r="47" spans="1:4" x14ac:dyDescent="0.25">
      <c r="A47" t="str">
        <f>setrules!D47&amp;IF(setrules!E47="","",",-"&amp;setrules!E47)</f>
        <v/>
      </c>
      <c r="B47" t="str">
        <f>setrules!F47&amp;IF(setrules!G47="","",",-"&amp;setrules!G47)</f>
        <v>*ETH*</v>
      </c>
      <c r="C47" t="str">
        <f>setrules!H47&amp;IF(setrules!I47="","",",-"&amp;setrules!I47)</f>
        <v/>
      </c>
      <c r="D47" t="str">
        <f>setrules!B47</f>
        <v>ETH</v>
      </c>
    </row>
    <row r="48" spans="1:4" x14ac:dyDescent="0.25">
      <c r="A48" t="str">
        <f>setrules!D48&amp;IF(setrules!E48="","",",-"&amp;setrules!E48)</f>
        <v>NRG</v>
      </c>
      <c r="B48" t="str">
        <f>setrules!F48&amp;IF(setrules!G48="","",",-"&amp;setrules!G48)</f>
        <v>*NGA*,-S_*</v>
      </c>
      <c r="C48" t="str">
        <f>setrules!H48&amp;IF(setrules!I48="","",",-"&amp;setrules!I48)</f>
        <v/>
      </c>
      <c r="D48" t="str">
        <f>setrules!B48</f>
        <v>NRG_NGA</v>
      </c>
    </row>
    <row r="49" spans="1:5" x14ac:dyDescent="0.25">
      <c r="A49" t="str">
        <f>setrules!D49&amp;IF(setrules!E49="","",",-"&amp;setrules!E49)</f>
        <v>NRG</v>
      </c>
      <c r="B49" t="str">
        <f>setrules!F49&amp;IF(setrules!G49="","",",-"&amp;setrules!G49)</f>
        <v>*MTH*</v>
      </c>
      <c r="C49" t="str">
        <f>setrules!H49&amp;IF(setrules!I49="","",",-"&amp;setrules!I49)</f>
        <v/>
      </c>
      <c r="D49" t="str">
        <f>setrules!B49</f>
        <v>NRG_MTH</v>
      </c>
    </row>
    <row r="50" spans="1:5" x14ac:dyDescent="0.25">
      <c r="A50" t="str">
        <f>setrules!D50&amp;IF(setrules!E50="","",",-"&amp;setrules!E50)</f>
        <v/>
      </c>
      <c r="B50" t="str">
        <f>setrules!F50&amp;IF(setrules!G50="","",",-"&amp;setrules!G50)</f>
        <v>ELC,RESNGA,RESLPG,RESKER,RESDSL,RESBIO</v>
      </c>
      <c r="C50" t="str">
        <f>setrules!H50&amp;IF(setrules!I50="","",",-"&amp;setrules!I50)</f>
        <v/>
      </c>
      <c r="D50" t="str">
        <f>setrules!B50</f>
        <v>RES_FUELS</v>
      </c>
    </row>
    <row r="51" spans="1:5" x14ac:dyDescent="0.25">
      <c r="A51" t="str">
        <f>setrules!D51&amp;IF(setrules!E51="","",",-"&amp;setrules!E51)</f>
        <v/>
      </c>
      <c r="B51" t="str">
        <f>setrules!F51&amp;IF(setrules!G51="","",",-"&amp;setrules!G51)</f>
        <v>B*EA</v>
      </c>
      <c r="C51" t="str">
        <f>setrules!H51&amp;IF(setrules!I51="","",",-"&amp;setrules!I51)</f>
        <v/>
      </c>
      <c r="D51" t="str">
        <f>setrules!B51</f>
        <v>TESTSET1_BIO</v>
      </c>
    </row>
    <row r="52" spans="1:5" x14ac:dyDescent="0.25">
      <c r="A52" t="str">
        <f>setrules!D52&amp;IF(setrules!E52="","",",-"&amp;setrules!E52)</f>
        <v/>
      </c>
      <c r="B52" t="str">
        <f>setrules!F52&amp;IF(setrules!G52="","",",-"&amp;setrules!G52)</f>
        <v>*SO2</v>
      </c>
      <c r="C52" t="str">
        <f>setrules!H52&amp;IF(setrules!I52="","",",-"&amp;setrules!I52)</f>
        <v/>
      </c>
      <c r="D52" t="str">
        <f>setrules!B52</f>
        <v>SO2_ALL</v>
      </c>
    </row>
    <row r="53" spans="1:5" x14ac:dyDescent="0.25">
      <c r="A53" t="str">
        <f>setrules!D53&amp;IF(setrules!E53="","",",-"&amp;setrules!E53)</f>
        <v>NRG</v>
      </c>
      <c r="B53" t="str">
        <f>setrules!F53&amp;IF(setrules!G53="","",",-"&amp;setrules!G53)</f>
        <v>*OIL*</v>
      </c>
      <c r="C53" t="str">
        <f>setrules!H53&amp;IF(setrules!I53="","",",-"&amp;setrules!I53)</f>
        <v/>
      </c>
      <c r="D53" t="str">
        <f>setrules!B53</f>
        <v>NRG_OIL</v>
      </c>
    </row>
    <row r="54" spans="1:5" x14ac:dyDescent="0.25">
      <c r="A54" s="1" t="s">
        <v>44</v>
      </c>
      <c r="B54" s="1" t="s">
        <v>2324</v>
      </c>
      <c r="C54" s="1"/>
      <c r="D54" s="1" t="s">
        <v>2327</v>
      </c>
    </row>
    <row r="55" spans="1:5" x14ac:dyDescent="0.25">
      <c r="A55" s="1" t="s">
        <v>44</v>
      </c>
      <c r="B55" s="1" t="s">
        <v>1684</v>
      </c>
      <c r="C55" s="1"/>
      <c r="D55" s="1" t="s">
        <v>2328</v>
      </c>
    </row>
    <row r="56" spans="1:5" x14ac:dyDescent="0.25">
      <c r="A56" s="1" t="s">
        <v>44</v>
      </c>
      <c r="B56" s="1" t="s">
        <v>1693</v>
      </c>
      <c r="C56" s="1"/>
      <c r="D56" s="1" t="s">
        <v>2329</v>
      </c>
    </row>
    <row r="57" spans="1:5" x14ac:dyDescent="0.25">
      <c r="A57" s="1" t="s">
        <v>44</v>
      </c>
      <c r="B57" s="1" t="s">
        <v>2325</v>
      </c>
      <c r="C57" s="1"/>
      <c r="D57" s="1" t="s">
        <v>2330</v>
      </c>
    </row>
    <row r="58" spans="1:5" x14ac:dyDescent="0.25">
      <c r="A58" s="1" t="s">
        <v>44</v>
      </c>
      <c r="B58" s="1" t="s">
        <v>2326</v>
      </c>
      <c r="C58" s="1"/>
      <c r="D58" s="1" t="s">
        <v>2331</v>
      </c>
    </row>
    <row r="59" spans="1:5" x14ac:dyDescent="0.25">
      <c r="A59" s="1" t="s">
        <v>44</v>
      </c>
      <c r="B59" s="1" t="s">
        <v>1688</v>
      </c>
      <c r="C59" s="1"/>
      <c r="D59" s="1" t="s">
        <v>2332</v>
      </c>
    </row>
    <row r="60" spans="1:5" x14ac:dyDescent="0.25">
      <c r="A60" s="1" t="s">
        <v>44</v>
      </c>
      <c r="B60" s="1" t="s">
        <v>1664</v>
      </c>
      <c r="C60" s="1"/>
      <c r="D60" s="1" t="s">
        <v>2333</v>
      </c>
    </row>
    <row r="61" spans="1:5" x14ac:dyDescent="0.25">
      <c r="A61" s="1" t="s">
        <v>44</v>
      </c>
      <c r="B61" s="1" t="s">
        <v>1469</v>
      </c>
      <c r="C61" s="1"/>
      <c r="D61" s="1" t="s">
        <v>2334</v>
      </c>
    </row>
    <row r="62" spans="1:5" x14ac:dyDescent="0.25">
      <c r="A62" s="1" t="s">
        <v>44</v>
      </c>
      <c r="B62" s="1" t="s">
        <v>1509</v>
      </c>
      <c r="C62" s="1"/>
      <c r="D62" s="1" t="s">
        <v>2335</v>
      </c>
    </row>
    <row r="63" spans="1:5" x14ac:dyDescent="0.25">
      <c r="A63" s="2" t="s">
        <v>44</v>
      </c>
      <c r="B63" s="2" t="s">
        <v>67</v>
      </c>
      <c r="C63" s="2"/>
      <c r="D63" s="2" t="str">
        <f>"All-"&amp;MID(B63,2,3)</f>
        <v>All-DSL</v>
      </c>
      <c r="E63" s="2" t="s">
        <v>2336</v>
      </c>
    </row>
    <row r="64" spans="1:5" x14ac:dyDescent="0.25">
      <c r="A64" s="2" t="s">
        <v>44</v>
      </c>
      <c r="B64" s="2" t="s">
        <v>61</v>
      </c>
      <c r="C64" s="2"/>
      <c r="D64" s="2" t="str">
        <f t="shared" ref="D64:D83" si="0">"All-"&amp;MID(B64,2,3)</f>
        <v>All-LPG</v>
      </c>
      <c r="E64" s="2" t="s">
        <v>2337</v>
      </c>
    </row>
    <row r="65" spans="1:5" x14ac:dyDescent="0.25">
      <c r="A65" s="2" t="s">
        <v>44</v>
      </c>
      <c r="B65" s="2" t="s">
        <v>151</v>
      </c>
      <c r="C65" s="2"/>
      <c r="D65" s="2" t="str">
        <f t="shared" si="0"/>
        <v>All-NGA</v>
      </c>
      <c r="E65" s="2" t="s">
        <v>2338</v>
      </c>
    </row>
    <row r="66" spans="1:5" x14ac:dyDescent="0.25">
      <c r="A66" s="2" t="s">
        <v>44</v>
      </c>
      <c r="B66" s="2" t="s">
        <v>141</v>
      </c>
      <c r="C66" s="2"/>
      <c r="D66" s="2" t="str">
        <f t="shared" si="0"/>
        <v>All-RFL</v>
      </c>
      <c r="E66" s="2" t="s">
        <v>2339</v>
      </c>
    </row>
    <row r="67" spans="1:5" x14ac:dyDescent="0.25">
      <c r="A67" s="2" t="s">
        <v>44</v>
      </c>
      <c r="B67" s="2" t="s">
        <v>2340</v>
      </c>
      <c r="C67" s="2"/>
      <c r="D67" s="2" t="str">
        <f t="shared" si="0"/>
        <v>All-AGR</v>
      </c>
      <c r="E67" s="2" t="s">
        <v>2341</v>
      </c>
    </row>
    <row r="68" spans="1:5" x14ac:dyDescent="0.25">
      <c r="A68" s="2" t="s">
        <v>44</v>
      </c>
      <c r="B68" s="2" t="s">
        <v>102</v>
      </c>
      <c r="C68" s="2"/>
      <c r="D68" s="2" t="str">
        <f t="shared" si="0"/>
        <v>All-ASP</v>
      </c>
      <c r="E68" s="2" t="s">
        <v>2342</v>
      </c>
    </row>
    <row r="69" spans="1:5" x14ac:dyDescent="0.25">
      <c r="A69" s="2" t="s">
        <v>44</v>
      </c>
      <c r="B69" s="2" t="s">
        <v>2377</v>
      </c>
      <c r="C69" s="2"/>
      <c r="D69" s="2" t="str">
        <f t="shared" si="0"/>
        <v>All-BIO</v>
      </c>
      <c r="E69" s="2" t="s">
        <v>2343</v>
      </c>
    </row>
    <row r="70" spans="1:5" x14ac:dyDescent="0.25">
      <c r="A70" s="2" t="s">
        <v>44</v>
      </c>
      <c r="B70" s="2" t="s">
        <v>2378</v>
      </c>
      <c r="C70" s="2"/>
      <c r="D70" s="2" t="str">
        <f t="shared" si="0"/>
        <v>All-COA</v>
      </c>
      <c r="E70" s="2" t="s">
        <v>2344</v>
      </c>
    </row>
    <row r="71" spans="1:5" x14ac:dyDescent="0.25">
      <c r="A71" s="2" t="s">
        <v>44</v>
      </c>
      <c r="B71" s="2" t="s">
        <v>2345</v>
      </c>
      <c r="C71" s="2"/>
      <c r="D71" s="2" t="str">
        <f t="shared" si="0"/>
        <v>All-COK</v>
      </c>
      <c r="E71" s="2" t="s">
        <v>2346</v>
      </c>
    </row>
    <row r="72" spans="1:5" x14ac:dyDescent="0.25">
      <c r="A72" s="2" t="s">
        <v>44</v>
      </c>
      <c r="B72" s="2" t="s">
        <v>2376</v>
      </c>
      <c r="C72" s="2"/>
      <c r="D72" s="2" t="s">
        <v>2362</v>
      </c>
      <c r="E72" s="2" t="s">
        <v>2347</v>
      </c>
    </row>
    <row r="73" spans="1:5" x14ac:dyDescent="0.25">
      <c r="A73" s="2" t="s">
        <v>44</v>
      </c>
      <c r="B73" s="2" t="s">
        <v>2348</v>
      </c>
      <c r="C73" s="2"/>
      <c r="D73" s="2" t="str">
        <f t="shared" si="0"/>
        <v>All-MET</v>
      </c>
      <c r="E73" s="2" t="s">
        <v>2349</v>
      </c>
    </row>
    <row r="74" spans="1:5" x14ac:dyDescent="0.25">
      <c r="A74" s="2" t="s">
        <v>44</v>
      </c>
      <c r="B74" s="2" t="s">
        <v>2350</v>
      </c>
      <c r="C74" s="2"/>
      <c r="D74" s="2" t="str">
        <f t="shared" si="0"/>
        <v>All-OTH</v>
      </c>
      <c r="E74" s="2" t="s">
        <v>2351</v>
      </c>
    </row>
    <row r="75" spans="1:5" x14ac:dyDescent="0.25">
      <c r="A75" s="2" t="s">
        <v>44</v>
      </c>
      <c r="B75" s="2" t="s">
        <v>2363</v>
      </c>
      <c r="C75" s="2"/>
      <c r="D75" s="2" t="str">
        <f t="shared" si="0"/>
        <v>All-PFS</v>
      </c>
      <c r="E75" s="2" t="s">
        <v>2352</v>
      </c>
    </row>
    <row r="76" spans="1:5" x14ac:dyDescent="0.25">
      <c r="A76" s="2" t="s">
        <v>44</v>
      </c>
      <c r="B76" s="2" t="s">
        <v>134</v>
      </c>
      <c r="C76" s="2"/>
      <c r="D76" s="2" t="str">
        <f t="shared" si="0"/>
        <v>All-PTC</v>
      </c>
      <c r="E76" s="2" t="s">
        <v>2353</v>
      </c>
    </row>
    <row r="77" spans="1:5" x14ac:dyDescent="0.25">
      <c r="A77" s="2" t="s">
        <v>44</v>
      </c>
      <c r="B77" s="2" t="s">
        <v>69</v>
      </c>
      <c r="C77" s="2"/>
      <c r="D77" s="2" t="str">
        <f t="shared" si="0"/>
        <v>All-KER</v>
      </c>
      <c r="E77" s="2" t="s">
        <v>2354</v>
      </c>
    </row>
    <row r="78" spans="1:5" x14ac:dyDescent="0.25">
      <c r="A78" s="2" t="s">
        <v>44</v>
      </c>
      <c r="B78" s="2" t="s">
        <v>2364</v>
      </c>
      <c r="C78" s="2"/>
      <c r="D78" s="2" t="str">
        <f t="shared" si="0"/>
        <v>All-CNG</v>
      </c>
      <c r="E78" s="2" t="s">
        <v>2355</v>
      </c>
    </row>
    <row r="79" spans="1:5" x14ac:dyDescent="0.25">
      <c r="A79" s="2" t="s">
        <v>44</v>
      </c>
      <c r="B79" s="2" t="s">
        <v>68</v>
      </c>
      <c r="C79" s="2"/>
      <c r="D79" s="2" t="str">
        <f t="shared" si="0"/>
        <v>All-GSL</v>
      </c>
      <c r="E79" s="2" t="s">
        <v>2356</v>
      </c>
    </row>
    <row r="80" spans="1:5" x14ac:dyDescent="0.25">
      <c r="A80" s="2" t="s">
        <v>44</v>
      </c>
      <c r="B80" s="2" t="s">
        <v>2357</v>
      </c>
      <c r="C80" s="2"/>
      <c r="D80" s="2" t="str">
        <f t="shared" si="0"/>
        <v>All-B20</v>
      </c>
      <c r="E80" s="2" t="s">
        <v>2358</v>
      </c>
    </row>
    <row r="81" spans="1:5" x14ac:dyDescent="0.25">
      <c r="A81" s="2" t="s">
        <v>44</v>
      </c>
      <c r="B81" s="2" t="s">
        <v>97</v>
      </c>
      <c r="C81" s="2"/>
      <c r="D81" s="2" t="str">
        <f t="shared" si="0"/>
        <v>All-E85</v>
      </c>
      <c r="E81" s="2" t="s">
        <v>2359</v>
      </c>
    </row>
    <row r="82" spans="1:5" x14ac:dyDescent="0.25">
      <c r="A82" s="2" t="s">
        <v>44</v>
      </c>
      <c r="B82" s="2" t="s">
        <v>109</v>
      </c>
      <c r="C82" s="2"/>
      <c r="D82" s="2" t="str">
        <f t="shared" si="0"/>
        <v>All-JTF</v>
      </c>
      <c r="E82" s="2" t="s">
        <v>2360</v>
      </c>
    </row>
    <row r="83" spans="1:5" x14ac:dyDescent="0.25">
      <c r="A83" s="2" t="s">
        <v>44</v>
      </c>
      <c r="B83" s="2" t="s">
        <v>139</v>
      </c>
      <c r="C83" s="2"/>
      <c r="D83" s="2" t="str">
        <f t="shared" si="0"/>
        <v>All-RFH</v>
      </c>
      <c r="E83" s="2" t="s">
        <v>2361</v>
      </c>
    </row>
    <row r="84" spans="1:5" x14ac:dyDescent="0.25">
      <c r="A84" s="2" t="s">
        <v>44</v>
      </c>
      <c r="B84" s="2" t="s">
        <v>2365</v>
      </c>
      <c r="C84" s="2"/>
      <c r="D84" s="2" t="str">
        <f t="shared" ref="D84" si="1">"All-"&amp;MID(B84,2,3)</f>
        <v>All-SOL</v>
      </c>
      <c r="E84" s="2" t="s">
        <v>2366</v>
      </c>
    </row>
    <row r="85" spans="1:5" x14ac:dyDescent="0.25">
      <c r="A85" s="2" t="s">
        <v>44</v>
      </c>
      <c r="B85" s="2" t="s">
        <v>2379</v>
      </c>
      <c r="C85" s="2"/>
      <c r="D85" s="2" t="str">
        <f t="shared" ref="D85" si="2">"All-"&amp;MID(B85,2,3)</f>
        <v>All-HYD</v>
      </c>
      <c r="E85" s="2" t="s">
        <v>2380</v>
      </c>
    </row>
    <row r="86" spans="1:5" x14ac:dyDescent="0.25">
      <c r="A86" s="2" t="s">
        <v>44</v>
      </c>
      <c r="B86" s="2" t="s">
        <v>2381</v>
      </c>
      <c r="C86" s="2"/>
      <c r="D86" s="2" t="str">
        <f t="shared" ref="D86" si="3">"All-"&amp;MID(B86,2,3)</f>
        <v>All-WND</v>
      </c>
      <c r="E86" s="2" t="s">
        <v>2382</v>
      </c>
    </row>
    <row r="87" spans="1:5" x14ac:dyDescent="0.25">
      <c r="A87" s="2" t="s">
        <v>44</v>
      </c>
      <c r="B87" s="2" t="s">
        <v>2383</v>
      </c>
      <c r="C87" s="2"/>
      <c r="D87" s="2" t="s">
        <v>2384</v>
      </c>
      <c r="E87" s="2" t="s">
        <v>2385</v>
      </c>
    </row>
    <row r="88" spans="1:5" x14ac:dyDescent="0.25">
      <c r="A88" s="2" t="s">
        <v>44</v>
      </c>
      <c r="B88" s="2" t="s">
        <v>2386</v>
      </c>
      <c r="D88" t="s">
        <v>2387</v>
      </c>
      <c r="E88" s="2" t="s">
        <v>2388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B460-126F-4EFF-A23F-5899CCEE55E8}">
  <dimension ref="A1:G1143"/>
  <sheetViews>
    <sheetView workbookViewId="0">
      <selection activeCell="M8" sqref="M8"/>
    </sheetView>
  </sheetViews>
  <sheetFormatPr defaultRowHeight="15" x14ac:dyDescent="0.25"/>
  <cols>
    <col min="1" max="1" width="15.7109375" customWidth="1"/>
    <col min="2" max="2" width="62.42578125" customWidth="1"/>
    <col min="3" max="3" width="20.7109375" bestFit="1" customWidth="1"/>
    <col min="4" max="4" width="18.42578125" bestFit="1" customWidth="1"/>
    <col min="5" max="5" width="8.7109375" bestFit="1" customWidth="1"/>
    <col min="6" max="6" width="15.85546875" bestFit="1" customWidth="1"/>
  </cols>
  <sheetData>
    <row r="1" spans="1:7" x14ac:dyDescent="0.25">
      <c r="A1" t="s">
        <v>60</v>
      </c>
    </row>
    <row r="2" spans="1:7" x14ac:dyDescent="0.25">
      <c r="A2" t="s">
        <v>59</v>
      </c>
      <c r="B2" t="s">
        <v>49</v>
      </c>
      <c r="C2" t="s">
        <v>50</v>
      </c>
      <c r="D2" t="s">
        <v>51</v>
      </c>
      <c r="E2" t="s">
        <v>52</v>
      </c>
      <c r="F2" t="s">
        <v>1</v>
      </c>
      <c r="G2" t="s">
        <v>53</v>
      </c>
    </row>
    <row r="3" spans="1:7" x14ac:dyDescent="0.25">
      <c r="A3" t="str">
        <f>setrules!D54&amp;IF(setrules!E54="","",",-"&amp;setrules!E54)</f>
        <v/>
      </c>
      <c r="B3" t="str">
        <f>setrules!F54&amp;IF(setrules!G54="","",",-"&amp;setrules!G54)&amp;IF(setrules!P54="","",",-"&amp;setrules!P54)</f>
        <v>IMFS*OTH*</v>
      </c>
      <c r="C3" t="str">
        <f>setrules!H54&amp;IF(setrules!I54="","",",-"&amp;setrules!I54)</f>
        <v/>
      </c>
      <c r="D3" t="str">
        <f>setrules!J54&amp;IF(setrules!K54="","",",-"&amp;setrules!K54)</f>
        <v/>
      </c>
      <c r="E3" t="str">
        <f>setrules!L54&amp;IF(setrules!M54="","",",-"&amp;setrules!M54)</f>
        <v/>
      </c>
      <c r="F3" t="str">
        <f>setrules!B54</f>
        <v>IMF_OTH</v>
      </c>
    </row>
    <row r="4" spans="1:7" x14ac:dyDescent="0.25">
      <c r="A4" t="str">
        <f>setrules!D55&amp;IF(setrules!E55="","",",-"&amp;setrules!E55)</f>
        <v/>
      </c>
      <c r="B4" t="str">
        <f>setrules!F55&amp;IF(setrules!G55="","",",-"&amp;setrules!G55)&amp;IF(setrules!P55="","",",-"&amp;setrules!P55)</f>
        <v>IMLNREGNGA</v>
      </c>
      <c r="C4" t="str">
        <f>setrules!H55&amp;IF(setrules!I55="","",",-"&amp;setrules!I55)</f>
        <v/>
      </c>
      <c r="D4" t="str">
        <f>setrules!J55&amp;IF(setrules!K55="","",",-"&amp;setrules!K55)</f>
        <v/>
      </c>
      <c r="E4" t="str">
        <f>setrules!L55&amp;IF(setrules!M55="","",",-"&amp;setrules!M55)</f>
        <v/>
      </c>
      <c r="F4" t="str">
        <f>setrules!B55</f>
        <v>IMLOH_NGA</v>
      </c>
    </row>
    <row r="5" spans="1:7" x14ac:dyDescent="0.25">
      <c r="A5" t="str">
        <f>setrules!D56&amp;IF(setrules!E56="","",",-"&amp;setrules!E56)</f>
        <v/>
      </c>
      <c r="B5" t="str">
        <f>setrules!F56&amp;IF(setrules!G56="","",",-"&amp;setrules!G56)&amp;IF(setrules!P56="","",",-"&amp;setrules!P56)</f>
        <v>IMLEOHTLPG</v>
      </c>
      <c r="C5" t="str">
        <f>setrules!H56&amp;IF(setrules!I56="","",",-"&amp;setrules!I56)</f>
        <v/>
      </c>
      <c r="D5" t="str">
        <f>setrules!J56&amp;IF(setrules!K56="","",",-"&amp;setrules!K56)</f>
        <v/>
      </c>
      <c r="E5" t="str">
        <f>setrules!L56&amp;IF(setrules!M56="","",",-"&amp;setrules!M56)</f>
        <v/>
      </c>
      <c r="F5" t="str">
        <f>setrules!B56</f>
        <v>IMLOH_LPG</v>
      </c>
    </row>
    <row r="6" spans="1:7" x14ac:dyDescent="0.25">
      <c r="A6" t="str">
        <f>setrules!D57&amp;IF(setrules!E57="","",",-"&amp;setrules!E57)</f>
        <v/>
      </c>
      <c r="B6" t="str">
        <f>setrules!F57&amp;IF(setrules!G57="","",",-"&amp;setrules!G57)&amp;IF(setrules!P57="","",",-"&amp;setrules!P57)</f>
        <v>IMLEOHTCOA</v>
      </c>
      <c r="C6" t="str">
        <f>setrules!H57&amp;IF(setrules!I57="","",",-"&amp;setrules!I57)</f>
        <v/>
      </c>
      <c r="D6" t="str">
        <f>setrules!J57&amp;IF(setrules!K57="","",",-"&amp;setrules!K57)</f>
        <v/>
      </c>
      <c r="E6" t="str">
        <f>setrules!L57&amp;IF(setrules!M57="","",",-"&amp;setrules!M57)</f>
        <v/>
      </c>
      <c r="F6" t="str">
        <f>setrules!B57</f>
        <v>IMLOH_COA</v>
      </c>
    </row>
    <row r="7" spans="1:7" x14ac:dyDescent="0.25">
      <c r="A7" t="str">
        <f>setrules!D58&amp;IF(setrules!E58="","",",-"&amp;setrules!E58)</f>
        <v/>
      </c>
      <c r="B7" t="str">
        <f>setrules!F58&amp;IF(setrules!G58="","",",-"&amp;setrules!G58)&amp;IF(setrules!P58="","",",-"&amp;setrules!P58)</f>
        <v>IML*B*BIO,IML*B*WOD,IML*B*TOM,IMLEOHT*,IMLOHTOSTM,-IML*BST*</v>
      </c>
      <c r="C7" t="str">
        <f>setrules!H58&amp;IF(setrules!I58="","",",-"&amp;setrules!I58)</f>
        <v/>
      </c>
      <c r="D7" t="str">
        <f>setrules!J58&amp;IF(setrules!K58="","",",-"&amp;setrules!K58)</f>
        <v/>
      </c>
      <c r="E7" t="str">
        <f>setrules!L58&amp;IF(setrules!M58="","",",-"&amp;setrules!M58)</f>
        <v/>
      </c>
      <c r="F7" t="str">
        <f>setrules!B58</f>
        <v>IMLOH_ALL</v>
      </c>
    </row>
    <row r="8" spans="1:7" x14ac:dyDescent="0.25">
      <c r="A8" t="str">
        <f>setrules!D59&amp;IF(setrules!E59="","",",-"&amp;setrules!E59)</f>
        <v/>
      </c>
      <c r="B8" t="str">
        <f>setrules!F59&amp;IF(setrules!G59="","",",-"&amp;setrules!G59)&amp;IF(setrules!P59="","",",-"&amp;setrules!P59)</f>
        <v>IMFACNGA*</v>
      </c>
      <c r="C8" t="str">
        <f>setrules!H59&amp;IF(setrules!I59="","",",-"&amp;setrules!I59)</f>
        <v/>
      </c>
      <c r="D8" t="str">
        <f>setrules!J59&amp;IF(setrules!K59="","",",-"&amp;setrules!K59)</f>
        <v/>
      </c>
      <c r="E8" t="str">
        <f>setrules!L59&amp;IF(setrules!M59="","",",-"&amp;setrules!M59)</f>
        <v/>
      </c>
      <c r="F8" t="str">
        <f>setrules!B59</f>
        <v>IMFA_NGA</v>
      </c>
    </row>
    <row r="9" spans="1:7" x14ac:dyDescent="0.25">
      <c r="A9" t="str">
        <f>setrules!D60&amp;IF(setrules!E60="","",",-"&amp;setrules!E60)</f>
        <v/>
      </c>
      <c r="B9" t="str">
        <f>setrules!F60&amp;IF(setrules!G60="","",",-"&amp;setrules!G60)&amp;IF(setrules!P60="","",",-"&amp;setrules!P60)</f>
        <v>IMFACLPG*</v>
      </c>
      <c r="C9" t="str">
        <f>setrules!H60&amp;IF(setrules!I60="","",",-"&amp;setrules!I60)</f>
        <v/>
      </c>
      <c r="D9" t="str">
        <f>setrules!J60&amp;IF(setrules!K60="","",",-"&amp;setrules!K60)</f>
        <v/>
      </c>
      <c r="E9" t="str">
        <f>setrules!L60&amp;IF(setrules!M60="","",",-"&amp;setrules!M60)</f>
        <v/>
      </c>
      <c r="F9" t="str">
        <f>setrules!B60</f>
        <v>IMFA_LPG</v>
      </c>
    </row>
    <row r="10" spans="1:7" x14ac:dyDescent="0.25">
      <c r="A10" t="str">
        <f>setrules!D61&amp;IF(setrules!E61="","",",-"&amp;setrules!E61)</f>
        <v/>
      </c>
      <c r="B10" t="str">
        <f>setrules!F61&amp;IF(setrules!G61="","",",-"&amp;setrules!G61)&amp;IF(setrules!P61="","",",-"&amp;setrules!P61)</f>
        <v>IMFACELC*</v>
      </c>
      <c r="C10" t="str">
        <f>setrules!H61&amp;IF(setrules!I61="","",",-"&amp;setrules!I61)</f>
        <v/>
      </c>
      <c r="D10" t="str">
        <f>setrules!J61&amp;IF(setrules!K61="","",",-"&amp;setrules!K61)</f>
        <v/>
      </c>
      <c r="E10" t="str">
        <f>setrules!L61&amp;IF(setrules!M61="","",",-"&amp;setrules!M61)</f>
        <v/>
      </c>
      <c r="F10" t="str">
        <f>setrules!B61</f>
        <v>IMFA_ELC</v>
      </c>
    </row>
    <row r="11" spans="1:7" x14ac:dyDescent="0.25">
      <c r="A11" t="str">
        <f>setrules!D62&amp;IF(setrules!E62="","",",-"&amp;setrules!E62)</f>
        <v/>
      </c>
      <c r="B11" t="str">
        <f>setrules!F62&amp;IF(setrules!G62="","",",-"&amp;setrules!G62)&amp;IF(setrules!P62="","",",-"&amp;setrules!P62)</f>
        <v>IMFACDST*</v>
      </c>
      <c r="C11" t="str">
        <f>setrules!H62&amp;IF(setrules!I62="","",",-"&amp;setrules!I62)</f>
        <v/>
      </c>
      <c r="D11" t="str">
        <f>setrules!J62&amp;IF(setrules!K62="","",",-"&amp;setrules!K62)</f>
        <v/>
      </c>
      <c r="E11" t="str">
        <f>setrules!L62&amp;IF(setrules!M62="","",",-"&amp;setrules!M62)</f>
        <v/>
      </c>
      <c r="F11" t="str">
        <f>setrules!B62</f>
        <v>IMFA_DST</v>
      </c>
    </row>
    <row r="12" spans="1:7" x14ac:dyDescent="0.25">
      <c r="A12" t="str">
        <f>setrules!D63&amp;IF(setrules!E63="","",",-"&amp;setrules!E63)</f>
        <v/>
      </c>
      <c r="B12" t="str">
        <f>setrules!F63&amp;IF(setrules!G63="","",",-"&amp;setrules!G63)&amp;IF(setrules!P63="","",",-"&amp;setrules!P63)</f>
        <v>IMFAC*</v>
      </c>
      <c r="C12" t="str">
        <f>setrules!H63&amp;IF(setrules!I63="","",",-"&amp;setrules!I63)</f>
        <v/>
      </c>
      <c r="D12" t="str">
        <f>setrules!J63&amp;IF(setrules!K63="","",",-"&amp;setrules!K63)</f>
        <v/>
      </c>
      <c r="E12" t="str">
        <f>setrules!L63&amp;IF(setrules!M63="","",",-"&amp;setrules!M63)</f>
        <v/>
      </c>
      <c r="F12" t="str">
        <f>setrules!B63</f>
        <v>IMFA_ALL</v>
      </c>
    </row>
    <row r="13" spans="1:7" x14ac:dyDescent="0.25">
      <c r="A13" t="str">
        <f>setrules!D64&amp;IF(setrules!E64="","",",-"&amp;setrules!E64)</f>
        <v/>
      </c>
      <c r="B13" t="str">
        <f>setrules!F64&amp;IF(setrules!G64="","",",-"&amp;setrules!G64)&amp;IF(setrules!P64="","",",-"&amp;setrules!P64)</f>
        <v>IMLEPRHNGA</v>
      </c>
      <c r="C13" t="str">
        <f>setrules!H64&amp;IF(setrules!I64="","",",-"&amp;setrules!I64)</f>
        <v/>
      </c>
      <c r="D13" t="str">
        <f>setrules!J64&amp;IF(setrules!K64="","",",-"&amp;setrules!K64)</f>
        <v/>
      </c>
      <c r="E13" t="str">
        <f>setrules!L64&amp;IF(setrules!M64="","",",-"&amp;setrules!M64)</f>
        <v/>
      </c>
      <c r="F13" t="str">
        <f>setrules!B64</f>
        <v>IMLPH_NGA</v>
      </c>
    </row>
    <row r="14" spans="1:7" x14ac:dyDescent="0.25">
      <c r="A14" t="str">
        <f>setrules!D65&amp;IF(setrules!E65="","",",-"&amp;setrules!E65)</f>
        <v/>
      </c>
      <c r="B14" t="str">
        <f>setrules!F65&amp;IF(setrules!G65="","",",-"&amp;setrules!G65)&amp;IF(setrules!P65="","",",-"&amp;setrules!P65)</f>
        <v>IMFS*NGA*</v>
      </c>
      <c r="C14" t="str">
        <f>setrules!H65&amp;IF(setrules!I65="","",",-"&amp;setrules!I65)</f>
        <v/>
      </c>
      <c r="D14" t="str">
        <f>setrules!J65&amp;IF(setrules!K65="","",",-"&amp;setrules!K65)</f>
        <v/>
      </c>
      <c r="E14" t="str">
        <f>setrules!L65&amp;IF(setrules!M65="","",",-"&amp;setrules!M65)</f>
        <v/>
      </c>
      <c r="F14" t="str">
        <f>setrules!B65</f>
        <v>IMF_NGA</v>
      </c>
    </row>
    <row r="15" spans="1:7" x14ac:dyDescent="0.25">
      <c r="A15" t="str">
        <f>setrules!D66&amp;IF(setrules!E66="","",",-"&amp;setrules!E66)</f>
        <v/>
      </c>
      <c r="B15" t="str">
        <f>setrules!F66&amp;IF(setrules!G66="","",",-"&amp;setrules!G66)&amp;IF(setrules!P66="","",",-"&amp;setrules!P66)</f>
        <v>IMF*DST*</v>
      </c>
      <c r="C15" t="str">
        <f>setrules!H66&amp;IF(setrules!I66="","",",-"&amp;setrules!I66)</f>
        <v/>
      </c>
      <c r="D15" t="str">
        <f>setrules!J66&amp;IF(setrules!K66="","",",-"&amp;setrules!K66)</f>
        <v/>
      </c>
      <c r="E15" t="str">
        <f>setrules!L66&amp;IF(setrules!M66="","",",-"&amp;setrules!M66)</f>
        <v/>
      </c>
      <c r="F15" t="str">
        <f>setrules!B66</f>
        <v>IMF_DST</v>
      </c>
    </row>
    <row r="16" spans="1:7" x14ac:dyDescent="0.25">
      <c r="A16" t="str">
        <f>setrules!D67&amp;IF(setrules!E67="","",",-"&amp;setrules!E67)</f>
        <v/>
      </c>
      <c r="B16" t="str">
        <f>setrules!F67&amp;IF(setrules!G67="","",",-"&amp;setrules!G67)&amp;IF(setrules!P67="","",",-"&amp;setrules!P67)</f>
        <v>IMFS*COK*</v>
      </c>
      <c r="C16" t="str">
        <f>setrules!H67&amp;IF(setrules!I67="","",",-"&amp;setrules!I67)</f>
        <v/>
      </c>
      <c r="D16" t="str">
        <f>setrules!J67&amp;IF(setrules!K67="","",",-"&amp;setrules!K67)</f>
        <v/>
      </c>
      <c r="E16" t="str">
        <f>setrules!L67&amp;IF(setrules!M67="","",",-"&amp;setrules!M67)</f>
        <v/>
      </c>
      <c r="F16" t="str">
        <f>setrules!B67</f>
        <v>IMF_COK</v>
      </c>
    </row>
    <row r="17" spans="1:6" x14ac:dyDescent="0.25">
      <c r="A17" t="str">
        <f>setrules!D68&amp;IF(setrules!E68="","",",-"&amp;setrules!E68)</f>
        <v/>
      </c>
      <c r="B17" t="str">
        <f>setrules!F68&amp;IF(setrules!G68="","",",-"&amp;setrules!G68)&amp;IF(setrules!P68="","",",-"&amp;setrules!P68)</f>
        <v>IMFS*COA*</v>
      </c>
      <c r="C17" t="str">
        <f>setrules!H68&amp;IF(setrules!I68="","",",-"&amp;setrules!I68)</f>
        <v/>
      </c>
      <c r="D17" t="str">
        <f>setrules!J68&amp;IF(setrules!K68="","",",-"&amp;setrules!K68)</f>
        <v/>
      </c>
      <c r="E17" t="str">
        <f>setrules!L68&amp;IF(setrules!M68="","",",-"&amp;setrules!M68)</f>
        <v/>
      </c>
      <c r="F17" t="str">
        <f>setrules!B68</f>
        <v>IMF_COA</v>
      </c>
    </row>
    <row r="18" spans="1:6" x14ac:dyDescent="0.25">
      <c r="A18" t="str">
        <f>setrules!D69&amp;IF(setrules!E69="","",",-"&amp;setrules!E69)</f>
        <v/>
      </c>
      <c r="B18" t="str">
        <f>setrules!F69&amp;IF(setrules!G69="","",",-"&amp;setrules!G69)&amp;IF(setrules!P69="","",",-"&amp;setrules!P69)</f>
        <v>IMFS*</v>
      </c>
      <c r="C18" t="str">
        <f>setrules!H69&amp;IF(setrules!I69="","",",-"&amp;setrules!I69)</f>
        <v/>
      </c>
      <c r="D18" t="str">
        <f>setrules!J69&amp;IF(setrules!K69="","",",-"&amp;setrules!K69)</f>
        <v/>
      </c>
      <c r="E18" t="str">
        <f>setrules!L69&amp;IF(setrules!M69="","",",-"&amp;setrules!M69)</f>
        <v/>
      </c>
      <c r="F18" t="str">
        <f>setrules!B69</f>
        <v>IMF_ALL</v>
      </c>
    </row>
    <row r="19" spans="1:6" x14ac:dyDescent="0.25">
      <c r="A19" t="str">
        <f>setrules!D70&amp;IF(setrules!E70="","",",-"&amp;setrules!E70)</f>
        <v/>
      </c>
      <c r="B19" t="str">
        <f>setrules!F70&amp;IF(setrules!G70="","",",-"&amp;setrules!G70)&amp;IF(setrules!P70="","",",-"&amp;setrules!P70)</f>
        <v>IMA*NGA,-,-IMAEFACNGA,-IMAEFEDNGA,-IMAEMDRNGA,-IMAEPRHNGA,-</v>
      </c>
      <c r="C19" t="str">
        <f>setrules!H70&amp;IF(setrules!I70="","",",-"&amp;setrules!I70)</f>
        <v/>
      </c>
      <c r="D19" t="str">
        <f>setrules!J70&amp;IF(setrules!K70="","",",-"&amp;setrules!K70)</f>
        <v/>
      </c>
      <c r="E19" t="str">
        <f>setrules!L70&amp;IF(setrules!M70="","",",-"&amp;setrules!M70)</f>
        <v/>
      </c>
      <c r="F19" t="str">
        <f>setrules!B70</f>
        <v>IMAST_NGA</v>
      </c>
    </row>
    <row r="20" spans="1:6" x14ac:dyDescent="0.25">
      <c r="A20" t="str">
        <f>setrules!D71&amp;IF(setrules!E71="","",",-"&amp;setrules!E71)</f>
        <v/>
      </c>
      <c r="B20" t="str">
        <f>setrules!F71&amp;IF(setrules!G71="","",",-"&amp;setrules!G71)&amp;IF(setrules!P71="","",",-"&amp;setrules!P71)</f>
        <v>IMAECPVCOA</v>
      </c>
      <c r="C20" t="str">
        <f>setrules!H71&amp;IF(setrules!I71="","",",-"&amp;setrules!I71)</f>
        <v/>
      </c>
      <c r="D20" t="str">
        <f>setrules!J71&amp;IF(setrules!K71="","",",-"&amp;setrules!K71)</f>
        <v/>
      </c>
      <c r="E20" t="str">
        <f>setrules!L71&amp;IF(setrules!M71="","",",-"&amp;setrules!M71)</f>
        <v/>
      </c>
      <c r="F20" t="str">
        <f>setrules!B71</f>
        <v>IMAST_COA</v>
      </c>
    </row>
    <row r="21" spans="1:6" x14ac:dyDescent="0.25">
      <c r="A21" t="str">
        <f>setrules!D72&amp;IF(setrules!E72="","",",-"&amp;setrules!E72)</f>
        <v/>
      </c>
      <c r="B21" t="str">
        <f>setrules!F72&amp;IF(setrules!G72="","",",-"&amp;setrules!G72)&amp;IF(setrules!P72="","",",-"&amp;setrules!P72)</f>
        <v>IMABOLFSTM</v>
      </c>
      <c r="C21" t="str">
        <f>setrules!H72&amp;IF(setrules!I72="","",",-"&amp;setrules!I72)</f>
        <v/>
      </c>
      <c r="D21" t="str">
        <f>setrules!J72&amp;IF(setrules!K72="","",",-"&amp;setrules!K72)</f>
        <v/>
      </c>
      <c r="E21" t="str">
        <f>setrules!L72&amp;IF(setrules!M72="","",",-"&amp;setrules!M72)</f>
        <v/>
      </c>
      <c r="F21" t="str">
        <f>setrules!B72</f>
        <v>IMAST_CHP</v>
      </c>
    </row>
    <row r="22" spans="1:6" x14ac:dyDescent="0.25">
      <c r="A22" t="str">
        <f>setrules!D73&amp;IF(setrules!E73="","",",-"&amp;setrules!E73)</f>
        <v/>
      </c>
      <c r="B22" t="str">
        <f>setrules!F73&amp;IF(setrules!G73="","",",-"&amp;setrules!G73)&amp;IF(setrules!P73="","",",-"&amp;setrules!P73)</f>
        <v>IMA*B*,-KMA*B*BIO,-IMA*B*WOD,-IMA*B*TOM,-IMA*BST*,-IMA*BSA*</v>
      </c>
      <c r="C22" t="str">
        <f>setrules!H73&amp;IF(setrules!I73="","",",-"&amp;setrules!I73)</f>
        <v/>
      </c>
      <c r="D22" t="str">
        <f>setrules!J73&amp;IF(setrules!K73="","",",-"&amp;setrules!K73)</f>
        <v/>
      </c>
      <c r="E22" t="str">
        <f>setrules!L73&amp;IF(setrules!M73="","",",-"&amp;setrules!M73)</f>
        <v/>
      </c>
      <c r="F22" t="str">
        <f>setrules!B73</f>
        <v>IMAST_ALL</v>
      </c>
    </row>
    <row r="23" spans="1:6" x14ac:dyDescent="0.25">
      <c r="A23" t="str">
        <f>setrules!D74&amp;IF(setrules!E74="","",",-"&amp;setrules!E74)</f>
        <v/>
      </c>
      <c r="B23" t="str">
        <f>setrules!F74&amp;IF(setrules!G74="","",",-"&amp;setrules!G74)&amp;IF(setrules!P74="","",",-"&amp;setrules!P74)</f>
        <v>IMFACCOA*</v>
      </c>
      <c r="C23" t="str">
        <f>setrules!H74&amp;IF(setrules!I74="","",",-"&amp;setrules!I74)</f>
        <v/>
      </c>
      <c r="D23" t="str">
        <f>setrules!J74&amp;IF(setrules!K74="","",",-"&amp;setrules!K74)</f>
        <v/>
      </c>
      <c r="E23" t="str">
        <f>setrules!L74&amp;IF(setrules!M74="","",",-"&amp;setrules!M74)</f>
        <v/>
      </c>
      <c r="F23" t="str">
        <f>setrules!B74</f>
        <v>IMFA_COA</v>
      </c>
    </row>
    <row r="24" spans="1:6" x14ac:dyDescent="0.25">
      <c r="A24" t="str">
        <f>setrules!D75&amp;IF(setrules!E75="","",",-"&amp;setrules!E75)</f>
        <v/>
      </c>
      <c r="B24" t="str">
        <f>setrules!F75&amp;IF(setrules!G75="","",",-"&amp;setrules!G75)&amp;IF(setrules!P75="","",",-"&amp;setrules!P75)</f>
        <v>IMOEFACELC</v>
      </c>
      <c r="C24" t="str">
        <f>setrules!H75&amp;IF(setrules!I75="","",",-"&amp;setrules!I75)</f>
        <v/>
      </c>
      <c r="D24" t="str">
        <f>setrules!J75&amp;IF(setrules!K75="","",",-"&amp;setrules!K75)</f>
        <v/>
      </c>
      <c r="E24" t="str">
        <f>setrules!L75&amp;IF(setrules!M75="","",",-"&amp;setrules!M75)</f>
        <v/>
      </c>
      <c r="F24" t="str">
        <f>setrules!B75</f>
        <v>IMOFA_ELC</v>
      </c>
    </row>
    <row r="25" spans="1:6" x14ac:dyDescent="0.25">
      <c r="A25" t="str">
        <f>setrules!D76&amp;IF(setrules!E76="","",",-"&amp;setrules!E76)</f>
        <v/>
      </c>
      <c r="B25" t="str">
        <f>setrules!F76&amp;IF(setrules!G76="","",",-"&amp;setrules!G76)&amp;IF(setrules!P76="","",",-"&amp;setrules!P76)</f>
        <v>IMAEPRHNGA</v>
      </c>
      <c r="C25" t="str">
        <f>setrules!H76&amp;IF(setrules!I76="","",",-"&amp;setrules!I76)</f>
        <v/>
      </c>
      <c r="D25" t="str">
        <f>setrules!J76&amp;IF(setrules!K76="","",",-"&amp;setrules!K76)</f>
        <v/>
      </c>
      <c r="E25" t="str">
        <f>setrules!L76&amp;IF(setrules!M76="","",",-"&amp;setrules!M76)</f>
        <v/>
      </c>
      <c r="F25" t="str">
        <f>setrules!B76</f>
        <v>IMAPH_NGA</v>
      </c>
    </row>
    <row r="26" spans="1:6" x14ac:dyDescent="0.25">
      <c r="A26" t="str">
        <f>setrules!D77&amp;IF(setrules!E77="","",",-"&amp;setrules!E77)</f>
        <v/>
      </c>
      <c r="B26" t="str">
        <f>setrules!F77&amp;IF(setrules!G77="","",",-"&amp;setrules!G77)&amp;IF(setrules!P77="","",",-"&amp;setrules!P77)</f>
        <v>IMAEFACELC</v>
      </c>
      <c r="C26" t="str">
        <f>setrules!H77&amp;IF(setrules!I77="","",",-"&amp;setrules!I77)</f>
        <v/>
      </c>
      <c r="D26" t="str">
        <f>setrules!J77&amp;IF(setrules!K77="","",",-"&amp;setrules!K77)</f>
        <v/>
      </c>
      <c r="E26" t="str">
        <f>setrules!L77&amp;IF(setrules!M77="","",",-"&amp;setrules!M77)</f>
        <v/>
      </c>
      <c r="F26" t="str">
        <f>setrules!B77</f>
        <v>IMAFA_ELC</v>
      </c>
    </row>
    <row r="27" spans="1:6" x14ac:dyDescent="0.25">
      <c r="A27" t="str">
        <f>setrules!D78&amp;IF(setrules!E78="","",",-"&amp;setrules!E78)</f>
        <v/>
      </c>
      <c r="B27" t="str">
        <f>setrules!F78&amp;IF(setrules!G78="","",",-"&amp;setrules!G78)&amp;IF(setrules!P78="","",",-"&amp;setrules!P78)</f>
        <v>IMOH*</v>
      </c>
      <c r="C27" t="str">
        <f>setrules!H78&amp;IF(setrules!I78="","",",-"&amp;setrules!I78)</f>
        <v/>
      </c>
      <c r="D27" t="str">
        <f>setrules!J78&amp;IF(setrules!K78="","",",-"&amp;setrules!K78)</f>
        <v/>
      </c>
      <c r="E27" t="str">
        <f>setrules!L78&amp;IF(setrules!M78="","",",-"&amp;setrules!M78)</f>
        <v/>
      </c>
      <c r="F27" t="str">
        <f>setrules!B78</f>
        <v>IMOH_ALL</v>
      </c>
    </row>
    <row r="28" spans="1:6" x14ac:dyDescent="0.25">
      <c r="A28" t="str">
        <f>setrules!D79&amp;IF(setrules!E79="","",",-"&amp;setrules!E79)</f>
        <v/>
      </c>
      <c r="B28" t="str">
        <f>setrules!F79&amp;IF(setrules!G79="","",",-"&amp;setrules!G79)&amp;IF(setrules!P79="","",",-"&amp;setrules!P79)</f>
        <v>IMOEFEDPTC</v>
      </c>
      <c r="C28" t="str">
        <f>setrules!H79&amp;IF(setrules!I79="","",",-"&amp;setrules!I79)</f>
        <v/>
      </c>
      <c r="D28" t="str">
        <f>setrules!J79&amp;IF(setrules!K79="","",",-"&amp;setrules!K79)</f>
        <v/>
      </c>
      <c r="E28" t="str">
        <f>setrules!L79&amp;IF(setrules!M79="","",",-"&amp;setrules!M79)</f>
        <v/>
      </c>
      <c r="F28" t="str">
        <f>setrules!B79</f>
        <v>IMOFS_PTC</v>
      </c>
    </row>
    <row r="29" spans="1:6" x14ac:dyDescent="0.25">
      <c r="A29" t="str">
        <f>setrules!D80&amp;IF(setrules!E80="","",",-"&amp;setrules!E80)</f>
        <v/>
      </c>
      <c r="B29" t="str">
        <f>setrules!F80&amp;IF(setrules!G80="","",",-"&amp;setrules!G80)&amp;IF(setrules!P80="","",",-"&amp;setrules!P80)</f>
        <v>IMOEFEDOTP</v>
      </c>
      <c r="C29" t="str">
        <f>setrules!H80&amp;IF(setrules!I80="","",",-"&amp;setrules!I80)</f>
        <v/>
      </c>
      <c r="D29" t="str">
        <f>setrules!J80&amp;IF(setrules!K80="","",",-"&amp;setrules!K80)</f>
        <v/>
      </c>
      <c r="E29" t="str">
        <f>setrules!L80&amp;IF(setrules!M80="","",",-"&amp;setrules!M80)</f>
        <v/>
      </c>
      <c r="F29" t="str">
        <f>setrules!B80</f>
        <v>IMOFS_OTP</v>
      </c>
    </row>
    <row r="30" spans="1:6" x14ac:dyDescent="0.25">
      <c r="A30" t="str">
        <f>setrules!D81&amp;IF(setrules!E81="","",",-"&amp;setrules!E81)</f>
        <v/>
      </c>
      <c r="B30" t="str">
        <f>setrules!F81&amp;IF(setrules!G81="","",",-"&amp;setrules!G81)&amp;IF(setrules!P81="","",",-"&amp;setrules!P81)</f>
        <v>IMOEFEDNGA</v>
      </c>
      <c r="C30" t="str">
        <f>setrules!H81&amp;IF(setrules!I81="","",",-"&amp;setrules!I81)</f>
        <v/>
      </c>
      <c r="D30" t="str">
        <f>setrules!J81&amp;IF(setrules!K81="","",",-"&amp;setrules!K81)</f>
        <v/>
      </c>
      <c r="E30" t="str">
        <f>setrules!L81&amp;IF(setrules!M81="","",",-"&amp;setrules!M81)</f>
        <v/>
      </c>
      <c r="F30" t="str">
        <f>setrules!B81</f>
        <v>IMOFS_NGA</v>
      </c>
    </row>
    <row r="31" spans="1:6" x14ac:dyDescent="0.25">
      <c r="A31" t="str">
        <f>setrules!D82&amp;IF(setrules!E82="","",",-"&amp;setrules!E82)</f>
        <v/>
      </c>
      <c r="B31" t="str">
        <f>setrules!F82&amp;IF(setrules!G82="","",",-"&amp;setrules!G82)&amp;IF(setrules!P82="","",",-"&amp;setrules!P82)</f>
        <v>IMOEFEDBIO</v>
      </c>
      <c r="C31" t="str">
        <f>setrules!H82&amp;IF(setrules!I82="","",",-"&amp;setrules!I82)</f>
        <v/>
      </c>
      <c r="D31" t="str">
        <f>setrules!J82&amp;IF(setrules!K82="","",",-"&amp;setrules!K82)</f>
        <v/>
      </c>
      <c r="E31" t="str">
        <f>setrules!L82&amp;IF(setrules!M82="","",",-"&amp;setrules!M82)</f>
        <v/>
      </c>
      <c r="F31" t="str">
        <f>setrules!B82</f>
        <v>IMOFS_BIO</v>
      </c>
    </row>
    <row r="32" spans="1:6" x14ac:dyDescent="0.25">
      <c r="A32" t="str">
        <f>setrules!D83&amp;IF(setrules!E83="","",",-"&amp;setrules!E83)</f>
        <v/>
      </c>
      <c r="B32" t="str">
        <f>setrules!F83&amp;IF(setrules!G83="","",",-"&amp;setrules!G83)&amp;IF(setrules!P83="","",",-"&amp;setrules!P83)</f>
        <v>IMOEFED*</v>
      </c>
      <c r="C32" t="str">
        <f>setrules!H83&amp;IF(setrules!I83="","",",-"&amp;setrules!I83)</f>
        <v/>
      </c>
      <c r="D32" t="str">
        <f>setrules!J83&amp;IF(setrules!K83="","",",-"&amp;setrules!K83)</f>
        <v/>
      </c>
      <c r="E32" t="str">
        <f>setrules!L83&amp;IF(setrules!M83="","",",-"&amp;setrules!M83)</f>
        <v/>
      </c>
      <c r="F32" t="str">
        <f>setrules!B83</f>
        <v>IMOFS_ALL</v>
      </c>
    </row>
    <row r="33" spans="1:6" x14ac:dyDescent="0.25">
      <c r="A33" t="str">
        <f>setrules!D84&amp;IF(setrules!E84="","",",-"&amp;setrules!E84)</f>
        <v/>
      </c>
      <c r="B33" t="str">
        <f>setrules!F84&amp;IF(setrules!G84="","",",-"&amp;setrules!G84)&amp;IF(setrules!P84="","",",-"&amp;setrules!P84)</f>
        <v>IMLEPRH*</v>
      </c>
      <c r="C33" t="str">
        <f>setrules!H84&amp;IF(setrules!I84="","",",-"&amp;setrules!I84)</f>
        <v/>
      </c>
      <c r="D33" t="str">
        <f>setrules!J84&amp;IF(setrules!K84="","",",-"&amp;setrules!K84)</f>
        <v/>
      </c>
      <c r="E33" t="str">
        <f>setrules!L84&amp;IF(setrules!M84="","",",-"&amp;setrules!M84)</f>
        <v/>
      </c>
      <c r="F33" t="str">
        <f>setrules!B84</f>
        <v>IMLPH_ALL</v>
      </c>
    </row>
    <row r="34" spans="1:6" x14ac:dyDescent="0.25">
      <c r="A34" t="str">
        <f>setrules!D85&amp;IF(setrules!E85="","",",-"&amp;setrules!E85)</f>
        <v/>
      </c>
      <c r="B34" t="str">
        <f>setrules!F85&amp;IF(setrules!G85="","",",-"&amp;setrules!G85)&amp;IF(setrules!P85="","",",-"&amp;setrules!P85)</f>
        <v>IMOEFACLPG</v>
      </c>
      <c r="C34" t="str">
        <f>setrules!H85&amp;IF(setrules!I85="","",",-"&amp;setrules!I85)</f>
        <v/>
      </c>
      <c r="D34" t="str">
        <f>setrules!J85&amp;IF(setrules!K85="","",",-"&amp;setrules!K85)</f>
        <v/>
      </c>
      <c r="E34" t="str">
        <f>setrules!L85&amp;IF(setrules!M85="","",",-"&amp;setrules!M85)</f>
        <v/>
      </c>
      <c r="F34" t="str">
        <f>setrules!B85</f>
        <v>IMOFA_LPG</v>
      </c>
    </row>
    <row r="35" spans="1:6" x14ac:dyDescent="0.25">
      <c r="A35" t="str">
        <f>setrules!D86&amp;IF(setrules!E86="","",",-"&amp;setrules!E86)</f>
        <v/>
      </c>
      <c r="B35" t="str">
        <f>setrules!F86&amp;IF(setrules!G86="","",",-"&amp;setrules!G86)&amp;IF(setrules!P86="","",",-"&amp;setrules!P86)</f>
        <v>IMLEPRHELC</v>
      </c>
      <c r="C35" t="str">
        <f>setrules!H86&amp;IF(setrules!I86="","",",-"&amp;setrules!I86)</f>
        <v/>
      </c>
      <c r="D35" t="str">
        <f>setrules!J86&amp;IF(setrules!K86="","",",-"&amp;setrules!K86)</f>
        <v/>
      </c>
      <c r="E35" t="str">
        <f>setrules!L86&amp;IF(setrules!M86="","",",-"&amp;setrules!M86)</f>
        <v/>
      </c>
      <c r="F35" t="str">
        <f>setrules!B86</f>
        <v>IMLPH_ELC</v>
      </c>
    </row>
    <row r="36" spans="1:6" x14ac:dyDescent="0.25">
      <c r="A36" t="str">
        <f>setrules!D87&amp;IF(setrules!E87="","",",-"&amp;setrules!E87)</f>
        <v/>
      </c>
      <c r="B36" t="str">
        <f>setrules!F87&amp;IF(setrules!G87="","",",-"&amp;setrules!G87)&amp;IF(setrules!P87="","",",-"&amp;setrules!P87)</f>
        <v>IMM*ELC*</v>
      </c>
      <c r="C36" t="str">
        <f>setrules!H87&amp;IF(setrules!I87="","",",-"&amp;setrules!I87)</f>
        <v/>
      </c>
      <c r="D36" t="str">
        <f>setrules!J87&amp;IF(setrules!K87="","",",-"&amp;setrules!K87)</f>
        <v/>
      </c>
      <c r="E36" t="str">
        <f>setrules!L87&amp;IF(setrules!M87="","",",-"&amp;setrules!M87)</f>
        <v/>
      </c>
      <c r="F36" t="str">
        <f>setrules!B87</f>
        <v>IMM_ELC</v>
      </c>
    </row>
    <row r="37" spans="1:6" x14ac:dyDescent="0.25">
      <c r="A37" t="str">
        <f>setrules!D88&amp;IF(setrules!E88="","",",-"&amp;setrules!E88)</f>
        <v/>
      </c>
      <c r="B37" t="str">
        <f>setrules!F88&amp;IF(setrules!G88="","",",-"&amp;setrules!G88)&amp;IF(setrules!P88="","",",-"&amp;setrules!P88)</f>
        <v>IMOEFACDST</v>
      </c>
      <c r="C37" t="str">
        <f>setrules!H88&amp;IF(setrules!I88="","",",-"&amp;setrules!I88)</f>
        <v/>
      </c>
      <c r="D37" t="str">
        <f>setrules!J88&amp;IF(setrules!K88="","",",-"&amp;setrules!K88)</f>
        <v/>
      </c>
      <c r="E37" t="str">
        <f>setrules!L88&amp;IF(setrules!M88="","",",-"&amp;setrules!M88)</f>
        <v/>
      </c>
      <c r="F37" t="str">
        <f>setrules!B88</f>
        <v>IMOFA_DST</v>
      </c>
    </row>
    <row r="38" spans="1:6" x14ac:dyDescent="0.25">
      <c r="A38" t="str">
        <f>setrules!D89&amp;IF(setrules!E89="","",",-"&amp;setrules!E89)</f>
        <v/>
      </c>
      <c r="B38" t="str">
        <f>setrules!F89&amp;IF(setrules!G89="","",",-"&amp;setrules!G89)&amp;IF(setrules!P89="","",",-"&amp;setrules!P89)</f>
        <v>IMOEFAC*</v>
      </c>
      <c r="C38" t="str">
        <f>setrules!H89&amp;IF(setrules!I89="","",",-"&amp;setrules!I89)</f>
        <v/>
      </c>
      <c r="D38" t="str">
        <f>setrules!J89&amp;IF(setrules!K89="","",",-"&amp;setrules!K89)</f>
        <v/>
      </c>
      <c r="E38" t="str">
        <f>setrules!L89&amp;IF(setrules!M89="","",",-"&amp;setrules!M89)</f>
        <v/>
      </c>
      <c r="F38" t="str">
        <f>setrules!B89</f>
        <v>IMOFA_ALL</v>
      </c>
    </row>
    <row r="39" spans="1:6" x14ac:dyDescent="0.25">
      <c r="A39" t="str">
        <f>setrules!D90&amp;IF(setrules!E90="","",",-"&amp;setrules!E90)</f>
        <v/>
      </c>
      <c r="B39" t="str">
        <f>setrules!F90&amp;IF(setrules!G90="","",",-"&amp;setrules!G90)&amp;IF(setrules!P90="","",",-"&amp;setrules!P90)</f>
        <v>IMM*NGA*</v>
      </c>
      <c r="C39" t="str">
        <f>setrules!H90&amp;IF(setrules!I90="","",",-"&amp;setrules!I90)</f>
        <v/>
      </c>
      <c r="D39" t="str">
        <f>setrules!J90&amp;IF(setrules!K90="","",",-"&amp;setrules!K90)</f>
        <v/>
      </c>
      <c r="E39" t="str">
        <f>setrules!L90&amp;IF(setrules!M90="","",",-"&amp;setrules!M90)</f>
        <v/>
      </c>
      <c r="F39" t="str">
        <f>setrules!B90</f>
        <v>IMM_NGA</v>
      </c>
    </row>
    <row r="40" spans="1:6" x14ac:dyDescent="0.25">
      <c r="A40" t="str">
        <f>setrules!D91&amp;IF(setrules!E91="","",",-"&amp;setrules!E91)</f>
        <v/>
      </c>
      <c r="B40" t="str">
        <f>setrules!F91&amp;IF(setrules!G91="","",",-"&amp;setrules!G91)&amp;IF(setrules!P91="","",",-"&amp;setrules!P91)</f>
        <v>IMM*DST*</v>
      </c>
      <c r="C40" t="str">
        <f>setrules!H91&amp;IF(setrules!I91="","",",-"&amp;setrules!I91)</f>
        <v/>
      </c>
      <c r="D40" t="str">
        <f>setrules!J91&amp;IF(setrules!K91="","",",-"&amp;setrules!K91)</f>
        <v/>
      </c>
      <c r="E40" t="str">
        <f>setrules!L91&amp;IF(setrules!M91="","",",-"&amp;setrules!M91)</f>
        <v/>
      </c>
      <c r="F40" t="str">
        <f>setrules!B91</f>
        <v>IMM_DST</v>
      </c>
    </row>
    <row r="41" spans="1:6" x14ac:dyDescent="0.25">
      <c r="A41" t="str">
        <f>setrules!D92&amp;IF(setrules!E92="","",",-"&amp;setrules!E92)</f>
        <v/>
      </c>
      <c r="B41" t="str">
        <f>setrules!F92&amp;IF(setrules!G92="","",",-"&amp;setrules!G92)&amp;IF(setrules!P92="","",",-"&amp;setrules!P92)</f>
        <v>IMM*</v>
      </c>
      <c r="C41" t="str">
        <f>setrules!H92&amp;IF(setrules!I92="","",",-"&amp;setrules!I92)</f>
        <v/>
      </c>
      <c r="D41" t="str">
        <f>setrules!J92&amp;IF(setrules!K92="","",",-"&amp;setrules!K92)</f>
        <v/>
      </c>
      <c r="E41" t="str">
        <f>setrules!L92&amp;IF(setrules!M92="","",",-"&amp;setrules!M92)</f>
        <v/>
      </c>
      <c r="F41" t="str">
        <f>setrules!B92</f>
        <v>IMM_ALL</v>
      </c>
    </row>
    <row r="42" spans="1:6" x14ac:dyDescent="0.25">
      <c r="A42" t="str">
        <f>setrules!D93&amp;IF(setrules!E93="","",",-"&amp;setrules!E93)</f>
        <v/>
      </c>
      <c r="B42" t="str">
        <f>setrules!F93&amp;IF(setrules!G93="","",",-"&amp;setrules!G93)&amp;IF(setrules!P93="","",",-"&amp;setrules!P93)</f>
        <v>IML*NGA,-,-IMLEPRHNGA,-IMLNREGNGA,-</v>
      </c>
      <c r="C42" t="str">
        <f>setrules!H93&amp;IF(setrules!I93="","",",-"&amp;setrules!I93)</f>
        <v/>
      </c>
      <c r="D42" t="str">
        <f>setrules!J93&amp;IF(setrules!K93="","",",-"&amp;setrules!K93)</f>
        <v/>
      </c>
      <c r="E42" t="str">
        <f>setrules!L93&amp;IF(setrules!M93="","",",-"&amp;setrules!M93)</f>
        <v/>
      </c>
      <c r="F42" t="str">
        <f>setrules!B93</f>
        <v>IMLST_NGA</v>
      </c>
    </row>
    <row r="43" spans="1:6" x14ac:dyDescent="0.25">
      <c r="A43" t="str">
        <f>setrules!D94&amp;IF(setrules!E94="","",",-"&amp;setrules!E94)</f>
        <v/>
      </c>
      <c r="B43" t="str">
        <f>setrules!F94&amp;IF(setrules!G94="","",",-"&amp;setrules!G94)&amp;IF(setrules!P94="","",",-"&amp;setrules!P94)</f>
        <v>IMLEBSTCOA</v>
      </c>
      <c r="C43" t="str">
        <f>setrules!H94&amp;IF(setrules!I94="","",",-"&amp;setrules!I94)</f>
        <v/>
      </c>
      <c r="D43" t="str">
        <f>setrules!J94&amp;IF(setrules!K94="","",",-"&amp;setrules!K94)</f>
        <v/>
      </c>
      <c r="E43" t="str">
        <f>setrules!L94&amp;IF(setrules!M94="","",",-"&amp;setrules!M94)</f>
        <v/>
      </c>
      <c r="F43" t="str">
        <f>setrules!B94</f>
        <v>IMLST_COA</v>
      </c>
    </row>
    <row r="44" spans="1:6" x14ac:dyDescent="0.25">
      <c r="A44" t="str">
        <f>setrules!D95&amp;IF(setrules!E95="","",",-"&amp;setrules!E95)</f>
        <v/>
      </c>
      <c r="B44" t="str">
        <f>setrules!F95&amp;IF(setrules!G95="","",",-"&amp;setrules!G95)&amp;IF(setrules!P95="","",",-"&amp;setrules!P95)</f>
        <v>IMOEFACNGA</v>
      </c>
      <c r="C44" t="str">
        <f>setrules!H95&amp;IF(setrules!I95="","",",-"&amp;setrules!I95)</f>
        <v/>
      </c>
      <c r="D44" t="str">
        <f>setrules!J95&amp;IF(setrules!K95="","",",-"&amp;setrules!K95)</f>
        <v/>
      </c>
      <c r="E44" t="str">
        <f>setrules!L95&amp;IF(setrules!M95="","",",-"&amp;setrules!M95)</f>
        <v/>
      </c>
      <c r="F44" t="str">
        <f>setrules!B95</f>
        <v>IMOFA_NGA</v>
      </c>
    </row>
    <row r="45" spans="1:6" x14ac:dyDescent="0.25">
      <c r="A45" t="str">
        <f>setrules!D96&amp;IF(setrules!E96="","",",-"&amp;setrules!E96)</f>
        <v/>
      </c>
      <c r="B45" t="str">
        <f>setrules!F96&amp;IF(setrules!G96="","",",-"&amp;setrules!G96)&amp;IF(setrules!P96="","",",-"&amp;setrules!P96)</f>
        <v>IFFAC*</v>
      </c>
      <c r="C45" t="str">
        <f>setrules!H96&amp;IF(setrules!I96="","",",-"&amp;setrules!I96)</f>
        <v/>
      </c>
      <c r="D45" t="str">
        <f>setrules!J96&amp;IF(setrules!K96="","",",-"&amp;setrules!K96)</f>
        <v/>
      </c>
      <c r="E45" t="str">
        <f>setrules!L96&amp;IF(setrules!M96="","",",-"&amp;setrules!M96)</f>
        <v/>
      </c>
      <c r="F45" t="str">
        <f>setrules!B96</f>
        <v>IFFA_ALL</v>
      </c>
    </row>
    <row r="46" spans="1:6" x14ac:dyDescent="0.25">
      <c r="A46" t="str">
        <f>setrules!D97&amp;IF(setrules!E97="","",",-"&amp;setrules!E97)</f>
        <v/>
      </c>
      <c r="B46" t="str">
        <f>setrules!F97&amp;IF(setrules!G97="","",",-"&amp;setrules!G97)&amp;IF(setrules!P97="","",",-"&amp;setrules!P97)</f>
        <v>IFD*DST,-IFD*BSADST,-,-IFDEFACDST,-IFDEMDRDST,-IFDEOHTDST,-IFDEPRHDST,-</v>
      </c>
      <c r="C46" t="str">
        <f>setrules!H97&amp;IF(setrules!I97="","",",-"&amp;setrules!I97)</f>
        <v/>
      </c>
      <c r="D46" t="str">
        <f>setrules!J97&amp;IF(setrules!K97="","",",-"&amp;setrules!K97)</f>
        <v/>
      </c>
      <c r="E46" t="str">
        <f>setrules!L97&amp;IF(setrules!M97="","",",-"&amp;setrules!M97)</f>
        <v/>
      </c>
      <c r="F46" t="str">
        <f>setrules!B97</f>
        <v>IFDST_DST</v>
      </c>
    </row>
    <row r="47" spans="1:6" x14ac:dyDescent="0.25">
      <c r="A47" t="str">
        <f>setrules!D98&amp;IF(setrules!E98="","",",-"&amp;setrules!E98)</f>
        <v/>
      </c>
      <c r="B47" t="str">
        <f>setrules!F98&amp;IF(setrules!G98="","",",-"&amp;setrules!G98)&amp;IF(setrules!P98="","",",-"&amp;setrules!P98)</f>
        <v>IFD*B*ELC</v>
      </c>
      <c r="C47" t="str">
        <f>setrules!H98&amp;IF(setrules!I98="","",",-"&amp;setrules!I98)</f>
        <v/>
      </c>
      <c r="D47" t="str">
        <f>setrules!J98&amp;IF(setrules!K98="","",",-"&amp;setrules!K98)</f>
        <v/>
      </c>
      <c r="E47" t="str">
        <f>setrules!L98&amp;IF(setrules!M98="","",",-"&amp;setrules!M98)</f>
        <v/>
      </c>
      <c r="F47" t="str">
        <f>setrules!B98</f>
        <v>IFDST_ELC</v>
      </c>
    </row>
    <row r="48" spans="1:6" x14ac:dyDescent="0.25">
      <c r="A48" t="str">
        <f>setrules!D99&amp;IF(setrules!E99="","",",-"&amp;setrules!E99)</f>
        <v/>
      </c>
      <c r="B48" t="str">
        <f>setrules!F99&amp;IF(setrules!G99="","",",-"&amp;setrules!G99)&amp;IF(setrules!P99="","",",-"&amp;setrules!P99)</f>
        <v>IFD*LPG,-,-IFDEFACLPG,-IFDEFEDLPG,-IFDEPRHLPG,-</v>
      </c>
      <c r="C48" t="str">
        <f>setrules!H99&amp;IF(setrules!I99="","",",-"&amp;setrules!I99)</f>
        <v/>
      </c>
      <c r="D48" t="str">
        <f>setrules!J99&amp;IF(setrules!K99="","",",-"&amp;setrules!K99)</f>
        <v/>
      </c>
      <c r="E48" t="str">
        <f>setrules!L99&amp;IF(setrules!M99="","",",-"&amp;setrules!M99)</f>
        <v/>
      </c>
      <c r="F48" t="str">
        <f>setrules!B99</f>
        <v>IFDST_LPG</v>
      </c>
    </row>
    <row r="49" spans="1:6" x14ac:dyDescent="0.25">
      <c r="A49" t="str">
        <f>setrules!D100&amp;IF(setrules!E100="","",",-"&amp;setrules!E100)</f>
        <v/>
      </c>
      <c r="B49" t="str">
        <f>setrules!F100&amp;IF(setrules!G100="","",",-"&amp;setrules!G100)&amp;IF(setrules!P100="","",",-"&amp;setrules!P100)</f>
        <v>IFD*NGA,-IFD*BSANGA,-,-IFDEFEDNGA,-IFDEMDRNGA,-IFDEOHTNGA,-IFDEPRHNGA,-IFDEFACNGA,-</v>
      </c>
      <c r="C49" t="str">
        <f>setrules!H100&amp;IF(setrules!I100="","",",-"&amp;setrules!I100)</f>
        <v/>
      </c>
      <c r="D49" t="str">
        <f>setrules!J100&amp;IF(setrules!K100="","",",-"&amp;setrules!K100)</f>
        <v/>
      </c>
      <c r="E49" t="str">
        <f>setrules!L100&amp;IF(setrules!M100="","",",-"&amp;setrules!M100)</f>
        <v/>
      </c>
      <c r="F49" t="str">
        <f>setrules!B100</f>
        <v>IFDST_NGA</v>
      </c>
    </row>
    <row r="50" spans="1:6" x14ac:dyDescent="0.25">
      <c r="A50" t="str">
        <f>setrules!D101&amp;IF(setrules!E101="","",",-"&amp;setrules!E101)</f>
        <v/>
      </c>
      <c r="B50" t="str">
        <f>setrules!F101&amp;IF(setrules!G101="","",",-"&amp;setrules!G101)&amp;IF(setrules!P101="","",",-"&amp;setrules!P101)</f>
        <v>IFD*RFL,-IFD*BSARFL,-,-IFDEOHTRFL,-IFDEPRHRFL,-</v>
      </c>
      <c r="C50" t="str">
        <f>setrules!H101&amp;IF(setrules!I101="","",",-"&amp;setrules!I101)</f>
        <v/>
      </c>
      <c r="D50" t="str">
        <f>setrules!J101&amp;IF(setrules!K101="","",",-"&amp;setrules!K101)</f>
        <v/>
      </c>
      <c r="E50" t="str">
        <f>setrules!L101&amp;IF(setrules!M101="","",",-"&amp;setrules!M101)</f>
        <v/>
      </c>
      <c r="F50" t="str">
        <f>setrules!B101</f>
        <v>IFDST_RFL</v>
      </c>
    </row>
    <row r="51" spans="1:6" x14ac:dyDescent="0.25">
      <c r="A51" t="str">
        <f>setrules!D102&amp;IF(setrules!E102="","",",-"&amp;setrules!E102)</f>
        <v/>
      </c>
      <c r="B51" t="str">
        <f>setrules!F102&amp;IF(setrules!G102="","",",-"&amp;setrules!G102)&amp;IF(setrules!P102="","",",-"&amp;setrules!P102)</f>
        <v>IFFS*</v>
      </c>
      <c r="C51" t="str">
        <f>setrules!H102&amp;IF(setrules!I102="","",",-"&amp;setrules!I102)</f>
        <v/>
      </c>
      <c r="D51" t="str">
        <f>setrules!J102&amp;IF(setrules!K102="","",",-"&amp;setrules!K102)</f>
        <v/>
      </c>
      <c r="E51" t="str">
        <f>setrules!L102&amp;IF(setrules!M102="","",",-"&amp;setrules!M102)</f>
        <v/>
      </c>
      <c r="F51" t="str">
        <f>setrules!B102</f>
        <v>IFF_ALL</v>
      </c>
    </row>
    <row r="52" spans="1:6" x14ac:dyDescent="0.25">
      <c r="A52" t="str">
        <f>setrules!D103&amp;IF(setrules!E103="","",",-"&amp;setrules!E103)</f>
        <v/>
      </c>
      <c r="B52" t="str">
        <f>setrules!F103&amp;IF(setrules!G103="","",",-"&amp;setrules!G103)&amp;IF(setrules!P103="","",",-"&amp;setrules!P103)</f>
        <v>IFM*NGA*</v>
      </c>
      <c r="C52" t="str">
        <f>setrules!H103&amp;IF(setrules!I103="","",",-"&amp;setrules!I103)</f>
        <v/>
      </c>
      <c r="D52" t="str">
        <f>setrules!J103&amp;IF(setrules!K103="","",",-"&amp;setrules!K103)</f>
        <v/>
      </c>
      <c r="E52" t="str">
        <f>setrules!L103&amp;IF(setrules!M103="","",",-"&amp;setrules!M103)</f>
        <v/>
      </c>
      <c r="F52" t="str">
        <f>setrules!B103</f>
        <v>IFM_NGA</v>
      </c>
    </row>
    <row r="53" spans="1:6" x14ac:dyDescent="0.25">
      <c r="A53" t="str">
        <f>setrules!D104&amp;IF(setrules!E104="","",",-"&amp;setrules!E104)</f>
        <v/>
      </c>
      <c r="B53" t="str">
        <f>setrules!F104&amp;IF(setrules!G104="","",",-"&amp;setrules!G104)&amp;IF(setrules!P104="","",",-"&amp;setrules!P104)</f>
        <v>IFFS*NGA*</v>
      </c>
      <c r="C53" t="str">
        <f>setrules!H104&amp;IF(setrules!I104="","",",-"&amp;setrules!I104)</f>
        <v/>
      </c>
      <c r="D53" t="str">
        <f>setrules!J104&amp;IF(setrules!K104="","",",-"&amp;setrules!K104)</f>
        <v/>
      </c>
      <c r="E53" t="str">
        <f>setrules!L104&amp;IF(setrules!M104="","",",-"&amp;setrules!M104)</f>
        <v/>
      </c>
      <c r="F53" t="str">
        <f>setrules!B104</f>
        <v>IFF_NGA</v>
      </c>
    </row>
    <row r="54" spans="1:6" x14ac:dyDescent="0.25">
      <c r="A54" t="str">
        <f>setrules!D105&amp;IF(setrules!E105="","",",-"&amp;setrules!E105)</f>
        <v/>
      </c>
      <c r="B54" t="str">
        <f>setrules!F105&amp;IF(setrules!G105="","",",-"&amp;setrules!G105)&amp;IF(setrules!P105="","",",-"&amp;setrules!P105)</f>
        <v>IFD*B*,-IFD*B*BIO,-IFD*B*WOD,-IFD*B*TOM,-IFD*BST*,-IFD*BSA*</v>
      </c>
      <c r="C54" t="str">
        <f>setrules!H105&amp;IF(setrules!I105="","",",-"&amp;setrules!I105)</f>
        <v/>
      </c>
      <c r="D54" t="str">
        <f>setrules!J105&amp;IF(setrules!K105="","",",-"&amp;setrules!K105)</f>
        <v/>
      </c>
      <c r="E54" t="str">
        <f>setrules!L105&amp;IF(setrules!M105="","",",-"&amp;setrules!M105)</f>
        <v/>
      </c>
      <c r="F54" t="str">
        <f>setrules!B105</f>
        <v>IFDST_ALL</v>
      </c>
    </row>
    <row r="55" spans="1:6" x14ac:dyDescent="0.25">
      <c r="A55" t="str">
        <f>setrules!D106&amp;IF(setrules!E106="","",",-"&amp;setrules!E106)</f>
        <v/>
      </c>
      <c r="B55" t="str">
        <f>setrules!F106&amp;IF(setrules!G106="","",",-"&amp;setrules!G106)&amp;IF(setrules!P106="","",",-"&amp;setrules!P106)</f>
        <v>IFFACDST*</v>
      </c>
      <c r="C55" t="str">
        <f>setrules!H106&amp;IF(setrules!I106="","",",-"&amp;setrules!I106)</f>
        <v/>
      </c>
      <c r="D55" t="str">
        <f>setrules!J106&amp;IF(setrules!K106="","",",-"&amp;setrules!K106)</f>
        <v/>
      </c>
      <c r="E55" t="str">
        <f>setrules!L106&amp;IF(setrules!M106="","",",-"&amp;setrules!M106)</f>
        <v/>
      </c>
      <c r="F55" t="str">
        <f>setrules!B106</f>
        <v>IFFA_DST</v>
      </c>
    </row>
    <row r="56" spans="1:6" x14ac:dyDescent="0.25">
      <c r="A56" t="str">
        <f>setrules!D107&amp;IF(setrules!E107="","",",-"&amp;setrules!E107)</f>
        <v/>
      </c>
      <c r="B56" t="str">
        <f>setrules!F107&amp;IF(setrules!G107="","",",-"&amp;setrules!G107)&amp;IF(setrules!P107="","",",-"&amp;setrules!P107)</f>
        <v>IFFACELC*</v>
      </c>
      <c r="C56" t="str">
        <f>setrules!H107&amp;IF(setrules!I107="","",",-"&amp;setrules!I107)</f>
        <v/>
      </c>
      <c r="D56" t="str">
        <f>setrules!J107&amp;IF(setrules!K107="","",",-"&amp;setrules!K107)</f>
        <v/>
      </c>
      <c r="E56" t="str">
        <f>setrules!L107&amp;IF(setrules!M107="","",",-"&amp;setrules!M107)</f>
        <v/>
      </c>
      <c r="F56" t="str">
        <f>setrules!B107</f>
        <v>IFFA_ELC</v>
      </c>
    </row>
    <row r="57" spans="1:6" x14ac:dyDescent="0.25">
      <c r="A57" t="str">
        <f>setrules!D108&amp;IF(setrules!E108="","",",-"&amp;setrules!E108)</f>
        <v/>
      </c>
      <c r="B57" t="str">
        <f>setrules!F108&amp;IF(setrules!G108="","",",-"&amp;setrules!G108)&amp;IF(setrules!P108="","",",-"&amp;setrules!P108)</f>
        <v>IFFACLPG*</v>
      </c>
      <c r="C57" t="str">
        <f>setrules!H108&amp;IF(setrules!I108="","",",-"&amp;setrules!I108)</f>
        <v/>
      </c>
      <c r="D57" t="str">
        <f>setrules!J108&amp;IF(setrules!K108="","",",-"&amp;setrules!K108)</f>
        <v/>
      </c>
      <c r="E57" t="str">
        <f>setrules!L108&amp;IF(setrules!M108="","",",-"&amp;setrules!M108)</f>
        <v/>
      </c>
      <c r="F57" t="str">
        <f>setrules!B108</f>
        <v>IFFA_LPG</v>
      </c>
    </row>
    <row r="58" spans="1:6" x14ac:dyDescent="0.25">
      <c r="A58" t="str">
        <f>setrules!D109&amp;IF(setrules!E109="","",",-"&amp;setrules!E109)</f>
        <v/>
      </c>
      <c r="B58" t="str">
        <f>setrules!F109&amp;IF(setrules!G109="","",",-"&amp;setrules!G109)&amp;IF(setrules!P109="","",",-"&amp;setrules!P109)</f>
        <v>IFFACNGA*</v>
      </c>
      <c r="C58" t="str">
        <f>setrules!H109&amp;IF(setrules!I109="","",",-"&amp;setrules!I109)</f>
        <v/>
      </c>
      <c r="D58" t="str">
        <f>setrules!J109&amp;IF(setrules!K109="","",",-"&amp;setrules!K109)</f>
        <v/>
      </c>
      <c r="E58" t="str">
        <f>setrules!L109&amp;IF(setrules!M109="","",",-"&amp;setrules!M109)</f>
        <v/>
      </c>
      <c r="F58" t="str">
        <f>setrules!B109</f>
        <v>IFFA_NGA</v>
      </c>
    </row>
    <row r="59" spans="1:6" x14ac:dyDescent="0.25">
      <c r="A59" t="str">
        <f>setrules!D110&amp;IF(setrules!E110="","",",-"&amp;setrules!E110)</f>
        <v/>
      </c>
      <c r="B59" t="str">
        <f>setrules!F110&amp;IF(setrules!G110="","",",-"&amp;setrules!G110)&amp;IF(setrules!P110="","",",-"&amp;setrules!P110)</f>
        <v>IFM*</v>
      </c>
      <c r="C59" t="str">
        <f>setrules!H110&amp;IF(setrules!I110="","",",-"&amp;setrules!I110)</f>
        <v/>
      </c>
      <c r="D59" t="str">
        <f>setrules!J110&amp;IF(setrules!K110="","",",-"&amp;setrules!K110)</f>
        <v/>
      </c>
      <c r="E59" t="str">
        <f>setrules!L110&amp;IF(setrules!M110="","",",-"&amp;setrules!M110)</f>
        <v/>
      </c>
      <c r="F59" t="str">
        <f>setrules!B110</f>
        <v>IFM_ALL</v>
      </c>
    </row>
    <row r="60" spans="1:6" x14ac:dyDescent="0.25">
      <c r="A60" t="str">
        <f>setrules!D111&amp;IF(setrules!E111="","",",-"&amp;setrules!E111)</f>
        <v/>
      </c>
      <c r="B60" t="str">
        <f>setrules!F111&amp;IF(setrules!G111="","",",-"&amp;setrules!G111)&amp;IF(setrules!P111="","",",-"&amp;setrules!P111)</f>
        <v>IFM*DST*</v>
      </c>
      <c r="C60" t="str">
        <f>setrules!H111&amp;IF(setrules!I111="","",",-"&amp;setrules!I111)</f>
        <v/>
      </c>
      <c r="D60" t="str">
        <f>setrules!J111&amp;IF(setrules!K111="","",",-"&amp;setrules!K111)</f>
        <v/>
      </c>
      <c r="E60" t="str">
        <f>setrules!L111&amp;IF(setrules!M111="","",",-"&amp;setrules!M111)</f>
        <v/>
      </c>
      <c r="F60" t="str">
        <f>setrules!B111</f>
        <v>IFM_DST</v>
      </c>
    </row>
    <row r="61" spans="1:6" x14ac:dyDescent="0.25">
      <c r="A61" t="str">
        <f>setrules!D112&amp;IF(setrules!E112="","",",-"&amp;setrules!E112)</f>
        <v/>
      </c>
      <c r="B61" t="str">
        <f>setrules!F112&amp;IF(setrules!G112="","",",-"&amp;setrules!G112)&amp;IF(setrules!P112="","",",-"&amp;setrules!P112)</f>
        <v>IMAEFED*</v>
      </c>
      <c r="C61" t="str">
        <f>setrules!H112&amp;IF(setrules!I112="","",",-"&amp;setrules!I112)</f>
        <v/>
      </c>
      <c r="D61" t="str">
        <f>setrules!J112&amp;IF(setrules!K112="","",",-"&amp;setrules!K112)</f>
        <v/>
      </c>
      <c r="E61" t="str">
        <f>setrules!L112&amp;IF(setrules!M112="","",",-"&amp;setrules!M112)</f>
        <v/>
      </c>
      <c r="F61" t="str">
        <f>setrules!B112</f>
        <v>IMAFS_ALL</v>
      </c>
    </row>
    <row r="62" spans="1:6" x14ac:dyDescent="0.25">
      <c r="A62" t="str">
        <f>setrules!D113&amp;IF(setrules!E113="","",",-"&amp;setrules!E113)</f>
        <v/>
      </c>
      <c r="B62" t="str">
        <f>setrules!F113&amp;IF(setrules!G113="","",",-"&amp;setrules!G113)&amp;IF(setrules!P113="","",",-"&amp;setrules!P113)</f>
        <v>IFFS*DST*</v>
      </c>
      <c r="C62" t="str">
        <f>setrules!H113&amp;IF(setrules!I113="","",",-"&amp;setrules!I113)</f>
        <v/>
      </c>
      <c r="D62" t="str">
        <f>setrules!J113&amp;IF(setrules!K113="","",",-"&amp;setrules!K113)</f>
        <v/>
      </c>
      <c r="E62" t="str">
        <f>setrules!L113&amp;IF(setrules!M113="","",",-"&amp;setrules!M113)</f>
        <v/>
      </c>
      <c r="F62" t="str">
        <f>setrules!B113</f>
        <v>IFF_DST</v>
      </c>
    </row>
    <row r="63" spans="1:6" x14ac:dyDescent="0.25">
      <c r="A63" t="str">
        <f>setrules!D114&amp;IF(setrules!E114="","",",-"&amp;setrules!E114)</f>
        <v/>
      </c>
      <c r="B63" t="str">
        <f>setrules!F114&amp;IF(setrules!G114="","",",-"&amp;setrules!G114)&amp;IF(setrules!P114="","",",-"&amp;setrules!P114)</f>
        <v>IFDEPRH*</v>
      </c>
      <c r="C63" t="str">
        <f>setrules!H114&amp;IF(setrules!I114="","",",-"&amp;setrules!I114)</f>
        <v/>
      </c>
      <c r="D63" t="str">
        <f>setrules!J114&amp;IF(setrules!K114="","",",-"&amp;setrules!K114)</f>
        <v/>
      </c>
      <c r="E63" t="str">
        <f>setrules!L114&amp;IF(setrules!M114="","",",-"&amp;setrules!M114)</f>
        <v/>
      </c>
      <c r="F63" t="str">
        <f>setrules!B114</f>
        <v>IFDPH_ALL</v>
      </c>
    </row>
    <row r="64" spans="1:6" x14ac:dyDescent="0.25">
      <c r="A64" t="str">
        <f>setrules!D115&amp;IF(setrules!E115="","",",-"&amp;setrules!E115)</f>
        <v/>
      </c>
      <c r="B64" t="str">
        <f>setrules!F115&amp;IF(setrules!G115="","",",-"&amp;setrules!G115)&amp;IF(setrules!P115="","",",-"&amp;setrules!P115)</f>
        <v>IFDEMDRNGA</v>
      </c>
      <c r="C64" t="str">
        <f>setrules!H115&amp;IF(setrules!I115="","",",-"&amp;setrules!I115)</f>
        <v/>
      </c>
      <c r="D64" t="str">
        <f>setrules!J115&amp;IF(setrules!K115="","",",-"&amp;setrules!K115)</f>
        <v/>
      </c>
      <c r="E64" t="str">
        <f>setrules!L115&amp;IF(setrules!M115="","",",-"&amp;setrules!M115)</f>
        <v/>
      </c>
      <c r="F64" t="str">
        <f>setrules!B115</f>
        <v>IFDMD_NGA</v>
      </c>
    </row>
    <row r="65" spans="1:6" x14ac:dyDescent="0.25">
      <c r="A65" t="str">
        <f>setrules!D116&amp;IF(setrules!E116="","",",-"&amp;setrules!E116)</f>
        <v/>
      </c>
      <c r="B65" t="str">
        <f>setrules!F116&amp;IF(setrules!G116="","",",-"&amp;setrules!G116)&amp;IF(setrules!P116="","",",-"&amp;setrules!P116)</f>
        <v>IFD*B*BIO,IFD*B*WOD,IFD*B*TOM,IFDEOHT*,IFDOHTOSTM,-IFD*BST*</v>
      </c>
      <c r="C65" t="str">
        <f>setrules!H116&amp;IF(setrules!I116="","",",-"&amp;setrules!I116)</f>
        <v/>
      </c>
      <c r="D65" t="str">
        <f>setrules!J116&amp;IF(setrules!K116="","",",-"&amp;setrules!K116)</f>
        <v/>
      </c>
      <c r="E65" t="str">
        <f>setrules!L116&amp;IF(setrules!M116="","",",-"&amp;setrules!M116)</f>
        <v/>
      </c>
      <c r="F65" t="str">
        <f>setrules!B116</f>
        <v>IFDOH_ALL</v>
      </c>
    </row>
    <row r="66" spans="1:6" x14ac:dyDescent="0.25">
      <c r="A66" t="str">
        <f>setrules!D117&amp;IF(setrules!E117="","",",-"&amp;setrules!E117)</f>
        <v/>
      </c>
      <c r="B66" t="str">
        <f>setrules!F117&amp;IF(setrules!G117="","",",-"&amp;setrules!G117)&amp;IF(setrules!P117="","",",-"&amp;setrules!P117)</f>
        <v>IFD*BIO,IFD*B*WOD,IFD*B*TOM,IFDEOHTBIO,IFD*AGR,-IFD*BSTBIO,-IFD*BSTWOD,-IFD*BSTTOM,-,-IFDEFEDBIO,-</v>
      </c>
      <c r="C66" t="str">
        <f>setrules!H117&amp;IF(setrules!I117="","",",-"&amp;setrules!I117)</f>
        <v/>
      </c>
      <c r="D66" t="str">
        <f>setrules!J117&amp;IF(setrules!K117="","",",-"&amp;setrules!K117)</f>
        <v/>
      </c>
      <c r="E66" t="str">
        <f>setrules!L117&amp;IF(setrules!M117="","",",-"&amp;setrules!M117)</f>
        <v/>
      </c>
      <c r="F66" t="str">
        <f>setrules!B117</f>
        <v>IFDOH_BIO</v>
      </c>
    </row>
    <row r="67" spans="1:6" x14ac:dyDescent="0.25">
      <c r="A67" t="str">
        <f>setrules!D118&amp;IF(setrules!E118="","",",-"&amp;setrules!E118)</f>
        <v/>
      </c>
      <c r="B67" t="str">
        <f>setrules!F118&amp;IF(setrules!G118="","",",-"&amp;setrules!G118)&amp;IF(setrules!P118="","",",-"&amp;setrules!P118)</f>
        <v>IFDOHTOSTM</v>
      </c>
      <c r="C67" t="str">
        <f>setrules!H118&amp;IF(setrules!I118="","",",-"&amp;setrules!I118)</f>
        <v/>
      </c>
      <c r="D67" t="str">
        <f>setrules!J118&amp;IF(setrules!K118="","",",-"&amp;setrules!K118)</f>
        <v/>
      </c>
      <c r="E67" t="str">
        <f>setrules!L118&amp;IF(setrules!M118="","",",-"&amp;setrules!M118)</f>
        <v/>
      </c>
      <c r="F67" t="str">
        <f>setrules!B118</f>
        <v>IFDOH_CHP</v>
      </c>
    </row>
    <row r="68" spans="1:6" x14ac:dyDescent="0.25">
      <c r="A68" t="str">
        <f>setrules!D119&amp;IF(setrules!E119="","",",-"&amp;setrules!E119)</f>
        <v/>
      </c>
      <c r="B68" t="str">
        <f>setrules!F119&amp;IF(setrules!G119="","",",-"&amp;setrules!G119)&amp;IF(setrules!P119="","",",-"&amp;setrules!P119)</f>
        <v>IFDEOHTCOA</v>
      </c>
      <c r="C68" t="str">
        <f>setrules!H119&amp;IF(setrules!I119="","",",-"&amp;setrules!I119)</f>
        <v/>
      </c>
      <c r="D68" t="str">
        <f>setrules!J119&amp;IF(setrules!K119="","",",-"&amp;setrules!K119)</f>
        <v/>
      </c>
      <c r="E68" t="str">
        <f>setrules!L119&amp;IF(setrules!M119="","",",-"&amp;setrules!M119)</f>
        <v/>
      </c>
      <c r="F68" t="str">
        <f>setrules!B119</f>
        <v>IFDOH_COA</v>
      </c>
    </row>
    <row r="69" spans="1:6" x14ac:dyDescent="0.25">
      <c r="A69" t="str">
        <f>setrules!D120&amp;IF(setrules!E120="","",",-"&amp;setrules!E120)</f>
        <v/>
      </c>
      <c r="B69" t="str">
        <f>setrules!F120&amp;IF(setrules!G120="","",",-"&amp;setrules!G120)&amp;IF(setrules!P120="","",",-"&amp;setrules!P120)</f>
        <v>IFDEOHTDST</v>
      </c>
      <c r="C69" t="str">
        <f>setrules!H120&amp;IF(setrules!I120="","",",-"&amp;setrules!I120)</f>
        <v/>
      </c>
      <c r="D69" t="str">
        <f>setrules!J120&amp;IF(setrules!K120="","",",-"&amp;setrules!K120)</f>
        <v/>
      </c>
      <c r="E69" t="str">
        <f>setrules!L120&amp;IF(setrules!M120="","",",-"&amp;setrules!M120)</f>
        <v/>
      </c>
      <c r="F69" t="str">
        <f>setrules!B120</f>
        <v>IFDOH_DST</v>
      </c>
    </row>
    <row r="70" spans="1:6" x14ac:dyDescent="0.25">
      <c r="A70" t="str">
        <f>setrules!D121&amp;IF(setrules!E121="","",",-"&amp;setrules!E121)</f>
        <v/>
      </c>
      <c r="B70" t="str">
        <f>setrules!F121&amp;IF(setrules!G121="","",",-"&amp;setrules!G121)&amp;IF(setrules!P121="","",",-"&amp;setrules!P121)</f>
        <v>IFDEOHTELC</v>
      </c>
      <c r="C70" t="str">
        <f>setrules!H121&amp;IF(setrules!I121="","",",-"&amp;setrules!I121)</f>
        <v/>
      </c>
      <c r="D70" t="str">
        <f>setrules!J121&amp;IF(setrules!K121="","",",-"&amp;setrules!K121)</f>
        <v/>
      </c>
      <c r="E70" t="str">
        <f>setrules!L121&amp;IF(setrules!M121="","",",-"&amp;setrules!M121)</f>
        <v/>
      </c>
      <c r="F70" t="str">
        <f>setrules!B121</f>
        <v>IFDOH_ELC</v>
      </c>
    </row>
    <row r="71" spans="1:6" x14ac:dyDescent="0.25">
      <c r="A71" t="str">
        <f>setrules!D122&amp;IF(setrules!E122="","",",-"&amp;setrules!E122)</f>
        <v/>
      </c>
      <c r="B71" t="str">
        <f>setrules!F122&amp;IF(setrules!G122="","",",-"&amp;setrules!G122)&amp;IF(setrules!P122="","",",-"&amp;setrules!P122)</f>
        <v>IFD*COA,-IFD*BSACOA,-,-IFDEFACCOA,-IFDEOHTCOA,-IFDEPRHCOA,-</v>
      </c>
      <c r="C71" t="str">
        <f>setrules!H122&amp;IF(setrules!I122="","",",-"&amp;setrules!I122)</f>
        <v/>
      </c>
      <c r="D71" t="str">
        <f>setrules!J122&amp;IF(setrules!K122="","",",-"&amp;setrules!K122)</f>
        <v/>
      </c>
      <c r="E71" t="str">
        <f>setrules!L122&amp;IF(setrules!M122="","",",-"&amp;setrules!M122)</f>
        <v/>
      </c>
      <c r="F71" t="str">
        <f>setrules!B122</f>
        <v>IFDST_COA</v>
      </c>
    </row>
    <row r="72" spans="1:6" x14ac:dyDescent="0.25">
      <c r="A72" t="str">
        <f>setrules!D123&amp;IF(setrules!E123="","",",-"&amp;setrules!E123)</f>
        <v/>
      </c>
      <c r="B72" t="str">
        <f>setrules!F123&amp;IF(setrules!G123="","",",-"&amp;setrules!G123)&amp;IF(setrules!P123="","",",-"&amp;setrules!P123)</f>
        <v>IFDEOHTRFL</v>
      </c>
      <c r="C72" t="str">
        <f>setrules!H123&amp;IF(setrules!I123="","",",-"&amp;setrules!I123)</f>
        <v/>
      </c>
      <c r="D72" t="str">
        <f>setrules!J123&amp;IF(setrules!K123="","",",-"&amp;setrules!K123)</f>
        <v/>
      </c>
      <c r="E72" t="str">
        <f>setrules!L123&amp;IF(setrules!M123="","",",-"&amp;setrules!M123)</f>
        <v/>
      </c>
      <c r="F72" t="str">
        <f>setrules!B123</f>
        <v>IFDOH_RFL</v>
      </c>
    </row>
    <row r="73" spans="1:6" x14ac:dyDescent="0.25">
      <c r="A73" t="str">
        <f>setrules!D124&amp;IF(setrules!E124="","",",-"&amp;setrules!E124)</f>
        <v/>
      </c>
      <c r="B73" t="str">
        <f>setrules!F124&amp;IF(setrules!G124="","",",-"&amp;setrules!G124)&amp;IF(setrules!P124="","",",-"&amp;setrules!P124)</f>
        <v>IFDBOLFSTM</v>
      </c>
      <c r="C73" t="str">
        <f>setrules!H124&amp;IF(setrules!I124="","",",-"&amp;setrules!I124)</f>
        <v/>
      </c>
      <c r="D73" t="str">
        <f>setrules!J124&amp;IF(setrules!K124="","",",-"&amp;setrules!K124)</f>
        <v/>
      </c>
      <c r="E73" t="str">
        <f>setrules!L124&amp;IF(setrules!M124="","",",-"&amp;setrules!M124)</f>
        <v/>
      </c>
      <c r="F73" t="str">
        <f>setrules!B124</f>
        <v>IFDST_CHP</v>
      </c>
    </row>
    <row r="74" spans="1:6" x14ac:dyDescent="0.25">
      <c r="A74" t="str">
        <f>setrules!D125&amp;IF(setrules!E125="","",",-"&amp;setrules!E125)</f>
        <v/>
      </c>
      <c r="B74" t="str">
        <f>setrules!F125&amp;IF(setrules!G125="","",",-"&amp;setrules!G125)&amp;IF(setrules!P125="","",",-"&amp;setrules!P125)</f>
        <v>IFDEPRHCOA</v>
      </c>
      <c r="C74" t="str">
        <f>setrules!H125&amp;IF(setrules!I125="","",",-"&amp;setrules!I125)</f>
        <v/>
      </c>
      <c r="D74" t="str">
        <f>setrules!J125&amp;IF(setrules!K125="","",",-"&amp;setrules!K125)</f>
        <v/>
      </c>
      <c r="E74" t="str">
        <f>setrules!L125&amp;IF(setrules!M125="","",",-"&amp;setrules!M125)</f>
        <v/>
      </c>
      <c r="F74" t="str">
        <f>setrules!B125</f>
        <v>IFDPH_COA</v>
      </c>
    </row>
    <row r="75" spans="1:6" x14ac:dyDescent="0.25">
      <c r="A75" t="str">
        <f>setrules!D126&amp;IF(setrules!E126="","",",-"&amp;setrules!E126)</f>
        <v/>
      </c>
      <c r="B75" t="str">
        <f>setrules!F126&amp;IF(setrules!G126="","",",-"&amp;setrules!G126)&amp;IF(setrules!P126="","",",-"&amp;setrules!P126)</f>
        <v>IFDEPRHDST</v>
      </c>
      <c r="C75" t="str">
        <f>setrules!H126&amp;IF(setrules!I126="","",",-"&amp;setrules!I126)</f>
        <v/>
      </c>
      <c r="D75" t="str">
        <f>setrules!J126&amp;IF(setrules!K126="","",",-"&amp;setrules!K126)</f>
        <v/>
      </c>
      <c r="E75" t="str">
        <f>setrules!L126&amp;IF(setrules!M126="","",",-"&amp;setrules!M126)</f>
        <v/>
      </c>
      <c r="F75" t="str">
        <f>setrules!B126</f>
        <v>IFDPH_DST</v>
      </c>
    </row>
    <row r="76" spans="1:6" x14ac:dyDescent="0.25">
      <c r="A76" t="str">
        <f>setrules!D127&amp;IF(setrules!E127="","",",-"&amp;setrules!E127)</f>
        <v/>
      </c>
      <c r="B76" t="str">
        <f>setrules!F127&amp;IF(setrules!G127="","",",-"&amp;setrules!G127)&amp;IF(setrules!P127="","",",-"&amp;setrules!P127)</f>
        <v>IFDEPRHELC</v>
      </c>
      <c r="C76" t="str">
        <f>setrules!H127&amp;IF(setrules!I127="","",",-"&amp;setrules!I127)</f>
        <v/>
      </c>
      <c r="D76" t="str">
        <f>setrules!J127&amp;IF(setrules!K127="","",",-"&amp;setrules!K127)</f>
        <v/>
      </c>
      <c r="E76" t="str">
        <f>setrules!L127&amp;IF(setrules!M127="","",",-"&amp;setrules!M127)</f>
        <v/>
      </c>
      <c r="F76" t="str">
        <f>setrules!B127</f>
        <v>IFDPH_ELC</v>
      </c>
    </row>
    <row r="77" spans="1:6" x14ac:dyDescent="0.25">
      <c r="A77" t="str">
        <f>setrules!D128&amp;IF(setrules!E128="","",",-"&amp;setrules!E128)</f>
        <v/>
      </c>
      <c r="B77" t="str">
        <f>setrules!F128&amp;IF(setrules!G128="","",",-"&amp;setrules!G128)&amp;IF(setrules!P128="","",",-"&amp;setrules!P128)</f>
        <v>IFDEPRHLPG</v>
      </c>
      <c r="C77" t="str">
        <f>setrules!H128&amp;IF(setrules!I128="","",",-"&amp;setrules!I128)</f>
        <v/>
      </c>
      <c r="D77" t="str">
        <f>setrules!J128&amp;IF(setrules!K128="","",",-"&amp;setrules!K128)</f>
        <v/>
      </c>
      <c r="E77" t="str">
        <f>setrules!L128&amp;IF(setrules!M128="","",",-"&amp;setrules!M128)</f>
        <v/>
      </c>
      <c r="F77" t="str">
        <f>setrules!B128</f>
        <v>IFDPH_LPG</v>
      </c>
    </row>
    <row r="78" spans="1:6" x14ac:dyDescent="0.25">
      <c r="A78" t="str">
        <f>setrules!D129&amp;IF(setrules!E129="","",",-"&amp;setrules!E129)</f>
        <v/>
      </c>
      <c r="B78" t="str">
        <f>setrules!F129&amp;IF(setrules!G129="","",",-"&amp;setrules!G129)&amp;IF(setrules!P129="","",",-"&amp;setrules!P129)</f>
        <v>IFDEPRHNGA</v>
      </c>
      <c r="C78" t="str">
        <f>setrules!H129&amp;IF(setrules!I129="","",",-"&amp;setrules!I129)</f>
        <v/>
      </c>
      <c r="D78" t="str">
        <f>setrules!J129&amp;IF(setrules!K129="","",",-"&amp;setrules!K129)</f>
        <v/>
      </c>
      <c r="E78" t="str">
        <f>setrules!L129&amp;IF(setrules!M129="","",",-"&amp;setrules!M129)</f>
        <v/>
      </c>
      <c r="F78" t="str">
        <f>setrules!B129</f>
        <v>IFDPH_NGA</v>
      </c>
    </row>
    <row r="79" spans="1:6" x14ac:dyDescent="0.25">
      <c r="A79" t="str">
        <f>setrules!D130&amp;IF(setrules!E130="","",",-"&amp;setrules!E130)</f>
        <v/>
      </c>
      <c r="B79" t="str">
        <f>setrules!F130&amp;IF(setrules!G130="","",",-"&amp;setrules!G130)&amp;IF(setrules!P130="","",",-"&amp;setrules!P130)</f>
        <v>IFDEPRHRFL</v>
      </c>
      <c r="C79" t="str">
        <f>setrules!H130&amp;IF(setrules!I130="","",",-"&amp;setrules!I130)</f>
        <v/>
      </c>
      <c r="D79" t="str">
        <f>setrules!J130&amp;IF(setrules!K130="","",",-"&amp;setrules!K130)</f>
        <v/>
      </c>
      <c r="E79" t="str">
        <f>setrules!L130&amp;IF(setrules!M130="","",",-"&amp;setrules!M130)</f>
        <v/>
      </c>
      <c r="F79" t="str">
        <f>setrules!B130</f>
        <v>IFDPH_RFL</v>
      </c>
    </row>
    <row r="80" spans="1:6" x14ac:dyDescent="0.25">
      <c r="A80" t="str">
        <f>setrules!D131&amp;IF(setrules!E131="","",",-"&amp;setrules!E131)</f>
        <v/>
      </c>
      <c r="B80" t="str">
        <f>setrules!F131&amp;IF(setrules!G131="","",",-"&amp;setrules!G131)&amp;IF(setrules!P131="","",",-"&amp;setrules!P131)</f>
        <v>IFOH*</v>
      </c>
      <c r="C80" t="str">
        <f>setrules!H131&amp;IF(setrules!I131="","",",-"&amp;setrules!I131)</f>
        <v/>
      </c>
      <c r="D80" t="str">
        <f>setrules!J131&amp;IF(setrules!K131="","",",-"&amp;setrules!K131)</f>
        <v/>
      </c>
      <c r="E80" t="str">
        <f>setrules!L131&amp;IF(setrules!M131="","",",-"&amp;setrules!M131)</f>
        <v/>
      </c>
      <c r="F80" t="str">
        <f>setrules!B131</f>
        <v>IFOH_ALL</v>
      </c>
    </row>
    <row r="81" spans="1:6" x14ac:dyDescent="0.25">
      <c r="A81" t="str">
        <f>setrules!D132&amp;IF(setrules!E132="","",",-"&amp;setrules!E132)</f>
        <v/>
      </c>
      <c r="B81" t="str">
        <f>setrules!F132&amp;IF(setrules!G132="","",",-"&amp;setrules!G132)&amp;IF(setrules!P132="","",",-"&amp;setrules!P132)</f>
        <v>IFDEOHTNGA,IFDNREGNGA</v>
      </c>
      <c r="C81" t="str">
        <f>setrules!H132&amp;IF(setrules!I132="","",",-"&amp;setrules!I132)</f>
        <v/>
      </c>
      <c r="D81" t="str">
        <f>setrules!J132&amp;IF(setrules!K132="","",",-"&amp;setrules!K132)</f>
        <v/>
      </c>
      <c r="E81" t="str">
        <f>setrules!L132&amp;IF(setrules!M132="","",",-"&amp;setrules!M132)</f>
        <v/>
      </c>
      <c r="F81" t="str">
        <f>setrules!B132</f>
        <v>IFDOH_NGA</v>
      </c>
    </row>
    <row r="82" spans="1:6" x14ac:dyDescent="0.25">
      <c r="A82" t="str">
        <f>setrules!D133&amp;IF(setrules!E133="","",",-"&amp;setrules!E133)</f>
        <v/>
      </c>
      <c r="B82" t="str">
        <f>setrules!F133&amp;IF(setrules!G133="","",",-"&amp;setrules!G133)&amp;IF(setrules!P133="","",",-"&amp;setrules!P133)</f>
        <v>IMOHBIO*</v>
      </c>
      <c r="C82" t="str">
        <f>setrules!H133&amp;IF(setrules!I133="","",",-"&amp;setrules!I133)</f>
        <v/>
      </c>
      <c r="D82" t="str">
        <f>setrules!J133&amp;IF(setrules!K133="","",",-"&amp;setrules!K133)</f>
        <v/>
      </c>
      <c r="E82" t="str">
        <f>setrules!L133&amp;IF(setrules!M133="","",",-"&amp;setrules!M133)</f>
        <v/>
      </c>
      <c r="F82" t="str">
        <f>setrules!B133</f>
        <v>IMOH_BIO</v>
      </c>
    </row>
    <row r="83" spans="1:6" x14ac:dyDescent="0.25">
      <c r="A83" t="str">
        <f>setrules!D134&amp;IF(setrules!E134="","",",-"&amp;setrules!E134)</f>
        <v/>
      </c>
      <c r="B83" t="str">
        <f>setrules!F134&amp;IF(setrules!G134="","",",-"&amp;setrules!G134)&amp;IF(setrules!P134="","",",-"&amp;setrules!P134)</f>
        <v>IFB*LPG*</v>
      </c>
      <c r="C83" t="str">
        <f>setrules!H134&amp;IF(setrules!I134="","",",-"&amp;setrules!I134)</f>
        <v/>
      </c>
      <c r="D83" t="str">
        <f>setrules!J134&amp;IF(setrules!K134="","",",-"&amp;setrules!K134)</f>
        <v/>
      </c>
      <c r="E83" t="str">
        <f>setrules!L134&amp;IF(setrules!M134="","",",-"&amp;setrules!M134)</f>
        <v/>
      </c>
      <c r="F83" t="str">
        <f>setrules!B134</f>
        <v>IFS_LPG</v>
      </c>
    </row>
    <row r="84" spans="1:6" x14ac:dyDescent="0.25">
      <c r="A84" t="str">
        <f>setrules!D135&amp;IF(setrules!E135="","",",-"&amp;setrules!E135)</f>
        <v/>
      </c>
      <c r="B84" t="str">
        <f>setrules!F135&amp;IF(setrules!G135="","",",-"&amp;setrules!G135)&amp;IF(setrules!P135="","",",-"&amp;setrules!P135)</f>
        <v>IFB*NGA*</v>
      </c>
      <c r="C84" t="str">
        <f>setrules!H135&amp;IF(setrules!I135="","",",-"&amp;setrules!I135)</f>
        <v/>
      </c>
      <c r="D84" t="str">
        <f>setrules!J135&amp;IF(setrules!K135="","",",-"&amp;setrules!K135)</f>
        <v/>
      </c>
      <c r="E84" t="str">
        <f>setrules!L135&amp;IF(setrules!M135="","",",-"&amp;setrules!M135)</f>
        <v/>
      </c>
      <c r="F84" t="str">
        <f>setrules!B135</f>
        <v>IFS_NGA</v>
      </c>
    </row>
    <row r="85" spans="1:6" x14ac:dyDescent="0.25">
      <c r="A85" t="str">
        <f>setrules!D136&amp;IF(setrules!E136="","",",-"&amp;setrules!E136)</f>
        <v/>
      </c>
      <c r="B85" t="str">
        <f>setrules!F136&amp;IF(setrules!G136="","",",-"&amp;setrules!G136)&amp;IF(setrules!P136="","",",-"&amp;setrules!P136)</f>
        <v>IFB*RFL*</v>
      </c>
      <c r="C85" t="str">
        <f>setrules!H136&amp;IF(setrules!I136="","",",-"&amp;setrules!I136)</f>
        <v/>
      </c>
      <c r="D85" t="str">
        <f>setrules!J136&amp;IF(setrules!K136="","",",-"&amp;setrules!K136)</f>
        <v/>
      </c>
      <c r="E85" t="str">
        <f>setrules!L136&amp;IF(setrules!M136="","",",-"&amp;setrules!M136)</f>
        <v/>
      </c>
      <c r="F85" t="str">
        <f>setrules!B136</f>
        <v>IFS_RFL</v>
      </c>
    </row>
    <row r="86" spans="1:6" x14ac:dyDescent="0.25">
      <c r="A86" t="str">
        <f>setrules!D137&amp;IF(setrules!E137="","",",-"&amp;setrules!E137)</f>
        <v/>
      </c>
      <c r="B86" t="str">
        <f>setrules!F137&amp;IF(setrules!G137="","",",-"&amp;setrules!G137)&amp;IF(setrules!P137="","",",-"&amp;setrules!P137)</f>
        <v>IM*,-IMP*</v>
      </c>
      <c r="C86" t="str">
        <f>setrules!H137&amp;IF(setrules!I137="","",",-"&amp;setrules!I137)</f>
        <v/>
      </c>
      <c r="D86" t="str">
        <f>setrules!J137&amp;IF(setrules!K137="","",",-"&amp;setrules!K137)</f>
        <v/>
      </c>
      <c r="E86" t="str">
        <f>setrules!L137&amp;IF(setrules!M137="","",",-"&amp;setrules!M137)</f>
        <v/>
      </c>
      <c r="F86" t="str">
        <f>setrules!B137</f>
        <v>IM EXISTING</v>
      </c>
    </row>
    <row r="87" spans="1:6" x14ac:dyDescent="0.25">
      <c r="A87" t="str">
        <f>setrules!D138&amp;IF(setrules!E138="","",",-"&amp;setrules!E138)</f>
        <v/>
      </c>
      <c r="B87" t="str">
        <f>setrules!F138&amp;IF(setrules!G138="","",",-"&amp;setrules!G138)&amp;IF(setrules!P138="","",",-"&amp;setrules!P138)</f>
        <v>IMAEFAC*</v>
      </c>
      <c r="C87" t="str">
        <f>setrules!H138&amp;IF(setrules!I138="","",",-"&amp;setrules!I138)</f>
        <v/>
      </c>
      <c r="D87" t="str">
        <f>setrules!J138&amp;IF(setrules!K138="","",",-"&amp;setrules!K138)</f>
        <v/>
      </c>
      <c r="E87" t="str">
        <f>setrules!L138&amp;IF(setrules!M138="","",",-"&amp;setrules!M138)</f>
        <v/>
      </c>
      <c r="F87" t="str">
        <f>setrules!B138</f>
        <v>IMAFA_ALL</v>
      </c>
    </row>
    <row r="88" spans="1:6" x14ac:dyDescent="0.25">
      <c r="A88" t="str">
        <f>setrules!D139&amp;IF(setrules!E139="","",",-"&amp;setrules!E139)</f>
        <v/>
      </c>
      <c r="B88" t="str">
        <f>setrules!F139&amp;IF(setrules!G139="","",",-"&amp;setrules!G139)&amp;IF(setrules!P139="","",",-"&amp;setrules!P139)</f>
        <v>IMAEFACDST</v>
      </c>
      <c r="C88" t="str">
        <f>setrules!H139&amp;IF(setrules!I139="","",",-"&amp;setrules!I139)</f>
        <v/>
      </c>
      <c r="D88" t="str">
        <f>setrules!J139&amp;IF(setrules!K139="","",",-"&amp;setrules!K139)</f>
        <v/>
      </c>
      <c r="E88" t="str">
        <f>setrules!L139&amp;IF(setrules!M139="","",",-"&amp;setrules!M139)</f>
        <v/>
      </c>
      <c r="F88" t="str">
        <f>setrules!B139</f>
        <v>IMAFA_DST</v>
      </c>
    </row>
    <row r="89" spans="1:6" x14ac:dyDescent="0.25">
      <c r="A89" t="str">
        <f>setrules!D140&amp;IF(setrules!E140="","",",-"&amp;setrules!E140)</f>
        <v/>
      </c>
      <c r="B89" t="str">
        <f>setrules!F140&amp;IF(setrules!G140="","",",-"&amp;setrules!G140)&amp;IF(setrules!P140="","",",-"&amp;setrules!P140)</f>
        <v>IFM*ELC*</v>
      </c>
      <c r="C89" t="str">
        <f>setrules!H140&amp;IF(setrules!I140="","",",-"&amp;setrules!I140)</f>
        <v/>
      </c>
      <c r="D89" t="str">
        <f>setrules!J140&amp;IF(setrules!K140="","",",-"&amp;setrules!K140)</f>
        <v/>
      </c>
      <c r="E89" t="str">
        <f>setrules!L140&amp;IF(setrules!M140="","",",-"&amp;setrules!M140)</f>
        <v/>
      </c>
      <c r="F89" t="str">
        <f>setrules!B140</f>
        <v>IFM_ELC</v>
      </c>
    </row>
    <row r="90" spans="1:6" x14ac:dyDescent="0.25">
      <c r="A90" t="str">
        <f>setrules!D141&amp;IF(setrules!E141="","",",-"&amp;setrules!E141)</f>
        <v/>
      </c>
      <c r="B90" t="str">
        <f>setrules!F141&amp;IF(setrules!G141="","",",-"&amp;setrules!G141)&amp;IF(setrules!P141="","",",-"&amp;setrules!P141)</f>
        <v>IMAEFACNGA</v>
      </c>
      <c r="C90" t="str">
        <f>setrules!H141&amp;IF(setrules!I141="","",",-"&amp;setrules!I141)</f>
        <v/>
      </c>
      <c r="D90" t="str">
        <f>setrules!J141&amp;IF(setrules!K141="","",",-"&amp;setrules!K141)</f>
        <v/>
      </c>
      <c r="E90" t="str">
        <f>setrules!L141&amp;IF(setrules!M141="","",",-"&amp;setrules!M141)</f>
        <v/>
      </c>
      <c r="F90" t="str">
        <f>setrules!B141</f>
        <v>IMAFA_NGA</v>
      </c>
    </row>
    <row r="91" spans="1:6" x14ac:dyDescent="0.25">
      <c r="A91" t="str">
        <f>setrules!D142&amp;IF(setrules!E142="","",",-"&amp;setrules!E142)</f>
        <v/>
      </c>
      <c r="B91" t="str">
        <f>setrules!F142&amp;IF(setrules!G142="","",",-"&amp;setrules!G142)&amp;IF(setrules!P142="","",",-"&amp;setrules!P142)</f>
        <v>IFB*DST*</v>
      </c>
      <c r="C91" t="str">
        <f>setrules!H142&amp;IF(setrules!I142="","",",-"&amp;setrules!I142)</f>
        <v/>
      </c>
      <c r="D91" t="str">
        <f>setrules!J142&amp;IF(setrules!K142="","",",-"&amp;setrules!K142)</f>
        <v/>
      </c>
      <c r="E91" t="str">
        <f>setrules!L142&amp;IF(setrules!M142="","",",-"&amp;setrules!M142)</f>
        <v/>
      </c>
      <c r="F91" t="str">
        <f>setrules!B142</f>
        <v>IFS_DST</v>
      </c>
    </row>
    <row r="92" spans="1:6" x14ac:dyDescent="0.25">
      <c r="A92" t="str">
        <f>setrules!D143&amp;IF(setrules!E143="","",",-"&amp;setrules!E143)</f>
        <v/>
      </c>
      <c r="B92" t="str">
        <f>setrules!F143&amp;IF(setrules!G143="","",",-"&amp;setrules!G143)&amp;IF(setrules!P143="","",",-"&amp;setrules!P143)</f>
        <v>IMAEFEDNGA</v>
      </c>
      <c r="C92" t="str">
        <f>setrules!H143&amp;IF(setrules!I143="","",",-"&amp;setrules!I143)</f>
        <v/>
      </c>
      <c r="D92" t="str">
        <f>setrules!J143&amp;IF(setrules!K143="","",",-"&amp;setrules!K143)</f>
        <v/>
      </c>
      <c r="E92" t="str">
        <f>setrules!L143&amp;IF(setrules!M143="","",",-"&amp;setrules!M143)</f>
        <v/>
      </c>
      <c r="F92" t="str">
        <f>setrules!B143</f>
        <v>IMAFS_NGA</v>
      </c>
    </row>
    <row r="93" spans="1:6" x14ac:dyDescent="0.25">
      <c r="A93" t="str">
        <f>setrules!D144&amp;IF(setrules!E144="","",",-"&amp;setrules!E144)</f>
        <v/>
      </c>
      <c r="B93" t="str">
        <f>setrules!F144&amp;IF(setrules!G144="","",",-"&amp;setrules!G144)&amp;IF(setrules!P144="","",",-"&amp;setrules!P144)</f>
        <v>IMAEFEDPTC</v>
      </c>
      <c r="C93" t="str">
        <f>setrules!H144&amp;IF(setrules!I144="","",",-"&amp;setrules!I144)</f>
        <v/>
      </c>
      <c r="D93" t="str">
        <f>setrules!J144&amp;IF(setrules!K144="","",",-"&amp;setrules!K144)</f>
        <v/>
      </c>
      <c r="E93" t="str">
        <f>setrules!L144&amp;IF(setrules!M144="","",",-"&amp;setrules!M144)</f>
        <v/>
      </c>
      <c r="F93" t="str">
        <f>setrules!B144</f>
        <v>IMAFS_PTC</v>
      </c>
    </row>
    <row r="94" spans="1:6" x14ac:dyDescent="0.25">
      <c r="A94" t="str">
        <f>setrules!D145&amp;IF(setrules!E145="","",",-"&amp;setrules!E145)</f>
        <v/>
      </c>
      <c r="B94" t="str">
        <f>setrules!F145&amp;IF(setrules!G145="","",",-"&amp;setrules!G145)&amp;IF(setrules!P145="","",",-"&amp;setrules!P145)</f>
        <v>IMAEMDR*</v>
      </c>
      <c r="C94" t="str">
        <f>setrules!H145&amp;IF(setrules!I145="","",",-"&amp;setrules!I145)</f>
        <v/>
      </c>
      <c r="D94" t="str">
        <f>setrules!J145&amp;IF(setrules!K145="","",",-"&amp;setrules!K145)</f>
        <v/>
      </c>
      <c r="E94" t="str">
        <f>setrules!L145&amp;IF(setrules!M145="","",",-"&amp;setrules!M145)</f>
        <v/>
      </c>
      <c r="F94" t="str">
        <f>setrules!B145</f>
        <v>IMAMD_ALL</v>
      </c>
    </row>
    <row r="95" spans="1:6" x14ac:dyDescent="0.25">
      <c r="A95" t="str">
        <f>setrules!D146&amp;IF(setrules!E146="","",",-"&amp;setrules!E146)</f>
        <v/>
      </c>
      <c r="B95" t="str">
        <f>setrules!F146&amp;IF(setrules!G146="","",",-"&amp;setrules!G146)&amp;IF(setrules!P146="","",",-"&amp;setrules!P146)</f>
        <v>IMAEMDRELC</v>
      </c>
      <c r="C95" t="str">
        <f>setrules!H146&amp;IF(setrules!I146="","",",-"&amp;setrules!I146)</f>
        <v/>
      </c>
      <c r="D95" t="str">
        <f>setrules!J146&amp;IF(setrules!K146="","",",-"&amp;setrules!K146)</f>
        <v/>
      </c>
      <c r="E95" t="str">
        <f>setrules!L146&amp;IF(setrules!M146="","",",-"&amp;setrules!M146)</f>
        <v/>
      </c>
      <c r="F95" t="str">
        <f>setrules!B146</f>
        <v>IMAMD_ELC</v>
      </c>
    </row>
    <row r="96" spans="1:6" x14ac:dyDescent="0.25">
      <c r="A96" t="str">
        <f>setrules!D147&amp;IF(setrules!E147="","",",-"&amp;setrules!E147)</f>
        <v/>
      </c>
      <c r="B96" t="str">
        <f>setrules!F147&amp;IF(setrules!G147="","",",-"&amp;setrules!G147)&amp;IF(setrules!P147="","",",-"&amp;setrules!P147)</f>
        <v>IMAEMDRNGA</v>
      </c>
      <c r="C96" t="str">
        <f>setrules!H147&amp;IF(setrules!I147="","",",-"&amp;setrules!I147)</f>
        <v/>
      </c>
      <c r="D96" t="str">
        <f>setrules!J147&amp;IF(setrules!K147="","",",-"&amp;setrules!K147)</f>
        <v/>
      </c>
      <c r="E96" t="str">
        <f>setrules!L147&amp;IF(setrules!M147="","",",-"&amp;setrules!M147)</f>
        <v/>
      </c>
      <c r="F96" t="str">
        <f>setrules!B147</f>
        <v>IMAMD_NGA</v>
      </c>
    </row>
    <row r="97" spans="1:6" x14ac:dyDescent="0.25">
      <c r="A97" t="str">
        <f>setrules!D148&amp;IF(setrules!E148="","",",-"&amp;setrules!E148)</f>
        <v/>
      </c>
      <c r="B97" t="str">
        <f>setrules!F148&amp;IF(setrules!G148="","",",-"&amp;setrules!G148)&amp;IF(setrules!P148="","",",-"&amp;setrules!P148)</f>
        <v>IMAEOHTPTC</v>
      </c>
      <c r="C97" t="str">
        <f>setrules!H148&amp;IF(setrules!I148="","",",-"&amp;setrules!I148)</f>
        <v/>
      </c>
      <c r="D97" t="str">
        <f>setrules!J148&amp;IF(setrules!K148="","",",-"&amp;setrules!K148)</f>
        <v/>
      </c>
      <c r="E97" t="str">
        <f>setrules!L148&amp;IF(setrules!M148="","",",-"&amp;setrules!M148)</f>
        <v/>
      </c>
      <c r="F97" t="str">
        <f>setrules!B148</f>
        <v>IMAOH_PTC</v>
      </c>
    </row>
    <row r="98" spans="1:6" x14ac:dyDescent="0.25">
      <c r="A98" t="str">
        <f>setrules!D149&amp;IF(setrules!E149="","",",-"&amp;setrules!E149)</f>
        <v/>
      </c>
      <c r="B98" t="str">
        <f>setrules!F149&amp;IF(setrules!G149="","",",-"&amp;setrules!G149)&amp;IF(setrules!P149="","",",-"&amp;setrules!P149)</f>
        <v>IMAEPRH*</v>
      </c>
      <c r="C98" t="str">
        <f>setrules!H149&amp;IF(setrules!I149="","",",-"&amp;setrules!I149)</f>
        <v/>
      </c>
      <c r="D98" t="str">
        <f>setrules!J149&amp;IF(setrules!K149="","",",-"&amp;setrules!K149)</f>
        <v/>
      </c>
      <c r="E98" t="str">
        <f>setrules!L149&amp;IF(setrules!M149="","",",-"&amp;setrules!M149)</f>
        <v/>
      </c>
      <c r="F98" t="str">
        <f>setrules!B149</f>
        <v>IMAPH_ALL</v>
      </c>
    </row>
    <row r="99" spans="1:6" x14ac:dyDescent="0.25">
      <c r="B99" t="s">
        <v>2682</v>
      </c>
      <c r="F99" t="s">
        <v>1651</v>
      </c>
    </row>
    <row r="100" spans="1:6" x14ac:dyDescent="0.25">
      <c r="A100" t="str">
        <f>setrules!D151&amp;IF(setrules!E151="","",",-"&amp;setrules!E151)</f>
        <v/>
      </c>
      <c r="B100" t="str">
        <f>setrules!F151&amp;IF(setrules!G151="","",",-"&amp;setrules!G151)&amp;IF(setrules!P151="","",",-"&amp;setrules!P151)</f>
        <v>IFP*ELC*</v>
      </c>
      <c r="C100" t="str">
        <f>setrules!H151&amp;IF(setrules!I151="","",",-"&amp;setrules!I151)</f>
        <v/>
      </c>
      <c r="D100" t="str">
        <f>setrules!J151&amp;IF(setrules!K151="","",",-"&amp;setrules!K151)</f>
        <v/>
      </c>
      <c r="E100" t="str">
        <f>setrules!L151&amp;IF(setrules!M151="","",",-"&amp;setrules!M151)</f>
        <v/>
      </c>
      <c r="F100" t="str">
        <f>setrules!B151</f>
        <v>IFP_ELC</v>
      </c>
    </row>
    <row r="101" spans="1:6" x14ac:dyDescent="0.25">
      <c r="A101" t="str">
        <f>setrules!D152&amp;IF(setrules!E152="","",",-"&amp;setrules!E152)</f>
        <v/>
      </c>
      <c r="B101" t="str">
        <f>setrules!F152&amp;IF(setrules!G152="","",",-"&amp;setrules!G152)&amp;IF(setrules!P152="","",",-"&amp;setrules!P152)</f>
        <v>IFOHBIO*</v>
      </c>
      <c r="C101" t="str">
        <f>setrules!H152&amp;IF(setrules!I152="","",",-"&amp;setrules!I152)</f>
        <v/>
      </c>
      <c r="D101" t="str">
        <f>setrules!J152&amp;IF(setrules!K152="","",",-"&amp;setrules!K152)</f>
        <v/>
      </c>
      <c r="E101" t="str">
        <f>setrules!L152&amp;IF(setrules!M152="","",",-"&amp;setrules!M152)</f>
        <v/>
      </c>
      <c r="F101" t="str">
        <f>setrules!B152</f>
        <v>IFOH_BIO</v>
      </c>
    </row>
    <row r="102" spans="1:6" x14ac:dyDescent="0.25">
      <c r="A102" t="str">
        <f>setrules!D153&amp;IF(setrules!E153="","",",-"&amp;setrules!E153)</f>
        <v/>
      </c>
      <c r="B102" t="str">
        <f>setrules!F153&amp;IF(setrules!G153="","",",-"&amp;setrules!G153)&amp;IF(setrules!P153="","",",-"&amp;setrules!P153)</f>
        <v>IFOHCOA*</v>
      </c>
      <c r="C102" t="str">
        <f>setrules!H153&amp;IF(setrules!I153="","",",-"&amp;setrules!I153)</f>
        <v/>
      </c>
      <c r="D102" t="str">
        <f>setrules!J153&amp;IF(setrules!K153="","",",-"&amp;setrules!K153)</f>
        <v/>
      </c>
      <c r="E102" t="str">
        <f>setrules!L153&amp;IF(setrules!M153="","",",-"&amp;setrules!M153)</f>
        <v/>
      </c>
      <c r="F102" t="str">
        <f>setrules!B153</f>
        <v>IFOH_COA</v>
      </c>
    </row>
    <row r="103" spans="1:6" x14ac:dyDescent="0.25">
      <c r="A103" t="str">
        <f>setrules!D154&amp;IF(setrules!E154="","",",-"&amp;setrules!E154)</f>
        <v/>
      </c>
      <c r="B103" t="str">
        <f>setrules!F154&amp;IF(setrules!G154="","",",-"&amp;setrules!G154)&amp;IF(setrules!P154="","",",-"&amp;setrules!P154)</f>
        <v>IFOHELC*</v>
      </c>
      <c r="C103" t="str">
        <f>setrules!H154&amp;IF(setrules!I154="","",",-"&amp;setrules!I154)</f>
        <v/>
      </c>
      <c r="D103" t="str">
        <f>setrules!J154&amp;IF(setrules!K154="","",",-"&amp;setrules!K154)</f>
        <v/>
      </c>
      <c r="E103" t="str">
        <f>setrules!L154&amp;IF(setrules!M154="","",",-"&amp;setrules!M154)</f>
        <v/>
      </c>
      <c r="F103" t="str">
        <f>setrules!B154</f>
        <v>IFOH_ELC</v>
      </c>
    </row>
    <row r="104" spans="1:6" x14ac:dyDescent="0.25">
      <c r="A104" t="str">
        <f>setrules!D155&amp;IF(setrules!E155="","",",-"&amp;setrules!E155)</f>
        <v/>
      </c>
      <c r="B104" t="str">
        <f>setrules!F155&amp;IF(setrules!G155="","",",-"&amp;setrules!G155)&amp;IF(setrules!P155="","",",-"&amp;setrules!P155)</f>
        <v>IFOHLPG*</v>
      </c>
      <c r="C104" t="str">
        <f>setrules!H155&amp;IF(setrules!I155="","",",-"&amp;setrules!I155)</f>
        <v/>
      </c>
      <c r="D104" t="str">
        <f>setrules!J155&amp;IF(setrules!K155="","",",-"&amp;setrules!K155)</f>
        <v/>
      </c>
      <c r="E104" t="str">
        <f>setrules!L155&amp;IF(setrules!M155="","",",-"&amp;setrules!M155)</f>
        <v/>
      </c>
      <c r="F104" t="str">
        <f>setrules!B155</f>
        <v>IFOH_LPG</v>
      </c>
    </row>
    <row r="105" spans="1:6" x14ac:dyDescent="0.25">
      <c r="A105" t="str">
        <f>setrules!D156&amp;IF(setrules!E156="","",",-"&amp;setrules!E156)</f>
        <v/>
      </c>
      <c r="B105" t="str">
        <f>setrules!F156&amp;IF(setrules!G156="","",",-"&amp;setrules!G156)&amp;IF(setrules!P156="","",",-"&amp;setrules!P156)</f>
        <v>IFOH*NGA*</v>
      </c>
      <c r="C105" t="str">
        <f>setrules!H156&amp;IF(setrules!I156="","",",-"&amp;setrules!I156)</f>
        <v/>
      </c>
      <c r="D105" t="str">
        <f>setrules!J156&amp;IF(setrules!K156="","",",-"&amp;setrules!K156)</f>
        <v/>
      </c>
      <c r="E105" t="str">
        <f>setrules!L156&amp;IF(setrules!M156="","",",-"&amp;setrules!M156)</f>
        <v/>
      </c>
      <c r="F105" t="str">
        <f>setrules!B156</f>
        <v>IFOH_NGA</v>
      </c>
    </row>
    <row r="106" spans="1:6" x14ac:dyDescent="0.25">
      <c r="A106" t="str">
        <f>setrules!D157&amp;IF(setrules!E157="","",",-"&amp;setrules!E157)</f>
        <v/>
      </c>
      <c r="B106" t="str">
        <f>setrules!F157&amp;IF(setrules!G157="","",",-"&amp;setrules!G157)&amp;IF(setrules!P157="","",",-"&amp;setrules!P157)</f>
        <v>*IFOHSTM*</v>
      </c>
      <c r="C106" t="str">
        <f>setrules!H157&amp;IF(setrules!I157="","",",-"&amp;setrules!I157)</f>
        <v/>
      </c>
      <c r="D106" t="str">
        <f>setrules!J157&amp;IF(setrules!K157="","",",-"&amp;setrules!K157)</f>
        <v/>
      </c>
      <c r="E106" t="str">
        <f>setrules!L157&amp;IF(setrules!M157="","",",-"&amp;setrules!M157)</f>
        <v/>
      </c>
      <c r="F106" t="str">
        <f>setrules!B157</f>
        <v>IFOH_STM</v>
      </c>
    </row>
    <row r="107" spans="1:6" x14ac:dyDescent="0.25">
      <c r="A107" t="str">
        <f>setrules!D158&amp;IF(setrules!E158="","",",-"&amp;setrules!E158)</f>
        <v/>
      </c>
      <c r="B107" t="str">
        <f>setrules!F158&amp;IF(setrules!G158="","",",-"&amp;setrules!G158)&amp;IF(setrules!P158="","",",-"&amp;setrules!P158)</f>
        <v>IFP*</v>
      </c>
      <c r="C107" t="str">
        <f>setrules!H158&amp;IF(setrules!I158="","",",-"&amp;setrules!I158)</f>
        <v/>
      </c>
      <c r="D107" t="str">
        <f>setrules!J158&amp;IF(setrules!K158="","",",-"&amp;setrules!K158)</f>
        <v/>
      </c>
      <c r="E107" t="str">
        <f>setrules!L158&amp;IF(setrules!M158="","",",-"&amp;setrules!M158)</f>
        <v/>
      </c>
      <c r="F107" t="str">
        <f>setrules!B158</f>
        <v>IFP_ALL</v>
      </c>
    </row>
    <row r="108" spans="1:6" x14ac:dyDescent="0.25">
      <c r="A108" t="str">
        <f>setrules!D159&amp;IF(setrules!E159="","",",-"&amp;setrules!E159)</f>
        <v/>
      </c>
      <c r="B108" t="str">
        <f>setrules!F159&amp;IF(setrules!G159="","",",-"&amp;setrules!G159)&amp;IF(setrules!P159="","",",-"&amp;setrules!P159)</f>
        <v>IFB*STM</v>
      </c>
      <c r="C108" t="str">
        <f>setrules!H159&amp;IF(setrules!I159="","",",-"&amp;setrules!I159)</f>
        <v/>
      </c>
      <c r="D108" t="str">
        <f>setrules!J159&amp;IF(setrules!K159="","",",-"&amp;setrules!K159)</f>
        <v/>
      </c>
      <c r="E108" t="str">
        <f>setrules!L159&amp;IF(setrules!M159="","",",-"&amp;setrules!M159)</f>
        <v/>
      </c>
      <c r="F108" t="str">
        <f>setrules!B159</f>
        <v>IFS_FSTM</v>
      </c>
    </row>
    <row r="109" spans="1:6" x14ac:dyDescent="0.25">
      <c r="A109" t="str">
        <f>setrules!D160&amp;IF(setrules!E160="","",",-"&amp;setrules!E160)</f>
        <v/>
      </c>
      <c r="B109" t="str">
        <f>setrules!F160&amp;IF(setrules!G160="","",",-"&amp;setrules!G160)&amp;IF(setrules!P160="","",",-"&amp;setrules!P160)</f>
        <v>IFP*DST*</v>
      </c>
      <c r="C109" t="str">
        <f>setrules!H160&amp;IF(setrules!I160="","",",-"&amp;setrules!I160)</f>
        <v/>
      </c>
      <c r="D109" t="str">
        <f>setrules!J160&amp;IF(setrules!K160="","",",-"&amp;setrules!K160)</f>
        <v/>
      </c>
      <c r="E109" t="str">
        <f>setrules!L160&amp;IF(setrules!M160="","",",-"&amp;setrules!M160)</f>
        <v/>
      </c>
      <c r="F109" t="str">
        <f>setrules!B160</f>
        <v>IFP_DST</v>
      </c>
    </row>
    <row r="110" spans="1:6" x14ac:dyDescent="0.25">
      <c r="A110" t="str">
        <f>setrules!D161&amp;IF(setrules!E161="","",",-"&amp;setrules!E161)</f>
        <v/>
      </c>
      <c r="B110" t="str">
        <f>setrules!F161&amp;IF(setrules!G161="","",",-"&amp;setrules!G161)&amp;IF(setrules!P161="","",",-"&amp;setrules!P161)</f>
        <v>IFB*ELC*</v>
      </c>
      <c r="C110" t="str">
        <f>setrules!H161&amp;IF(setrules!I161="","",",-"&amp;setrules!I161)</f>
        <v/>
      </c>
      <c r="D110" t="str">
        <f>setrules!J161&amp;IF(setrules!K161="","",",-"&amp;setrules!K161)</f>
        <v/>
      </c>
      <c r="E110" t="str">
        <f>setrules!L161&amp;IF(setrules!M161="","",",-"&amp;setrules!M161)</f>
        <v/>
      </c>
      <c r="F110" t="str">
        <f>setrules!B161</f>
        <v>IFS_ELC</v>
      </c>
    </row>
    <row r="111" spans="1:6" x14ac:dyDescent="0.25">
      <c r="A111" t="str">
        <f>setrules!D162&amp;IF(setrules!E162="","",",-"&amp;setrules!E162)</f>
        <v/>
      </c>
      <c r="B111" t="str">
        <f>setrules!F162&amp;IF(setrules!G162="","",",-"&amp;setrules!G162)&amp;IF(setrules!P162="","",",-"&amp;setrules!P162)</f>
        <v>IFP*LPG*</v>
      </c>
      <c r="C111" t="str">
        <f>setrules!H162&amp;IF(setrules!I162="","",",-"&amp;setrules!I162)</f>
        <v/>
      </c>
      <c r="D111" t="str">
        <f>setrules!J162&amp;IF(setrules!K162="","",",-"&amp;setrules!K162)</f>
        <v/>
      </c>
      <c r="E111" t="str">
        <f>setrules!L162&amp;IF(setrules!M162="","",",-"&amp;setrules!M162)</f>
        <v/>
      </c>
      <c r="F111" t="str">
        <f>setrules!B162</f>
        <v>IFP_LPG</v>
      </c>
    </row>
    <row r="112" spans="1:6" x14ac:dyDescent="0.25">
      <c r="A112" t="str">
        <f>setrules!D163&amp;IF(setrules!E163="","",",-"&amp;setrules!E163)</f>
        <v/>
      </c>
      <c r="B112" t="str">
        <f>setrules!F163&amp;IF(setrules!G163="","",",-"&amp;setrules!G163)&amp;IF(setrules!P163="","",",-"&amp;setrules!P163)</f>
        <v>IFP*NGA*</v>
      </c>
      <c r="C112" t="str">
        <f>setrules!H163&amp;IF(setrules!I163="","",",-"&amp;setrules!I163)</f>
        <v/>
      </c>
      <c r="D112" t="str">
        <f>setrules!J163&amp;IF(setrules!K163="","",",-"&amp;setrules!K163)</f>
        <v/>
      </c>
      <c r="E112" t="str">
        <f>setrules!L163&amp;IF(setrules!M163="","",",-"&amp;setrules!M163)</f>
        <v/>
      </c>
      <c r="F112" t="str">
        <f>setrules!B163</f>
        <v>IFP_NGA</v>
      </c>
    </row>
    <row r="113" spans="1:6" x14ac:dyDescent="0.25">
      <c r="A113" t="str">
        <f>setrules!D164&amp;IF(setrules!E164="","",",-"&amp;setrules!E164)</f>
        <v/>
      </c>
      <c r="B113" t="str">
        <f>setrules!F164&amp;IF(setrules!G164="","",",-"&amp;setrules!G164)&amp;IF(setrules!P164="","",",-"&amp;setrules!P164)</f>
        <v>IFP*RFL*</v>
      </c>
      <c r="C113" t="str">
        <f>setrules!H164&amp;IF(setrules!I164="","",",-"&amp;setrules!I164)</f>
        <v/>
      </c>
      <c r="D113" t="str">
        <f>setrules!J164&amp;IF(setrules!K164="","",",-"&amp;setrules!K164)</f>
        <v/>
      </c>
      <c r="E113" t="str">
        <f>setrules!L164&amp;IF(setrules!M164="","",",-"&amp;setrules!M164)</f>
        <v/>
      </c>
      <c r="F113" t="str">
        <f>setrules!B164</f>
        <v>IFP_RFL</v>
      </c>
    </row>
    <row r="114" spans="1:6" x14ac:dyDescent="0.25">
      <c r="A114" t="str">
        <f>setrules!D165&amp;IF(setrules!E165="","",",-"&amp;setrules!E165)</f>
        <v/>
      </c>
      <c r="B114" t="str">
        <f>setrules!F165&amp;IF(setrules!G165="","",",-"&amp;setrules!G165)&amp;IF(setrules!P165="","",",-"&amp;setrules!P165)</f>
        <v>IFB*</v>
      </c>
      <c r="C114" t="str">
        <f>setrules!H165&amp;IF(setrules!I165="","",",-"&amp;setrules!I165)</f>
        <v/>
      </c>
      <c r="D114" t="str">
        <f>setrules!J165&amp;IF(setrules!K165="","",",-"&amp;setrules!K165)</f>
        <v/>
      </c>
      <c r="E114" t="str">
        <f>setrules!L165&amp;IF(setrules!M165="","",",-"&amp;setrules!M165)</f>
        <v/>
      </c>
      <c r="F114" t="str">
        <f>setrules!B165</f>
        <v>IFS_ALL</v>
      </c>
    </row>
    <row r="115" spans="1:6" x14ac:dyDescent="0.25">
      <c r="A115" t="str">
        <f>setrules!D166&amp;IF(setrules!E166="","",",-"&amp;setrules!E166)</f>
        <v/>
      </c>
      <c r="B115" t="str">
        <f>setrules!F166&amp;IF(setrules!G166="","",",-"&amp;setrules!G166)&amp;IF(setrules!P166="","",",-"&amp;setrules!P166)</f>
        <v>IF*STM*</v>
      </c>
      <c r="C115" t="str">
        <f>setrules!H166&amp;IF(setrules!I166="","",",-"&amp;setrules!I166)</f>
        <v/>
      </c>
      <c r="D115" t="str">
        <f>setrules!J166&amp;IF(setrules!K166="","",",-"&amp;setrules!K166)</f>
        <v/>
      </c>
      <c r="E115" t="str">
        <f>setrules!L166&amp;IF(setrules!M166="","",",-"&amp;setrules!M166)</f>
        <v/>
      </c>
      <c r="F115" t="str">
        <f>setrules!B166</f>
        <v>IFS_CHP</v>
      </c>
    </row>
    <row r="116" spans="1:6" x14ac:dyDescent="0.25">
      <c r="A116" t="str">
        <f>setrules!D167&amp;IF(setrules!E167="","",",-"&amp;setrules!E167)</f>
        <v/>
      </c>
      <c r="B116" t="str">
        <f>setrules!F167&amp;IF(setrules!G167="","",",-"&amp;setrules!G167)&amp;IF(setrules!P167="","",",-"&amp;setrules!P167)</f>
        <v>IFB*COA*</v>
      </c>
      <c r="C116" t="str">
        <f>setrules!H167&amp;IF(setrules!I167="","",",-"&amp;setrules!I167)</f>
        <v/>
      </c>
      <c r="D116" t="str">
        <f>setrules!J167&amp;IF(setrules!K167="","",",-"&amp;setrules!K167)</f>
        <v/>
      </c>
      <c r="E116" t="str">
        <f>setrules!L167&amp;IF(setrules!M167="","",",-"&amp;setrules!M167)</f>
        <v/>
      </c>
      <c r="F116" t="str">
        <f>setrules!B167</f>
        <v>IFS_COA</v>
      </c>
    </row>
    <row r="117" spans="1:6" x14ac:dyDescent="0.25">
      <c r="A117" t="str">
        <f>setrules!D168&amp;IF(setrules!E168="","",",-"&amp;setrules!E168)</f>
        <v/>
      </c>
      <c r="B117" t="str">
        <f>setrules!F168&amp;IF(setrules!G168="","",",-"&amp;setrules!G168)&amp;IF(setrules!P168="","",",-"&amp;setrules!P168)</f>
        <v>IMAEPRHELC</v>
      </c>
      <c r="C117" t="str">
        <f>setrules!H168&amp;IF(setrules!I168="","",",-"&amp;setrules!I168)</f>
        <v/>
      </c>
      <c r="D117" t="str">
        <f>setrules!J168&amp;IF(setrules!K168="","",",-"&amp;setrules!K168)</f>
        <v/>
      </c>
      <c r="E117" t="str">
        <f>setrules!L168&amp;IF(setrules!M168="","",",-"&amp;setrules!M168)</f>
        <v/>
      </c>
      <c r="F117" t="str">
        <f>setrules!B168</f>
        <v>IMAPH_ELC</v>
      </c>
    </row>
    <row r="118" spans="1:6" x14ac:dyDescent="0.25">
      <c r="A118" t="str">
        <f>setrules!D169&amp;IF(setrules!E169="","",",-"&amp;setrules!E169)</f>
        <v/>
      </c>
      <c r="B118" t="str">
        <f>setrules!F169&amp;IF(setrules!G169="","",",-"&amp;setrules!G169)&amp;IF(setrules!P169="","",",-"&amp;setrules!P169)</f>
        <v>IFP*COA*</v>
      </c>
      <c r="C118" t="str">
        <f>setrules!H169&amp;IF(setrules!I169="","",",-"&amp;setrules!I169)</f>
        <v/>
      </c>
      <c r="D118" t="str">
        <f>setrules!J169&amp;IF(setrules!K169="","",",-"&amp;setrules!K169)</f>
        <v/>
      </c>
      <c r="E118" t="str">
        <f>setrules!L169&amp;IF(setrules!M169="","",",-"&amp;setrules!M169)</f>
        <v/>
      </c>
      <c r="F118" t="str">
        <f>setrules!B169</f>
        <v>IFP_COA</v>
      </c>
    </row>
    <row r="119" spans="1:6" x14ac:dyDescent="0.25">
      <c r="A119" t="str">
        <f>setrules!D170&amp;IF(setrules!E170="","",",-"&amp;setrules!E170)</f>
        <v/>
      </c>
      <c r="B119" t="str">
        <f>setrules!F170&amp;IF(setrules!G170="","",",-"&amp;setrules!G170)&amp;IF(setrules!P170="","",",-"&amp;setrules!P170)</f>
        <v>IMOH*OTH*</v>
      </c>
      <c r="C119" t="str">
        <f>setrules!H170&amp;IF(setrules!I170="","",",-"&amp;setrules!I170)</f>
        <v/>
      </c>
      <c r="D119" t="str">
        <f>setrules!J170&amp;IF(setrules!K170="","",",-"&amp;setrules!K170)</f>
        <v/>
      </c>
      <c r="E119" t="str">
        <f>setrules!L170&amp;IF(setrules!M170="","",",-"&amp;setrules!M170)</f>
        <v/>
      </c>
      <c r="F119" t="str">
        <f>setrules!B170</f>
        <v>IMOH_OTH</v>
      </c>
    </row>
    <row r="120" spans="1:6" x14ac:dyDescent="0.25">
      <c r="A120" t="str">
        <f>setrules!D171&amp;IF(setrules!E171="","",",-"&amp;setrules!E171)</f>
        <v/>
      </c>
      <c r="B120" t="str">
        <f>setrules!F171&amp;IF(setrules!G171="","",",-"&amp;setrules!G171)&amp;IF(setrules!P171="","",",-"&amp;setrules!P171)</f>
        <v>TSDSL*</v>
      </c>
      <c r="C120" t="str">
        <f>setrules!H171&amp;IF(setrules!I171="","",",-"&amp;setrules!I171)</f>
        <v/>
      </c>
      <c r="D120" t="str">
        <f>setrules!J171&amp;IF(setrules!K171="","",",-"&amp;setrules!K171)</f>
        <v/>
      </c>
      <c r="E120" t="str">
        <f>setrules!L171&amp;IF(setrules!M171="","",",-"&amp;setrules!M171)</f>
        <v/>
      </c>
      <c r="F120" t="str">
        <f>setrules!B171</f>
        <v>TS-DSL</v>
      </c>
    </row>
    <row r="121" spans="1:6" x14ac:dyDescent="0.25">
      <c r="A121" t="str">
        <f>setrules!D172&amp;IF(setrules!E172="","",",-"&amp;setrules!E172)</f>
        <v>DMD</v>
      </c>
      <c r="B121" t="str">
        <f>setrules!F172&amp;IF(setrules!G172="","",",-"&amp;setrules!G172)&amp;IF(setrules!P172="","",",-"&amp;setrules!P172)</f>
        <v>Z*</v>
      </c>
      <c r="C121" t="str">
        <f>setrules!H172&amp;IF(setrules!I172="","",",-"&amp;setrules!I172)</f>
        <v/>
      </c>
      <c r="D121" t="str">
        <f>setrules!J172&amp;IF(setrules!K172="","",",-"&amp;setrules!K172)</f>
        <v/>
      </c>
      <c r="E121" t="str">
        <f>setrules!L172&amp;IF(setrules!M172="","",",-"&amp;setrules!M172)</f>
        <v/>
      </c>
      <c r="F121" t="str">
        <f>setrules!B172</f>
        <v>ZTECH_ALL</v>
      </c>
    </row>
    <row r="122" spans="1:6" x14ac:dyDescent="0.25">
      <c r="A122" t="str">
        <f>setrules!D173&amp;IF(setrules!E173="","",",-"&amp;setrules!E173)</f>
        <v>SRCENCP</v>
      </c>
      <c r="B122" t="str">
        <f>setrules!F173&amp;IF(setrules!G173="","",",-"&amp;setrules!G173)&amp;IF(setrules!P173="","",",-"&amp;setrules!P173)</f>
        <v>Z*</v>
      </c>
      <c r="C122" t="str">
        <f>setrules!H173&amp;IF(setrules!I173="","",",-"&amp;setrules!I173)</f>
        <v/>
      </c>
      <c r="D122" t="str">
        <f>setrules!J173&amp;IF(setrules!K173="","",",-"&amp;setrules!K173)</f>
        <v/>
      </c>
      <c r="E122" t="str">
        <f>setrules!L173&amp;IF(setrules!M173="","",",-"&amp;setrules!M173)</f>
        <v/>
      </c>
      <c r="F122" t="str">
        <f>setrules!B173</f>
        <v>ZZ_ENC_ALL</v>
      </c>
    </row>
    <row r="123" spans="1:6" x14ac:dyDescent="0.25">
      <c r="A123" t="str">
        <f>setrules!D174&amp;IF(setrules!E174="","",",-"&amp;setrules!E174)</f>
        <v/>
      </c>
      <c r="B123" t="str">
        <f>setrules!F174&amp;IF(setrules!G174="","",",-"&amp;setrules!G174)&amp;IF(setrules!P174="","",",-"&amp;setrules!P174)</f>
        <v>ZZ*</v>
      </c>
      <c r="C123" t="str">
        <f>setrules!H174&amp;IF(setrules!I174="","",",-"&amp;setrules!I174)</f>
        <v/>
      </c>
      <c r="D123" t="str">
        <f>setrules!J174&amp;IF(setrules!K174="","",",-"&amp;setrules!K174)</f>
        <v/>
      </c>
      <c r="E123" t="str">
        <f>setrules!L174&amp;IF(setrules!M174="","",",-"&amp;setrules!M174)</f>
        <v/>
      </c>
      <c r="F123" t="str">
        <f>setrules!B174</f>
        <v>ZZDMY</v>
      </c>
    </row>
    <row r="124" spans="1:6" x14ac:dyDescent="0.25">
      <c r="A124" t="str">
        <f>setrules!D175&amp;IF(setrules!E175="","",",-"&amp;setrules!E175)</f>
        <v/>
      </c>
      <c r="B124" t="str">
        <f>setrules!F175&amp;IF(setrules!G175="","",",-"&amp;setrules!G175)&amp;IF(setrules!P175="","",",-"&amp;setrules!P175)</f>
        <v>IMOH*ELC*</v>
      </c>
      <c r="C124" t="str">
        <f>setrules!H175&amp;IF(setrules!I175="","",",-"&amp;setrules!I175)</f>
        <v/>
      </c>
      <c r="D124" t="str">
        <f>setrules!J175&amp;IF(setrules!K175="","",",-"&amp;setrules!K175)</f>
        <v/>
      </c>
      <c r="E124" t="str">
        <f>setrules!L175&amp;IF(setrules!M175="","",",-"&amp;setrules!M175)</f>
        <v/>
      </c>
      <c r="F124" t="str">
        <f>setrules!B175</f>
        <v>IMOH_ELC</v>
      </c>
    </row>
    <row r="125" spans="1:6" x14ac:dyDescent="0.25">
      <c r="A125" t="str">
        <f>setrules!D176&amp;IF(setrules!E176="","",",-"&amp;setrules!E176)</f>
        <v/>
      </c>
      <c r="B125" t="str">
        <f>setrules!F176&amp;IF(setrules!G176="","",",-"&amp;setrules!G176)&amp;IF(setrules!P176="","",",-"&amp;setrules!P176)</f>
        <v>IMOHLPG*</v>
      </c>
      <c r="C125" t="str">
        <f>setrules!H176&amp;IF(setrules!I176="","",",-"&amp;setrules!I176)</f>
        <v/>
      </c>
      <c r="D125" t="str">
        <f>setrules!J176&amp;IF(setrules!K176="","",",-"&amp;setrules!K176)</f>
        <v/>
      </c>
      <c r="E125" t="str">
        <f>setrules!L176&amp;IF(setrules!M176="","",",-"&amp;setrules!M176)</f>
        <v/>
      </c>
      <c r="F125" t="str">
        <f>setrules!B176</f>
        <v>IMOH_LPG</v>
      </c>
    </row>
    <row r="126" spans="1:6" x14ac:dyDescent="0.25">
      <c r="A126" t="str">
        <f>setrules!D177&amp;IF(setrules!E177="","",",-"&amp;setrules!E177)</f>
        <v/>
      </c>
      <c r="B126" t="str">
        <f>setrules!F177&amp;IF(setrules!G177="","",",-"&amp;setrules!G177)&amp;IF(setrules!P177="","",",-"&amp;setrules!P177)</f>
        <v>IMO*BIO,IMO*B*WOD,IMO*B*TOM,IMOEOHTBIO,-IMO*BSTBIO,-IMO*BSTWOD,-IMO*BSTTOM,-,-IMOEFEDBIO,-</v>
      </c>
      <c r="C126" t="str">
        <f>setrules!H177&amp;IF(setrules!I177="","",",-"&amp;setrules!I177)</f>
        <v/>
      </c>
      <c r="D126" t="str">
        <f>setrules!J177&amp;IF(setrules!K177="","",",-"&amp;setrules!K177)</f>
        <v/>
      </c>
      <c r="E126" t="str">
        <f>setrules!L177&amp;IF(setrules!M177="","",",-"&amp;setrules!M177)</f>
        <v/>
      </c>
      <c r="F126" t="str">
        <f>setrules!B177</f>
        <v>IMOOH_BIO</v>
      </c>
    </row>
    <row r="127" spans="1:6" x14ac:dyDescent="0.25">
      <c r="A127" t="str">
        <f>setrules!D178&amp;IF(setrules!E178="","",",-"&amp;setrules!E178)</f>
        <v/>
      </c>
      <c r="B127" t="str">
        <f>setrules!F178&amp;IF(setrules!G178="","",",-"&amp;setrules!G178)&amp;IF(setrules!P178="","",",-"&amp;setrules!P178)</f>
        <v>IMOH*NGA*</v>
      </c>
      <c r="C127" t="str">
        <f>setrules!H178&amp;IF(setrules!I178="","",",-"&amp;setrules!I178)</f>
        <v/>
      </c>
      <c r="D127" t="str">
        <f>setrules!J178&amp;IF(setrules!K178="","",",-"&amp;setrules!K178)</f>
        <v/>
      </c>
      <c r="E127" t="str">
        <f>setrules!L178&amp;IF(setrules!M178="","",",-"&amp;setrules!M178)</f>
        <v/>
      </c>
      <c r="F127" t="str">
        <f>setrules!B178</f>
        <v>IMOH_NGA</v>
      </c>
    </row>
    <row r="128" spans="1:6" x14ac:dyDescent="0.25">
      <c r="A128" t="str">
        <f>setrules!D179&amp;IF(setrules!E179="","",",-"&amp;setrules!E179)</f>
        <v/>
      </c>
      <c r="B128" t="str">
        <f>setrules!F179&amp;IF(setrules!G179="","",",-"&amp;setrules!G179)&amp;IF(setrules!P179="","",",-"&amp;setrules!P179)</f>
        <v>TP*SUB</v>
      </c>
      <c r="C128" t="str">
        <f>setrules!H179&amp;IF(setrules!I179="","",",-"&amp;setrules!I179)</f>
        <v/>
      </c>
      <c r="D128" t="str">
        <f>setrules!J179&amp;IF(setrules!K179="","",",-"&amp;setrules!K179)</f>
        <v/>
      </c>
      <c r="E128" t="str">
        <f>setrules!L179&amp;IF(setrules!M179="","",",-"&amp;setrules!M179)</f>
        <v>TRP</v>
      </c>
      <c r="F128" t="str">
        <f>setrules!B179</f>
        <v>TRP-PT</v>
      </c>
    </row>
    <row r="129" spans="1:6" x14ac:dyDescent="0.25">
      <c r="A129" t="str">
        <f>setrules!D180&amp;IF(setrules!E180="","",",-"&amp;setrules!E180)</f>
        <v/>
      </c>
      <c r="B129" t="str">
        <f>setrules!F180&amp;IF(setrules!G180="","",",-"&amp;setrules!G180)&amp;IF(setrules!P180="","",",-"&amp;setrules!P180)</f>
        <v>IMOH*PTC*</v>
      </c>
      <c r="C129" t="str">
        <f>setrules!H180&amp;IF(setrules!I180="","",",-"&amp;setrules!I180)</f>
        <v/>
      </c>
      <c r="D129" t="str">
        <f>setrules!J180&amp;IF(setrules!K180="","",",-"&amp;setrules!K180)</f>
        <v/>
      </c>
      <c r="E129" t="str">
        <f>setrules!L180&amp;IF(setrules!M180="","",",-"&amp;setrules!M180)</f>
        <v/>
      </c>
      <c r="F129" t="str">
        <f>setrules!B180</f>
        <v>IMOH_PTC</v>
      </c>
    </row>
    <row r="130" spans="1:6" x14ac:dyDescent="0.25">
      <c r="A130" t="str">
        <f>setrules!D181&amp;IF(setrules!E181="","",",-"&amp;setrules!E181)</f>
        <v/>
      </c>
      <c r="B130" t="str">
        <f>setrules!F181&amp;IF(setrules!G181="","",",-"&amp;setrules!G181)&amp;IF(setrules!P181="","",",-"&amp;setrules!P181)</f>
        <v>IMOHRFL*</v>
      </c>
      <c r="C130" t="str">
        <f>setrules!H181&amp;IF(setrules!I181="","",",-"&amp;setrules!I181)</f>
        <v/>
      </c>
      <c r="D130" t="str">
        <f>setrules!J181&amp;IF(setrules!K181="","",",-"&amp;setrules!K181)</f>
        <v/>
      </c>
      <c r="E130" t="str">
        <f>setrules!L181&amp;IF(setrules!M181="","",",-"&amp;setrules!M181)</f>
        <v/>
      </c>
      <c r="F130" t="str">
        <f>setrules!B181</f>
        <v>IMOH_RFL</v>
      </c>
    </row>
    <row r="131" spans="1:6" x14ac:dyDescent="0.25">
      <c r="A131" t="str">
        <f>setrules!D182&amp;IF(setrules!E182="","",",-"&amp;setrules!E182)</f>
        <v/>
      </c>
      <c r="B131" t="str">
        <f>setrules!F182&amp;IF(setrules!G182="","",",-"&amp;setrules!G182)&amp;IF(setrules!P182="","",",-"&amp;setrules!P182)</f>
        <v>IMOEMDR*</v>
      </c>
      <c r="C131" t="str">
        <f>setrules!H182&amp;IF(setrules!I182="","",",-"&amp;setrules!I182)</f>
        <v/>
      </c>
      <c r="D131" t="str">
        <f>setrules!J182&amp;IF(setrules!K182="","",",-"&amp;setrules!K182)</f>
        <v/>
      </c>
      <c r="E131" t="str">
        <f>setrules!L182&amp;IF(setrules!M182="","",",-"&amp;setrules!M182)</f>
        <v/>
      </c>
      <c r="F131" t="str">
        <f>setrules!B182</f>
        <v>IMOMD_ALL</v>
      </c>
    </row>
    <row r="132" spans="1:6" x14ac:dyDescent="0.25">
      <c r="A132" t="str">
        <f>setrules!D183&amp;IF(setrules!E183="","",",-"&amp;setrules!E183)</f>
        <v/>
      </c>
      <c r="B132" t="str">
        <f>setrules!F183&amp;IF(setrules!G183="","",",-"&amp;setrules!G183)&amp;IF(setrules!P183="","",",-"&amp;setrules!P183)</f>
        <v>IMOEMDRDST</v>
      </c>
      <c r="C132" t="str">
        <f>setrules!H183&amp;IF(setrules!I183="","",",-"&amp;setrules!I183)</f>
        <v/>
      </c>
      <c r="D132" t="str">
        <f>setrules!J183&amp;IF(setrules!K183="","",",-"&amp;setrules!K183)</f>
        <v/>
      </c>
      <c r="E132" t="str">
        <f>setrules!L183&amp;IF(setrules!M183="","",",-"&amp;setrules!M183)</f>
        <v/>
      </c>
      <c r="F132" t="str">
        <f>setrules!B183</f>
        <v>IMOMD_DST</v>
      </c>
    </row>
    <row r="133" spans="1:6" x14ac:dyDescent="0.25">
      <c r="A133" t="str">
        <f>setrules!D184&amp;IF(setrules!E184="","",",-"&amp;setrules!E184)</f>
        <v/>
      </c>
      <c r="B133" t="str">
        <f>setrules!F184&amp;IF(setrules!G184="","",",-"&amp;setrules!G184)&amp;IF(setrules!P184="","",",-"&amp;setrules!P184)</f>
        <v>IMOEMDRELC</v>
      </c>
      <c r="C133" t="str">
        <f>setrules!H184&amp;IF(setrules!I184="","",",-"&amp;setrules!I184)</f>
        <v/>
      </c>
      <c r="D133" t="str">
        <f>setrules!J184&amp;IF(setrules!K184="","",",-"&amp;setrules!K184)</f>
        <v/>
      </c>
      <c r="E133" t="str">
        <f>setrules!L184&amp;IF(setrules!M184="","",",-"&amp;setrules!M184)</f>
        <v/>
      </c>
      <c r="F133" t="str">
        <f>setrules!B184</f>
        <v>IMOMD_ELC</v>
      </c>
    </row>
    <row r="134" spans="1:6" x14ac:dyDescent="0.25">
      <c r="A134" t="str">
        <f>setrules!D185&amp;IF(setrules!E185="","",",-"&amp;setrules!E185)</f>
        <v/>
      </c>
      <c r="B134" t="str">
        <f>setrules!F185&amp;IF(setrules!G185="","",",-"&amp;setrules!G185)&amp;IF(setrules!P185="","",",-"&amp;setrules!P185)</f>
        <v>IMOEMDRNGA</v>
      </c>
      <c r="C134" t="str">
        <f>setrules!H185&amp;IF(setrules!I185="","",",-"&amp;setrules!I185)</f>
        <v/>
      </c>
      <c r="D134" t="str">
        <f>setrules!J185&amp;IF(setrules!K185="","",",-"&amp;setrules!K185)</f>
        <v/>
      </c>
      <c r="E134" t="str">
        <f>setrules!L185&amp;IF(setrules!M185="","",",-"&amp;setrules!M185)</f>
        <v/>
      </c>
      <c r="F134" t="str">
        <f>setrules!B185</f>
        <v>IMOMD_NGA</v>
      </c>
    </row>
    <row r="135" spans="1:6" x14ac:dyDescent="0.25">
      <c r="A135" t="str">
        <f>setrules!D186&amp;IF(setrules!E186="","",",-"&amp;setrules!E186)</f>
        <v/>
      </c>
      <c r="B135" t="str">
        <f>setrules!F186&amp;IF(setrules!G186="","",",-"&amp;setrules!G186)&amp;IF(setrules!P186="","",",-"&amp;setrules!P186)</f>
        <v>TODSL</v>
      </c>
      <c r="C135" t="str">
        <f>setrules!H186&amp;IF(setrules!I186="","",",-"&amp;setrules!I186)</f>
        <v/>
      </c>
      <c r="D135" t="str">
        <f>setrules!J186&amp;IF(setrules!K186="","",",-"&amp;setrules!K186)</f>
        <v/>
      </c>
      <c r="E135" t="str">
        <f>setrules!L186&amp;IF(setrules!M186="","",",-"&amp;setrules!M186)</f>
        <v/>
      </c>
      <c r="F135" t="str">
        <f>setrules!B186</f>
        <v>TO-DSL</v>
      </c>
    </row>
    <row r="136" spans="1:6" x14ac:dyDescent="0.25">
      <c r="A136" t="str">
        <f>setrules!D187&amp;IF(setrules!E187="","",",-"&amp;setrules!E187)</f>
        <v/>
      </c>
      <c r="B136" t="str">
        <f>setrules!F187&amp;IF(setrules!G187="","",",-"&amp;setrules!G187)&amp;IF(setrules!P187="","",",-"&amp;setrules!P187)</f>
        <v>IMOHMET*</v>
      </c>
      <c r="C136" t="str">
        <f>setrules!H187&amp;IF(setrules!I187="","",",-"&amp;setrules!I187)</f>
        <v/>
      </c>
      <c r="D136" t="str">
        <f>setrules!J187&amp;IF(setrules!K187="","",",-"&amp;setrules!K187)</f>
        <v/>
      </c>
      <c r="E136" t="str">
        <f>setrules!L187&amp;IF(setrules!M187="","",",-"&amp;setrules!M187)</f>
        <v/>
      </c>
      <c r="F136" t="str">
        <f>setrules!B187</f>
        <v>IMOH_MET</v>
      </c>
    </row>
    <row r="137" spans="1:6" x14ac:dyDescent="0.25">
      <c r="A137" t="str">
        <f>setrules!D188&amp;IF(setrules!E188="","",",-"&amp;setrules!E188)</f>
        <v/>
      </c>
      <c r="B137" t="str">
        <f>setrules!F188&amp;IF(setrules!G188="","",",-"&amp;setrules!G188)&amp;IF(setrules!P188="","",",-"&amp;setrules!P188)</f>
        <v>T*</v>
      </c>
      <c r="C137" t="str">
        <f>setrules!H188&amp;IF(setrules!I188="","",",-"&amp;setrules!I188)</f>
        <v/>
      </c>
      <c r="D137" t="str">
        <f>setrules!J188&amp;IF(setrules!K188="","",",-"&amp;setrules!K188)</f>
        <v>T*RFH*</v>
      </c>
      <c r="E137" t="str">
        <f>setrules!L188&amp;IF(setrules!M188="","",",-"&amp;setrules!M188)</f>
        <v/>
      </c>
      <c r="F137" t="str">
        <f>setrules!B188</f>
        <v>TRH_ALL</v>
      </c>
    </row>
    <row r="138" spans="1:6" x14ac:dyDescent="0.25">
      <c r="A138" t="str">
        <f>setrules!D189&amp;IF(setrules!E189="","",",-"&amp;setrules!E189)</f>
        <v/>
      </c>
      <c r="B138" t="str">
        <f>setrules!F189&amp;IF(setrules!G189="","",",-"&amp;setrules!G189)&amp;IF(setrules!P189="","",",-"&amp;setrules!P189)</f>
        <v>T*</v>
      </c>
      <c r="C138" t="str">
        <f>setrules!H189&amp;IF(setrules!I189="","",",-"&amp;setrules!I189)</f>
        <v/>
      </c>
      <c r="D138" t="str">
        <f>setrules!J189&amp;IF(setrules!K189="","",",-"&amp;setrules!K189)</f>
        <v>T*GSL*</v>
      </c>
      <c r="E138" t="str">
        <f>setrules!L189&amp;IF(setrules!M189="","",",-"&amp;setrules!M189)</f>
        <v/>
      </c>
      <c r="F138" t="str">
        <f>setrules!B189</f>
        <v>TGSL_ALL</v>
      </c>
    </row>
    <row r="139" spans="1:6" x14ac:dyDescent="0.25">
      <c r="A139" t="str">
        <f>setrules!D190&amp;IF(setrules!E190="","",",-"&amp;setrules!E190)</f>
        <v/>
      </c>
      <c r="B139" t="str">
        <f>setrules!F190&amp;IF(setrules!G190="","",",-"&amp;setrules!G190)&amp;IF(setrules!P190="","",",-"&amp;setrules!P190)</f>
        <v>TP*</v>
      </c>
      <c r="C139" t="str">
        <f>setrules!H190&amp;IF(setrules!I190="","",",-"&amp;setrules!I190)</f>
        <v/>
      </c>
      <c r="D139" t="str">
        <f>setrules!J190&amp;IF(setrules!K190="","",",-"&amp;setrules!K190)</f>
        <v>TRNELC</v>
      </c>
      <c r="E139" t="str">
        <f>setrules!L190&amp;IF(setrules!M190="","",",-"&amp;setrules!M190)</f>
        <v/>
      </c>
      <c r="F139" t="str">
        <f>setrules!B190</f>
        <v>TP-ELC</v>
      </c>
    </row>
    <row r="140" spans="1:6" x14ac:dyDescent="0.25">
      <c r="A140" t="str">
        <f>setrules!D191&amp;IF(setrules!E191="","",",-"&amp;setrules!E191)</f>
        <v/>
      </c>
      <c r="B140" t="str">
        <f>setrules!F191&amp;IF(setrules!G191="","",",-"&amp;setrules!G191)&amp;IF(setrules!P191="","",",-"&amp;setrules!P191)</f>
        <v>TRD_GSR*</v>
      </c>
      <c r="C140" t="str">
        <f>setrules!H191&amp;IF(setrules!I191="","",",-"&amp;setrules!I191)</f>
        <v/>
      </c>
      <c r="D140" t="str">
        <f>setrules!J191&amp;IF(setrules!K191="","",",-"&amp;setrules!K191)</f>
        <v/>
      </c>
      <c r="E140" t="str">
        <f>setrules!L191&amp;IF(setrules!M191="","",",-"&amp;setrules!M191)</f>
        <v/>
      </c>
      <c r="F140" t="str">
        <f>setrules!B191</f>
        <v>TRADE_GSR</v>
      </c>
    </row>
    <row r="141" spans="1:6" x14ac:dyDescent="0.25">
      <c r="A141" t="str">
        <f>setrules!D192&amp;IF(setrules!E192="","",",-"&amp;setrules!E192)</f>
        <v/>
      </c>
      <c r="B141" t="str">
        <f>setrules!F192&amp;IF(setrules!G192="","",",-"&amp;setrules!G192)&amp;IF(setrules!P192="","",",-"&amp;setrules!P192)</f>
        <v>TRD*</v>
      </c>
      <c r="C141" t="str">
        <f>setrules!H192&amp;IF(setrules!I192="","",",-"&amp;setrules!I192)</f>
        <v/>
      </c>
      <c r="D141" t="str">
        <f>setrules!J192&amp;IF(setrules!K192="","",",-"&amp;setrules!K192)</f>
        <v/>
      </c>
      <c r="E141" t="str">
        <f>setrules!L192&amp;IF(setrules!M192="","",",-"&amp;setrules!M192)</f>
        <v/>
      </c>
      <c r="F141" t="str">
        <f>setrules!B192</f>
        <v>TRADES</v>
      </c>
    </row>
    <row r="142" spans="1:6" x14ac:dyDescent="0.25">
      <c r="A142" t="str">
        <f>setrules!D193&amp;IF(setrules!E193="","",",-"&amp;setrules!E193)</f>
        <v/>
      </c>
      <c r="B142" t="str">
        <f>setrules!F193&amp;IF(setrules!G193="","",",-"&amp;setrules!G193)&amp;IF(setrules!P193="","",",-"&amp;setrules!P193)</f>
        <v>TRD_NG*</v>
      </c>
      <c r="C142" t="str">
        <f>setrules!H193&amp;IF(setrules!I193="","",",-"&amp;setrules!I193)</f>
        <v/>
      </c>
      <c r="D142" t="str">
        <f>setrules!J193&amp;IF(setrules!K193="","",",-"&amp;setrules!K193)</f>
        <v/>
      </c>
      <c r="E142" t="str">
        <f>setrules!L193&amp;IF(setrules!M193="","",",-"&amp;setrules!M193)</f>
        <v/>
      </c>
      <c r="F142" t="str">
        <f>setrules!B193</f>
        <v>TRD_NGA_R2</v>
      </c>
    </row>
    <row r="143" spans="1:6" x14ac:dyDescent="0.25">
      <c r="A143" t="str">
        <f>setrules!D194&amp;IF(setrules!E194="","",",-"&amp;setrules!E194)</f>
        <v/>
      </c>
      <c r="B143" t="str">
        <f>setrules!F194&amp;IF(setrules!G194="","",",-"&amp;setrules!G194)&amp;IF(setrules!P194="","",",-"&amp;setrules!P194)</f>
        <v>TRD_OIL*</v>
      </c>
      <c r="C143" t="str">
        <f>setrules!H194&amp;IF(setrules!I194="","",",-"&amp;setrules!I194)</f>
        <v/>
      </c>
      <c r="D143" t="str">
        <f>setrules!J194&amp;IF(setrules!K194="","",",-"&amp;setrules!K194)</f>
        <v/>
      </c>
      <c r="E143" t="str">
        <f>setrules!L194&amp;IF(setrules!M194="","",",-"&amp;setrules!M194)</f>
        <v/>
      </c>
      <c r="F143" t="str">
        <f>setrules!B194</f>
        <v>TRD_OIL</v>
      </c>
    </row>
    <row r="144" spans="1:6" x14ac:dyDescent="0.25">
      <c r="A144" t="str">
        <f>setrules!D195&amp;IF(setrules!E195="","",",-"&amp;setrules!E195)</f>
        <v/>
      </c>
      <c r="B144" t="str">
        <f>setrules!F195&amp;IF(setrules!G195="","",",-"&amp;setrules!G195)&amp;IF(setrules!P195="","",",-"&amp;setrules!P195)</f>
        <v/>
      </c>
      <c r="C144" t="str">
        <f>setrules!H195&amp;IF(setrules!I195="","",",-"&amp;setrules!I195)</f>
        <v/>
      </c>
      <c r="D144" t="str">
        <f>setrules!J195&amp;IF(setrules!K195="","",",-"&amp;setrules!K195)</f>
        <v>TRDSL</v>
      </c>
      <c r="E144" t="str">
        <f>setrules!L195&amp;IF(setrules!M195="","",",-"&amp;setrules!M195)</f>
        <v/>
      </c>
      <c r="F144" t="str">
        <f>setrules!B195</f>
        <v>TR-DSL</v>
      </c>
    </row>
    <row r="145" spans="1:6" x14ac:dyDescent="0.25">
      <c r="A145" t="str">
        <f>setrules!D196&amp;IF(setrules!E196="","",",-"&amp;setrules!E196)</f>
        <v/>
      </c>
      <c r="B145" t="str">
        <f>setrules!F196&amp;IF(setrules!G196="","",",-"&amp;setrules!G196)&amp;IF(setrules!P196="","",",-"&amp;setrules!P196)</f>
        <v>TSDSH*</v>
      </c>
      <c r="C145" t="str">
        <f>setrules!H196&amp;IF(setrules!I196="","",",-"&amp;setrules!I196)</f>
        <v/>
      </c>
      <c r="D145" t="str">
        <f>setrules!J196&amp;IF(setrules!K196="","",",-"&amp;setrules!K196)</f>
        <v/>
      </c>
      <c r="E145" t="str">
        <f>setrules!L196&amp;IF(setrules!M196="","",",-"&amp;setrules!M196)</f>
        <v/>
      </c>
      <c r="F145" t="str">
        <f>setrules!B196</f>
        <v>TS-DSH</v>
      </c>
    </row>
    <row r="146" spans="1:6" x14ac:dyDescent="0.25">
      <c r="A146" t="str">
        <f>setrules!D197&amp;IF(setrules!E197="","",",-"&amp;setrules!E197)</f>
        <v/>
      </c>
      <c r="B146" t="str">
        <f>setrules!F197&amp;IF(setrules!G197="","",",-"&amp;setrules!G197)&amp;IF(setrules!P197="","",",-"&amp;setrules!P197)</f>
        <v>TRFB*</v>
      </c>
      <c r="C146" t="str">
        <f>setrules!H197&amp;IF(setrules!I197="","",",-"&amp;setrules!I197)</f>
        <v/>
      </c>
      <c r="D146" t="str">
        <f>setrules!J197&amp;IF(setrules!K197="","",",-"&amp;setrules!K197)</f>
        <v/>
      </c>
      <c r="E146" t="str">
        <f>setrules!L197&amp;IF(setrules!M197="","",",-"&amp;setrules!M197)</f>
        <v/>
      </c>
      <c r="F146" t="str">
        <f>setrules!B197</f>
        <v>TRF-B20</v>
      </c>
    </row>
    <row r="147" spans="1:6" x14ac:dyDescent="0.25">
      <c r="A147" t="str">
        <f>setrules!D198&amp;IF(setrules!E198="","",",-"&amp;setrules!E198)</f>
        <v/>
      </c>
      <c r="B147" t="str">
        <f>setrules!F198&amp;IF(setrules!G198="","",",-"&amp;setrules!G198)&amp;IF(setrules!P198="","",",-"&amp;setrules!P198)</f>
        <v>TS*</v>
      </c>
      <c r="C147" t="str">
        <f>setrules!H198&amp;IF(setrules!I198="","",",-"&amp;setrules!I198)</f>
        <v/>
      </c>
      <c r="D147" t="str">
        <f>setrules!J198&amp;IF(setrules!K198="","",",-"&amp;setrules!K198)</f>
        <v/>
      </c>
      <c r="E147" t="str">
        <f>setrules!L198&amp;IF(setrules!M198="","",",-"&amp;setrules!M198)</f>
        <v/>
      </c>
      <c r="F147" t="str">
        <f>setrules!B198</f>
        <v>TS-ALL</v>
      </c>
    </row>
    <row r="148" spans="1:6" x14ac:dyDescent="0.25">
      <c r="A148" t="str">
        <f>setrules!D199&amp;IF(setrules!E199="","",",-"&amp;setrules!E199)</f>
        <v/>
      </c>
      <c r="B148" t="str">
        <f>setrules!F199&amp;IF(setrules!G199="","",",-"&amp;setrules!G199)&amp;IF(setrules!P199="","",",-"&amp;setrules!P199)</f>
        <v/>
      </c>
      <c r="C148" t="str">
        <f>setrules!H199&amp;IF(setrules!I199="","",",-"&amp;setrules!I199)</f>
        <v/>
      </c>
      <c r="D148" t="str">
        <f>setrules!J199&amp;IF(setrules!K199="","",",-"&amp;setrules!K199)</f>
        <v/>
      </c>
      <c r="E148" t="str">
        <f>setrules!L199&amp;IF(setrules!M199="","",",-"&amp;setrules!M199)</f>
        <v>TRP</v>
      </c>
      <c r="F148" t="str">
        <f>setrules!B199</f>
        <v>TRP-ALL</v>
      </c>
    </row>
    <row r="149" spans="1:6" x14ac:dyDescent="0.25">
      <c r="A149" t="str">
        <f>setrules!D200&amp;IF(setrules!E200="","",",-"&amp;setrules!E200)</f>
        <v/>
      </c>
      <c r="B149" t="str">
        <f>setrules!F200&amp;IF(setrules!G200="","",",-"&amp;setrules!G200)&amp;IF(setrules!P200="","",",-"&amp;setrules!P200)</f>
        <v/>
      </c>
      <c r="C149" t="str">
        <f>setrules!H200&amp;IF(setrules!I200="","",",-"&amp;setrules!I200)</f>
        <v>COMMUTER RAIL*</v>
      </c>
      <c r="D149" t="str">
        <f>setrules!J200&amp;IF(setrules!K200="","",",-"&amp;setrules!K200)</f>
        <v/>
      </c>
      <c r="E149" t="str">
        <f>setrules!L200&amp;IF(setrules!M200="","",",-"&amp;setrules!M200)</f>
        <v/>
      </c>
      <c r="F149" t="str">
        <f>setrules!B200</f>
        <v>TRPCR</v>
      </c>
    </row>
    <row r="150" spans="1:6" x14ac:dyDescent="0.25">
      <c r="A150" t="str">
        <f>setrules!D201&amp;IF(setrules!E201="","",",-"&amp;setrules!E201)</f>
        <v/>
      </c>
      <c r="B150" t="str">
        <f>setrules!F201&amp;IF(setrules!G201="","",",-"&amp;setrules!G201)&amp;IF(setrules!P201="","",",-"&amp;setrules!P201)</f>
        <v/>
      </c>
      <c r="C150" t="str">
        <f>setrules!H201&amp;IF(setrules!I201="","",",-"&amp;setrules!I201)</f>
        <v>Commuter Rail*</v>
      </c>
      <c r="D150" t="str">
        <f>setrules!J201&amp;IF(setrules!K201="","",",-"&amp;setrules!K201)</f>
        <v/>
      </c>
      <c r="E150" t="str">
        <f>setrules!L201&amp;IF(setrules!M201="","",",-"&amp;setrules!M201)</f>
        <v/>
      </c>
      <c r="F150" t="str">
        <f>setrules!B201</f>
        <v>TRP-CR</v>
      </c>
    </row>
    <row r="151" spans="1:6" x14ac:dyDescent="0.25">
      <c r="A151" t="str">
        <f>setrules!D202&amp;IF(setrules!E202="","",",-"&amp;setrules!E202)</f>
        <v/>
      </c>
      <c r="B151" t="str">
        <f>setrules!F202&amp;IF(setrules!G202="","",",-"&amp;setrules!G202)&amp;IF(setrules!P202="","",",-"&amp;setrules!P202)</f>
        <v>*DSL*</v>
      </c>
      <c r="C151" t="str">
        <f>setrules!H202&amp;IF(setrules!I202="","",",-"&amp;setrules!I202)</f>
        <v>*Commuter*</v>
      </c>
      <c r="D151" t="str">
        <f>setrules!J202&amp;IF(setrules!K202="","",",-"&amp;setrules!K202)</f>
        <v/>
      </c>
      <c r="E151" t="str">
        <f>setrules!L202&amp;IF(setrules!M202="","",",-"&amp;setrules!M202)</f>
        <v>TRP</v>
      </c>
      <c r="F151" t="str">
        <f>setrules!B202</f>
        <v>TRP-DSL</v>
      </c>
    </row>
    <row r="152" spans="1:6" x14ac:dyDescent="0.25">
      <c r="A152" t="str">
        <f>setrules!D203&amp;IF(setrules!E203="","",",-"&amp;setrules!E203)</f>
        <v/>
      </c>
      <c r="B152" t="str">
        <f>setrules!F203&amp;IF(setrules!G203="","",",-"&amp;setrules!G203)&amp;IF(setrules!P203="","",",-"&amp;setrules!P203)</f>
        <v/>
      </c>
      <c r="C152" t="str">
        <f>setrules!H203&amp;IF(setrules!I203="","",",-"&amp;setrules!I203)</f>
        <v>*commuter*</v>
      </c>
      <c r="D152" t="str">
        <f>setrules!J203&amp;IF(setrules!K203="","",",-"&amp;setrules!K203)</f>
        <v>TRNELC</v>
      </c>
      <c r="E152" t="str">
        <f>setrules!L203&amp;IF(setrules!M203="","",",-"&amp;setrules!M203)</f>
        <v>TRP</v>
      </c>
      <c r="F152" t="str">
        <f>setrules!B203</f>
        <v>TRP-ELC</v>
      </c>
    </row>
    <row r="153" spans="1:6" x14ac:dyDescent="0.25">
      <c r="A153" t="str">
        <f>setrules!D204&amp;IF(setrules!E204="","",",-"&amp;setrules!E204)</f>
        <v/>
      </c>
      <c r="B153" t="str">
        <f>setrules!F204&amp;IF(setrules!G204="","",",-"&amp;setrules!G204)&amp;IF(setrules!P204="","",",-"&amp;setrules!P204)</f>
        <v/>
      </c>
      <c r="C153" t="str">
        <f>setrules!H204&amp;IF(setrules!I204="","",",-"&amp;setrules!I204)</f>
        <v>*intercity*</v>
      </c>
      <c r="D153" t="str">
        <f>setrules!J204&amp;IF(setrules!K204="","",",-"&amp;setrules!K204)</f>
        <v/>
      </c>
      <c r="E153" t="str">
        <f>setrules!L204&amp;IF(setrules!M204="","",",-"&amp;setrules!M204)</f>
        <v>TRP</v>
      </c>
      <c r="F153" t="str">
        <f>setrules!B204</f>
        <v>TRP-IR</v>
      </c>
    </row>
    <row r="154" spans="1:6" x14ac:dyDescent="0.25">
      <c r="A154" t="str">
        <f>setrules!D205&amp;IF(setrules!E205="","",",-"&amp;setrules!E205)</f>
        <v/>
      </c>
      <c r="B154" t="str">
        <f>setrules!F205&amp;IF(setrules!G205="","",",-"&amp;setrules!G205)&amp;IF(setrules!P205="","",",-"&amp;setrules!P205)</f>
        <v>IMOEOHTCOA</v>
      </c>
      <c r="C154" t="str">
        <f>setrules!H205&amp;IF(setrules!I205="","",",-"&amp;setrules!I205)</f>
        <v/>
      </c>
      <c r="D154" t="str">
        <f>setrules!J205&amp;IF(setrules!K205="","",",-"&amp;setrules!K205)</f>
        <v/>
      </c>
      <c r="E154" t="str">
        <f>setrules!L205&amp;IF(setrules!M205="","",",-"&amp;setrules!M205)</f>
        <v/>
      </c>
      <c r="F154" t="str">
        <f>setrules!B205</f>
        <v>IMOOH_COA</v>
      </c>
    </row>
    <row r="155" spans="1:6" x14ac:dyDescent="0.25">
      <c r="A155" t="str">
        <f>setrules!D206&amp;IF(setrules!E206="","",",-"&amp;setrules!E206)</f>
        <v/>
      </c>
      <c r="B155" t="str">
        <f>setrules!F206&amp;IF(setrules!G206="","",",-"&amp;setrules!G206)&amp;IF(setrules!P206="","",",-"&amp;setrules!P206)</f>
        <v>TRF*</v>
      </c>
      <c r="C155" t="str">
        <f>setrules!H206&amp;IF(setrules!I206="","",",-"&amp;setrules!I206)</f>
        <v/>
      </c>
      <c r="D155" t="str">
        <f>setrules!J206&amp;IF(setrules!K206="","",",-"&amp;setrules!K206)</f>
        <v/>
      </c>
      <c r="E155" t="str">
        <f>setrules!L206&amp;IF(setrules!M206="","",",-"&amp;setrules!M206)</f>
        <v/>
      </c>
      <c r="F155" t="str">
        <f>setrules!B206</f>
        <v>TRF-ALL</v>
      </c>
    </row>
    <row r="156" spans="1:6" x14ac:dyDescent="0.25">
      <c r="A156" t="str">
        <f>setrules!D207&amp;IF(setrules!E207="","",",-"&amp;setrules!E207)</f>
        <v/>
      </c>
      <c r="B156" t="str">
        <f>setrules!F207&amp;IF(setrules!G207="","",",-"&amp;setrules!G207)&amp;IF(setrules!P207="","",",-"&amp;setrules!P207)</f>
        <v>IMB*NGA*</v>
      </c>
      <c r="C156" t="str">
        <f>setrules!H207&amp;IF(setrules!I207="","",",-"&amp;setrules!I207)</f>
        <v/>
      </c>
      <c r="D156" t="str">
        <f>setrules!J207&amp;IF(setrules!K207="","",",-"&amp;setrules!K207)</f>
        <v/>
      </c>
      <c r="E156" t="str">
        <f>setrules!L207&amp;IF(setrules!M207="","",",-"&amp;setrules!M207)</f>
        <v/>
      </c>
      <c r="F156" t="str">
        <f>setrules!B207</f>
        <v>IMS_NGA</v>
      </c>
    </row>
    <row r="157" spans="1:6" x14ac:dyDescent="0.25">
      <c r="A157" t="str">
        <f>setrules!D208&amp;IF(setrules!E208="","",",-"&amp;setrules!E208)</f>
        <v>SEP_IMP</v>
      </c>
      <c r="B157" t="str">
        <f>setrules!F208&amp;IF(setrules!G208="","",",-"&amp;setrules!G208)&amp;IF(setrules!P208="","",",-"&amp;setrules!P208)</f>
        <v>IMP*LPG*</v>
      </c>
      <c r="C157" t="str">
        <f>setrules!H208&amp;IF(setrules!I208="","",",-"&amp;setrules!I208)</f>
        <v/>
      </c>
      <c r="D157" t="str">
        <f>setrules!J208&amp;IF(setrules!K208="","",",-"&amp;setrules!K208)</f>
        <v/>
      </c>
      <c r="E157" t="str">
        <f>setrules!L208&amp;IF(setrules!M208="","",",-"&amp;setrules!M208)</f>
        <v/>
      </c>
      <c r="F157" t="str">
        <f>setrules!B208</f>
        <v>IMP_LPG</v>
      </c>
    </row>
    <row r="158" spans="1:6" x14ac:dyDescent="0.25">
      <c r="A158" t="str">
        <f>setrules!D209&amp;IF(setrules!E209="","",",-"&amp;setrules!E209)</f>
        <v>SEP_IMP</v>
      </c>
      <c r="B158" t="str">
        <f>setrules!F209&amp;IF(setrules!G209="","",",-"&amp;setrules!G209)&amp;IF(setrules!P209="","",",-"&amp;setrules!P209)</f>
        <v>IMP*NGA*</v>
      </c>
      <c r="C158" t="str">
        <f>setrules!H209&amp;IF(setrules!I209="","",",-"&amp;setrules!I209)</f>
        <v/>
      </c>
      <c r="D158" t="str">
        <f>setrules!J209&amp;IF(setrules!K209="","",",-"&amp;setrules!K209)</f>
        <v/>
      </c>
      <c r="E158" t="str">
        <f>setrules!L209&amp;IF(setrules!M209="","",",-"&amp;setrules!M209)</f>
        <v/>
      </c>
      <c r="F158" t="str">
        <f>setrules!B209</f>
        <v>IMP_NGA</v>
      </c>
    </row>
    <row r="159" spans="1:6" x14ac:dyDescent="0.25">
      <c r="A159" t="str">
        <f>setrules!D210&amp;IF(setrules!E210="","",",-"&amp;setrules!E210)</f>
        <v>SEP_IMP</v>
      </c>
      <c r="B159" t="str">
        <f>setrules!F210&amp;IF(setrules!G210="","",",-"&amp;setrules!G210)&amp;IF(setrules!P210="","",",-"&amp;setrules!P210)</f>
        <v>IMP*RFL*</v>
      </c>
      <c r="C159" t="str">
        <f>setrules!H210&amp;IF(setrules!I210="","",",-"&amp;setrules!I210)</f>
        <v/>
      </c>
      <c r="D159" t="str">
        <f>setrules!J210&amp;IF(setrules!K210="","",",-"&amp;setrules!K210)</f>
        <v/>
      </c>
      <c r="E159" t="str">
        <f>setrules!L210&amp;IF(setrules!M210="","",",-"&amp;setrules!M210)</f>
        <v/>
      </c>
      <c r="F159" t="str">
        <f>setrules!B210</f>
        <v>IMP_RFL</v>
      </c>
    </row>
    <row r="160" spans="1:6" x14ac:dyDescent="0.25">
      <c r="A160" t="str">
        <f>setrules!D211&amp;IF(setrules!E211="","",",-"&amp;setrules!E211)</f>
        <v/>
      </c>
      <c r="B160" t="str">
        <f>setrules!F211&amp;IF(setrules!G211="","",",-"&amp;setrules!G211)&amp;IF(setrules!P211="","",",-"&amp;setrules!P211)</f>
        <v>IMP*,-,-IMPDEMZ,-IMPMATZ,-IMPNRGZ,-IMPNURN1,-IMPNURN2,-IMPNURN3,-</v>
      </c>
      <c r="C160" t="str">
        <f>setrules!H211&amp;IF(setrules!I211="","",",-"&amp;setrules!I211)</f>
        <v/>
      </c>
      <c r="D160" t="str">
        <f>setrules!J211&amp;IF(setrules!K211="","",",-"&amp;setrules!K211)</f>
        <v/>
      </c>
      <c r="E160" t="str">
        <f>setrules!L211&amp;IF(setrules!M211="","",",-"&amp;setrules!M211)</f>
        <v/>
      </c>
      <c r="F160" t="str">
        <f>setrules!B211</f>
        <v>IMPORTED FUELS</v>
      </c>
    </row>
    <row r="161" spans="1:6" x14ac:dyDescent="0.25">
      <c r="A161" t="str">
        <f>setrules!D212&amp;IF(setrules!E212="","",",-"&amp;setrules!E212)</f>
        <v/>
      </c>
      <c r="B161" t="str">
        <f>setrules!F212&amp;IF(setrules!G212="","",",-"&amp;setrules!G212)&amp;IF(setrules!P212="","",",-"&amp;setrules!P212)</f>
        <v>IMB*</v>
      </c>
      <c r="C161" t="str">
        <f>setrules!H212&amp;IF(setrules!I212="","",",-"&amp;setrules!I212)</f>
        <v/>
      </c>
      <c r="D161" t="str">
        <f>setrules!J212&amp;IF(setrules!K212="","",",-"&amp;setrules!K212)</f>
        <v/>
      </c>
      <c r="E161" t="str">
        <f>setrules!L212&amp;IF(setrules!M212="","",",-"&amp;setrules!M212)</f>
        <v/>
      </c>
      <c r="F161" t="str">
        <f>setrules!B212</f>
        <v>IMS_ALL</v>
      </c>
    </row>
    <row r="162" spans="1:6" x14ac:dyDescent="0.25">
      <c r="A162" t="str">
        <f>setrules!D213&amp;IF(setrules!E213="","",",-"&amp;setrules!E213)</f>
        <v/>
      </c>
      <c r="B162" t="str">
        <f>setrules!F213&amp;IF(setrules!G213="","",",-"&amp;setrules!G213)&amp;IF(setrules!P213="","",",-"&amp;setrules!P213)</f>
        <v>IMB*COA*</v>
      </c>
      <c r="C162" t="str">
        <f>setrules!H213&amp;IF(setrules!I213="","",",-"&amp;setrules!I213)</f>
        <v/>
      </c>
      <c r="D162" t="str">
        <f>setrules!J213&amp;IF(setrules!K213="","",",-"&amp;setrules!K213)</f>
        <v/>
      </c>
      <c r="E162" t="str">
        <f>setrules!L213&amp;IF(setrules!M213="","",",-"&amp;setrules!M213)</f>
        <v/>
      </c>
      <c r="F162" t="str">
        <f>setrules!B213</f>
        <v>IMS_COA</v>
      </c>
    </row>
    <row r="163" spans="1:6" x14ac:dyDescent="0.25">
      <c r="A163" t="str">
        <f>setrules!D214&amp;IF(setrules!E214="","",",-"&amp;setrules!E214)</f>
        <v/>
      </c>
      <c r="B163" t="str">
        <f>setrules!F214&amp;IF(setrules!G214="","",",-"&amp;setrules!G214)&amp;IF(setrules!P214="","",",-"&amp;setrules!P214)</f>
        <v>IMO*B*BIO,IMO*B*WOD,IMO*B*TOM,IMOEOHT*,IMOOHTOSTM,-IMO*BST*</v>
      </c>
      <c r="C163" t="str">
        <f>setrules!H214&amp;IF(setrules!I214="","",",-"&amp;setrules!I214)</f>
        <v/>
      </c>
      <c r="D163" t="str">
        <f>setrules!J214&amp;IF(setrules!K214="","",",-"&amp;setrules!K214)</f>
        <v/>
      </c>
      <c r="E163" t="str">
        <f>setrules!L214&amp;IF(setrules!M214="","",",-"&amp;setrules!M214)</f>
        <v/>
      </c>
      <c r="F163" t="str">
        <f>setrules!B214</f>
        <v>IMOOH_ALL</v>
      </c>
    </row>
    <row r="164" spans="1:6" x14ac:dyDescent="0.25">
      <c r="A164" t="str">
        <f>setrules!D215&amp;IF(setrules!E215="","",",-"&amp;setrules!E215)</f>
        <v/>
      </c>
      <c r="B164" t="str">
        <f>setrules!F215&amp;IF(setrules!G215="","",",-"&amp;setrules!G215)&amp;IF(setrules!P215="","",",-"&amp;setrules!P215)</f>
        <v>IMB*FSTM*</v>
      </c>
      <c r="C164" t="str">
        <f>setrules!H215&amp;IF(setrules!I215="","",",-"&amp;setrules!I215)</f>
        <v/>
      </c>
      <c r="D164" t="str">
        <f>setrules!J215&amp;IF(setrules!K215="","",",-"&amp;setrules!K215)</f>
        <v/>
      </c>
      <c r="E164" t="str">
        <f>setrules!L215&amp;IF(setrules!M215="","",",-"&amp;setrules!M215)</f>
        <v/>
      </c>
      <c r="F164" t="str">
        <f>setrules!B215</f>
        <v>IMS_FSTM</v>
      </c>
    </row>
    <row r="165" spans="1:6" x14ac:dyDescent="0.25">
      <c r="A165" t="str">
        <f>setrules!D216&amp;IF(setrules!E216="","",",-"&amp;setrules!E216)</f>
        <v>SEP_IMP</v>
      </c>
      <c r="B165" t="str">
        <f>setrules!F216&amp;IF(setrules!G216="","",",-"&amp;setrules!G216)&amp;IF(setrules!P216="","",",-"&amp;setrules!P216)</f>
        <v>IMP*COA*</v>
      </c>
      <c r="C165" t="str">
        <f>setrules!H216&amp;IF(setrules!I216="","",",-"&amp;setrules!I216)</f>
        <v/>
      </c>
      <c r="D165" t="str">
        <f>setrules!J216&amp;IF(setrules!K216="","",",-"&amp;setrules!K216)</f>
        <v/>
      </c>
      <c r="E165" t="str">
        <f>setrules!L216&amp;IF(setrules!M216="","",",-"&amp;setrules!M216)</f>
        <v/>
      </c>
      <c r="F165" t="str">
        <f>setrules!B216</f>
        <v>IMP_COA</v>
      </c>
    </row>
    <row r="166" spans="1:6" x14ac:dyDescent="0.25">
      <c r="A166" t="str">
        <f>setrules!D217&amp;IF(setrules!E217="","",",-"&amp;setrules!E217)</f>
        <v/>
      </c>
      <c r="B166" t="str">
        <f>setrules!F217&amp;IF(setrules!G217="","",",-"&amp;setrules!G217)&amp;IF(setrules!P217="","",",-"&amp;setrules!P217)</f>
        <v>IMB*RFL*</v>
      </c>
      <c r="C166" t="str">
        <f>setrules!H217&amp;IF(setrules!I217="","",",-"&amp;setrules!I217)</f>
        <v/>
      </c>
      <c r="D166" t="str">
        <f>setrules!J217&amp;IF(setrules!K217="","",",-"&amp;setrules!K217)</f>
        <v/>
      </c>
      <c r="E166" t="str">
        <f>setrules!L217&amp;IF(setrules!M217="","",",-"&amp;setrules!M217)</f>
        <v/>
      </c>
      <c r="F166" t="str">
        <f>setrules!B217</f>
        <v>IMS_RFL</v>
      </c>
    </row>
    <row r="167" spans="1:6" x14ac:dyDescent="0.25">
      <c r="A167" t="str">
        <f>setrules!D218&amp;IF(setrules!E218="","",",-"&amp;setrules!E218)</f>
        <v/>
      </c>
      <c r="B167" t="str">
        <f>setrules!F218&amp;IF(setrules!G218="","",",-"&amp;setrules!G218)&amp;IF(setrules!P218="","",",-"&amp;setrules!P218)</f>
        <v>IMSEFAC*</v>
      </c>
      <c r="C167" t="str">
        <f>setrules!H218&amp;IF(setrules!I218="","",",-"&amp;setrules!I218)</f>
        <v/>
      </c>
      <c r="D167" t="str">
        <f>setrules!J218&amp;IF(setrules!K218="","",",-"&amp;setrules!K218)</f>
        <v/>
      </c>
      <c r="E167" t="str">
        <f>setrules!L218&amp;IF(setrules!M218="","",",-"&amp;setrules!M218)</f>
        <v/>
      </c>
      <c r="F167" t="str">
        <f>setrules!B218</f>
        <v>IMSFA_ALL</v>
      </c>
    </row>
    <row r="168" spans="1:6" x14ac:dyDescent="0.25">
      <c r="A168" t="str">
        <f>setrules!D219&amp;IF(setrules!E219="","",",-"&amp;setrules!E219)</f>
        <v/>
      </c>
      <c r="B168" t="str">
        <f>setrules!F219&amp;IF(setrules!G219="","",",-"&amp;setrules!G219)&amp;IF(setrules!P219="","",",-"&amp;setrules!P219)</f>
        <v>IMSEFACCOA</v>
      </c>
      <c r="C168" t="str">
        <f>setrules!H219&amp;IF(setrules!I219="","",",-"&amp;setrules!I219)</f>
        <v/>
      </c>
      <c r="D168" t="str">
        <f>setrules!J219&amp;IF(setrules!K219="","",",-"&amp;setrules!K219)</f>
        <v/>
      </c>
      <c r="E168" t="str">
        <f>setrules!L219&amp;IF(setrules!M219="","",",-"&amp;setrules!M219)</f>
        <v/>
      </c>
      <c r="F168" t="str">
        <f>setrules!B219</f>
        <v>IMSFA_COA</v>
      </c>
    </row>
    <row r="169" spans="1:6" x14ac:dyDescent="0.25">
      <c r="A169" t="str">
        <f>setrules!D220&amp;IF(setrules!E220="","",",-"&amp;setrules!E220)</f>
        <v/>
      </c>
      <c r="B169" t="str">
        <f>setrules!F220&amp;IF(setrules!G220="","",",-"&amp;setrules!G220)&amp;IF(setrules!P220="","",",-"&amp;setrules!P220)</f>
        <v>IMSEFACDST</v>
      </c>
      <c r="C169" t="str">
        <f>setrules!H220&amp;IF(setrules!I220="","",",-"&amp;setrules!I220)</f>
        <v/>
      </c>
      <c r="D169" t="str">
        <f>setrules!J220&amp;IF(setrules!K220="","",",-"&amp;setrules!K220)</f>
        <v/>
      </c>
      <c r="E169" t="str">
        <f>setrules!L220&amp;IF(setrules!M220="","",",-"&amp;setrules!M220)</f>
        <v/>
      </c>
      <c r="F169" t="str">
        <f>setrules!B220</f>
        <v>IMSFA_DST</v>
      </c>
    </row>
    <row r="170" spans="1:6" x14ac:dyDescent="0.25">
      <c r="A170" t="str">
        <f>setrules!D221&amp;IF(setrules!E221="","",",-"&amp;setrules!E221)</f>
        <v/>
      </c>
      <c r="B170" t="str">
        <f>setrules!F221&amp;IF(setrules!G221="","",",-"&amp;setrules!G221)&amp;IF(setrules!P221="","",",-"&amp;setrules!P221)</f>
        <v>IMSEFACELC</v>
      </c>
      <c r="C170" t="str">
        <f>setrules!H221&amp;IF(setrules!I221="","",",-"&amp;setrules!I221)</f>
        <v/>
      </c>
      <c r="D170" t="str">
        <f>setrules!J221&amp;IF(setrules!K221="","",",-"&amp;setrules!K221)</f>
        <v/>
      </c>
      <c r="E170" t="str">
        <f>setrules!L221&amp;IF(setrules!M221="","",",-"&amp;setrules!M221)</f>
        <v/>
      </c>
      <c r="F170" t="str">
        <f>setrules!B221</f>
        <v>IMSFA_ELC</v>
      </c>
    </row>
    <row r="171" spans="1:6" x14ac:dyDescent="0.25">
      <c r="A171" t="str">
        <f>setrules!D222&amp;IF(setrules!E222="","",",-"&amp;setrules!E222)</f>
        <v/>
      </c>
      <c r="B171" t="str">
        <f>setrules!F222&amp;IF(setrules!G222="","",",-"&amp;setrules!G222)&amp;IF(setrules!P222="","",",-"&amp;setrules!P222)</f>
        <v>IMSEFACNGA</v>
      </c>
      <c r="C171" t="str">
        <f>setrules!H222&amp;IF(setrules!I222="","",",-"&amp;setrules!I222)</f>
        <v/>
      </c>
      <c r="D171" t="str">
        <f>setrules!J222&amp;IF(setrules!K222="","",",-"&amp;setrules!K222)</f>
        <v/>
      </c>
      <c r="E171" t="str">
        <f>setrules!L222&amp;IF(setrules!M222="","",",-"&amp;setrules!M222)</f>
        <v/>
      </c>
      <c r="F171" t="str">
        <f>setrules!B222</f>
        <v>IMSFA_NGA</v>
      </c>
    </row>
    <row r="172" spans="1:6" x14ac:dyDescent="0.25">
      <c r="A172" t="str">
        <f>setrules!D223&amp;IF(setrules!E223="","",",-"&amp;setrules!E223)</f>
        <v/>
      </c>
      <c r="B172" t="str">
        <f>setrules!F223&amp;IF(setrules!G223="","",",-"&amp;setrules!G223)&amp;IF(setrules!P223="","",",-"&amp;setrules!P223)</f>
        <v>IMSEFED*</v>
      </c>
      <c r="C172" t="str">
        <f>setrules!H223&amp;IF(setrules!I223="","",",-"&amp;setrules!I223)</f>
        <v/>
      </c>
      <c r="D172" t="str">
        <f>setrules!J223&amp;IF(setrules!K223="","",",-"&amp;setrules!K223)</f>
        <v/>
      </c>
      <c r="E172" t="str">
        <f>setrules!L223&amp;IF(setrules!M223="","",",-"&amp;setrules!M223)</f>
        <v/>
      </c>
      <c r="F172" t="str">
        <f>setrules!B223</f>
        <v>IMSFS_ALL</v>
      </c>
    </row>
    <row r="173" spans="1:6" x14ac:dyDescent="0.25">
      <c r="A173" t="str">
        <f>setrules!D224&amp;IF(setrules!E224="","",",-"&amp;setrules!E224)</f>
        <v/>
      </c>
      <c r="B173" t="str">
        <f>setrules!F224&amp;IF(setrules!G224="","",",-"&amp;setrules!G224)&amp;IF(setrules!P224="","",",-"&amp;setrules!P224)</f>
        <v>IMB*ELC*</v>
      </c>
      <c r="C173" t="str">
        <f>setrules!H224&amp;IF(setrules!I224="","",",-"&amp;setrules!I224)</f>
        <v/>
      </c>
      <c r="D173" t="str">
        <f>setrules!J224&amp;IF(setrules!K224="","",",-"&amp;setrules!K224)</f>
        <v/>
      </c>
      <c r="E173" t="str">
        <f>setrules!L224&amp;IF(setrules!M224="","",",-"&amp;setrules!M224)</f>
        <v/>
      </c>
      <c r="F173" t="str">
        <f>setrules!B224</f>
        <v>IMS_ELC</v>
      </c>
    </row>
    <row r="174" spans="1:6" x14ac:dyDescent="0.25">
      <c r="A174" t="str">
        <f>setrules!D225&amp;IF(setrules!E225="","",",-"&amp;setrules!E225)</f>
        <v/>
      </c>
      <c r="B174" t="str">
        <f>setrules!F225&amp;IF(setrules!G225="","",",-"&amp;setrules!G225)&amp;IF(setrules!P225="","",",-"&amp;setrules!P225)</f>
        <v>IMOBOLFSTM</v>
      </c>
      <c r="C174" t="str">
        <f>setrules!H225&amp;IF(setrules!I225="","",",-"&amp;setrules!I225)</f>
        <v/>
      </c>
      <c r="D174" t="str">
        <f>setrules!J225&amp;IF(setrules!K225="","",",-"&amp;setrules!K225)</f>
        <v/>
      </c>
      <c r="E174" t="str">
        <f>setrules!L225&amp;IF(setrules!M225="","",",-"&amp;setrules!M225)</f>
        <v/>
      </c>
      <c r="F174" t="str">
        <f>setrules!B225</f>
        <v>IMOST_CHP</v>
      </c>
    </row>
    <row r="175" spans="1:6" x14ac:dyDescent="0.25">
      <c r="A175" t="str">
        <f>setrules!D226&amp;IF(setrules!E226="","",",-"&amp;setrules!E226)</f>
        <v/>
      </c>
      <c r="B175" t="str">
        <f>setrules!F226&amp;IF(setrules!G226="","",",-"&amp;setrules!G226)&amp;IF(setrules!P226="","",",-"&amp;setrules!P226)</f>
        <v>IMOEOHTNGA,IMONREGNGA</v>
      </c>
      <c r="C175" t="str">
        <f>setrules!H226&amp;IF(setrules!I226="","",",-"&amp;setrules!I226)</f>
        <v/>
      </c>
      <c r="D175" t="str">
        <f>setrules!J226&amp;IF(setrules!K226="","",",-"&amp;setrules!K226)</f>
        <v/>
      </c>
      <c r="E175" t="str">
        <f>setrules!L226&amp;IF(setrules!M226="","",",-"&amp;setrules!M226)</f>
        <v/>
      </c>
      <c r="F175" t="str">
        <f>setrules!B226</f>
        <v>IMOOH_NGA</v>
      </c>
    </row>
    <row r="176" spans="1:6" x14ac:dyDescent="0.25">
      <c r="A176" t="str">
        <f>setrules!D227&amp;IF(setrules!E227="","",",-"&amp;setrules!E227)</f>
        <v/>
      </c>
      <c r="B176" t="str">
        <f>setrules!F227&amp;IF(setrules!G227="","",",-"&amp;setrules!G227)&amp;IF(setrules!P227="","",",-"&amp;setrules!P227)</f>
        <v>IMOEOHTOTP</v>
      </c>
      <c r="C176" t="str">
        <f>setrules!H227&amp;IF(setrules!I227="","",",-"&amp;setrules!I227)</f>
        <v/>
      </c>
      <c r="D176" t="str">
        <f>setrules!J227&amp;IF(setrules!K227="","",",-"&amp;setrules!K227)</f>
        <v/>
      </c>
      <c r="E176" t="str">
        <f>setrules!L227&amp;IF(setrules!M227="","",",-"&amp;setrules!M227)</f>
        <v/>
      </c>
      <c r="F176" t="str">
        <f>setrules!B227</f>
        <v>IMOOH_OTP</v>
      </c>
    </row>
    <row r="177" spans="1:6" x14ac:dyDescent="0.25">
      <c r="A177" t="str">
        <f>setrules!D228&amp;IF(setrules!E228="","",",-"&amp;setrules!E228)</f>
        <v/>
      </c>
      <c r="B177" t="str">
        <f>setrules!F228&amp;IF(setrules!G228="","",",-"&amp;setrules!G228)&amp;IF(setrules!P228="","",",-"&amp;setrules!P228)</f>
        <v>IMOEOHTPTC</v>
      </c>
      <c r="C177" t="str">
        <f>setrules!H228&amp;IF(setrules!I228="","",",-"&amp;setrules!I228)</f>
        <v/>
      </c>
      <c r="D177" t="str">
        <f>setrules!J228&amp;IF(setrules!K228="","",",-"&amp;setrules!K228)</f>
        <v/>
      </c>
      <c r="E177" t="str">
        <f>setrules!L228&amp;IF(setrules!M228="","",",-"&amp;setrules!M228)</f>
        <v/>
      </c>
      <c r="F177" t="str">
        <f>setrules!B228</f>
        <v>IMOOH_PTC</v>
      </c>
    </row>
    <row r="178" spans="1:6" x14ac:dyDescent="0.25">
      <c r="A178" t="str">
        <f>setrules!D229&amp;IF(setrules!E229="","",",-"&amp;setrules!E229)</f>
        <v/>
      </c>
      <c r="B178" t="str">
        <f>setrules!F229&amp;IF(setrules!G229="","",",-"&amp;setrules!G229)&amp;IF(setrules!P229="","",",-"&amp;setrules!P229)</f>
        <v>IMOEOHTRFL</v>
      </c>
      <c r="C178" t="str">
        <f>setrules!H229&amp;IF(setrules!I229="","",",-"&amp;setrules!I229)</f>
        <v/>
      </c>
      <c r="D178" t="str">
        <f>setrules!J229&amp;IF(setrules!K229="","",",-"&amp;setrules!K229)</f>
        <v/>
      </c>
      <c r="E178" t="str">
        <f>setrules!L229&amp;IF(setrules!M229="","",",-"&amp;setrules!M229)</f>
        <v/>
      </c>
      <c r="F178" t="str">
        <f>setrules!B229</f>
        <v>IMOOH_RFL</v>
      </c>
    </row>
    <row r="179" spans="1:6" x14ac:dyDescent="0.25">
      <c r="A179" t="str">
        <f>setrules!D230&amp;IF(setrules!E230="","",",-"&amp;setrules!E230)</f>
        <v/>
      </c>
      <c r="B179" t="str">
        <f>setrules!F230&amp;IF(setrules!G230="","",",-"&amp;setrules!G230)&amp;IF(setrules!P230="","",",-"&amp;setrules!P230)</f>
        <v>IMOEPRH*</v>
      </c>
      <c r="C179" t="str">
        <f>setrules!H230&amp;IF(setrules!I230="","",",-"&amp;setrules!I230)</f>
        <v/>
      </c>
      <c r="D179" t="str">
        <f>setrules!J230&amp;IF(setrules!K230="","",",-"&amp;setrules!K230)</f>
        <v/>
      </c>
      <c r="E179" t="str">
        <f>setrules!L230&amp;IF(setrules!M230="","",",-"&amp;setrules!M230)</f>
        <v/>
      </c>
      <c r="F179" t="str">
        <f>setrules!B230</f>
        <v>IMOPH_ALL</v>
      </c>
    </row>
    <row r="180" spans="1:6" x14ac:dyDescent="0.25">
      <c r="A180" t="str">
        <f>setrules!D231&amp;IF(setrules!E231="","",",-"&amp;setrules!E231)</f>
        <v/>
      </c>
      <c r="B180" t="str">
        <f>setrules!F231&amp;IF(setrules!G231="","",",-"&amp;setrules!G231)&amp;IF(setrules!P231="","",",-"&amp;setrules!P231)</f>
        <v>IMOEPRHELC</v>
      </c>
      <c r="C180" t="str">
        <f>setrules!H231&amp;IF(setrules!I231="","",",-"&amp;setrules!I231)</f>
        <v/>
      </c>
      <c r="D180" t="str">
        <f>setrules!J231&amp;IF(setrules!K231="","",",-"&amp;setrules!K231)</f>
        <v/>
      </c>
      <c r="E180" t="str">
        <f>setrules!L231&amp;IF(setrules!M231="","",",-"&amp;setrules!M231)</f>
        <v/>
      </c>
      <c r="F180" t="str">
        <f>setrules!B231</f>
        <v>IMOPH_ELC</v>
      </c>
    </row>
    <row r="181" spans="1:6" x14ac:dyDescent="0.25">
      <c r="A181" t="str">
        <f>setrules!D232&amp;IF(setrules!E232="","",",-"&amp;setrules!E232)</f>
        <v/>
      </c>
      <c r="B181" t="str">
        <f>setrules!F232&amp;IF(setrules!G232="","",",-"&amp;setrules!G232)&amp;IF(setrules!P232="","",",-"&amp;setrules!P232)</f>
        <v>IMOEPRHLPG</v>
      </c>
      <c r="C181" t="str">
        <f>setrules!H232&amp;IF(setrules!I232="","",",-"&amp;setrules!I232)</f>
        <v/>
      </c>
      <c r="D181" t="str">
        <f>setrules!J232&amp;IF(setrules!K232="","",",-"&amp;setrules!K232)</f>
        <v/>
      </c>
      <c r="E181" t="str">
        <f>setrules!L232&amp;IF(setrules!M232="","",",-"&amp;setrules!M232)</f>
        <v/>
      </c>
      <c r="F181" t="str">
        <f>setrules!B232</f>
        <v>IMOPH_LPG</v>
      </c>
    </row>
    <row r="182" spans="1:6" x14ac:dyDescent="0.25">
      <c r="A182" t="str">
        <f>setrules!D233&amp;IF(setrules!E233="","",",-"&amp;setrules!E233)</f>
        <v>SEP_IMP</v>
      </c>
      <c r="B182" t="str">
        <f>setrules!F233&amp;IF(setrules!G233="","",",-"&amp;setrules!G233)&amp;IF(setrules!P233="","",",-"&amp;setrules!P233)</f>
        <v>IMP*ELC*</v>
      </c>
      <c r="C182" t="str">
        <f>setrules!H233&amp;IF(setrules!I233="","",",-"&amp;setrules!I233)</f>
        <v/>
      </c>
      <c r="D182" t="str">
        <f>setrules!J233&amp;IF(setrules!K233="","",",-"&amp;setrules!K233)</f>
        <v/>
      </c>
      <c r="E182" t="str">
        <f>setrules!L233&amp;IF(setrules!M233="","",",-"&amp;setrules!M233)</f>
        <v/>
      </c>
      <c r="F182" t="str">
        <f>setrules!B233</f>
        <v>IMP_ELC</v>
      </c>
    </row>
    <row r="183" spans="1:6" x14ac:dyDescent="0.25">
      <c r="A183" t="str">
        <f>setrules!D234&amp;IF(setrules!E234="","",",-"&amp;setrules!E234)</f>
        <v/>
      </c>
      <c r="B183" t="str">
        <f>setrules!F234&amp;IF(setrules!G234="","",",-"&amp;setrules!G234)&amp;IF(setrules!P234="","",",-"&amp;setrules!P234)</f>
        <v>IMO*B*,-IMO*B*BIO,-IMO*B*WOD,-IMO*B*TOM,-IMO*BST*,-IMO*BSA*</v>
      </c>
      <c r="C183" t="str">
        <f>setrules!H234&amp;IF(setrules!I234="","",",-"&amp;setrules!I234)</f>
        <v/>
      </c>
      <c r="D183" t="str">
        <f>setrules!J234&amp;IF(setrules!K234="","",",-"&amp;setrules!K234)</f>
        <v/>
      </c>
      <c r="E183" t="str">
        <f>setrules!L234&amp;IF(setrules!M234="","",",-"&amp;setrules!M234)</f>
        <v/>
      </c>
      <c r="F183" t="str">
        <f>setrules!B234</f>
        <v>IMOST_ALL</v>
      </c>
    </row>
    <row r="184" spans="1:6" x14ac:dyDescent="0.25">
      <c r="A184" t="str">
        <f>setrules!D235&amp;IF(setrules!E235="","",",-"&amp;setrules!E235)</f>
        <v>SEP_IMP</v>
      </c>
      <c r="B184" t="str">
        <f>setrules!F235&amp;IF(setrules!G235="","",",-"&amp;setrules!G235)&amp;IF(setrules!P235="","",",-"&amp;setrules!P235)</f>
        <v>IMP*DST*</v>
      </c>
      <c r="C184" t="str">
        <f>setrules!H235&amp;IF(setrules!I235="","",",-"&amp;setrules!I235)</f>
        <v/>
      </c>
      <c r="D184" t="str">
        <f>setrules!J235&amp;IF(setrules!K235="","",",-"&amp;setrules!K235)</f>
        <v/>
      </c>
      <c r="E184" t="str">
        <f>setrules!L235&amp;IF(setrules!M235="","",",-"&amp;setrules!M235)</f>
        <v/>
      </c>
      <c r="F184" t="str">
        <f>setrules!B235</f>
        <v>IMP_DST</v>
      </c>
    </row>
    <row r="185" spans="1:6" x14ac:dyDescent="0.25">
      <c r="A185" t="str">
        <f>setrules!D236&amp;IF(setrules!E236="","",",-"&amp;setrules!E236)</f>
        <v/>
      </c>
      <c r="B185" t="str">
        <f>setrules!F236&amp;IF(setrules!G236="","",",-"&amp;setrules!G236)&amp;IF(setrules!P236="","",",-"&amp;setrules!P236)</f>
        <v>IMOECPVCOA</v>
      </c>
      <c r="C185" t="str">
        <f>setrules!H236&amp;IF(setrules!I236="","",",-"&amp;setrules!I236)</f>
        <v/>
      </c>
      <c r="D185" t="str">
        <f>setrules!J236&amp;IF(setrules!K236="","",",-"&amp;setrules!K236)</f>
        <v/>
      </c>
      <c r="E185" t="str">
        <f>setrules!L236&amp;IF(setrules!M236="","",",-"&amp;setrules!M236)</f>
        <v/>
      </c>
      <c r="F185" t="str">
        <f>setrules!B236</f>
        <v>IMOST_COA</v>
      </c>
    </row>
    <row r="186" spans="1:6" x14ac:dyDescent="0.25">
      <c r="A186" t="str">
        <f>setrules!D237&amp;IF(setrules!E237="","",",-"&amp;setrules!E237)</f>
        <v/>
      </c>
      <c r="B186" t="str">
        <f>setrules!F237&amp;IF(setrules!G237="","",",-"&amp;setrules!G237)&amp;IF(setrules!P237="","",",-"&amp;setrules!P237)</f>
        <v>IMOEBLLDST</v>
      </c>
      <c r="C186" t="str">
        <f>setrules!H237&amp;IF(setrules!I237="","",",-"&amp;setrules!I237)</f>
        <v/>
      </c>
      <c r="D186" t="str">
        <f>setrules!J237&amp;IF(setrules!K237="","",",-"&amp;setrules!K237)</f>
        <v/>
      </c>
      <c r="E186" t="str">
        <f>setrules!L237&amp;IF(setrules!M237="","",",-"&amp;setrules!M237)</f>
        <v/>
      </c>
      <c r="F186" t="str">
        <f>setrules!B237</f>
        <v>IMOST_DST</v>
      </c>
    </row>
    <row r="187" spans="1:6" x14ac:dyDescent="0.25">
      <c r="A187" t="str">
        <f>setrules!D238&amp;IF(setrules!E238="","",",-"&amp;setrules!E238)</f>
        <v/>
      </c>
      <c r="B187" t="str">
        <f>setrules!F238&amp;IF(setrules!G238="","",",-"&amp;setrules!G238)&amp;IF(setrules!P238="","",",-"&amp;setrules!P238)</f>
        <v>IMO*B*ELC</v>
      </c>
      <c r="C187" t="str">
        <f>setrules!H238&amp;IF(setrules!I238="","",",-"&amp;setrules!I238)</f>
        <v/>
      </c>
      <c r="D187" t="str">
        <f>setrules!J238&amp;IF(setrules!K238="","",",-"&amp;setrules!K238)</f>
        <v/>
      </c>
      <c r="E187" t="str">
        <f>setrules!L238&amp;IF(setrules!M238="","",",-"&amp;setrules!M238)</f>
        <v/>
      </c>
      <c r="F187" t="str">
        <f>setrules!B238</f>
        <v>IMOST_ELC</v>
      </c>
    </row>
    <row r="188" spans="1:6" x14ac:dyDescent="0.25">
      <c r="A188" t="str">
        <f>setrules!D239&amp;IF(setrules!E239="","",",-"&amp;setrules!E239)</f>
        <v/>
      </c>
      <c r="B188" t="str">
        <f>setrules!F239&amp;IF(setrules!G239="","",",-"&amp;setrules!G239)&amp;IF(setrules!P239="","",",-"&amp;setrules!P239)</f>
        <v>IMO*NGA,-IMO*BSANGA,-,-IMOEMDRNGA,-IMOEFEDNGA,-IMOEFACNGA,-IMOEOHTNGA,-IMOEPRHNGA,-</v>
      </c>
      <c r="C188" t="str">
        <f>setrules!H239&amp;IF(setrules!I239="","",",-"&amp;setrules!I239)</f>
        <v/>
      </c>
      <c r="D188" t="str">
        <f>setrules!J239&amp;IF(setrules!K239="","",",-"&amp;setrules!K239)</f>
        <v/>
      </c>
      <c r="E188" t="str">
        <f>setrules!L239&amp;IF(setrules!M239="","",",-"&amp;setrules!M239)</f>
        <v/>
      </c>
      <c r="F188" t="str">
        <f>setrules!B239</f>
        <v>IMOST_NGA</v>
      </c>
    </row>
    <row r="189" spans="1:6" x14ac:dyDescent="0.25">
      <c r="A189" t="str">
        <f>setrules!D240&amp;IF(setrules!E240="","",",-"&amp;setrules!E240)</f>
        <v/>
      </c>
      <c r="B189" t="str">
        <f>setrules!F240&amp;IF(setrules!G240="","",",-"&amp;setrules!G240)&amp;IF(setrules!P240="","",",-"&amp;setrules!P240)</f>
        <v>IMOEBHLRFL</v>
      </c>
      <c r="C189" t="str">
        <f>setrules!H240&amp;IF(setrules!I240="","",",-"&amp;setrules!I240)</f>
        <v/>
      </c>
      <c r="D189" t="str">
        <f>setrules!J240&amp;IF(setrules!K240="","",",-"&amp;setrules!K240)</f>
        <v/>
      </c>
      <c r="E189" t="str">
        <f>setrules!L240&amp;IF(setrules!M240="","",",-"&amp;setrules!M240)</f>
        <v/>
      </c>
      <c r="F189" t="str">
        <f>setrules!B240</f>
        <v>IMOST_RFL</v>
      </c>
    </row>
    <row r="190" spans="1:6" x14ac:dyDescent="0.25">
      <c r="A190" t="str">
        <f>setrules!D241&amp;IF(setrules!E241="","",",-"&amp;setrules!E241)</f>
        <v>SEP_IMP</v>
      </c>
      <c r="B190" t="str">
        <f>setrules!F241&amp;IF(setrules!G241="","",",-"&amp;setrules!G241)&amp;IF(setrules!P241="","",",-"&amp;setrules!P241)</f>
        <v>IMP*</v>
      </c>
      <c r="C190" t="str">
        <f>setrules!H241&amp;IF(setrules!I241="","",",-"&amp;setrules!I241)</f>
        <v/>
      </c>
      <c r="D190" t="str">
        <f>setrules!J241&amp;IF(setrules!K241="","",",-"&amp;setrules!K241)</f>
        <v/>
      </c>
      <c r="E190" t="str">
        <f>setrules!L241&amp;IF(setrules!M241="","",",-"&amp;setrules!M241)</f>
        <v/>
      </c>
      <c r="F190" t="str">
        <f>setrules!B241</f>
        <v>IMP_ALL</v>
      </c>
    </row>
    <row r="191" spans="1:6" x14ac:dyDescent="0.25">
      <c r="A191" t="str">
        <f>setrules!D242&amp;IF(setrules!E242="","",",-"&amp;setrules!E242)</f>
        <v/>
      </c>
      <c r="B191" t="str">
        <f>setrules!F242&amp;IF(setrules!G242="","",",-"&amp;setrules!G242)&amp;IF(setrules!P242="","",",-"&amp;setrules!P242)</f>
        <v>TMD*</v>
      </c>
      <c r="C191" t="str">
        <f>setrules!H242&amp;IF(setrules!I242="","",",-"&amp;setrules!I242)</f>
        <v/>
      </c>
      <c r="D191" t="str">
        <f>setrules!J242&amp;IF(setrules!K242="","",",-"&amp;setrules!K242)</f>
        <v/>
      </c>
      <c r="E191" t="str">
        <f>setrules!L242&amp;IF(setrules!M242="","",",-"&amp;setrules!M242)</f>
        <v/>
      </c>
      <c r="F191" t="str">
        <f>setrules!B242</f>
        <v>TMR-DSL</v>
      </c>
    </row>
    <row r="192" spans="1:6" x14ac:dyDescent="0.25">
      <c r="A192" t="str">
        <f>setrules!D243&amp;IF(setrules!E243="","",",-"&amp;setrules!E243)</f>
        <v/>
      </c>
      <c r="B192" t="str">
        <f>setrules!F243&amp;IF(setrules!G243="","",",-"&amp;setrules!G243)&amp;IF(setrules!P243="","",",-"&amp;setrules!P243)</f>
        <v>IMOEPRHNGA</v>
      </c>
      <c r="C192" t="str">
        <f>setrules!H243&amp;IF(setrules!I243="","",",-"&amp;setrules!I243)</f>
        <v/>
      </c>
      <c r="D192" t="str">
        <f>setrules!J243&amp;IF(setrules!K243="","",",-"&amp;setrules!K243)</f>
        <v/>
      </c>
      <c r="E192" t="str">
        <f>setrules!L243&amp;IF(setrules!M243="","",",-"&amp;setrules!M243)</f>
        <v/>
      </c>
      <c r="F192" t="str">
        <f>setrules!B243</f>
        <v>IMOPH_NGA</v>
      </c>
    </row>
    <row r="193" spans="1:6" x14ac:dyDescent="0.25">
      <c r="A193" t="str">
        <f>setrules!D244&amp;IF(setrules!E244="","",",-"&amp;setrules!E244)</f>
        <v/>
      </c>
      <c r="B193" t="str">
        <f>setrules!F244&amp;IF(setrules!G244="","",",-"&amp;setrules!G244)&amp;IF(setrules!P244="","",",-"&amp;setrules!P244)</f>
        <v>TL*</v>
      </c>
      <c r="C193" t="str">
        <f>setrules!H244&amp;IF(setrules!I244="","",",-"&amp;setrules!I244)</f>
        <v>*DSL*</v>
      </c>
      <c r="D193" t="str">
        <f>setrules!J244&amp;IF(setrules!K244="","",",-"&amp;setrules!K244)</f>
        <v/>
      </c>
      <c r="E193" t="str">
        <f>setrules!L244&amp;IF(setrules!M244="","",",-"&amp;setrules!M244)</f>
        <v/>
      </c>
      <c r="F193" t="str">
        <f>setrules!B244</f>
        <v>TL-DSLT</v>
      </c>
    </row>
    <row r="194" spans="1:6" x14ac:dyDescent="0.25">
      <c r="A194" t="str">
        <f>setrules!D245&amp;IF(setrules!E245="","",",-"&amp;setrules!E245)</f>
        <v/>
      </c>
      <c r="B194" t="str">
        <f>setrules!F245&amp;IF(setrules!G245="","",",-"&amp;setrules!G245)&amp;IF(setrules!P245="","",",-"&amp;setrules!P245)</f>
        <v>TL*</v>
      </c>
      <c r="C194" t="str">
        <f>setrules!H245&amp;IF(setrules!I245="","",",-"&amp;setrules!I245)</f>
        <v>*.AGSL.*</v>
      </c>
      <c r="D194" t="str">
        <f>setrules!J245&amp;IF(setrules!K245="","",",-"&amp;setrules!K245)</f>
        <v/>
      </c>
      <c r="E194" t="str">
        <f>setrules!L245&amp;IF(setrules!M245="","",",-"&amp;setrules!M245)</f>
        <v/>
      </c>
      <c r="F194" t="str">
        <f>setrules!B245</f>
        <v>TL-ADV</v>
      </c>
    </row>
    <row r="195" spans="1:6" x14ac:dyDescent="0.25">
      <c r="A195" t="str">
        <f>setrules!D246&amp;IF(setrules!E246="","",",-"&amp;setrules!E246)</f>
        <v/>
      </c>
      <c r="B195" t="str">
        <f>setrules!F246&amp;IF(setrules!G246="","",",-"&amp;setrules!G246)&amp;IF(setrules!P246="","",",-"&amp;setrules!P246)</f>
        <v>TL*</v>
      </c>
      <c r="C195" t="str">
        <f>setrules!H246&amp;IF(setrules!I246="","",",-"&amp;setrules!I246)</f>
        <v/>
      </c>
      <c r="D195" t="str">
        <f>setrules!J246&amp;IF(setrules!K246="","",",-"&amp;setrules!K246)</f>
        <v/>
      </c>
      <c r="E195" t="str">
        <f>setrules!L246&amp;IF(setrules!M246="","",",-"&amp;setrules!M246)</f>
        <v/>
      </c>
      <c r="F195" t="str">
        <f>setrules!B246</f>
        <v>TL-ALL</v>
      </c>
    </row>
    <row r="196" spans="1:6" x14ac:dyDescent="0.25">
      <c r="A196" t="str">
        <f>setrules!D247&amp;IF(setrules!E247="","",",-"&amp;setrules!E247)</f>
        <v/>
      </c>
      <c r="B196" t="str">
        <f>setrules!F247&amp;IF(setrules!G247="","",",-"&amp;setrules!G247)&amp;IF(setrules!P247="","",",-"&amp;setrules!P247)</f>
        <v>TL*</v>
      </c>
      <c r="C196" t="str">
        <f>setrules!H247&amp;IF(setrules!I247="","",",-"&amp;setrules!I247)</f>
        <v>*AGSL*</v>
      </c>
      <c r="D196" t="str">
        <f>setrules!J247&amp;IF(setrules!K247="","",",-"&amp;setrules!K247)</f>
        <v/>
      </c>
      <c r="E196" t="str">
        <f>setrules!L247&amp;IF(setrules!M247="","",",-"&amp;setrules!M247)</f>
        <v/>
      </c>
      <c r="F196" t="str">
        <f>setrules!B247</f>
        <v>TL-ALL-ICE</v>
      </c>
    </row>
    <row r="197" spans="1:6" x14ac:dyDescent="0.25">
      <c r="A197" t="str">
        <f>setrules!D248&amp;IF(setrules!E248="","",",-"&amp;setrules!E248)</f>
        <v/>
      </c>
      <c r="B197" t="str">
        <f>setrules!F248&amp;IF(setrules!G248="","",",-"&amp;setrules!G248)&amp;IF(setrules!P248="","",",-"&amp;setrules!P248)</f>
        <v>TLC*</v>
      </c>
      <c r="C197" t="str">
        <f>setrules!H248&amp;IF(setrules!I248="","",",-"&amp;setrules!I248)</f>
        <v/>
      </c>
      <c r="D197" t="str">
        <f>setrules!J248&amp;IF(setrules!K248="","",",-"&amp;setrules!K248)</f>
        <v/>
      </c>
      <c r="E197" t="str">
        <f>setrules!L248&amp;IF(setrules!M248="","",",-"&amp;setrules!M248)</f>
        <v/>
      </c>
      <c r="F197" t="str">
        <f>setrules!B248</f>
        <v>TLC-ALL</v>
      </c>
    </row>
    <row r="198" spans="1:6" x14ac:dyDescent="0.25">
      <c r="B198" t="s">
        <v>2681</v>
      </c>
      <c r="F198" t="s">
        <v>1656</v>
      </c>
    </row>
    <row r="199" spans="1:6" x14ac:dyDescent="0.25">
      <c r="A199" t="str">
        <f>setrules!D250&amp;IF(setrules!E250="","",",-"&amp;setrules!E250)</f>
        <v/>
      </c>
      <c r="B199" t="str">
        <f>setrules!F250&amp;IF(setrules!G250="","",",-"&amp;setrules!G250)&amp;IF(setrules!P250="","",",-"&amp;setrules!P250)</f>
        <v>TL*</v>
      </c>
      <c r="C199" t="str">
        <f>setrules!H250&amp;IF(setrules!I250="","",",-"&amp;setrules!I250)</f>
        <v>*CNGX*</v>
      </c>
      <c r="D199" t="str">
        <f>setrules!J250&amp;IF(setrules!K250="","",",-"&amp;setrules!K250)</f>
        <v/>
      </c>
      <c r="E199" t="str">
        <f>setrules!L250&amp;IF(setrules!M250="","",",-"&amp;setrules!M250)</f>
        <v/>
      </c>
      <c r="F199" t="str">
        <f>setrules!B250</f>
        <v>TL-CNGX</v>
      </c>
    </row>
    <row r="200" spans="1:6" x14ac:dyDescent="0.25">
      <c r="A200" t="str">
        <f>setrules!D251&amp;IF(setrules!E251="","",",-"&amp;setrules!E251)</f>
        <v/>
      </c>
      <c r="B200" t="str">
        <f>setrules!F251&amp;IF(setrules!G251="","",",-"&amp;setrules!G251)&amp;IF(setrules!P251="","",",-"&amp;setrules!P251)</f>
        <v>TLEM*,-,-TLEMCGSL,-</v>
      </c>
      <c r="C200" t="str">
        <f>setrules!H251&amp;IF(setrules!I251="","",",-"&amp;setrules!I251)</f>
        <v/>
      </c>
      <c r="D200" t="str">
        <f>setrules!J251&amp;IF(setrules!K251="","",",-"&amp;setrules!K251)</f>
        <v/>
      </c>
      <c r="E200" t="str">
        <f>setrules!L251&amp;IF(setrules!M251="","",",-"&amp;setrules!M251)</f>
        <v/>
      </c>
      <c r="F200" t="str">
        <f>setrules!B251</f>
        <v>TLEM-ALL</v>
      </c>
    </row>
    <row r="201" spans="1:6" x14ac:dyDescent="0.25">
      <c r="A201" t="str">
        <f>setrules!D252&amp;IF(setrules!E252="","",",-"&amp;setrules!E252)</f>
        <v/>
      </c>
      <c r="B201" t="str">
        <f>setrules!F252&amp;IF(setrules!G252="","",",-"&amp;setrules!G252)&amp;IF(setrules!P252="","",",-"&amp;setrules!P252)</f>
        <v>TL*</v>
      </c>
      <c r="C201" t="str">
        <f>setrules!H252&amp;IF(setrules!I252="","",",-"&amp;setrules!I252)</f>
        <v/>
      </c>
      <c r="D201" t="str">
        <f>setrules!J252&amp;IF(setrules!K252="","",",-"&amp;setrules!K252)</f>
        <v>TLDSL</v>
      </c>
      <c r="E201" t="str">
        <f>setrules!L252&amp;IF(setrules!M252="","",",-"&amp;setrules!M252)</f>
        <v/>
      </c>
      <c r="F201" t="str">
        <f>setrules!B252</f>
        <v>TL-DSL</v>
      </c>
    </row>
    <row r="202" spans="1:6" x14ac:dyDescent="0.25">
      <c r="A202" t="str">
        <f>setrules!D253&amp;IF(setrules!E253="","",",-"&amp;setrules!E253)</f>
        <v/>
      </c>
      <c r="B202" t="str">
        <f>setrules!F253&amp;IF(setrules!G253="","",",-"&amp;setrules!G253)&amp;IF(setrules!P253="","",",-"&amp;setrules!P253)</f>
        <v>THSC*</v>
      </c>
      <c r="C202" t="str">
        <f>setrules!H253&amp;IF(setrules!I253="","",",-"&amp;setrules!I253)</f>
        <v/>
      </c>
      <c r="D202" t="str">
        <f>setrules!J253&amp;IF(setrules!K253="","",",-"&amp;setrules!K253)</f>
        <v/>
      </c>
      <c r="E202" t="str">
        <f>setrules!L253&amp;IF(setrules!M253="","",",-"&amp;setrules!M253)</f>
        <v/>
      </c>
      <c r="F202" t="str">
        <f>setrules!B253</f>
        <v>THS-CNG</v>
      </c>
    </row>
    <row r="203" spans="1:6" x14ac:dyDescent="0.25">
      <c r="A203" t="str">
        <f>setrules!D254&amp;IF(setrules!E254="","",",-"&amp;setrules!E254)</f>
        <v/>
      </c>
      <c r="B203" t="str">
        <f>setrules!F254&amp;IF(setrules!G254="","",",-"&amp;setrules!G254)&amp;IF(setrules!P254="","",",-"&amp;setrules!P254)</f>
        <v/>
      </c>
      <c r="C203" t="str">
        <f>setrules!H254&amp;IF(setrules!I254="","",",-"&amp;setrules!I254)</f>
        <v/>
      </c>
      <c r="D203" t="str">
        <f>setrules!J254&amp;IF(setrules!K254="","",",-"&amp;setrules!K254)</f>
        <v>TLE85X</v>
      </c>
      <c r="E203" t="str">
        <f>setrules!L254&amp;IF(setrules!M254="","",",-"&amp;setrules!M254)</f>
        <v/>
      </c>
      <c r="F203" t="str">
        <f>setrules!B254</f>
        <v>TL-E85X</v>
      </c>
    </row>
    <row r="204" spans="1:6" x14ac:dyDescent="0.25">
      <c r="A204" t="str">
        <f>setrules!D255&amp;IF(setrules!E255="","",",-"&amp;setrules!E255)</f>
        <v/>
      </c>
      <c r="B204" t="str">
        <f>setrules!F255&amp;IF(setrules!G255="","",",-"&amp;setrules!G255)&amp;IF(setrules!P255="","",",-"&amp;setrules!P255)</f>
        <v>TLEC*</v>
      </c>
      <c r="C204" t="str">
        <f>setrules!H255&amp;IF(setrules!I255="","",",-"&amp;setrules!I255)</f>
        <v/>
      </c>
      <c r="D204" t="str">
        <f>setrules!J255&amp;IF(setrules!K255="","",",-"&amp;setrules!K255)</f>
        <v/>
      </c>
      <c r="E204" t="str">
        <f>setrules!L255&amp;IF(setrules!M255="","",",-"&amp;setrules!M255)</f>
        <v/>
      </c>
      <c r="F204" t="str">
        <f>setrules!B255</f>
        <v>TLEC-ALL</v>
      </c>
    </row>
    <row r="205" spans="1:6" x14ac:dyDescent="0.25">
      <c r="A205" t="str">
        <f>setrules!D256&amp;IF(setrules!E256="","",",-"&amp;setrules!E256)</f>
        <v/>
      </c>
      <c r="B205" t="str">
        <f>setrules!F256&amp;IF(setrules!G256="","",",-"&amp;setrules!G256)&amp;IF(setrules!P256="","",",-"&amp;setrules!P256)</f>
        <v>TLEF*</v>
      </c>
      <c r="C205" t="str">
        <f>setrules!H256&amp;IF(setrules!I256="","",",-"&amp;setrules!I256)</f>
        <v/>
      </c>
      <c r="D205" t="str">
        <f>setrules!J256&amp;IF(setrules!K256="","",",-"&amp;setrules!K256)</f>
        <v/>
      </c>
      <c r="E205" t="str">
        <f>setrules!L256&amp;IF(setrules!M256="","",",-"&amp;setrules!M256)</f>
        <v/>
      </c>
      <c r="F205" t="str">
        <f>setrules!B256</f>
        <v>TLEF-ALL</v>
      </c>
    </row>
    <row r="206" spans="1:6" x14ac:dyDescent="0.25">
      <c r="A206" t="str">
        <f>setrules!D257&amp;IF(setrules!E257="","",",-"&amp;setrules!E257)</f>
        <v/>
      </c>
      <c r="B206" t="str">
        <f>setrules!F257&amp;IF(setrules!G257="","",",-"&amp;setrules!G257)&amp;IF(setrules!P257="","",",-"&amp;setrules!P257)</f>
        <v>TL*</v>
      </c>
      <c r="C206" t="str">
        <f>setrules!H257&amp;IF(setrules!I257="","",",-"&amp;setrules!I257)</f>
        <v/>
      </c>
      <c r="D206" t="str">
        <f>setrules!J257&amp;IF(setrules!K257="","",",-"&amp;setrules!K257)</f>
        <v>*ELC</v>
      </c>
      <c r="E206" t="str">
        <f>setrules!L257&amp;IF(setrules!M257="","",",-"&amp;setrules!M257)</f>
        <v/>
      </c>
      <c r="F206" t="str">
        <f>setrules!B257</f>
        <v>TL-ELC</v>
      </c>
    </row>
    <row r="207" spans="1:6" x14ac:dyDescent="0.25">
      <c r="A207" t="str">
        <f>setrules!D258&amp;IF(setrules!E258="","",",-"&amp;setrules!E258)</f>
        <v/>
      </c>
      <c r="B207" t="str">
        <f>setrules!F258&amp;IF(setrules!G258="","",",-"&amp;setrules!G258)&amp;IF(setrules!P258="","",",-"&amp;setrules!P258)</f>
        <v>TL*ELC</v>
      </c>
      <c r="C207" t="str">
        <f>setrules!H258&amp;IF(setrules!I258="","",",-"&amp;setrules!I258)</f>
        <v/>
      </c>
      <c r="D207" t="str">
        <f>setrules!J258&amp;IF(setrules!K258="","",",-"&amp;setrules!K258)</f>
        <v/>
      </c>
      <c r="E207" t="str">
        <f>setrules!L258&amp;IF(setrules!M258="","",",-"&amp;setrules!M258)</f>
        <v/>
      </c>
      <c r="F207" t="str">
        <f>setrules!B258</f>
        <v>TL-ELCA</v>
      </c>
    </row>
    <row r="208" spans="1:6" x14ac:dyDescent="0.25">
      <c r="A208" t="str">
        <f>setrules!D259&amp;IF(setrules!E259="","",",-"&amp;setrules!E259)</f>
        <v/>
      </c>
      <c r="B208" t="str">
        <f>setrules!F259&amp;IF(setrules!G259="","",",-"&amp;setrules!G259)&amp;IF(setrules!P259="","",",-"&amp;setrules!P259)</f>
        <v>TL*ELCB</v>
      </c>
      <c r="C208" t="str">
        <f>setrules!H259&amp;IF(setrules!I259="","",",-"&amp;setrules!I259)</f>
        <v/>
      </c>
      <c r="D208" t="str">
        <f>setrules!J259&amp;IF(setrules!K259="","",",-"&amp;setrules!K259)</f>
        <v/>
      </c>
      <c r="E208" t="str">
        <f>setrules!L259&amp;IF(setrules!M259="","",",-"&amp;setrules!M259)</f>
        <v/>
      </c>
      <c r="F208" t="str">
        <f>setrules!B259</f>
        <v>TL-ELCB</v>
      </c>
    </row>
    <row r="209" spans="1:6" x14ac:dyDescent="0.25">
      <c r="A209" t="str">
        <f>setrules!D260&amp;IF(setrules!E260="","",",-"&amp;setrules!E260)</f>
        <v/>
      </c>
      <c r="B209" t="str">
        <f>setrules!F260&amp;IF(setrules!G260="","",",-"&amp;setrules!G260)&amp;IF(setrules!P260="","",",-"&amp;setrules!P260)</f>
        <v/>
      </c>
      <c r="C209" t="str">
        <f>setrules!H260&amp;IF(setrules!I260="","",",-"&amp;setrules!I260)</f>
        <v/>
      </c>
      <c r="D209" t="str">
        <f>setrules!J260&amp;IF(setrules!K260="","",",-"&amp;setrules!K260)</f>
        <v>TOGSL1</v>
      </c>
      <c r="E209" t="str">
        <f>setrules!L260&amp;IF(setrules!M260="","",",-"&amp;setrules!M260)</f>
        <v/>
      </c>
      <c r="F209" t="str">
        <f>setrules!B260</f>
        <v>TO-GSL</v>
      </c>
    </row>
    <row r="210" spans="1:6" x14ac:dyDescent="0.25">
      <c r="A210" t="str">
        <f>setrules!D261&amp;IF(setrules!E261="","",",-"&amp;setrules!E261)</f>
        <v/>
      </c>
      <c r="B210" t="str">
        <f>setrules!F261&amp;IF(setrules!G261="","",",-"&amp;setrules!G261)&amp;IF(setrules!P261="","",",-"&amp;setrules!P261)</f>
        <v>TL*</v>
      </c>
      <c r="C210" t="str">
        <f>setrules!H261&amp;IF(setrules!I261="","",",-"&amp;setrules!I261)</f>
        <v>*CONV*</v>
      </c>
      <c r="D210" t="str">
        <f>setrules!J261&amp;IF(setrules!K261="","",",-"&amp;setrules!K261)</f>
        <v/>
      </c>
      <c r="E210" t="str">
        <f>setrules!L261&amp;IF(setrules!M261="","",",-"&amp;setrules!M261)</f>
        <v/>
      </c>
      <c r="F210" t="str">
        <f>setrules!B261</f>
        <v>TL-CONV</v>
      </c>
    </row>
    <row r="211" spans="1:6" x14ac:dyDescent="0.25">
      <c r="A211" t="str">
        <f>setrules!D262&amp;IF(setrules!E262="","",",-"&amp;setrules!E262)</f>
        <v/>
      </c>
      <c r="B211" t="str">
        <f>setrules!F262&amp;IF(setrules!G262="","",",-"&amp;setrules!G262)&amp;IF(setrules!P262="","",",-"&amp;setrules!P262)</f>
        <v>IFDEFACCOA</v>
      </c>
      <c r="C211" t="str">
        <f>setrules!H262&amp;IF(setrules!I262="","",",-"&amp;setrules!I262)</f>
        <v/>
      </c>
      <c r="D211" t="str">
        <f>setrules!J262&amp;IF(setrules!K262="","",",-"&amp;setrules!K262)</f>
        <v/>
      </c>
      <c r="E211" t="str">
        <f>setrules!L262&amp;IF(setrules!M262="","",",-"&amp;setrules!M262)</f>
        <v/>
      </c>
      <c r="F211" t="str">
        <f>setrules!B262</f>
        <v>IFDFA_COA</v>
      </c>
    </row>
    <row r="212" spans="1:6" x14ac:dyDescent="0.25">
      <c r="A212" t="str">
        <f>setrules!D263&amp;IF(setrules!E263="","",",-"&amp;setrules!E263)</f>
        <v/>
      </c>
      <c r="B212" t="str">
        <f>setrules!F263&amp;IF(setrules!G263="","",",-"&amp;setrules!G263)&amp;IF(setrules!P263="","",",-"&amp;setrules!P263)</f>
        <v>IMOH*DST*</v>
      </c>
      <c r="C212" t="str">
        <f>setrules!H263&amp;IF(setrules!I263="","",",-"&amp;setrules!I263)</f>
        <v/>
      </c>
      <c r="D212" t="str">
        <f>setrules!J263&amp;IF(setrules!K263="","",",-"&amp;setrules!K263)</f>
        <v/>
      </c>
      <c r="E212" t="str">
        <f>setrules!L263&amp;IF(setrules!M263="","",",-"&amp;setrules!M263)</f>
        <v/>
      </c>
      <c r="F212" t="str">
        <f>setrules!B263</f>
        <v>IMOH_DST</v>
      </c>
    </row>
    <row r="213" spans="1:6" x14ac:dyDescent="0.25">
      <c r="A213" t="str">
        <f>setrules!D264&amp;IF(setrules!E264="","",",-"&amp;setrules!E264)</f>
        <v/>
      </c>
      <c r="B213" t="str">
        <f>setrules!F264&amp;IF(setrules!G264="","",",-"&amp;setrules!G264)&amp;IF(setrules!P264="","",",-"&amp;setrules!P264)</f>
        <v>TCD*</v>
      </c>
      <c r="C213" t="str">
        <f>setrules!H264&amp;IF(setrules!I264="","",",-"&amp;setrules!I264)</f>
        <v/>
      </c>
      <c r="D213" t="str">
        <f>setrules!J264&amp;IF(setrules!K264="","",",-"&amp;setrules!K264)</f>
        <v/>
      </c>
      <c r="E213" t="str">
        <f>setrules!L264&amp;IF(setrules!M264="","",",-"&amp;setrules!M264)</f>
        <v/>
      </c>
      <c r="F213" t="str">
        <f>setrules!B264</f>
        <v>TCR-DSL</v>
      </c>
    </row>
    <row r="214" spans="1:6" x14ac:dyDescent="0.25">
      <c r="A214" t="str">
        <f>setrules!D265&amp;IF(setrules!E265="","",",-"&amp;setrules!E265)</f>
        <v/>
      </c>
      <c r="B214" t="str">
        <f>setrules!F265&amp;IF(setrules!G265="","",",-"&amp;setrules!G265)&amp;IF(setrules!P265="","",",-"&amp;setrules!P265)</f>
        <v>TCG*</v>
      </c>
      <c r="C214" t="str">
        <f>setrules!H265&amp;IF(setrules!I265="","",",-"&amp;setrules!I265)</f>
        <v/>
      </c>
      <c r="D214" t="str">
        <f>setrules!J265&amp;IF(setrules!K265="","",",-"&amp;setrules!K265)</f>
        <v/>
      </c>
      <c r="E214" t="str">
        <f>setrules!L265&amp;IF(setrules!M265="","",",-"&amp;setrules!M265)</f>
        <v/>
      </c>
      <c r="F214" t="str">
        <f>setrules!B265</f>
        <v>TCR-GSL</v>
      </c>
    </row>
    <row r="215" spans="1:6" x14ac:dyDescent="0.25">
      <c r="A215" t="str">
        <f>setrules!D266&amp;IF(setrules!E266="","",",-"&amp;setrules!E266)</f>
        <v/>
      </c>
      <c r="B215" t="str">
        <f>setrules!F266&amp;IF(setrules!G266="","",",-"&amp;setrules!G266)&amp;IF(setrules!P266="","",",-"&amp;setrules!P266)</f>
        <v>T*,-S*</v>
      </c>
      <c r="C215" t="str">
        <f>setrules!H266&amp;IF(setrules!I266="","",",-"&amp;setrules!I266)</f>
        <v/>
      </c>
      <c r="D215" t="str">
        <f>setrules!J266&amp;IF(setrules!K266="","",",-"&amp;setrules!K266)</f>
        <v>T*DSL*</v>
      </c>
      <c r="E215" t="str">
        <f>setrules!L266&amp;IF(setrules!M266="","",",-"&amp;setrules!M266)</f>
        <v/>
      </c>
      <c r="F215" t="str">
        <f>setrules!B266</f>
        <v>TDSL_ALL</v>
      </c>
    </row>
    <row r="216" spans="1:6" x14ac:dyDescent="0.25">
      <c r="A216" t="str">
        <f>setrules!D267&amp;IF(setrules!E267="","",",-"&amp;setrules!E267)</f>
        <v/>
      </c>
      <c r="B216" t="str">
        <f>setrules!F267&amp;IF(setrules!G267="","",",-"&amp;setrules!G267)&amp;IF(setrules!P267="","",",-"&amp;setrules!P267)</f>
        <v/>
      </c>
      <c r="C216" t="str">
        <f>setrules!H267&amp;IF(setrules!I267="","",",-"&amp;setrules!I267)</f>
        <v/>
      </c>
      <c r="D216" t="str">
        <f>setrules!J267&amp;IF(setrules!K267="","",",-"&amp;setrules!K267)</f>
        <v>T*E85X</v>
      </c>
      <c r="E216" t="str">
        <f>setrules!L267&amp;IF(setrules!M267="","",",-"&amp;setrules!M267)</f>
        <v/>
      </c>
      <c r="F216" t="str">
        <f>setrules!B267</f>
        <v>TE85X_ALL</v>
      </c>
    </row>
    <row r="217" spans="1:6" x14ac:dyDescent="0.25">
      <c r="A217" t="str">
        <f>setrules!D268&amp;IF(setrules!E268="","",",-"&amp;setrules!E268)</f>
        <v/>
      </c>
      <c r="B217" t="str">
        <f>setrules!F268&amp;IF(setrules!G268="","",",-"&amp;setrules!G268)&amp;IF(setrules!P268="","",",-"&amp;setrules!P268)</f>
        <v>T*</v>
      </c>
      <c r="C217" t="str">
        <f>setrules!H268&amp;IF(setrules!I268="","",",-"&amp;setrules!I268)</f>
        <v/>
      </c>
      <c r="D217" t="str">
        <f>setrules!J268&amp;IF(setrules!K268="","",",-"&amp;setrules!K268)</f>
        <v>T*ELC*</v>
      </c>
      <c r="E217" t="str">
        <f>setrules!L268&amp;IF(setrules!M268="","",",-"&amp;setrules!M268)</f>
        <v/>
      </c>
      <c r="F217" t="str">
        <f>setrules!B268</f>
        <v>TELC_ALL</v>
      </c>
    </row>
    <row r="218" spans="1:6" x14ac:dyDescent="0.25">
      <c r="A218" t="str">
        <f>setrules!D269&amp;IF(setrules!E269="","",",-"&amp;setrules!E269)</f>
        <v/>
      </c>
      <c r="B218" t="str">
        <f>setrules!F269&amp;IF(setrules!G269="","",",-"&amp;setrules!G269)&amp;IF(setrules!P269="","",",-"&amp;setrules!P269)</f>
        <v>,-,-EBIOIGCCCS,-SELFGST,-SELFGICE,-SELFGGT,-SELFGGCC,-SEELCWTE,-SEELCRFL,-SEELCRFH,-SEELCDSL,-SEELCBSTM,-SEELCBIGCC,-</v>
      </c>
      <c r="C218" t="str">
        <f>setrules!H269&amp;IF(setrules!I269="","",",-"&amp;setrules!I269)</f>
        <v>,-BIOMASS COFIRING*</v>
      </c>
      <c r="D218" t="str">
        <f>setrules!J269&amp;IF(setrules!K269="","",",-"&amp;setrules!K269)</f>
        <v/>
      </c>
      <c r="E218" t="str">
        <f>setrules!L269&amp;IF(setrules!M269="","",",-"&amp;setrules!M269)</f>
        <v>ELCCO2</v>
      </c>
      <c r="F218" t="str">
        <f>setrules!B269</f>
        <v>TESTSET2_COALNGCO2</v>
      </c>
    </row>
    <row r="219" spans="1:6" x14ac:dyDescent="0.25">
      <c r="A219" t="str">
        <f>setrules!D270&amp;IF(setrules!E270="","",",-"&amp;setrules!E270)</f>
        <v/>
      </c>
      <c r="B219" t="str">
        <f>setrules!F270&amp;IF(setrules!G270="","",",-"&amp;setrules!G270)&amp;IF(setrules!P270="","",",-"&amp;setrules!P270)</f>
        <v>T*</v>
      </c>
      <c r="C219" t="str">
        <f>setrules!H270&amp;IF(setrules!I270="","",",-"&amp;setrules!I270)</f>
        <v/>
      </c>
      <c r="D219" t="str">
        <f>setrules!J270&amp;IF(setrules!K270="","",",-"&amp;setrules!K270)</f>
        <v>T*JTF*</v>
      </c>
      <c r="E219" t="str">
        <f>setrules!L270&amp;IF(setrules!M270="","",",-"&amp;setrules!M270)</f>
        <v/>
      </c>
      <c r="F219" t="str">
        <f>setrules!B270</f>
        <v>TJTF_ALL</v>
      </c>
    </row>
    <row r="220" spans="1:6" x14ac:dyDescent="0.25">
      <c r="A220" t="str">
        <f>setrules!D271&amp;IF(setrules!E271="","",",-"&amp;setrules!E271)</f>
        <v/>
      </c>
      <c r="B220" t="str">
        <f>setrules!F271&amp;IF(setrules!G271="","",",-"&amp;setrules!G271)&amp;IF(setrules!P271="","",",-"&amp;setrules!P271)</f>
        <v>TH*</v>
      </c>
      <c r="C220" t="str">
        <f>setrules!H271&amp;IF(setrules!I271="","",",-"&amp;setrules!I271)</f>
        <v/>
      </c>
      <c r="D220" t="str">
        <f>setrules!J271&amp;IF(setrules!K271="","",",-"&amp;setrules!K271)</f>
        <v/>
      </c>
      <c r="E220" t="str">
        <f>setrules!L271&amp;IF(setrules!M271="","",",-"&amp;setrules!M271)</f>
        <v/>
      </c>
      <c r="F220" t="str">
        <f>setrules!B271</f>
        <v>TH-ALL</v>
      </c>
    </row>
    <row r="221" spans="1:6" x14ac:dyDescent="0.25">
      <c r="A221" t="str">
        <f>setrules!D272&amp;IF(setrules!E272="","",",-"&amp;setrules!E272)</f>
        <v/>
      </c>
      <c r="B221" t="str">
        <f>setrules!F272&amp;IF(setrules!G272="","",",-"&amp;setrules!G272)&amp;IF(setrules!P272="","",",-"&amp;setrules!P272)</f>
        <v>THSG*</v>
      </c>
      <c r="C221" t="str">
        <f>setrules!H272&amp;IF(setrules!I272="","",",-"&amp;setrules!I272)</f>
        <v/>
      </c>
      <c r="D221" t="str">
        <f>setrules!J272&amp;IF(setrules!K272="","",",-"&amp;setrules!K272)</f>
        <v/>
      </c>
      <c r="E221" t="str">
        <f>setrules!L272&amp;IF(setrules!M272="","",",-"&amp;setrules!M272)</f>
        <v/>
      </c>
      <c r="F221" t="str">
        <f>setrules!B272</f>
        <v>THS-GSL</v>
      </c>
    </row>
    <row r="222" spans="1:6" x14ac:dyDescent="0.25">
      <c r="B222" t="s">
        <v>2683</v>
      </c>
      <c r="F222" t="s">
        <v>1680</v>
      </c>
    </row>
    <row r="223" spans="1:6" x14ac:dyDescent="0.25">
      <c r="B223" t="s">
        <v>2684</v>
      </c>
      <c r="F223" t="s">
        <v>1677</v>
      </c>
    </row>
    <row r="224" spans="1:6" x14ac:dyDescent="0.25">
      <c r="B224" t="s">
        <v>2686</v>
      </c>
      <c r="F224" t="s">
        <v>1638</v>
      </c>
    </row>
    <row r="225" spans="1:6" x14ac:dyDescent="0.25">
      <c r="B225" t="s">
        <v>2678</v>
      </c>
      <c r="F225" t="s">
        <v>1640</v>
      </c>
    </row>
    <row r="226" spans="1:6" x14ac:dyDescent="0.25">
      <c r="A226" t="str">
        <f>setrules!D277&amp;IF(setrules!E277="","",",-"&amp;setrules!E277)</f>
        <v/>
      </c>
      <c r="B226" t="str">
        <f>setrules!F277&amp;IF(setrules!G277="","",",-"&amp;setrules!G277)&amp;IF(setrules!P277="","",",-"&amp;setrules!P277)</f>
        <v>THLD*</v>
      </c>
      <c r="C226" t="str">
        <f>setrules!H277&amp;IF(setrules!I277="","",",-"&amp;setrules!I277)</f>
        <v/>
      </c>
      <c r="D226" t="str">
        <f>setrules!J277&amp;IF(setrules!K277="","",",-"&amp;setrules!K277)</f>
        <v/>
      </c>
      <c r="E226" t="str">
        <f>setrules!L277&amp;IF(setrules!M277="","",",-"&amp;setrules!M277)</f>
        <v/>
      </c>
      <c r="F226" t="str">
        <f>setrules!B277</f>
        <v>THR-DSL</v>
      </c>
    </row>
    <row r="227" spans="1:6" x14ac:dyDescent="0.25">
      <c r="A227" t="str">
        <f>setrules!D278&amp;IF(setrules!E278="","",",-"&amp;setrules!E278)</f>
        <v/>
      </c>
      <c r="B227" t="str">
        <f>setrules!F278&amp;IF(setrules!G278="","",",-"&amp;setrules!G278)&amp;IF(setrules!P278="","",",-"&amp;setrules!P278)</f>
        <v>THS*</v>
      </c>
      <c r="C227" t="str">
        <f>setrules!H278&amp;IF(setrules!I278="","",",-"&amp;setrules!I278)</f>
        <v/>
      </c>
      <c r="D227" t="str">
        <f>setrules!J278&amp;IF(setrules!K278="","",",-"&amp;setrules!K278)</f>
        <v/>
      </c>
      <c r="E227" t="str">
        <f>setrules!L278&amp;IF(setrules!M278="","",",-"&amp;setrules!M278)</f>
        <v/>
      </c>
      <c r="F227" t="str">
        <f>setrules!B278</f>
        <v>THS-ALL</v>
      </c>
    </row>
    <row r="228" spans="1:6" x14ac:dyDescent="0.25">
      <c r="A228" t="str">
        <f>setrules!D279&amp;IF(setrules!E279="","",",-"&amp;setrules!E279)</f>
        <v/>
      </c>
      <c r="B228" t="str">
        <f>setrules!F279&amp;IF(setrules!G279="","",",-"&amp;setrules!G279)&amp;IF(setrules!P279="","",",-"&amp;setrules!P279)</f>
        <v>TLEMC*</v>
      </c>
      <c r="C228" t="str">
        <f>setrules!H279&amp;IF(setrules!I279="","",",-"&amp;setrules!I279)</f>
        <v/>
      </c>
      <c r="D228" t="str">
        <f>setrules!J279&amp;IF(setrules!K279="","",",-"&amp;setrules!K279)</f>
        <v/>
      </c>
      <c r="E228" t="str">
        <f>setrules!L279&amp;IF(setrules!M279="","",",-"&amp;setrules!M279)</f>
        <v/>
      </c>
      <c r="F228" t="str">
        <f>setrules!B279</f>
        <v>TLEMC-ALL</v>
      </c>
    </row>
    <row r="229" spans="1:6" x14ac:dyDescent="0.25">
      <c r="A229" t="str">
        <f>setrules!D280&amp;IF(setrules!E280="","",",-"&amp;setrules!E280)</f>
        <v/>
      </c>
      <c r="B229" t="str">
        <f>setrules!F280&amp;IF(setrules!G280="","",",-"&amp;setrules!G280)&amp;IF(setrules!P280="","",",-"&amp;setrules!P280)</f>
        <v>IFDEMDRELC</v>
      </c>
      <c r="C229" t="str">
        <f>setrules!H280&amp;IF(setrules!I280="","",",-"&amp;setrules!I280)</f>
        <v/>
      </c>
      <c r="D229" t="str">
        <f>setrules!J280&amp;IF(setrules!K280="","",",-"&amp;setrules!K280)</f>
        <v/>
      </c>
      <c r="E229" t="str">
        <f>setrules!L280&amp;IF(setrules!M280="","",",-"&amp;setrules!M280)</f>
        <v/>
      </c>
      <c r="F229" t="str">
        <f>setrules!B280</f>
        <v>IFDMD_ELC</v>
      </c>
    </row>
    <row r="230" spans="1:6" x14ac:dyDescent="0.25">
      <c r="A230" t="str">
        <f>setrules!D281&amp;IF(setrules!E281="","",",-"&amp;setrules!E281)</f>
        <v/>
      </c>
      <c r="B230" t="str">
        <f>setrules!F281&amp;IF(setrules!G281="","",",-"&amp;setrules!G281)&amp;IF(setrules!P281="","",",-"&amp;setrules!P281)</f>
        <v>TLP*</v>
      </c>
      <c r="C230" t="str">
        <f>setrules!H281&amp;IF(setrules!I281="","",",-"&amp;setrules!I281)</f>
        <v>*.P.*</v>
      </c>
      <c r="D230" t="str">
        <f>setrules!J281&amp;IF(setrules!K281="","",",-"&amp;setrules!K281)</f>
        <v/>
      </c>
      <c r="E230" t="str">
        <f>setrules!L281&amp;IF(setrules!M281="","",",-"&amp;setrules!M281)</f>
        <v/>
      </c>
      <c r="F230" t="str">
        <f>setrules!B281</f>
        <v>TL-TLP</v>
      </c>
    </row>
    <row r="231" spans="1:6" x14ac:dyDescent="0.25">
      <c r="A231" t="str">
        <f>setrules!D282&amp;IF(setrules!E282="","",",-"&amp;setrules!E282)</f>
        <v/>
      </c>
      <c r="B231" t="str">
        <f>setrules!F282&amp;IF(setrules!G282="","",",-"&amp;setrules!G282)&amp;IF(setrules!P282="","",",-"&amp;setrules!P282)</f>
        <v/>
      </c>
      <c r="C231" t="str">
        <f>setrules!H282&amp;IF(setrules!I282="","",",-"&amp;setrules!I282)</f>
        <v>TL*PHV*</v>
      </c>
      <c r="D231" t="str">
        <f>setrules!J282&amp;IF(setrules!K282="","",",-"&amp;setrules!K282)</f>
        <v/>
      </c>
      <c r="E231" t="str">
        <f>setrules!L282&amp;IF(setrules!M282="","",",-"&amp;setrules!M282)</f>
        <v/>
      </c>
      <c r="F231" t="str">
        <f>setrules!B282</f>
        <v>TL-PHEV40</v>
      </c>
    </row>
    <row r="232" spans="1:6" x14ac:dyDescent="0.25">
      <c r="A232" t="str">
        <f>setrules!D283&amp;IF(setrules!E283="","",",-"&amp;setrules!E283)</f>
        <v/>
      </c>
      <c r="B232" t="str">
        <f>setrules!F283&amp;IF(setrules!G283="","",",-"&amp;setrules!G283)&amp;IF(setrules!P283="","",",-"&amp;setrules!P283)</f>
        <v/>
      </c>
      <c r="C232" t="str">
        <f>setrules!H283&amp;IF(setrules!I283="","",",-"&amp;setrules!I283)</f>
        <v>TL*PHVE*</v>
      </c>
      <c r="D232" t="str">
        <f>setrules!J283&amp;IF(setrules!K283="","",",-"&amp;setrules!K283)</f>
        <v/>
      </c>
      <c r="E232" t="str">
        <f>setrules!L283&amp;IF(setrules!M283="","",",-"&amp;setrules!M283)</f>
        <v/>
      </c>
      <c r="F232" t="str">
        <f>setrules!B283</f>
        <v>TL-PHEV40E</v>
      </c>
    </row>
    <row r="233" spans="1:6" x14ac:dyDescent="0.25">
      <c r="A233" t="str">
        <f>setrules!D284&amp;IF(setrules!E284="","",",-"&amp;setrules!E284)</f>
        <v/>
      </c>
      <c r="B233" t="str">
        <f>setrules!F284&amp;IF(setrules!G284="","",",-"&amp;setrules!G284)&amp;IF(setrules!P284="","",",-"&amp;setrules!P284)</f>
        <v>TLSS*</v>
      </c>
      <c r="C233" t="str">
        <f>setrules!H284&amp;IF(setrules!I284="","",",-"&amp;setrules!I284)</f>
        <v/>
      </c>
      <c r="D233" t="str">
        <f>setrules!J284&amp;IF(setrules!K284="","",",-"&amp;setrules!K284)</f>
        <v/>
      </c>
      <c r="E233" t="str">
        <f>setrules!L284&amp;IF(setrules!M284="","",",-"&amp;setrules!M284)</f>
        <v/>
      </c>
      <c r="F233" t="str">
        <f>setrules!B284</f>
        <v>TLSS-ALL</v>
      </c>
    </row>
    <row r="234" spans="1:6" x14ac:dyDescent="0.25">
      <c r="A234" t="str">
        <f>setrules!D285&amp;IF(setrules!E285="","",",-"&amp;setrules!E285)</f>
        <v/>
      </c>
      <c r="B234" t="str">
        <f>setrules!F285&amp;IF(setrules!G285="","",",-"&amp;setrules!G285)&amp;IF(setrules!P285="","",",-"&amp;setrules!P285)</f>
        <v>TLC*</v>
      </c>
      <c r="C234" t="str">
        <f>setrules!H285&amp;IF(setrules!I285="","",",-"&amp;setrules!I285)</f>
        <v>*.C.*</v>
      </c>
      <c r="D234" t="str">
        <f>setrules!J285&amp;IF(setrules!K285="","",",-"&amp;setrules!K285)</f>
        <v/>
      </c>
      <c r="E234" t="str">
        <f>setrules!L285&amp;IF(setrules!M285="","",",-"&amp;setrules!M285)</f>
        <v/>
      </c>
      <c r="F234" t="str">
        <f>setrules!B285</f>
        <v>TL-TLC</v>
      </c>
    </row>
    <row r="235" spans="1:6" x14ac:dyDescent="0.25">
      <c r="A235" t="str">
        <f>setrules!D286&amp;IF(setrules!E286="","",",-"&amp;setrules!E286)</f>
        <v/>
      </c>
      <c r="B235" t="str">
        <f>setrules!F286&amp;IF(setrules!G286="","",",-"&amp;setrules!G286)&amp;IF(setrules!P286="","",",-"&amp;setrules!P286)</f>
        <v>TLF*</v>
      </c>
      <c r="C235" t="str">
        <f>setrules!H286&amp;IF(setrules!I286="","",",-"&amp;setrules!I286)</f>
        <v>*.F.*</v>
      </c>
      <c r="D235" t="str">
        <f>setrules!J286&amp;IF(setrules!K286="","",",-"&amp;setrules!K286)</f>
        <v/>
      </c>
      <c r="E235" t="str">
        <f>setrules!L286&amp;IF(setrules!M286="","",",-"&amp;setrules!M286)</f>
        <v/>
      </c>
      <c r="F235" t="str">
        <f>setrules!B286</f>
        <v>TL-TLF</v>
      </c>
    </row>
    <row r="236" spans="1:6" x14ac:dyDescent="0.25">
      <c r="A236" t="str">
        <f>setrules!D287&amp;IF(setrules!E287="","",",-"&amp;setrules!E287)</f>
        <v/>
      </c>
      <c r="B236" t="str">
        <f>setrules!F287&amp;IF(setrules!G287="","",",-"&amp;setrules!G287)&amp;IF(setrules!P287="","",",-"&amp;setrules!P287)</f>
        <v>TLLS*</v>
      </c>
      <c r="C236" t="str">
        <f>setrules!H287&amp;IF(setrules!I287="","",",-"&amp;setrules!I287)</f>
        <v>*.LS.*</v>
      </c>
      <c r="D236" t="str">
        <f>setrules!J287&amp;IF(setrules!K287="","",",-"&amp;setrules!K287)</f>
        <v/>
      </c>
      <c r="E236" t="str">
        <f>setrules!L287&amp;IF(setrules!M287="","",",-"&amp;setrules!M287)</f>
        <v/>
      </c>
      <c r="F236" t="str">
        <f>setrules!B287</f>
        <v>TL-TLLS</v>
      </c>
    </row>
    <row r="237" spans="1:6" x14ac:dyDescent="0.25">
      <c r="A237" t="str">
        <f>setrules!D288&amp;IF(setrules!E288="","",",-"&amp;setrules!E288)</f>
        <v/>
      </c>
      <c r="B237" t="str">
        <f>setrules!F288&amp;IF(setrules!G288="","",",-"&amp;setrules!G288)&amp;IF(setrules!P288="","",",-"&amp;setrules!P288)</f>
        <v>TLELS*</v>
      </c>
      <c r="C237" t="str">
        <f>setrules!H288&amp;IF(setrules!I288="","",",-"&amp;setrules!I288)</f>
        <v/>
      </c>
      <c r="D237" t="str">
        <f>setrules!J288&amp;IF(setrules!K288="","",",-"&amp;setrules!K288)</f>
        <v/>
      </c>
      <c r="E237" t="str">
        <f>setrules!L288&amp;IF(setrules!M288="","",",-"&amp;setrules!M288)</f>
        <v/>
      </c>
      <c r="F237" t="str">
        <f>setrules!B288</f>
        <v>TLELS-ALL</v>
      </c>
    </row>
    <row r="238" spans="1:6" x14ac:dyDescent="0.25">
      <c r="A238" t="str">
        <f>setrules!D289&amp;IF(setrules!E289="","",",-"&amp;setrules!E289)</f>
        <v/>
      </c>
      <c r="B238" t="str">
        <f>setrules!F289&amp;IF(setrules!G289="","",",-"&amp;setrules!G289)&amp;IF(setrules!P289="","",",-"&amp;setrules!P289)</f>
        <v>TLMC*</v>
      </c>
      <c r="C238" t="str">
        <f>setrules!H289&amp;IF(setrules!I289="","",",-"&amp;setrules!I289)</f>
        <v>TL*MC*</v>
      </c>
      <c r="D238" t="str">
        <f>setrules!J289&amp;IF(setrules!K289="","",",-"&amp;setrules!K289)</f>
        <v/>
      </c>
      <c r="E238" t="str">
        <f>setrules!L289&amp;IF(setrules!M289="","",",-"&amp;setrules!M289)</f>
        <v/>
      </c>
      <c r="F238" t="str">
        <f>setrules!B289</f>
        <v>TL-TLMC</v>
      </c>
    </row>
    <row r="239" spans="1:6" x14ac:dyDescent="0.25">
      <c r="A239" t="str">
        <f>setrules!D290&amp;IF(setrules!E290="","",",-"&amp;setrules!E290)</f>
        <v/>
      </c>
      <c r="B239" t="str">
        <f>setrules!F290&amp;IF(setrules!G290="","",",-"&amp;setrules!G290)&amp;IF(setrules!P290="","",",-"&amp;setrules!P290)</f>
        <v/>
      </c>
      <c r="C239" t="str">
        <f>setrules!H290&amp;IF(setrules!I290="","",",-"&amp;setrules!I290)</f>
        <v>TL*PHV*</v>
      </c>
      <c r="D239" t="str">
        <f>setrules!J290&amp;IF(setrules!K290="","",",-"&amp;setrules!K290)</f>
        <v/>
      </c>
      <c r="E239" t="str">
        <f>setrules!L290&amp;IF(setrules!M290="","",",-"&amp;setrules!M290)</f>
        <v/>
      </c>
      <c r="F239" t="str">
        <f>setrules!B290</f>
        <v>TL-PHEV</v>
      </c>
    </row>
    <row r="240" spans="1:6" x14ac:dyDescent="0.25">
      <c r="A240" t="str">
        <f>setrules!D291&amp;IF(setrules!E291="","",",-"&amp;setrules!E291)</f>
        <v/>
      </c>
      <c r="B240" t="str">
        <f>setrules!F291&amp;IF(setrules!G291="","",",-"&amp;setrules!G291)&amp;IF(setrules!P291="","",",-"&amp;setrules!P291)</f>
        <v>TLSS*</v>
      </c>
      <c r="C240" t="str">
        <f>setrules!H291&amp;IF(setrules!I291="","",",-"&amp;setrules!I291)</f>
        <v>*.SS.*</v>
      </c>
      <c r="D240" t="str">
        <f>setrules!J291&amp;IF(setrules!K291="","",",-"&amp;setrules!K291)</f>
        <v/>
      </c>
      <c r="E240" t="str">
        <f>setrules!L291&amp;IF(setrules!M291="","",",-"&amp;setrules!M291)</f>
        <v/>
      </c>
      <c r="F240" t="str">
        <f>setrules!B291</f>
        <v>TL-TLSS</v>
      </c>
    </row>
    <row r="241" spans="1:6" x14ac:dyDescent="0.25">
      <c r="A241" t="str">
        <f>setrules!D292&amp;IF(setrules!E292="","",",-"&amp;setrules!E292)</f>
        <v/>
      </c>
      <c r="B241" t="str">
        <f>setrules!F292&amp;IF(setrules!G292="","",",-"&amp;setrules!G292)&amp;IF(setrules!P292="","",",-"&amp;setrules!P292)</f>
        <v>TM*</v>
      </c>
      <c r="C241" t="str">
        <f>setrules!H292&amp;IF(setrules!I292="","",",-"&amp;setrules!I292)</f>
        <v/>
      </c>
      <c r="D241" t="str">
        <f>setrules!J292&amp;IF(setrules!K292="","",",-"&amp;setrules!K292)</f>
        <v/>
      </c>
      <c r="E241" t="str">
        <f>setrules!L292&amp;IF(setrules!M292="","",",-"&amp;setrules!M292)</f>
        <v/>
      </c>
      <c r="F241" t="str">
        <f>setrules!B292</f>
        <v>TM-ALL</v>
      </c>
    </row>
    <row r="242" spans="1:6" x14ac:dyDescent="0.25">
      <c r="A242" t="str">
        <f>setrules!D293&amp;IF(setrules!E293="","",",-"&amp;setrules!E293)</f>
        <v/>
      </c>
      <c r="B242" t="str">
        <f>setrules!F293&amp;IF(setrules!G293="","",",-"&amp;setrules!G293)&amp;IF(setrules!P293="","",",-"&amp;setrules!P293)</f>
        <v/>
      </c>
      <c r="C242" t="str">
        <f>setrules!H293&amp;IF(setrules!I293="","",",-"&amp;setrules!I293)</f>
        <v/>
      </c>
      <c r="D242" t="str">
        <f>setrules!J293&amp;IF(setrules!K293="","",",-"&amp;setrules!K293)</f>
        <v>TMB20X</v>
      </c>
      <c r="E242" t="str">
        <f>setrules!L293&amp;IF(setrules!M293="","",",-"&amp;setrules!M293)</f>
        <v/>
      </c>
      <c r="F242" t="str">
        <f>setrules!B293</f>
        <v>TM-B20X</v>
      </c>
    </row>
    <row r="243" spans="1:6" x14ac:dyDescent="0.25">
      <c r="A243" t="str">
        <f>setrules!D294&amp;IF(setrules!E294="","",",-"&amp;setrules!E294)</f>
        <v/>
      </c>
      <c r="B243" t="str">
        <f>setrules!F294&amp;IF(setrules!G294="","",",-"&amp;setrules!G294)&amp;IF(setrules!P294="","",",-"&amp;setrules!P294)</f>
        <v>TMC*</v>
      </c>
      <c r="C243" t="str">
        <f>setrules!H294&amp;IF(setrules!I294="","",",-"&amp;setrules!I294)</f>
        <v/>
      </c>
      <c r="D243" t="str">
        <f>setrules!J294&amp;IF(setrules!K294="","",",-"&amp;setrules!K294)</f>
        <v/>
      </c>
      <c r="E243" t="str">
        <f>setrules!L294&amp;IF(setrules!M294="","",",-"&amp;setrules!M294)</f>
        <v/>
      </c>
      <c r="F243" t="str">
        <f>setrules!B294</f>
        <v>TM-CNG</v>
      </c>
    </row>
    <row r="244" spans="1:6" x14ac:dyDescent="0.25">
      <c r="A244" t="str">
        <f>setrules!D295&amp;IF(setrules!E295="","",",-"&amp;setrules!E295)</f>
        <v/>
      </c>
      <c r="B244" t="str">
        <f>setrules!F295&amp;IF(setrules!G295="","",",-"&amp;setrules!G295)&amp;IF(setrules!P295="","",",-"&amp;setrules!P295)</f>
        <v>TMD*</v>
      </c>
      <c r="C244" t="str">
        <f>setrules!H295&amp;IF(setrules!I295="","",",-"&amp;setrules!I295)</f>
        <v/>
      </c>
      <c r="D244" t="str">
        <f>setrules!J295&amp;IF(setrules!K295="","",",-"&amp;setrules!K295)</f>
        <v/>
      </c>
      <c r="E244" t="str">
        <f>setrules!L295&amp;IF(setrules!M295="","",",-"&amp;setrules!M295)</f>
        <v/>
      </c>
      <c r="F244" t="str">
        <f>setrules!B295</f>
        <v>TM-DSL</v>
      </c>
    </row>
    <row r="245" spans="1:6" x14ac:dyDescent="0.25">
      <c r="A245" t="str">
        <f>setrules!D296&amp;IF(setrules!E296="","",",-"&amp;setrules!E296)</f>
        <v/>
      </c>
      <c r="B245" t="str">
        <f>setrules!F296&amp;IF(setrules!G296="","",",-"&amp;setrules!G296)&amp;IF(setrules!P296="","",",-"&amp;setrules!P296)</f>
        <v>TMG*</v>
      </c>
      <c r="C245" t="str">
        <f>setrules!H296&amp;IF(setrules!I296="","",",-"&amp;setrules!I296)</f>
        <v/>
      </c>
      <c r="D245" t="str">
        <f>setrules!J296&amp;IF(setrules!K296="","",",-"&amp;setrules!K296)</f>
        <v/>
      </c>
      <c r="E245" t="str">
        <f>setrules!L296&amp;IF(setrules!M296="","",",-"&amp;setrules!M296)</f>
        <v/>
      </c>
      <c r="F245" t="str">
        <f>setrules!B296</f>
        <v>TM-GSL</v>
      </c>
    </row>
    <row r="246" spans="1:6" x14ac:dyDescent="0.25">
      <c r="B246" t="s">
        <v>2677</v>
      </c>
      <c r="F246" t="s">
        <v>1536</v>
      </c>
    </row>
    <row r="247" spans="1:6" x14ac:dyDescent="0.25">
      <c r="A247" t="str">
        <f>setrules!D298&amp;IF(setrules!E298="","",",-"&amp;setrules!E298)</f>
        <v/>
      </c>
      <c r="B247" t="str">
        <f>setrules!F298&amp;IF(setrules!G298="","",",-"&amp;setrules!G298)&amp;IF(setrules!P298="","",",-"&amp;setrules!P298)</f>
        <v>TLM*</v>
      </c>
      <c r="C247" t="str">
        <f>setrules!H298&amp;IF(setrules!I298="","",",-"&amp;setrules!I298)</f>
        <v>*.M.*</v>
      </c>
      <c r="D247" t="str">
        <f>setrules!J298&amp;IF(setrules!K298="","",",-"&amp;setrules!K298)</f>
        <v/>
      </c>
      <c r="E247" t="str">
        <f>setrules!L298&amp;IF(setrules!M298="","",",-"&amp;setrules!M298)</f>
        <v/>
      </c>
      <c r="F247" t="str">
        <f>setrules!B298</f>
        <v>TL-TLM</v>
      </c>
    </row>
    <row r="248" spans="1:6" x14ac:dyDescent="0.25">
      <c r="B248" t="s">
        <v>2680</v>
      </c>
      <c r="F248" t="s">
        <v>1484</v>
      </c>
    </row>
    <row r="249" spans="1:6" x14ac:dyDescent="0.25">
      <c r="A249" t="str">
        <f>setrules!D300&amp;IF(setrules!E300="","",",-"&amp;setrules!E300)</f>
        <v/>
      </c>
      <c r="B249" t="str">
        <f>setrules!F300&amp;IF(setrules!G300="","",",-"&amp;setrules!G300)&amp;IF(setrules!P300="","",",-"&amp;setrules!P300)</f>
        <v>TLEP*</v>
      </c>
      <c r="C249" t="str">
        <f>setrules!H300&amp;IF(setrules!I300="","",",-"&amp;setrules!I300)</f>
        <v/>
      </c>
      <c r="D249" t="str">
        <f>setrules!J300&amp;IF(setrules!K300="","",",-"&amp;setrules!K300)</f>
        <v/>
      </c>
      <c r="E249" t="str">
        <f>setrules!L300&amp;IF(setrules!M300="","",",-"&amp;setrules!M300)</f>
        <v/>
      </c>
      <c r="F249" t="str">
        <f>setrules!B300</f>
        <v>TLEP-ALL</v>
      </c>
    </row>
    <row r="250" spans="1:6" x14ac:dyDescent="0.25">
      <c r="A250" t="str">
        <f>setrules!D301&amp;IF(setrules!E301="","",",-"&amp;setrules!E301)</f>
        <v/>
      </c>
      <c r="B250" t="str">
        <f>setrules!F301&amp;IF(setrules!G301="","",",-"&amp;setrules!G301)&amp;IF(setrules!P301="","",",-"&amp;setrules!P301)</f>
        <v>TLESS*</v>
      </c>
      <c r="C250" t="str">
        <f>setrules!H301&amp;IF(setrules!I301="","",",-"&amp;setrules!I301)</f>
        <v/>
      </c>
      <c r="D250" t="str">
        <f>setrules!J301&amp;IF(setrules!K301="","",",-"&amp;setrules!K301)</f>
        <v/>
      </c>
      <c r="E250" t="str">
        <f>setrules!L301&amp;IF(setrules!M301="","",",-"&amp;setrules!M301)</f>
        <v/>
      </c>
      <c r="F250" t="str">
        <f>setrules!B301</f>
        <v>TLESS-ALL</v>
      </c>
    </row>
    <row r="251" spans="1:6" x14ac:dyDescent="0.25">
      <c r="A251" t="str">
        <f>setrules!D302&amp;IF(setrules!E302="","",",-"&amp;setrules!E302)</f>
        <v/>
      </c>
      <c r="B251" t="str">
        <f>setrules!F302&amp;IF(setrules!G302="","",",-"&amp;setrules!G302)&amp;IF(setrules!P302="","",",-"&amp;setrules!P302)</f>
        <v>TL*</v>
      </c>
      <c r="C251" t="str">
        <f>setrules!H302&amp;IF(setrules!I302="","",",-"&amp;setrules!I302)</f>
        <v>*ETHX*</v>
      </c>
      <c r="D251" t="str">
        <f>setrules!J302&amp;IF(setrules!K302="","",",-"&amp;setrules!K302)</f>
        <v/>
      </c>
      <c r="E251" t="str">
        <f>setrules!L302&amp;IF(setrules!M302="","",",-"&amp;setrules!M302)</f>
        <v/>
      </c>
      <c r="F251" t="str">
        <f>setrules!B302</f>
        <v>TL-ETHX</v>
      </c>
    </row>
    <row r="252" spans="1:6" x14ac:dyDescent="0.25">
      <c r="A252" t="str">
        <f>setrules!D303&amp;IF(setrules!E303="","",",-"&amp;setrules!E303)</f>
        <v/>
      </c>
      <c r="B252" t="str">
        <f>setrules!F303&amp;IF(setrules!G303="","",",-"&amp;setrules!G303)&amp;IF(setrules!P303="","",",-"&amp;setrules!P303)</f>
        <v>TLF*</v>
      </c>
      <c r="C252" t="str">
        <f>setrules!H303&amp;IF(setrules!I303="","",",-"&amp;setrules!I303)</f>
        <v/>
      </c>
      <c r="D252" t="str">
        <f>setrules!J303&amp;IF(setrules!K303="","",",-"&amp;setrules!K303)</f>
        <v/>
      </c>
      <c r="E252" t="str">
        <f>setrules!L303&amp;IF(setrules!M303="","",",-"&amp;setrules!M303)</f>
        <v/>
      </c>
      <c r="F252" t="str">
        <f>setrules!B303</f>
        <v>TLF-ALL</v>
      </c>
    </row>
    <row r="253" spans="1:6" x14ac:dyDescent="0.25">
      <c r="A253" t="str">
        <f>setrules!D304&amp;IF(setrules!E304="","",",-"&amp;setrules!E304)</f>
        <v/>
      </c>
      <c r="B253" t="str">
        <f>setrules!F304&amp;IF(setrules!G304="","",",-"&amp;setrules!G304)&amp;IF(setrules!P304="","",",-"&amp;setrules!P304)</f>
        <v>TL*FCH*</v>
      </c>
      <c r="C253" t="str">
        <f>setrules!H304&amp;IF(setrules!I304="","",",-"&amp;setrules!I304)</f>
        <v/>
      </c>
      <c r="D253" t="str">
        <f>setrules!J304&amp;IF(setrules!K304="","",",-"&amp;setrules!K304)</f>
        <v/>
      </c>
      <c r="E253" t="str">
        <f>setrules!L304&amp;IF(setrules!M304="","",",-"&amp;setrules!M304)</f>
        <v/>
      </c>
      <c r="F253" t="str">
        <f>setrules!B304</f>
        <v>TL-FCV</v>
      </c>
    </row>
    <row r="254" spans="1:6" x14ac:dyDescent="0.25">
      <c r="A254" t="str">
        <f>setrules!D305&amp;IF(setrules!E305="","",",-"&amp;setrules!E305)</f>
        <v/>
      </c>
      <c r="B254" t="str">
        <f>setrules!F305&amp;IF(setrules!G305="","",",-"&amp;setrules!G305)&amp;IF(setrules!P305="","",",-"&amp;setrules!P305)</f>
        <v>TL*</v>
      </c>
      <c r="C254" t="str">
        <f>setrules!H305&amp;IF(setrules!I305="","",",-"&amp;setrules!I305)</f>
        <v/>
      </c>
      <c r="D254" t="str">
        <f>setrules!J305&amp;IF(setrules!K305="","",",-"&amp;setrules!K305)</f>
        <v>TLGSL</v>
      </c>
      <c r="E254" t="str">
        <f>setrules!L305&amp;IF(setrules!M305="","",",-"&amp;setrules!M305)</f>
        <v/>
      </c>
      <c r="F254" t="str">
        <f>setrules!B305</f>
        <v>TL-GSL</v>
      </c>
    </row>
    <row r="255" spans="1:6" x14ac:dyDescent="0.25">
      <c r="B255" t="s">
        <v>1317</v>
      </c>
      <c r="D255" t="s">
        <v>2663</v>
      </c>
      <c r="F255" t="s">
        <v>1498</v>
      </c>
    </row>
    <row r="256" spans="1:6" x14ac:dyDescent="0.25">
      <c r="A256" t="str">
        <f>setrules!D307&amp;IF(setrules!E307="","",",-"&amp;setrules!E307)</f>
        <v/>
      </c>
      <c r="B256" t="str">
        <f>setrules!F307&amp;IF(setrules!G307="","",",-"&amp;setrules!G307)&amp;IF(setrules!P307="","",",-"&amp;setrules!P307)</f>
        <v/>
      </c>
      <c r="C256" t="str">
        <f>setrules!H307&amp;IF(setrules!I307="","",",-"&amp;setrules!I307)</f>
        <v>TL*P20*</v>
      </c>
      <c r="D256" t="str">
        <f>setrules!J307&amp;IF(setrules!K307="","",",-"&amp;setrules!K307)</f>
        <v/>
      </c>
      <c r="E256" t="str">
        <f>setrules!L307&amp;IF(setrules!M307="","",",-"&amp;setrules!M307)</f>
        <v/>
      </c>
      <c r="F256" t="str">
        <f>setrules!B307</f>
        <v>TL-PHEV20</v>
      </c>
    </row>
    <row r="257" spans="1:6" x14ac:dyDescent="0.25">
      <c r="A257" t="str">
        <f>setrules!D308&amp;IF(setrules!E308="","",",-"&amp;setrules!E308)</f>
        <v/>
      </c>
      <c r="B257" t="str">
        <f>setrules!F308&amp;IF(setrules!G308="","",",-"&amp;setrules!G308)&amp;IF(setrules!P308="","",",-"&amp;setrules!P308)</f>
        <v>TL*</v>
      </c>
      <c r="C257" t="str">
        <f>setrules!H308&amp;IF(setrules!I308="","",",-"&amp;setrules!I308)</f>
        <v>*GSL*HEV*</v>
      </c>
      <c r="D257" t="str">
        <f>setrules!J308&amp;IF(setrules!K308="","",",-"&amp;setrules!K308)</f>
        <v/>
      </c>
      <c r="E257" t="str">
        <f>setrules!L308&amp;IF(setrules!M308="","",",-"&amp;setrules!M308)</f>
        <v/>
      </c>
      <c r="F257" t="str">
        <f>setrules!B308</f>
        <v>TL-HEV</v>
      </c>
    </row>
    <row r="258" spans="1:6" x14ac:dyDescent="0.25">
      <c r="A258" t="str">
        <f>setrules!D309&amp;IF(setrules!E309="","",",-"&amp;setrules!E309)</f>
        <v/>
      </c>
      <c r="B258" t="str">
        <f>setrules!F309&amp;IF(setrules!G309="","",",-"&amp;setrules!G309)&amp;IF(setrules!P309="","",",-"&amp;setrules!P309)</f>
        <v/>
      </c>
      <c r="C258" t="str">
        <f>setrules!H309&amp;IF(setrules!I309="","",",-"&amp;setrules!I309)</f>
        <v>TL*P10*</v>
      </c>
      <c r="D258" t="str">
        <f>setrules!J309&amp;IF(setrules!K309="","",",-"&amp;setrules!K309)</f>
        <v/>
      </c>
      <c r="E258" t="str">
        <f>setrules!L309&amp;IF(setrules!M309="","",",-"&amp;setrules!M309)</f>
        <v/>
      </c>
      <c r="F258" t="str">
        <f>setrules!B309</f>
        <v>TL-PHEV10</v>
      </c>
    </row>
    <row r="259" spans="1:6" x14ac:dyDescent="0.25">
      <c r="A259" t="str">
        <f>setrules!D310&amp;IF(setrules!E310="","",",-"&amp;setrules!E310)</f>
        <v/>
      </c>
      <c r="B259" t="str">
        <f>setrules!F310&amp;IF(setrules!G310="","",",-"&amp;setrules!G310)&amp;IF(setrules!P310="","",",-"&amp;setrules!P310)</f>
        <v>TL*</v>
      </c>
      <c r="C259" t="str">
        <f>setrules!H310&amp;IF(setrules!I310="","",",-"&amp;setrules!I310)</f>
        <v>*LPGX*</v>
      </c>
      <c r="D259" t="str">
        <f>setrules!J310&amp;IF(setrules!K310="","",",-"&amp;setrules!K310)</f>
        <v/>
      </c>
      <c r="E259" t="str">
        <f>setrules!L310&amp;IF(setrules!M310="","",",-"&amp;setrules!M310)</f>
        <v/>
      </c>
      <c r="F259" t="str">
        <f>setrules!B310</f>
        <v>TL-LPGX</v>
      </c>
    </row>
    <row r="260" spans="1:6" x14ac:dyDescent="0.25">
      <c r="A260" t="str">
        <f>setrules!D311&amp;IF(setrules!E311="","",",-"&amp;setrules!E311)</f>
        <v/>
      </c>
      <c r="B260" t="str">
        <f>setrules!F311&amp;IF(setrules!G311="","",",-"&amp;setrules!G311)&amp;IF(setrules!P311="","",",-"&amp;setrules!P311)</f>
        <v>TLLS*</v>
      </c>
      <c r="C260" t="str">
        <f>setrules!H311&amp;IF(setrules!I311="","",",-"&amp;setrules!I311)</f>
        <v/>
      </c>
      <c r="D260" t="str">
        <f>setrules!J311&amp;IF(setrules!K311="","",",-"&amp;setrules!K311)</f>
        <v/>
      </c>
      <c r="E260" t="str">
        <f>setrules!L311&amp;IF(setrules!M311="","",",-"&amp;setrules!M311)</f>
        <v/>
      </c>
      <c r="F260" t="str">
        <f>setrules!B311</f>
        <v>TLLS-ALL</v>
      </c>
    </row>
    <row r="261" spans="1:6" x14ac:dyDescent="0.25">
      <c r="A261" t="str">
        <f>setrules!D312&amp;IF(setrules!E312="","",",-"&amp;setrules!E312)</f>
        <v/>
      </c>
      <c r="B261" s="1" t="str">
        <f>setrules!F312&amp;IF(setrules!G312="","",",-"&amp;setrules!G312)&amp;IF(setrules!P312="","",",-"&amp;setrules!P312)&amp;",-*REVR*"</f>
        <v>TLM*,-*REVR*</v>
      </c>
      <c r="C261" t="str">
        <f>setrules!H312&amp;IF(setrules!I312="","",",-"&amp;setrules!I312)</f>
        <v/>
      </c>
      <c r="D261" t="str">
        <f>setrules!J312&amp;IF(setrules!K312="","",",-"&amp;setrules!K312)</f>
        <v/>
      </c>
      <c r="E261" t="str">
        <f>setrules!L312&amp;IF(setrules!M312="","",",-"&amp;setrules!M312)</f>
        <v/>
      </c>
      <c r="F261" t="str">
        <f>setrules!B312</f>
        <v>TLM-ALL</v>
      </c>
    </row>
    <row r="262" spans="1:6" x14ac:dyDescent="0.25">
      <c r="A262" t="str">
        <f>setrules!D313&amp;IF(setrules!E313="","",",-"&amp;setrules!E313)</f>
        <v/>
      </c>
      <c r="B262" t="str">
        <f>setrules!F313&amp;IF(setrules!G313="","",",-"&amp;setrules!G313)&amp;IF(setrules!P313="","",",-"&amp;setrules!P313)</f>
        <v>TLMC*</v>
      </c>
      <c r="C262" t="str">
        <f>setrules!H313&amp;IF(setrules!I313="","",",-"&amp;setrules!I313)</f>
        <v/>
      </c>
      <c r="D262" t="str">
        <f>setrules!J313&amp;IF(setrules!K313="","",",-"&amp;setrules!K313)</f>
        <v/>
      </c>
      <c r="E262" t="str">
        <f>setrules!L313&amp;IF(setrules!M313="","",",-"&amp;setrules!M313)</f>
        <v/>
      </c>
      <c r="F262" t="str">
        <f>setrules!B313</f>
        <v>TLMC-ALL</v>
      </c>
    </row>
    <row r="263" spans="1:6" x14ac:dyDescent="0.25">
      <c r="A263" t="str">
        <f>setrules!D314&amp;IF(setrules!E314="","",",-"&amp;setrules!E314)</f>
        <v/>
      </c>
      <c r="B263" t="str">
        <f>setrules!F314&amp;IF(setrules!G314="","",",-"&amp;setrules!G314)&amp;IF(setrules!P314="","",",-"&amp;setrules!P314)</f>
        <v>TLP*</v>
      </c>
      <c r="C263" t="str">
        <f>setrules!H314&amp;IF(setrules!I314="","",",-"&amp;setrules!I314)</f>
        <v/>
      </c>
      <c r="D263" t="str">
        <f>setrules!J314&amp;IF(setrules!K314="","",",-"&amp;setrules!K314)</f>
        <v/>
      </c>
      <c r="E263" t="str">
        <f>setrules!L314&amp;IF(setrules!M314="","",",-"&amp;setrules!M314)</f>
        <v/>
      </c>
      <c r="F263" t="str">
        <f>setrules!B314</f>
        <v>TLP-ALL</v>
      </c>
    </row>
    <row r="264" spans="1:6" x14ac:dyDescent="0.25">
      <c r="A264" t="str">
        <f>setrules!D315&amp;IF(setrules!E315="","",",-"&amp;setrules!E315)</f>
        <v/>
      </c>
      <c r="B264" t="str">
        <f>setrules!F315&amp;IF(setrules!G315="","",",-"&amp;setrules!G315)&amp;IF(setrules!P315="","",",-"&amp;setrules!P315)</f>
        <v>T*</v>
      </c>
      <c r="C264" t="str">
        <f>setrules!H315&amp;IF(setrules!I315="","",",-"&amp;setrules!I315)</f>
        <v/>
      </c>
      <c r="D264" t="str">
        <f>setrules!J315&amp;IF(setrules!K315="","",",-"&amp;setrules!K315)</f>
        <v>T*LPG*</v>
      </c>
      <c r="E264" t="str">
        <f>setrules!L315&amp;IF(setrules!M315="","",",-"&amp;setrules!M315)</f>
        <v/>
      </c>
      <c r="F264" t="str">
        <f>setrules!B315</f>
        <v>TLPG_ALL</v>
      </c>
    </row>
    <row r="265" spans="1:6" x14ac:dyDescent="0.25">
      <c r="A265" t="str">
        <f>setrules!D316&amp;IF(setrules!E316="","",",-"&amp;setrules!E316)</f>
        <v/>
      </c>
      <c r="B265" t="str">
        <f>setrules!F316&amp;IF(setrules!G316="","",",-"&amp;setrules!G316)&amp;IF(setrules!P316="","",",-"&amp;setrules!P316)</f>
        <v>IMOHCOA*</v>
      </c>
      <c r="C265" t="str">
        <f>setrules!H316&amp;IF(setrules!I316="","",",-"&amp;setrules!I316)</f>
        <v/>
      </c>
      <c r="D265" t="str">
        <f>setrules!J316&amp;IF(setrules!K316="","",",-"&amp;setrules!K316)</f>
        <v/>
      </c>
      <c r="E265" t="str">
        <f>setrules!L316&amp;IF(setrules!M316="","",",-"&amp;setrules!M316)</f>
        <v/>
      </c>
      <c r="F265" t="str">
        <f>setrules!B316</f>
        <v>IMOH_COA</v>
      </c>
    </row>
    <row r="266" spans="1:6" x14ac:dyDescent="0.25">
      <c r="A266" t="str">
        <f>setrules!D317&amp;IF(setrules!E317="","",",-"&amp;setrules!E317)</f>
        <v/>
      </c>
      <c r="B266" t="str">
        <f>setrules!F317&amp;IF(setrules!G317="","",",-"&amp;setrules!G317)&amp;IF(setrules!P317="","",",-"&amp;setrules!P317)</f>
        <v>TL*FCH*</v>
      </c>
      <c r="C266" t="str">
        <f>setrules!H317&amp;IF(setrules!I317="","",",-"&amp;setrules!I317)</f>
        <v/>
      </c>
      <c r="D266" t="str">
        <f>setrules!J317&amp;IF(setrules!K317="","",",-"&amp;setrules!K317)</f>
        <v/>
      </c>
      <c r="E266" t="str">
        <f>setrules!L317&amp;IF(setrules!M317="","",",-"&amp;setrules!M317)</f>
        <v/>
      </c>
      <c r="F266" t="str">
        <f>setrules!B317</f>
        <v>TL-H2FCV</v>
      </c>
    </row>
    <row r="267" spans="1:6" x14ac:dyDescent="0.25">
      <c r="A267" t="str">
        <f>setrules!D318&amp;IF(setrules!E318="","",",-"&amp;setrules!E318)</f>
        <v/>
      </c>
      <c r="B267" t="str">
        <f>setrules!F318&amp;IF(setrules!G318="","",",-"&amp;setrules!G318)&amp;IF(setrules!P318="","",",-"&amp;setrules!P318)</f>
        <v/>
      </c>
      <c r="C267" t="str">
        <f>setrules!H318&amp;IF(setrules!I318="","",",-"&amp;setrules!I318)</f>
        <v/>
      </c>
      <c r="D267" t="str">
        <f>setrules!J318&amp;IF(setrules!K318="","",",-"&amp;setrules!K318)</f>
        <v>ELCRFLEA</v>
      </c>
      <c r="E267" t="str">
        <f>setrules!L318&amp;IF(setrules!M318="","",",-"&amp;setrules!M318)</f>
        <v>ELC</v>
      </c>
      <c r="F267" t="str">
        <f>setrules!B318</f>
        <v>ELC-RFL</v>
      </c>
    </row>
    <row r="268" spans="1:6" x14ac:dyDescent="0.25">
      <c r="A268" t="str">
        <f>setrules!D319&amp;IF(setrules!E319="","",",-"&amp;setrules!E319)</f>
        <v/>
      </c>
      <c r="B268" t="str">
        <f>setrules!F319&amp;IF(setrules!G319="","",",-"&amp;setrules!G319)&amp;IF(setrules!P319="","",",-"&amp;setrules!P319)</f>
        <v/>
      </c>
      <c r="C268" t="str">
        <f>setrules!H319&amp;IF(setrules!I319="","",",-"&amp;setrules!I319)</f>
        <v/>
      </c>
      <c r="D268" t="str">
        <f>setrules!J319&amp;IF(setrules!K319="","",",-"&amp;setrules!K319)</f>
        <v>ELCDSLEA</v>
      </c>
      <c r="E268" t="str">
        <f>setrules!L319&amp;IF(setrules!M319="","",",-"&amp;setrules!M319)</f>
        <v>ELC</v>
      </c>
      <c r="F268" t="str">
        <f>setrules!B319</f>
        <v>ELC-DSL</v>
      </c>
    </row>
    <row r="269" spans="1:6" x14ac:dyDescent="0.25">
      <c r="A269" t="str">
        <f>setrules!D320&amp;IF(setrules!E320="","",",-"&amp;setrules!E320)</f>
        <v/>
      </c>
      <c r="B269" t="str">
        <f>setrules!F320&amp;IF(setrules!G320="","",",-"&amp;setrules!G320)&amp;IF(setrules!P320="","",",-"&amp;setrules!P320)</f>
        <v>EGEO*</v>
      </c>
      <c r="C269" t="str">
        <f>setrules!H320&amp;IF(setrules!I320="","",",-"&amp;setrules!I320)</f>
        <v/>
      </c>
      <c r="D269" t="str">
        <f>setrules!J320&amp;IF(setrules!K320="","",",-"&amp;setrules!K320)</f>
        <v/>
      </c>
      <c r="E269" t="str">
        <f>setrules!L320&amp;IF(setrules!M320="","",",-"&amp;setrules!M320)</f>
        <v/>
      </c>
      <c r="F269" t="str">
        <f>setrules!B320</f>
        <v>ELC-GEO</v>
      </c>
    </row>
    <row r="270" spans="1:6" x14ac:dyDescent="0.25">
      <c r="A270" t="str">
        <f>setrules!D321&amp;IF(setrules!E321="","",",-"&amp;setrules!E321)</f>
        <v/>
      </c>
      <c r="B270" t="str">
        <f>setrules!F321&amp;IF(setrules!G321="","",",-"&amp;setrules!G321)&amp;IF(setrules!P321="","",",-"&amp;setrules!P321)</f>
        <v>EH*</v>
      </c>
      <c r="C270" t="str">
        <f>setrules!H321&amp;IF(setrules!I321="","",",-"&amp;setrules!I321)</f>
        <v/>
      </c>
      <c r="D270" t="str">
        <f>setrules!J321&amp;IF(setrules!K321="","",",-"&amp;setrules!K321)</f>
        <v/>
      </c>
      <c r="E270" t="str">
        <f>setrules!L321&amp;IF(setrules!M321="","",",-"&amp;setrules!M321)</f>
        <v/>
      </c>
      <c r="F270" t="str">
        <f>setrules!B321</f>
        <v>ELC-HYD</v>
      </c>
    </row>
    <row r="271" spans="1:6" x14ac:dyDescent="0.25">
      <c r="A271" t="str">
        <f>setrules!D322&amp;IF(setrules!E322="","",",-"&amp;setrules!E322)</f>
        <v/>
      </c>
      <c r="B271" t="str">
        <f>setrules!F322&amp;IF(setrules!G322="","",",-"&amp;setrules!G322)&amp;IF(setrules!P322="","",",-"&amp;setrules!P322)</f>
        <v>E*LFG*</v>
      </c>
      <c r="C271" t="str">
        <f>setrules!H322&amp;IF(setrules!I322="","",",-"&amp;setrules!I322)</f>
        <v/>
      </c>
      <c r="D271" t="str">
        <f>setrules!J322&amp;IF(setrules!K322="","",",-"&amp;setrules!K322)</f>
        <v/>
      </c>
      <c r="E271" t="str">
        <f>setrules!L322&amp;IF(setrules!M322="","",",-"&amp;setrules!M322)</f>
        <v/>
      </c>
      <c r="F271" t="str">
        <f>setrules!B322</f>
        <v>ELC-LFG</v>
      </c>
    </row>
    <row r="272" spans="1:6" x14ac:dyDescent="0.25">
      <c r="A272" t="str">
        <f>setrules!D323&amp;IF(setrules!E323="","",",-"&amp;setrules!E323)</f>
        <v/>
      </c>
      <c r="B272" t="str">
        <f>setrules!F323&amp;IF(setrules!G323="","",",-"&amp;setrules!G323)&amp;IF(setrules!P323="","",",-"&amp;setrules!P323)</f>
        <v>EMSW*</v>
      </c>
      <c r="C272" t="str">
        <f>setrules!H323&amp;IF(setrules!I323="","",",-"&amp;setrules!I323)</f>
        <v/>
      </c>
      <c r="D272" t="str">
        <f>setrules!J323&amp;IF(setrules!K323="","",",-"&amp;setrules!K323)</f>
        <v/>
      </c>
      <c r="E272" t="str">
        <f>setrules!L323&amp;IF(setrules!M323="","",",-"&amp;setrules!M323)</f>
        <v/>
      </c>
      <c r="F272" t="str">
        <f>setrules!B323</f>
        <v>ELC-MSW</v>
      </c>
    </row>
    <row r="273" spans="1:6" x14ac:dyDescent="0.25">
      <c r="A273" t="str">
        <f>setrules!D324&amp;IF(setrules!E324="","",",-"&amp;setrules!E324)</f>
        <v/>
      </c>
      <c r="B273" t="str">
        <f>setrules!F324&amp;IF(setrules!G324="","",",-"&amp;setrules!G324)&amp;IF(setrules!P324="","",",-"&amp;setrules!P324)</f>
        <v/>
      </c>
      <c r="C273" t="str">
        <f>setrules!H324&amp;IF(setrules!I324="","",",-"&amp;setrules!I324)</f>
        <v>*NATURAL GAS*</v>
      </c>
      <c r="D273" t="str">
        <f>setrules!J324&amp;IF(setrules!K324="","",",-"&amp;setrules!K324)</f>
        <v/>
      </c>
      <c r="E273" t="str">
        <f>setrules!L324&amp;IF(setrules!M324="","",",-"&amp;setrules!M324)</f>
        <v>ELC</v>
      </c>
      <c r="F273" t="str">
        <f>setrules!B324</f>
        <v>ELC-NGA</v>
      </c>
    </row>
    <row r="274" spans="1:6" x14ac:dyDescent="0.25">
      <c r="A274" t="str">
        <f>setrules!D325&amp;IF(setrules!E325="","",",-"&amp;setrules!E325)</f>
        <v/>
      </c>
      <c r="B274" t="str">
        <f>setrules!F325&amp;IF(setrules!G325="","",",-"&amp;setrules!G325)&amp;IF(setrules!P325="","",",-"&amp;setrules!P325)</f>
        <v/>
      </c>
      <c r="C274" t="str">
        <f>setrules!H325&amp;IF(setrules!I325="","",",-"&amp;setrules!I325)</f>
        <v/>
      </c>
      <c r="D274" t="str">
        <f>setrules!J325&amp;IF(setrules!K325="","",",-"&amp;setrules!K325)</f>
        <v>ETHIMP</v>
      </c>
      <c r="E274" t="str">
        <f>setrules!L325&amp;IF(setrules!M325="","",",-"&amp;setrules!M325)</f>
        <v/>
      </c>
      <c r="F274" t="str">
        <f>setrules!B325</f>
        <v>ETH_IMP</v>
      </c>
    </row>
    <row r="275" spans="1:6" x14ac:dyDescent="0.25">
      <c r="A275" t="str">
        <f>setrules!D326&amp;IF(setrules!E326="","",",-"&amp;setrules!E326)</f>
        <v/>
      </c>
      <c r="B275" t="str">
        <f>setrules!F326&amp;IF(setrules!G326="","",",-"&amp;setrules!G326)&amp;IF(setrules!P326="","",",-"&amp;setrules!P326)</f>
        <v>ERFL*,EDSL*</v>
      </c>
      <c r="C275" t="str">
        <f>setrules!H326&amp;IF(setrules!I326="","",",-"&amp;setrules!I326)</f>
        <v/>
      </c>
      <c r="D275" t="str">
        <f>setrules!J326&amp;IF(setrules!K326="","",",-"&amp;setrules!K326)</f>
        <v/>
      </c>
      <c r="E275" t="str">
        <f>setrules!L326&amp;IF(setrules!M326="","",",-"&amp;setrules!M326)</f>
        <v/>
      </c>
      <c r="F275" t="str">
        <f>setrules!B326</f>
        <v>ELC-PET</v>
      </c>
    </row>
    <row r="276" spans="1:6" x14ac:dyDescent="0.25">
      <c r="A276" t="str">
        <f>setrules!D327&amp;IF(setrules!E327="","",",-"&amp;setrules!E327)</f>
        <v/>
      </c>
      <c r="B276" t="str">
        <f>setrules!F327&amp;IF(setrules!G327="","",",-"&amp;setrules!G327)&amp;IF(setrules!P327="","",",-"&amp;setrules!P327)</f>
        <v>SEC*</v>
      </c>
      <c r="C276" t="str">
        <f>setrules!H327&amp;IF(setrules!I327="","",",-"&amp;setrules!I327)</f>
        <v/>
      </c>
      <c r="D276" t="str">
        <f>setrules!J327&amp;IF(setrules!K327="","",",-"&amp;setrules!K327)</f>
        <v/>
      </c>
      <c r="E276" t="str">
        <f>setrules!L327&amp;IF(setrules!M327="","",",-"&amp;setrules!M327)</f>
        <v/>
      </c>
      <c r="F276" t="str">
        <f>setrules!B327</f>
        <v>ELCAQEM3</v>
      </c>
    </row>
    <row r="277" spans="1:6" x14ac:dyDescent="0.25">
      <c r="A277" t="str">
        <f>setrules!D328&amp;IF(setrules!E328="","",",-"&amp;setrules!E328)</f>
        <v>ELC-BIO,ELC-GEO,ELC-HYD,ELC-LFG,ELC-MSW,ELC-SOL,ELC-WND</v>
      </c>
      <c r="B277" t="str">
        <f>setrules!F328&amp;IF(setrules!G328="","",",-"&amp;setrules!G328)&amp;IF(setrules!P328="","",",-"&amp;setrules!P328)</f>
        <v>*</v>
      </c>
      <c r="C277" t="str">
        <f>setrules!H328&amp;IF(setrules!I328="","",",-"&amp;setrules!I328)</f>
        <v/>
      </c>
      <c r="D277" t="str">
        <f>setrules!J328&amp;IF(setrules!K328="","",",-"&amp;setrules!K328)</f>
        <v/>
      </c>
      <c r="E277" t="str">
        <f>setrules!L328&amp;IF(setrules!M328="","",",-"&amp;setrules!M328)</f>
        <v/>
      </c>
      <c r="F277" t="str">
        <f>setrules!B328</f>
        <v>ELC-RPS</v>
      </c>
    </row>
    <row r="278" spans="1:6" x14ac:dyDescent="0.25">
      <c r="A278" t="str">
        <f>setrules!D329&amp;IF(setrules!E329="","",",-"&amp;setrules!E329)</f>
        <v/>
      </c>
      <c r="B278" t="str">
        <f>setrules!F329&amp;IF(setrules!G329="","",",-"&amp;setrules!G329)&amp;IF(setrules!P329="","",",-"&amp;setrules!P329)</f>
        <v>ES*,-ESOLPVCOM,-ESOLPVRES,-ESTORAGE,-,-ESTORAGE,-ESOLPVRES,-ESOLPVCOM,-</v>
      </c>
      <c r="C278" t="str">
        <f>setrules!H329&amp;IF(setrules!I329="","",",-"&amp;setrules!I329)</f>
        <v/>
      </c>
      <c r="D278" t="str">
        <f>setrules!J329&amp;IF(setrules!K329="","",",-"&amp;setrules!K329)</f>
        <v/>
      </c>
      <c r="E278" t="str">
        <f>setrules!L329&amp;IF(setrules!M329="","",",-"&amp;setrules!M329)</f>
        <v>ELC</v>
      </c>
      <c r="F278" t="str">
        <f>setrules!B329</f>
        <v>ELC-SOL</v>
      </c>
    </row>
    <row r="279" spans="1:6" x14ac:dyDescent="0.25">
      <c r="A279" t="str">
        <f>setrules!D330&amp;IF(setrules!E330="","",",-"&amp;setrules!E330)</f>
        <v/>
      </c>
      <c r="B279" t="str">
        <f>setrules!F330&amp;IF(setrules!G330="","",",-"&amp;setrules!G330)&amp;IF(setrules!P330="","",",-"&amp;setrules!P330)</f>
        <v>EWND*</v>
      </c>
      <c r="C279" t="str">
        <f>setrules!H330&amp;IF(setrules!I330="","",",-"&amp;setrules!I330)</f>
        <v/>
      </c>
      <c r="D279" t="str">
        <f>setrules!J330&amp;IF(setrules!K330="","",",-"&amp;setrules!K330)</f>
        <v>WND</v>
      </c>
      <c r="E279" t="str">
        <f>setrules!L330&amp;IF(setrules!M330="","",",-"&amp;setrules!M330)</f>
        <v/>
      </c>
      <c r="F279" t="str">
        <f>setrules!B330</f>
        <v>ELC-WND</v>
      </c>
    </row>
    <row r="280" spans="1:6" x14ac:dyDescent="0.25">
      <c r="A280" t="str">
        <f>setrules!D331&amp;IF(setrules!E331="","",",-"&amp;setrules!E331)</f>
        <v>ELC-HYD,ELC-SOL,ELC-WND</v>
      </c>
      <c r="B280" t="str">
        <f>setrules!F331&amp;IF(setrules!G331="","",",-"&amp;setrules!G331)&amp;IF(setrules!P331="","",",-"&amp;setrules!P331)</f>
        <v>*</v>
      </c>
      <c r="C280" t="str">
        <f>setrules!H331&amp;IF(setrules!I331="","",",-"&amp;setrules!I331)</f>
        <v/>
      </c>
      <c r="D280" t="str">
        <f>setrules!J331&amp;IF(setrules!K331="","",",-"&amp;setrules!K331)</f>
        <v/>
      </c>
      <c r="E280" t="str">
        <f>setrules!L331&amp;IF(setrules!M331="","",",-"&amp;setrules!M331)</f>
        <v/>
      </c>
      <c r="F280" t="str">
        <f>setrules!B331</f>
        <v>EMF_RNW</v>
      </c>
    </row>
    <row r="281" spans="1:6" x14ac:dyDescent="0.25">
      <c r="A281" t="str">
        <f>setrules!D332&amp;IF(setrules!E332="","",",-"&amp;setrules!E332)</f>
        <v>EBIO,EGEO,EHYD,ELC-SOL,ELC-WND,ELGF,EMSW</v>
      </c>
      <c r="B281" t="str">
        <f>setrules!F332&amp;IF(setrules!G332="","",",-"&amp;setrules!G332)&amp;IF(setrules!P332="","",",-"&amp;setrules!P332)</f>
        <v>*</v>
      </c>
      <c r="C281" t="str">
        <f>setrules!H332&amp;IF(setrules!I332="","",",-"&amp;setrules!I332)</f>
        <v/>
      </c>
      <c r="D281" t="str">
        <f>setrules!J332&amp;IF(setrules!K332="","",",-"&amp;setrules!K332)</f>
        <v/>
      </c>
      <c r="E281" t="str">
        <f>setrules!L332&amp;IF(setrules!M332="","",",-"&amp;setrules!M332)</f>
        <v/>
      </c>
      <c r="F281" t="str">
        <f>setrules!B332</f>
        <v>ERNW-ALL</v>
      </c>
    </row>
    <row r="282" spans="1:6" x14ac:dyDescent="0.25">
      <c r="A282" t="str">
        <f>setrules!D333&amp;IF(setrules!E333="","",",-"&amp;setrules!E333)</f>
        <v/>
      </c>
      <c r="B282" t="str">
        <f>setrules!F333&amp;IF(setrules!G333="","",",-"&amp;setrules!G333)&amp;IF(setrules!P333="","",",-"&amp;setrules!P333)</f>
        <v/>
      </c>
      <c r="C282" t="str">
        <f>setrules!H333&amp;IF(setrules!I333="","",",-"&amp;setrules!I333)</f>
        <v/>
      </c>
      <c r="D282" t="str">
        <f>setrules!J333&amp;IF(setrules!K333="","",",-"&amp;setrules!K333)</f>
        <v/>
      </c>
      <c r="E282" t="str">
        <f>setrules!L333&amp;IF(setrules!M333="","",",-"&amp;setrules!M333)</f>
        <v>CRNETH</v>
      </c>
      <c r="F282" t="str">
        <f>setrules!B333</f>
        <v>ETH_ALL</v>
      </c>
    </row>
    <row r="283" spans="1:6" x14ac:dyDescent="0.25">
      <c r="A283" t="str">
        <f>setrules!D334&amp;IF(setrules!E334="","",",-"&amp;setrules!E334)</f>
        <v>dmd</v>
      </c>
      <c r="B283" t="str">
        <f>setrules!F334&amp;IF(setrules!G334="","",",-"&amp;setrules!G334)&amp;IF(setrules!P334="","",",-"&amp;setrules!P334)</f>
        <v>C*</v>
      </c>
      <c r="C283" t="str">
        <f>setrules!H334&amp;IF(setrules!I334="","",",-"&amp;setrules!I334)</f>
        <v/>
      </c>
      <c r="D283" t="str">
        <f>setrules!J334&amp;IF(setrules!K334="","",",-"&amp;setrules!K334)</f>
        <v/>
      </c>
      <c r="E283" t="str">
        <f>setrules!L334&amp;IF(setrules!M334="","",",-"&amp;setrules!M334)</f>
        <v/>
      </c>
      <c r="F283" t="str">
        <f>setrules!B334</f>
        <v>DMD_COM</v>
      </c>
    </row>
    <row r="284" spans="1:6" x14ac:dyDescent="0.25">
      <c r="A284" t="str">
        <f>setrules!D335&amp;IF(setrules!E335="","",",-"&amp;setrules!E335)</f>
        <v/>
      </c>
      <c r="B284" t="str">
        <f>setrules!F335&amp;IF(setrules!G335="","",",-"&amp;setrules!G335)&amp;IF(setrules!P335="","",",-"&amp;setrules!P335)</f>
        <v>EU*</v>
      </c>
      <c r="C284" t="str">
        <f>setrules!H335&amp;IF(setrules!I335="","",",-"&amp;setrules!I335)</f>
        <v/>
      </c>
      <c r="D284" t="str">
        <f>setrules!J335&amp;IF(setrules!K335="","",",-"&amp;setrules!K335)</f>
        <v/>
      </c>
      <c r="E284" t="str">
        <f>setrules!L335&amp;IF(setrules!M335="","",",-"&amp;setrules!M335)</f>
        <v/>
      </c>
      <c r="F284" t="str">
        <f>setrules!B335</f>
        <v>ELC-NUK</v>
      </c>
    </row>
    <row r="285" spans="1:6" x14ac:dyDescent="0.25">
      <c r="A285" t="str">
        <f>setrules!D336&amp;IF(setrules!E336="","",",-"&amp;setrules!E336)</f>
        <v>dmd</v>
      </c>
      <c r="B285" t="str">
        <f>setrules!F336&amp;IF(setrules!G336="","",",-"&amp;setrules!G336)&amp;IF(setrules!P336="","",",-"&amp;setrules!P336)</f>
        <v>T*</v>
      </c>
      <c r="C285" t="str">
        <f>setrules!H336&amp;IF(setrules!I336="","",",-"&amp;setrules!I336)</f>
        <v/>
      </c>
      <c r="D285" t="str">
        <f>setrules!J336&amp;IF(setrules!K336="","",",-"&amp;setrules!K336)</f>
        <v/>
      </c>
      <c r="E285" t="str">
        <f>setrules!L336&amp;IF(setrules!M336="","",",-"&amp;setrules!M336)</f>
        <v/>
      </c>
      <c r="F285" t="str">
        <f>setrules!B336</f>
        <v>DMD_TRN</v>
      </c>
    </row>
    <row r="286" spans="1:6" x14ac:dyDescent="0.25">
      <c r="A286" t="str">
        <f>setrules!D337&amp;IF(setrules!E337="","",",-"&amp;setrules!E337)</f>
        <v/>
      </c>
      <c r="B286" t="str">
        <f>setrules!F337&amp;IF(setrules!G337="","",",-"&amp;setrules!G337)&amp;IF(setrules!P337="","",",-"&amp;setrules!P337)</f>
        <v>IFDEFACELC</v>
      </c>
      <c r="C286" t="str">
        <f>setrules!H337&amp;IF(setrules!I337="","",",-"&amp;setrules!I337)</f>
        <v/>
      </c>
      <c r="D286" t="str">
        <f>setrules!J337&amp;IF(setrules!K337="","",",-"&amp;setrules!K337)</f>
        <v/>
      </c>
      <c r="E286" t="str">
        <f>setrules!L337&amp;IF(setrules!M337="","",",-"&amp;setrules!M337)</f>
        <v/>
      </c>
      <c r="F286" t="str">
        <f>setrules!B337</f>
        <v>IFDFA_ELC</v>
      </c>
    </row>
    <row r="287" spans="1:6" x14ac:dyDescent="0.25">
      <c r="A287" t="str">
        <f>setrules!D338&amp;IF(setrules!E338="","",",-"&amp;setrules!E338)</f>
        <v>dmd</v>
      </c>
      <c r="B287" t="str">
        <f>setrules!F338&amp;IF(setrules!G338="","",",-"&amp;setrules!G338)&amp;IF(setrules!P338="","",",-"&amp;setrules!P338)</f>
        <v>CSC*</v>
      </c>
      <c r="C287" t="str">
        <f>setrules!H338&amp;IF(setrules!I338="","",",-"&amp;setrules!I338)</f>
        <v/>
      </c>
      <c r="D287" t="str">
        <f>setrules!J338&amp;IF(setrules!K338="","",",-"&amp;setrules!K338)</f>
        <v/>
      </c>
      <c r="E287" t="str">
        <f>setrules!L338&amp;IF(setrules!M338="","",",-"&amp;setrules!M338)</f>
        <v/>
      </c>
      <c r="F287" t="str">
        <f>setrules!B338</f>
        <v>DMD_CSC</v>
      </c>
    </row>
    <row r="288" spans="1:6" x14ac:dyDescent="0.25">
      <c r="A288" t="str">
        <f>setrules!D339&amp;IF(setrules!E339="","",",-"&amp;setrules!E339)</f>
        <v>dmd</v>
      </c>
      <c r="B288" t="str">
        <f>setrules!F339&amp;IF(setrules!G339="","",",-"&amp;setrules!G339)&amp;IF(setrules!P339="","",",-"&amp;setrules!P339)</f>
        <v>CSH*</v>
      </c>
      <c r="C288" t="str">
        <f>setrules!H339&amp;IF(setrules!I339="","",",-"&amp;setrules!I339)</f>
        <v/>
      </c>
      <c r="D288" t="str">
        <f>setrules!J339&amp;IF(setrules!K339="","",",-"&amp;setrules!K339)</f>
        <v/>
      </c>
      <c r="E288" t="str">
        <f>setrules!L339&amp;IF(setrules!M339="","",",-"&amp;setrules!M339)</f>
        <v/>
      </c>
      <c r="F288" t="str">
        <f>setrules!B339</f>
        <v>DMD_CSH</v>
      </c>
    </row>
    <row r="289" spans="1:6" x14ac:dyDescent="0.25">
      <c r="A289" t="str">
        <f>setrules!D340&amp;IF(setrules!E340="","",",-"&amp;setrules!E340)</f>
        <v>dmd</v>
      </c>
      <c r="B289" t="str">
        <f>setrules!F340&amp;IF(setrules!G340="","",",-"&amp;setrules!G340)&amp;IF(setrules!P340="","",",-"&amp;setrules!P340)</f>
        <v>CVT*</v>
      </c>
      <c r="C289" t="str">
        <f>setrules!H340&amp;IF(setrules!I340="","",",-"&amp;setrules!I340)</f>
        <v/>
      </c>
      <c r="D289" t="str">
        <f>setrules!J340&amp;IF(setrules!K340="","",",-"&amp;setrules!K340)</f>
        <v/>
      </c>
      <c r="E289" t="str">
        <f>setrules!L340&amp;IF(setrules!M340="","",",-"&amp;setrules!M340)</f>
        <v/>
      </c>
      <c r="F289" t="str">
        <f>setrules!B340</f>
        <v>DMD_CVT</v>
      </c>
    </row>
    <row r="290" spans="1:6" x14ac:dyDescent="0.25">
      <c r="A290" t="str">
        <f>setrules!D341&amp;IF(setrules!E341="","",",-"&amp;setrules!E341)</f>
        <v>dmd</v>
      </c>
      <c r="B290" t="str">
        <f>setrules!F341&amp;IF(setrules!G341="","",",-"&amp;setrules!G341)&amp;IF(setrules!P341="","",",-"&amp;setrules!P341)</f>
        <v>CWH*</v>
      </c>
      <c r="C290" t="str">
        <f>setrules!H341&amp;IF(setrules!I341="","",",-"&amp;setrules!I341)</f>
        <v/>
      </c>
      <c r="D290" t="str">
        <f>setrules!J341&amp;IF(setrules!K341="","",",-"&amp;setrules!K341)</f>
        <v/>
      </c>
      <c r="E290" t="str">
        <f>setrules!L341&amp;IF(setrules!M341="","",",-"&amp;setrules!M341)</f>
        <v/>
      </c>
      <c r="F290" t="str">
        <f>setrules!B341</f>
        <v>DMD_CWH</v>
      </c>
    </row>
    <row r="291" spans="1:6" x14ac:dyDescent="0.25">
      <c r="A291" t="str">
        <f>setrules!D342&amp;IF(setrules!E342="","",",-"&amp;setrules!E342)</f>
        <v>dmd</v>
      </c>
      <c r="B291" t="str">
        <f>setrules!F342&amp;IF(setrules!G342="","",",-"&amp;setrules!G342)&amp;IF(setrules!P342="","",",-"&amp;setrules!P342)</f>
        <v>I*</v>
      </c>
      <c r="C291" t="str">
        <f>setrules!H342&amp;IF(setrules!I342="","",",-"&amp;setrules!I342)</f>
        <v/>
      </c>
      <c r="D291" t="str">
        <f>setrules!J342&amp;IF(setrules!K342="","",",-"&amp;setrules!K342)</f>
        <v/>
      </c>
      <c r="E291" t="str">
        <f>setrules!L342&amp;IF(setrules!M342="","",",-"&amp;setrules!M342)</f>
        <v/>
      </c>
      <c r="F291" t="str">
        <f>setrules!B342</f>
        <v>DMD_IND</v>
      </c>
    </row>
    <row r="292" spans="1:6" x14ac:dyDescent="0.25">
      <c r="A292" t="str">
        <f>setrules!D343&amp;IF(setrules!E343="","",",-"&amp;setrules!E343)</f>
        <v>dmd</v>
      </c>
      <c r="B292" t="str">
        <f>setrules!F343&amp;IF(setrules!G343="","",",-"&amp;setrules!G343)&amp;IF(setrules!P343="","",",-"&amp;setrules!P343)</f>
        <v>CM*</v>
      </c>
      <c r="C292" t="str">
        <f>setrules!H343&amp;IF(setrules!I343="","",",-"&amp;setrules!I343)</f>
        <v/>
      </c>
      <c r="D292" t="str">
        <f>setrules!J343&amp;IF(setrules!K343="","",",-"&amp;setrules!K343)</f>
        <v/>
      </c>
      <c r="E292" t="str">
        <f>setrules!L343&amp;IF(setrules!M343="","",",-"&amp;setrules!M343)</f>
        <v/>
      </c>
      <c r="F292" t="str">
        <f>setrules!B343</f>
        <v>DMD_MISC</v>
      </c>
    </row>
    <row r="293" spans="1:6" x14ac:dyDescent="0.25">
      <c r="A293" t="str">
        <f>setrules!D344&amp;IF(setrules!E344="","",",-"&amp;setrules!E344)</f>
        <v/>
      </c>
      <c r="B293" t="str">
        <f>setrules!F344&amp;IF(setrules!G344="","",",-"&amp;setrules!G344)&amp;IF(setrules!P344="","",",-"&amp;setrules!P344)</f>
        <v/>
      </c>
      <c r="C293" t="str">
        <f>setrules!H344&amp;IF(setrules!I344="","",",-"&amp;setrules!I344)</f>
        <v>*COAL*</v>
      </c>
      <c r="D293" t="str">
        <f>setrules!J344&amp;IF(setrules!K344="","",",-"&amp;setrules!K344)</f>
        <v/>
      </c>
      <c r="E293" t="str">
        <f>setrules!L344&amp;IF(setrules!M344="","",",-"&amp;setrules!M344)</f>
        <v>ELC</v>
      </c>
      <c r="F293" t="str">
        <f>setrules!B344</f>
        <v>ELC-COAL</v>
      </c>
    </row>
    <row r="294" spans="1:6" x14ac:dyDescent="0.25">
      <c r="A294" t="str">
        <f>setrules!D345&amp;IF(setrules!E345="","",",-"&amp;setrules!E345)</f>
        <v>dmd</v>
      </c>
      <c r="B294" t="str">
        <f>setrules!F345&amp;IF(setrules!G345="","",",-"&amp;setrules!G345)&amp;IF(setrules!P345="","",",-"&amp;setrules!P345)</f>
        <v>R*</v>
      </c>
      <c r="C294" t="str">
        <f>setrules!H345&amp;IF(setrules!I345="","",",-"&amp;setrules!I345)</f>
        <v/>
      </c>
      <c r="D294" t="str">
        <f>setrules!J345&amp;IF(setrules!K345="","",",-"&amp;setrules!K345)</f>
        <v/>
      </c>
      <c r="E294" t="str">
        <f>setrules!L345&amp;IF(setrules!M345="","",",-"&amp;setrules!M345)</f>
        <v/>
      </c>
      <c r="F294" t="str">
        <f>setrules!B345</f>
        <v>DMD_RSD</v>
      </c>
    </row>
    <row r="295" spans="1:6" x14ac:dyDescent="0.25">
      <c r="A295" t="str">
        <f>setrules!D346&amp;IF(setrules!E346="","",",-"&amp;setrules!E346)</f>
        <v/>
      </c>
      <c r="B295" t="str">
        <f>setrules!F346&amp;IF(setrules!G346="","",",-"&amp;setrules!G346)&amp;IF(setrules!P346="","",",-"&amp;setrules!P346)</f>
        <v>E*BIO*</v>
      </c>
      <c r="C295" t="str">
        <f>setrules!H346&amp;IF(setrules!I346="","",",-"&amp;setrules!I346)</f>
        <v/>
      </c>
      <c r="D295" t="str">
        <f>setrules!J346&amp;IF(setrules!K346="","",",-"&amp;setrules!K346)</f>
        <v/>
      </c>
      <c r="E295" t="str">
        <f>setrules!L346&amp;IF(setrules!M346="","",",-"&amp;setrules!M346)</f>
        <v/>
      </c>
      <c r="F295" t="str">
        <f>setrules!B346</f>
        <v>ELC-BIO</v>
      </c>
    </row>
    <row r="296" spans="1:6" x14ac:dyDescent="0.25">
      <c r="A296" t="str">
        <f>setrules!D347&amp;IF(setrules!E347="","",",-"&amp;setrules!E347)</f>
        <v/>
      </c>
      <c r="B296" t="str">
        <f>setrules!F347&amp;IF(setrules!G347="","",",-"&amp;setrules!G347)&amp;IF(setrules!P347="","",",-"&amp;setrules!P347)</f>
        <v>MIN*,-,-MINNURN1,-MINNURN2,-MINBMSW1,-MINBMSW2,-MINBMSW3,-</v>
      </c>
      <c r="C296" t="str">
        <f>setrules!H347&amp;IF(setrules!I347="","",",-"&amp;setrules!I347)</f>
        <v/>
      </c>
      <c r="D296" t="str">
        <f>setrules!J347&amp;IF(setrules!K347="","",",-"&amp;setrules!K347)</f>
        <v/>
      </c>
      <c r="E296" t="str">
        <f>setrules!L347&amp;IF(setrules!M347="","",",-"&amp;setrules!M347)</f>
        <v/>
      </c>
      <c r="F296" t="str">
        <f>setrules!B347</f>
        <v>DOM FUEL PROD</v>
      </c>
    </row>
    <row r="297" spans="1:6" x14ac:dyDescent="0.25">
      <c r="A297" t="str">
        <f>setrules!D348&amp;IF(setrules!E348="","",",-"&amp;setrules!E348)</f>
        <v/>
      </c>
      <c r="B297" t="str">
        <f>setrules!F348&amp;IF(setrules!G348="","",",-"&amp;setrules!G348)&amp;IF(setrules!P348="","",",-"&amp;setrules!P348)</f>
        <v>EETHB*</v>
      </c>
      <c r="C297" t="str">
        <f>setrules!H348&amp;IF(setrules!I348="","",",-"&amp;setrules!I348)</f>
        <v/>
      </c>
      <c r="D297" t="str">
        <f>setrules!J348&amp;IF(setrules!K348="","",",-"&amp;setrules!K348)</f>
        <v/>
      </c>
      <c r="E297" t="str">
        <f>setrules!L348&amp;IF(setrules!M348="","",",-"&amp;setrules!M348)</f>
        <v/>
      </c>
      <c r="F297" t="str">
        <f>setrules!B348</f>
        <v>ELC_ETH</v>
      </c>
    </row>
    <row r="298" spans="1:6" x14ac:dyDescent="0.25">
      <c r="A298" t="str">
        <f>setrules!D349&amp;IF(setrules!E349="","",",-"&amp;setrules!E349)</f>
        <v/>
      </c>
      <c r="B298" t="str">
        <f>setrules!F349&amp;IF(setrules!G349="","",",-"&amp;setrules!G349)&amp;IF(setrules!P349="","",",-"&amp;setrules!P349)</f>
        <v>E*</v>
      </c>
      <c r="C298" t="str">
        <f>setrules!H349&amp;IF(setrules!I349="","",",-"&amp;setrules!I349)</f>
        <v/>
      </c>
      <c r="D298" t="str">
        <f>setrules!J349&amp;IF(setrules!K349="","",",-"&amp;setrules!K349)</f>
        <v/>
      </c>
      <c r="E298" t="str">
        <f>setrules!L349&amp;IF(setrules!M349="","",",-"&amp;setrules!M349)</f>
        <v>ELC</v>
      </c>
      <c r="F298" t="str">
        <f>setrules!B349</f>
        <v>ELC-ALL</v>
      </c>
    </row>
    <row r="299" spans="1:6" x14ac:dyDescent="0.25">
      <c r="A299" t="str">
        <f>setrules!D350&amp;IF(setrules!E350="","",",-"&amp;setrules!E350)</f>
        <v>ELCAQEM1,ELCAQEM2,ELCAQEM3</v>
      </c>
      <c r="B299" t="str">
        <f>setrules!F350&amp;IF(setrules!G350="","",",-"&amp;setrules!G350)&amp;IF(setrules!P350="","",",-"&amp;setrules!P350)</f>
        <v>*</v>
      </c>
      <c r="C299" t="str">
        <f>setrules!H350&amp;IF(setrules!I350="","",",-"&amp;setrules!I350)</f>
        <v/>
      </c>
      <c r="D299" t="str">
        <f>setrules!J350&amp;IF(setrules!K350="","",",-"&amp;setrules!K350)</f>
        <v/>
      </c>
      <c r="E299" t="str">
        <f>setrules!L350&amp;IF(setrules!M350="","",",-"&amp;setrules!M350)</f>
        <v/>
      </c>
      <c r="F299" t="str">
        <f>setrules!B350</f>
        <v>ELCAQEM_ALL</v>
      </c>
    </row>
    <row r="300" spans="1:6" x14ac:dyDescent="0.25">
      <c r="A300" t="str">
        <f>setrules!D351&amp;IF(setrules!E351="","",",-"&amp;setrules!E351)</f>
        <v/>
      </c>
      <c r="B300" t="str">
        <f>setrules!F351&amp;IF(setrules!G351="","",",-"&amp;setrules!G351)&amp;IF(setrules!P351="","",",-"&amp;setrules!P351)</f>
        <v>SEELC*</v>
      </c>
      <c r="C300" t="str">
        <f>setrules!H351&amp;IF(setrules!I351="","",",-"&amp;setrules!I351)</f>
        <v/>
      </c>
      <c r="D300" t="str">
        <f>setrules!J351&amp;IF(setrules!K351="","",",-"&amp;setrules!K351)</f>
        <v/>
      </c>
      <c r="E300" t="str">
        <f>setrules!L351&amp;IF(setrules!M351="","",",-"&amp;setrules!M351)</f>
        <v/>
      </c>
      <c r="F300" t="str">
        <f>setrules!B351</f>
        <v>ELCAQEM1</v>
      </c>
    </row>
    <row r="301" spans="1:6" x14ac:dyDescent="0.25">
      <c r="A301" t="str">
        <f>setrules!D352&amp;IF(setrules!E352="","",",-"&amp;setrules!E352)</f>
        <v/>
      </c>
      <c r="B301" t="str">
        <f>setrules!F352&amp;IF(setrules!G352="","",",-"&amp;setrules!G352)&amp;IF(setrules!P352="","",",-"&amp;setrules!P352)</f>
        <v>SELFG*</v>
      </c>
      <c r="C301" t="str">
        <f>setrules!H352&amp;IF(setrules!I352="","",",-"&amp;setrules!I352)</f>
        <v/>
      </c>
      <c r="D301" t="str">
        <f>setrules!J352&amp;IF(setrules!K352="","",",-"&amp;setrules!K352)</f>
        <v/>
      </c>
      <c r="E301" t="str">
        <f>setrules!L352&amp;IF(setrules!M352="","",",-"&amp;setrules!M352)</f>
        <v/>
      </c>
      <c r="F301" t="str">
        <f>setrules!B352</f>
        <v>ELCAQEM2</v>
      </c>
    </row>
    <row r="302" spans="1:6" x14ac:dyDescent="0.25">
      <c r="A302" t="str">
        <f>setrules!D353&amp;IF(setrules!E353="","",",-"&amp;setrules!E353)</f>
        <v/>
      </c>
      <c r="B302" t="str">
        <f>setrules!F353&amp;IF(setrules!G353="","",",-"&amp;setrules!G353)&amp;IF(setrules!P353="","",",-"&amp;setrules!P353)</f>
        <v>,-,-IMPMTHP11,-IMPMTHP12,-IMPMTHP13,-IMPMTHP14,-IMPMTHP15,-IMPMTHP21,-IMPMTHP22,-IMPMTHP23,-IMPMTHP24,-IMPMTHP25,-IMPMTHP31,-IMPMTHP32,-IMPMTHP33,-IMPMTHP34,-IMPMTHP35,-IMPMTHP41,-IMPMTHP42,-IMPMTHP43,-IMPMTHP44,-IMPMTHP45,-IMPMTHP51,-IMPMTHP52,-IMPMTHP53,-IMPMTHP54,-IMPMTHP55,-</v>
      </c>
      <c r="C302" t="str">
        <f>setrules!H353&amp;IF(setrules!I353="","",",-"&amp;setrules!I353)</f>
        <v>*ETH*</v>
      </c>
      <c r="D302" t="str">
        <f>setrules!J353&amp;IF(setrules!K353="","",",-"&amp;setrules!K353)</f>
        <v/>
      </c>
      <c r="E302" t="str">
        <f>setrules!L353&amp;IF(setrules!M353="","",",-"&amp;setrules!M353)</f>
        <v/>
      </c>
      <c r="F302" t="str">
        <f>setrules!B353</f>
        <v>ETHANOL PROCESSES</v>
      </c>
    </row>
    <row r="303" spans="1:6" x14ac:dyDescent="0.25">
      <c r="A303" t="str">
        <f>setrules!D354&amp;IF(setrules!E354="","",",-"&amp;setrules!E354)</f>
        <v>dmd</v>
      </c>
      <c r="B303" t="str">
        <f>setrules!F354&amp;IF(setrules!G354="","",",-"&amp;setrules!G354)&amp;IF(setrules!P354="","",",-"&amp;setrules!P354)</f>
        <v>CO*</v>
      </c>
      <c r="C303" t="str">
        <f>setrules!H354&amp;IF(setrules!I354="","",",-"&amp;setrules!I354)</f>
        <v/>
      </c>
      <c r="D303" t="str">
        <f>setrules!J354&amp;IF(setrules!K354="","",",-"&amp;setrules!K354)</f>
        <v/>
      </c>
      <c r="E303" t="str">
        <f>setrules!L354&amp;IF(setrules!M354="","",",-"&amp;setrules!M354)</f>
        <v/>
      </c>
      <c r="F303" t="str">
        <f>setrules!B354</f>
        <v>DMD_OFF</v>
      </c>
    </row>
    <row r="304" spans="1:6" x14ac:dyDescent="0.25">
      <c r="A304" t="str">
        <f>setrules!D355&amp;IF(setrules!E355="","",",-"&amp;setrules!E355)</f>
        <v/>
      </c>
      <c r="B304" t="str">
        <f>setrules!F355&amp;IF(setrules!G355="","",",-"&amp;setrules!G355)&amp;IF(setrules!P355="","",",-"&amp;setrules!P355)</f>
        <v>ICFACDST*</v>
      </c>
      <c r="C304" t="str">
        <f>setrules!H355&amp;IF(setrules!I355="","",",-"&amp;setrules!I355)</f>
        <v/>
      </c>
      <c r="D304" t="str">
        <f>setrules!J355&amp;IF(setrules!K355="","",",-"&amp;setrules!K355)</f>
        <v/>
      </c>
      <c r="E304" t="str">
        <f>setrules!L355&amp;IF(setrules!M355="","",",-"&amp;setrules!M355)</f>
        <v/>
      </c>
      <c r="F304" t="str">
        <f>setrules!B355</f>
        <v>ICFA_DST</v>
      </c>
    </row>
    <row r="305" spans="1:6" x14ac:dyDescent="0.25">
      <c r="A305" t="str">
        <f>setrules!D356&amp;IF(setrules!E356="","",",-"&amp;setrules!E356)</f>
        <v/>
      </c>
      <c r="B305" t="str">
        <f>setrules!F356&amp;IF(setrules!G356="","",",-"&amp;setrules!G356)&amp;IF(setrules!P356="","",",-"&amp;setrules!P356)</f>
        <v>ICFS*</v>
      </c>
      <c r="C305" t="str">
        <f>setrules!H356&amp;IF(setrules!I356="","",",-"&amp;setrules!I356)</f>
        <v/>
      </c>
      <c r="D305" t="str">
        <f>setrules!J356&amp;IF(setrules!K356="","",",-"&amp;setrules!K356)</f>
        <v/>
      </c>
      <c r="E305" t="str">
        <f>setrules!L356&amp;IF(setrules!M356="","",",-"&amp;setrules!M356)</f>
        <v/>
      </c>
      <c r="F305" t="str">
        <f>setrules!B356</f>
        <v>ICF_ALL</v>
      </c>
    </row>
    <row r="306" spans="1:6" x14ac:dyDescent="0.25">
      <c r="A306" t="str">
        <f>setrules!D357&amp;IF(setrules!E357="","",",-"&amp;setrules!E357)</f>
        <v/>
      </c>
      <c r="B306" t="str">
        <f>setrules!F357&amp;IF(setrules!G357="","",",-"&amp;setrules!G357)&amp;IF(setrules!P357="","",",-"&amp;setrules!P357)</f>
        <v>ICFS*COA*</v>
      </c>
      <c r="C306" t="str">
        <f>setrules!H357&amp;IF(setrules!I357="","",",-"&amp;setrules!I357)</f>
        <v/>
      </c>
      <c r="D306" t="str">
        <f>setrules!J357&amp;IF(setrules!K357="","",",-"&amp;setrules!K357)</f>
        <v/>
      </c>
      <c r="E306" t="str">
        <f>setrules!L357&amp;IF(setrules!M357="","",",-"&amp;setrules!M357)</f>
        <v/>
      </c>
      <c r="F306" t="str">
        <f>setrules!B357</f>
        <v>ICF_COA</v>
      </c>
    </row>
    <row r="307" spans="1:6" x14ac:dyDescent="0.25">
      <c r="A307" t="str">
        <f>setrules!D358&amp;IF(setrules!E358="","",",-"&amp;setrules!E358)</f>
        <v/>
      </c>
      <c r="B307" t="str">
        <f>setrules!F358&amp;IF(setrules!G358="","",",-"&amp;setrules!G358)&amp;IF(setrules!P358="","",",-"&amp;setrules!P358)</f>
        <v>ICFS*LPG*</v>
      </c>
      <c r="C307" t="str">
        <f>setrules!H358&amp;IF(setrules!I358="","",",-"&amp;setrules!I358)</f>
        <v/>
      </c>
      <c r="D307" t="str">
        <f>setrules!J358&amp;IF(setrules!K358="","",",-"&amp;setrules!K358)</f>
        <v/>
      </c>
      <c r="E307" t="str">
        <f>setrules!L358&amp;IF(setrules!M358="","",",-"&amp;setrules!M358)</f>
        <v/>
      </c>
      <c r="F307" t="str">
        <f>setrules!B358</f>
        <v>ICF_LPG</v>
      </c>
    </row>
    <row r="308" spans="1:6" x14ac:dyDescent="0.25">
      <c r="A308" t="str">
        <f>setrules!D359&amp;IF(setrules!E359="","",",-"&amp;setrules!E359)</f>
        <v/>
      </c>
      <c r="B308" t="str">
        <f>setrules!F359&amp;IF(setrules!G359="","",",-"&amp;setrules!G359)&amp;IF(setrules!P359="","",",-"&amp;setrules!P359)</f>
        <v>ICFS*NGA*</v>
      </c>
      <c r="C308" t="str">
        <f>setrules!H359&amp;IF(setrules!I359="","",",-"&amp;setrules!I359)</f>
        <v/>
      </c>
      <c r="D308" t="str">
        <f>setrules!J359&amp;IF(setrules!K359="","",",-"&amp;setrules!K359)</f>
        <v/>
      </c>
      <c r="E308" t="str">
        <f>setrules!L359&amp;IF(setrules!M359="","",",-"&amp;setrules!M359)</f>
        <v/>
      </c>
      <c r="F308" t="str">
        <f>setrules!B359</f>
        <v>ICF_NGA</v>
      </c>
    </row>
    <row r="309" spans="1:6" x14ac:dyDescent="0.25">
      <c r="A309" t="str">
        <f>setrules!D360&amp;IF(setrules!E360="","",",-"&amp;setrules!E360)</f>
        <v>DMD</v>
      </c>
      <c r="B309" t="str">
        <f>setrules!F360&amp;IF(setrules!G360="","",",-"&amp;setrules!G360)&amp;IF(setrules!P360="","",",-"&amp;setrules!P360)</f>
        <v>ICF*OTH*</v>
      </c>
      <c r="C309" t="str">
        <f>setrules!H360&amp;IF(setrules!I360="","",",-"&amp;setrules!I360)</f>
        <v/>
      </c>
      <c r="D309" t="str">
        <f>setrules!J360&amp;IF(setrules!K360="","",",-"&amp;setrules!K360)</f>
        <v/>
      </c>
      <c r="E309" t="str">
        <f>setrules!L360&amp;IF(setrules!M360="","",",-"&amp;setrules!M360)</f>
        <v/>
      </c>
      <c r="F309" t="str">
        <f>setrules!B360</f>
        <v>ICF_OTH</v>
      </c>
    </row>
    <row r="310" spans="1:6" x14ac:dyDescent="0.25">
      <c r="A310" t="str">
        <f>setrules!D361&amp;IF(setrules!E361="","",",-"&amp;setrules!E361)</f>
        <v/>
      </c>
      <c r="B310" t="str">
        <f>setrules!F361&amp;IF(setrules!G361="","",",-"&amp;setrules!G361)&amp;IF(setrules!P361="","",",-"&amp;setrules!P361)</f>
        <v>ICFS*PFS*</v>
      </c>
      <c r="C310" t="str">
        <f>setrules!H361&amp;IF(setrules!I361="","",",-"&amp;setrules!I361)</f>
        <v/>
      </c>
      <c r="D310" t="str">
        <f>setrules!J361&amp;IF(setrules!K361="","",",-"&amp;setrules!K361)</f>
        <v/>
      </c>
      <c r="E310" t="str">
        <f>setrules!L361&amp;IF(setrules!M361="","",",-"&amp;setrules!M361)</f>
        <v/>
      </c>
      <c r="F310" t="str">
        <f>setrules!B361</f>
        <v>ICF_PFS</v>
      </c>
    </row>
    <row r="311" spans="1:6" x14ac:dyDescent="0.25">
      <c r="A311" t="str">
        <f>setrules!D362&amp;IF(setrules!E362="","",",-"&amp;setrules!E362)</f>
        <v/>
      </c>
      <c r="B311" t="str">
        <f>setrules!F362&amp;IF(setrules!G362="","",",-"&amp;setrules!G362)&amp;IF(setrules!P362="","",",-"&amp;setrules!P362)</f>
        <v>P*</v>
      </c>
      <c r="C311" t="str">
        <f>setrules!H362&amp;IF(setrules!I362="","",",-"&amp;setrules!I362)</f>
        <v/>
      </c>
      <c r="D311" t="str">
        <f>setrules!J362&amp;IF(setrules!K362="","",",-"&amp;setrules!K362)</f>
        <v/>
      </c>
      <c r="E311" t="str">
        <f>setrules!L362&amp;IF(setrules!M362="","",",-"&amp;setrules!M362)</f>
        <v>CRNETH*</v>
      </c>
      <c r="F311" t="str">
        <f>setrules!B362</f>
        <v>ETH_CORN</v>
      </c>
    </row>
    <row r="312" spans="1:6" x14ac:dyDescent="0.25">
      <c r="A312" t="str">
        <f>setrules!D363&amp;IF(setrules!E363="","",",-"&amp;setrules!E363)</f>
        <v/>
      </c>
      <c r="B312" t="str">
        <f>setrules!F363&amp;IF(setrules!G363="","",",-"&amp;setrules!G363)&amp;IF(setrules!P363="","",",-"&amp;setrules!P363)</f>
        <v>ICFAC*</v>
      </c>
      <c r="C312" t="str">
        <f>setrules!H363&amp;IF(setrules!I363="","",",-"&amp;setrules!I363)</f>
        <v/>
      </c>
      <c r="D312" t="str">
        <f>setrules!J363&amp;IF(setrules!K363="","",",-"&amp;setrules!K363)</f>
        <v/>
      </c>
      <c r="E312" t="str">
        <f>setrules!L363&amp;IF(setrules!M363="","",",-"&amp;setrules!M363)</f>
        <v/>
      </c>
      <c r="F312" t="str">
        <f>setrules!B363</f>
        <v>ICFA_ALL</v>
      </c>
    </row>
    <row r="313" spans="1:6" x14ac:dyDescent="0.25">
      <c r="A313" t="str">
        <f>setrules!D364&amp;IF(setrules!E364="","",",-"&amp;setrules!E364)</f>
        <v/>
      </c>
      <c r="B313" t="str">
        <f>setrules!F364&amp;IF(setrules!G364="","",",-"&amp;setrules!G364)&amp;IF(setrules!P364="","",",-"&amp;setrules!P364)</f>
        <v>ICABOLFSTM</v>
      </c>
      <c r="C313" t="str">
        <f>setrules!H364&amp;IF(setrules!I364="","",",-"&amp;setrules!I364)</f>
        <v/>
      </c>
      <c r="D313" t="str">
        <f>setrules!J364&amp;IF(setrules!K364="","",",-"&amp;setrules!K364)</f>
        <v/>
      </c>
      <c r="E313" t="str">
        <f>setrules!L364&amp;IF(setrules!M364="","",",-"&amp;setrules!M364)</f>
        <v/>
      </c>
      <c r="F313" t="str">
        <f>setrules!B364</f>
        <v>ICAST_CHP</v>
      </c>
    </row>
    <row r="314" spans="1:6" x14ac:dyDescent="0.25">
      <c r="A314" t="str">
        <f>setrules!D365&amp;IF(setrules!E365="","",",-"&amp;setrules!E365)</f>
        <v/>
      </c>
      <c r="B314" t="str">
        <f>setrules!F365&amp;IF(setrules!G365="","",",-"&amp;setrules!G365)&amp;IF(setrules!P365="","",",-"&amp;setrules!P365)</f>
        <v>ICFACELC*</v>
      </c>
      <c r="C314" t="str">
        <f>setrules!H365&amp;IF(setrules!I365="","",",-"&amp;setrules!I365)</f>
        <v/>
      </c>
      <c r="D314" t="str">
        <f>setrules!J365&amp;IF(setrules!K365="","",",-"&amp;setrules!K365)</f>
        <v/>
      </c>
      <c r="E314" t="str">
        <f>setrules!L365&amp;IF(setrules!M365="","",",-"&amp;setrules!M365)</f>
        <v/>
      </c>
      <c r="F314" t="str">
        <f>setrules!B365</f>
        <v>ICFA_ELC</v>
      </c>
    </row>
    <row r="315" spans="1:6" x14ac:dyDescent="0.25">
      <c r="A315" t="str">
        <f>setrules!D366&amp;IF(setrules!E366="","",",-"&amp;setrules!E366)</f>
        <v/>
      </c>
      <c r="B315" t="str">
        <f>setrules!F366&amp;IF(setrules!G366="","",",-"&amp;setrules!G366)&amp;IF(setrules!P366="","",",-"&amp;setrules!P366)</f>
        <v>ICFACLPG*</v>
      </c>
      <c r="C315" t="str">
        <f>setrules!H366&amp;IF(setrules!I366="","",",-"&amp;setrules!I366)</f>
        <v/>
      </c>
      <c r="D315" t="str">
        <f>setrules!J366&amp;IF(setrules!K366="","",",-"&amp;setrules!K366)</f>
        <v/>
      </c>
      <c r="E315" t="str">
        <f>setrules!L366&amp;IF(setrules!M366="","",",-"&amp;setrules!M366)</f>
        <v/>
      </c>
      <c r="F315" t="str">
        <f>setrules!B366</f>
        <v>ICFA_LPG</v>
      </c>
    </row>
    <row r="316" spans="1:6" x14ac:dyDescent="0.25">
      <c r="A316" t="str">
        <f>setrules!D367&amp;IF(setrules!E367="","",",-"&amp;setrules!E367)</f>
        <v/>
      </c>
      <c r="B316" t="str">
        <f>setrules!F367&amp;IF(setrules!G367="","",",-"&amp;setrules!G367)&amp;IF(setrules!P367="","",",-"&amp;setrules!P367)</f>
        <v>ICFACNGA*</v>
      </c>
      <c r="C316" t="str">
        <f>setrules!H367&amp;IF(setrules!I367="","",",-"&amp;setrules!I367)</f>
        <v/>
      </c>
      <c r="D316" t="str">
        <f>setrules!J367&amp;IF(setrules!K367="","",",-"&amp;setrules!K367)</f>
        <v/>
      </c>
      <c r="E316" t="str">
        <f>setrules!L367&amp;IF(setrules!M367="","",",-"&amp;setrules!M367)</f>
        <v/>
      </c>
      <c r="F316" t="str">
        <f>setrules!B367</f>
        <v>ICFA_NGA</v>
      </c>
    </row>
    <row r="317" spans="1:6" x14ac:dyDescent="0.25">
      <c r="A317" t="str">
        <f>setrules!D368&amp;IF(setrules!E368="","",",-"&amp;setrules!E368)</f>
        <v/>
      </c>
      <c r="B317" t="str">
        <f>setrules!F368&amp;IF(setrules!G368="","",",-"&amp;setrules!G368)&amp;IF(setrules!P368="","",",-"&amp;setrules!P368)</f>
        <v>ICFACRFL*</v>
      </c>
      <c r="C317" t="str">
        <f>setrules!H368&amp;IF(setrules!I368="","",",-"&amp;setrules!I368)</f>
        <v/>
      </c>
      <c r="D317" t="str">
        <f>setrules!J368&amp;IF(setrules!K368="","",",-"&amp;setrules!K368)</f>
        <v/>
      </c>
      <c r="E317" t="str">
        <f>setrules!L368&amp;IF(setrules!M368="","",",-"&amp;setrules!M368)</f>
        <v/>
      </c>
      <c r="F317" t="str">
        <f>setrules!B368</f>
        <v>ICFA_RFL</v>
      </c>
    </row>
    <row r="318" spans="1:6" x14ac:dyDescent="0.25">
      <c r="A318" t="str">
        <f>setrules!D369&amp;IF(setrules!E369="","",",-"&amp;setrules!E369)</f>
        <v/>
      </c>
      <c r="B318" t="str">
        <f>setrules!F369&amp;IF(setrules!G369="","",",-"&amp;setrules!G369)&amp;IF(setrules!P369="","",",-"&amp;setrules!P369)</f>
        <v>ICIEFAC*</v>
      </c>
      <c r="C318" t="str">
        <f>setrules!H369&amp;IF(setrules!I369="","",",-"&amp;setrules!I369)</f>
        <v/>
      </c>
      <c r="D318" t="str">
        <f>setrules!J369&amp;IF(setrules!K369="","",",-"&amp;setrules!K369)</f>
        <v/>
      </c>
      <c r="E318" t="str">
        <f>setrules!L369&amp;IF(setrules!M369="","",",-"&amp;setrules!M369)</f>
        <v/>
      </c>
      <c r="F318" t="str">
        <f>setrules!B369</f>
        <v>ICIFA_ALL</v>
      </c>
    </row>
    <row r="319" spans="1:6" x14ac:dyDescent="0.25">
      <c r="A319" t="str">
        <f>setrules!D370&amp;IF(setrules!E370="","",",-"&amp;setrules!E370)</f>
        <v/>
      </c>
      <c r="B319" t="str">
        <f>setrules!F370&amp;IF(setrules!G370="","",",-"&amp;setrules!G370)&amp;IF(setrules!P370="","",",-"&amp;setrules!P370)</f>
        <v>ICIEFACELC</v>
      </c>
      <c r="C319" t="str">
        <f>setrules!H370&amp;IF(setrules!I370="","",",-"&amp;setrules!I370)</f>
        <v/>
      </c>
      <c r="D319" t="str">
        <f>setrules!J370&amp;IF(setrules!K370="","",",-"&amp;setrules!K370)</f>
        <v/>
      </c>
      <c r="E319" t="str">
        <f>setrules!L370&amp;IF(setrules!M370="","",",-"&amp;setrules!M370)</f>
        <v/>
      </c>
      <c r="F319" t="str">
        <f>setrules!B370</f>
        <v>ICIFA_ELC</v>
      </c>
    </row>
    <row r="320" spans="1:6" x14ac:dyDescent="0.25">
      <c r="A320" t="str">
        <f>setrules!D371&amp;IF(setrules!E371="","",",-"&amp;setrules!E371)</f>
        <v/>
      </c>
      <c r="B320" t="str">
        <f>setrules!F371&amp;IF(setrules!G371="","",",-"&amp;setrules!G371)&amp;IF(setrules!P371="","",",-"&amp;setrules!P371)</f>
        <v>ICIEFACNGA</v>
      </c>
      <c r="C320" t="str">
        <f>setrules!H371&amp;IF(setrules!I371="","",",-"&amp;setrules!I371)</f>
        <v/>
      </c>
      <c r="D320" t="str">
        <f>setrules!J371&amp;IF(setrules!K371="","",",-"&amp;setrules!K371)</f>
        <v/>
      </c>
      <c r="E320" t="str">
        <f>setrules!L371&amp;IF(setrules!M371="","",",-"&amp;setrules!M371)</f>
        <v/>
      </c>
      <c r="F320" t="str">
        <f>setrules!B371</f>
        <v>ICIFA_NGA</v>
      </c>
    </row>
    <row r="321" spans="1:6" x14ac:dyDescent="0.25">
      <c r="A321" t="str">
        <f>setrules!D372&amp;IF(setrules!E372="","",",-"&amp;setrules!E372)</f>
        <v/>
      </c>
      <c r="B321" t="str">
        <f>setrules!F372&amp;IF(setrules!G372="","",",-"&amp;setrules!G372)&amp;IF(setrules!P372="","",",-"&amp;setrules!P372)</f>
        <v>ICFS*RFL*</v>
      </c>
      <c r="C321" t="str">
        <f>setrules!H372&amp;IF(setrules!I372="","",",-"&amp;setrules!I372)</f>
        <v/>
      </c>
      <c r="D321" t="str">
        <f>setrules!J372&amp;IF(setrules!K372="","",",-"&amp;setrules!K372)</f>
        <v/>
      </c>
      <c r="E321" t="str">
        <f>setrules!L372&amp;IF(setrules!M372="","",",-"&amp;setrules!M372)</f>
        <v/>
      </c>
      <c r="F321" t="str">
        <f>setrules!B372</f>
        <v>ICF_RFL</v>
      </c>
    </row>
    <row r="322" spans="1:6" x14ac:dyDescent="0.25">
      <c r="A322" t="str">
        <f>setrules!D373&amp;IF(setrules!E373="","",",-"&amp;setrules!E373)</f>
        <v/>
      </c>
      <c r="B322" t="str">
        <f>setrules!F373&amp;IF(setrules!G373="","",",-"&amp;setrules!G373)&amp;IF(setrules!P373="","",",-"&amp;setrules!P373)</f>
        <v>ICAEMDRELC</v>
      </c>
      <c r="C322" t="str">
        <f>setrules!H373&amp;IF(setrules!I373="","",",-"&amp;setrules!I373)</f>
        <v/>
      </c>
      <c r="D322" t="str">
        <f>setrules!J373&amp;IF(setrules!K373="","",",-"&amp;setrules!K373)</f>
        <v/>
      </c>
      <c r="E322" t="str">
        <f>setrules!L373&amp;IF(setrules!M373="","",",-"&amp;setrules!M373)</f>
        <v/>
      </c>
      <c r="F322" t="str">
        <f>setrules!B373</f>
        <v>ICAMD_ELC</v>
      </c>
    </row>
    <row r="323" spans="1:6" x14ac:dyDescent="0.25">
      <c r="A323" t="str">
        <f>setrules!D374&amp;IF(setrules!E374="","",",-"&amp;setrules!E374)</f>
        <v/>
      </c>
      <c r="B323" t="str">
        <f>setrules!F374&amp;IF(setrules!G374="","",",-"&amp;setrules!G374)&amp;IF(setrules!P374="","",",-"&amp;setrules!P374)</f>
        <v>IC*</v>
      </c>
      <c r="C323" t="str">
        <f>setrules!H374&amp;IF(setrules!I374="","",",-"&amp;setrules!I374)</f>
        <v/>
      </c>
      <c r="D323" t="str">
        <f>setrules!J374&amp;IF(setrules!K374="","",",-"&amp;setrules!K374)</f>
        <v/>
      </c>
      <c r="E323" t="str">
        <f>setrules!L374&amp;IF(setrules!M374="","",",-"&amp;setrules!M374)</f>
        <v/>
      </c>
      <c r="F323" t="str">
        <f>setrules!B374</f>
        <v>IC EXISTING</v>
      </c>
    </row>
    <row r="324" spans="1:6" x14ac:dyDescent="0.25">
      <c r="A324" t="str">
        <f>setrules!D375&amp;IF(setrules!E375="","",",-"&amp;setrules!E375)</f>
        <v/>
      </c>
      <c r="B324" t="str">
        <f>setrules!F375&amp;IF(setrules!G375="","",",-"&amp;setrules!G375)&amp;IF(setrules!P375="","",",-"&amp;setrules!P375)</f>
        <v>ICAEFAC*</v>
      </c>
      <c r="C324" t="str">
        <f>setrules!H375&amp;IF(setrules!I375="","",",-"&amp;setrules!I375)</f>
        <v/>
      </c>
      <c r="D324" t="str">
        <f>setrules!J375&amp;IF(setrules!K375="","",",-"&amp;setrules!K375)</f>
        <v/>
      </c>
      <c r="E324" t="str">
        <f>setrules!L375&amp;IF(setrules!M375="","",",-"&amp;setrules!M375)</f>
        <v/>
      </c>
      <c r="F324" t="str">
        <f>setrules!B375</f>
        <v>ICAFA_ALL</v>
      </c>
    </row>
    <row r="325" spans="1:6" x14ac:dyDescent="0.25">
      <c r="A325" t="str">
        <f>setrules!D376&amp;IF(setrules!E376="","",",-"&amp;setrules!E376)</f>
        <v/>
      </c>
      <c r="B325" t="str">
        <f>setrules!F376&amp;IF(setrules!G376="","",",-"&amp;setrules!G376)&amp;IF(setrules!P376="","",",-"&amp;setrules!P376)</f>
        <v>ICAEFACDST</v>
      </c>
      <c r="C325" t="str">
        <f>setrules!H376&amp;IF(setrules!I376="","",",-"&amp;setrules!I376)</f>
        <v/>
      </c>
      <c r="D325" t="str">
        <f>setrules!J376&amp;IF(setrules!K376="","",",-"&amp;setrules!K376)</f>
        <v/>
      </c>
      <c r="E325" t="str">
        <f>setrules!L376&amp;IF(setrules!M376="","",",-"&amp;setrules!M376)</f>
        <v/>
      </c>
      <c r="F325" t="str">
        <f>setrules!B376</f>
        <v>ICAFA_DST</v>
      </c>
    </row>
    <row r="326" spans="1:6" x14ac:dyDescent="0.25">
      <c r="A326" t="str">
        <f>setrules!D377&amp;IF(setrules!E377="","",",-"&amp;setrules!E377)</f>
        <v/>
      </c>
      <c r="B326" t="str">
        <f>setrules!F377&amp;IF(setrules!G377="","",",-"&amp;setrules!G377)&amp;IF(setrules!P377="","",",-"&amp;setrules!P377)</f>
        <v>ICAEFACELC</v>
      </c>
      <c r="C326" t="str">
        <f>setrules!H377&amp;IF(setrules!I377="","",",-"&amp;setrules!I377)</f>
        <v/>
      </c>
      <c r="D326" t="str">
        <f>setrules!J377&amp;IF(setrules!K377="","",",-"&amp;setrules!K377)</f>
        <v/>
      </c>
      <c r="E326" t="str">
        <f>setrules!L377&amp;IF(setrules!M377="","",",-"&amp;setrules!M377)</f>
        <v/>
      </c>
      <c r="F326" t="str">
        <f>setrules!B377</f>
        <v>ICAFA_ELC</v>
      </c>
    </row>
    <row r="327" spans="1:6" x14ac:dyDescent="0.25">
      <c r="A327" t="str">
        <f>setrules!D378&amp;IF(setrules!E378="","",",-"&amp;setrules!E378)</f>
        <v/>
      </c>
      <c r="B327" t="str">
        <f>setrules!F378&amp;IF(setrules!G378="","",",-"&amp;setrules!G378)&amp;IF(setrules!P378="","",",-"&amp;setrules!P378)</f>
        <v>ICAEFACNGA</v>
      </c>
      <c r="C327" t="str">
        <f>setrules!H378&amp;IF(setrules!I378="","",",-"&amp;setrules!I378)</f>
        <v/>
      </c>
      <c r="D327" t="str">
        <f>setrules!J378&amp;IF(setrules!K378="","",",-"&amp;setrules!K378)</f>
        <v/>
      </c>
      <c r="E327" t="str">
        <f>setrules!L378&amp;IF(setrules!M378="","",",-"&amp;setrules!M378)</f>
        <v/>
      </c>
      <c r="F327" t="str">
        <f>setrules!B378</f>
        <v>ICAFA_NGA</v>
      </c>
    </row>
    <row r="328" spans="1:6" x14ac:dyDescent="0.25">
      <c r="A328" t="str">
        <f>setrules!D379&amp;IF(setrules!E379="","",",-"&amp;setrules!E379)</f>
        <v/>
      </c>
      <c r="B328" t="str">
        <f>setrules!F379&amp;IF(setrules!G379="","",",-"&amp;setrules!G379)&amp;IF(setrules!P379="","",",-"&amp;setrules!P379)</f>
        <v>ICAEFED*</v>
      </c>
      <c r="C328" t="str">
        <f>setrules!H379&amp;IF(setrules!I379="","",",-"&amp;setrules!I379)</f>
        <v/>
      </c>
      <c r="D328" t="str">
        <f>setrules!J379&amp;IF(setrules!K379="","",",-"&amp;setrules!K379)</f>
        <v/>
      </c>
      <c r="E328" t="str">
        <f>setrules!L379&amp;IF(setrules!M379="","",",-"&amp;setrules!M379)</f>
        <v/>
      </c>
      <c r="F328" t="str">
        <f>setrules!B379</f>
        <v>ICAFS_ALL</v>
      </c>
    </row>
    <row r="329" spans="1:6" x14ac:dyDescent="0.25">
      <c r="A329" t="str">
        <f>setrules!D380&amp;IF(setrules!E380="","",",-"&amp;setrules!E380)</f>
        <v/>
      </c>
      <c r="B329" t="str">
        <f>setrules!F380&amp;IF(setrules!G380="","",",-"&amp;setrules!G380)&amp;IF(setrules!P380="","",",-"&amp;setrules!P380)</f>
        <v>ICAEFEDNGA</v>
      </c>
      <c r="C329" t="str">
        <f>setrules!H380&amp;IF(setrules!I380="","",",-"&amp;setrules!I380)</f>
        <v/>
      </c>
      <c r="D329" t="str">
        <f>setrules!J380&amp;IF(setrules!K380="","",",-"&amp;setrules!K380)</f>
        <v/>
      </c>
      <c r="E329" t="str">
        <f>setrules!L380&amp;IF(setrules!M380="","",",-"&amp;setrules!M380)</f>
        <v/>
      </c>
      <c r="F329" t="str">
        <f>setrules!B380</f>
        <v>ICAFS_NGA</v>
      </c>
    </row>
    <row r="330" spans="1:6" x14ac:dyDescent="0.25">
      <c r="A330" t="str">
        <f>setrules!D381&amp;IF(setrules!E381="","",",-"&amp;setrules!E381)</f>
        <v/>
      </c>
      <c r="B330" t="str">
        <f>setrules!F381&amp;IF(setrules!G381="","",",-"&amp;setrules!G381)&amp;IF(setrules!P381="","",",-"&amp;setrules!P381)</f>
        <v>ICA*NGA,-,-ICAEFACNGA,-ICAEFEDNGA,-ICAEMDRNGA,-ICAEPRHNGA,-</v>
      </c>
      <c r="C330" t="str">
        <f>setrules!H381&amp;IF(setrules!I381="","",",-"&amp;setrules!I381)</f>
        <v/>
      </c>
      <c r="D330" t="str">
        <f>setrules!J381&amp;IF(setrules!K381="","",",-"&amp;setrules!K381)</f>
        <v/>
      </c>
      <c r="E330" t="str">
        <f>setrules!L381&amp;IF(setrules!M381="","",",-"&amp;setrules!M381)</f>
        <v/>
      </c>
      <c r="F330" t="str">
        <f>setrules!B381</f>
        <v>ICAST_NGA</v>
      </c>
    </row>
    <row r="331" spans="1:6" x14ac:dyDescent="0.25">
      <c r="A331" t="str">
        <f>setrules!D382&amp;IF(setrules!E382="","",",-"&amp;setrules!E382)</f>
        <v/>
      </c>
      <c r="B331" t="str">
        <f>setrules!F382&amp;IF(setrules!G382="","",",-"&amp;setrules!G382)&amp;IF(setrules!P382="","",",-"&amp;setrules!P382)</f>
        <v>ICAEMDR*</v>
      </c>
      <c r="C331" t="str">
        <f>setrules!H382&amp;IF(setrules!I382="","",",-"&amp;setrules!I382)</f>
        <v/>
      </c>
      <c r="D331" t="str">
        <f>setrules!J382&amp;IF(setrules!K382="","",",-"&amp;setrules!K382)</f>
        <v/>
      </c>
      <c r="E331" t="str">
        <f>setrules!L382&amp;IF(setrules!M382="","",",-"&amp;setrules!M382)</f>
        <v/>
      </c>
      <c r="F331" t="str">
        <f>setrules!B382</f>
        <v>ICAMD_ALL</v>
      </c>
    </row>
    <row r="332" spans="1:6" x14ac:dyDescent="0.25">
      <c r="A332" t="str">
        <f>setrules!D383&amp;IF(setrules!E383="","",",-"&amp;setrules!E383)</f>
        <v/>
      </c>
      <c r="B332" t="str">
        <f>setrules!F383&amp;IF(setrules!G383="","",",-"&amp;setrules!G383)&amp;IF(setrules!P383="","",",-"&amp;setrules!P383)</f>
        <v>ICAEBSTCOA</v>
      </c>
      <c r="C332" t="str">
        <f>setrules!H383&amp;IF(setrules!I383="","",",-"&amp;setrules!I383)</f>
        <v/>
      </c>
      <c r="D332" t="str">
        <f>setrules!J383&amp;IF(setrules!K383="","",",-"&amp;setrules!K383)</f>
        <v/>
      </c>
      <c r="E332" t="str">
        <f>setrules!L383&amp;IF(setrules!M383="","",",-"&amp;setrules!M383)</f>
        <v/>
      </c>
      <c r="F332" t="str">
        <f>setrules!B383</f>
        <v>ICAST_COA</v>
      </c>
    </row>
    <row r="333" spans="1:6" x14ac:dyDescent="0.25">
      <c r="A333" t="str">
        <f>setrules!D384&amp;IF(setrules!E384="","",",-"&amp;setrules!E384)</f>
        <v/>
      </c>
      <c r="B333" t="str">
        <f>setrules!F384&amp;IF(setrules!G384="","",",-"&amp;setrules!G384)&amp;IF(setrules!P384="","",",-"&amp;setrules!P384)</f>
        <v>ICAEMDRNGA</v>
      </c>
      <c r="C333" t="str">
        <f>setrules!H384&amp;IF(setrules!I384="","",",-"&amp;setrules!I384)</f>
        <v/>
      </c>
      <c r="D333" t="str">
        <f>setrules!J384&amp;IF(setrules!K384="","",",-"&amp;setrules!K384)</f>
        <v/>
      </c>
      <c r="E333" t="str">
        <f>setrules!L384&amp;IF(setrules!M384="","",",-"&amp;setrules!M384)</f>
        <v/>
      </c>
      <c r="F333" t="str">
        <f>setrules!B384</f>
        <v>ICAMD_NGA</v>
      </c>
    </row>
    <row r="334" spans="1:6" x14ac:dyDescent="0.25">
      <c r="A334" t="str">
        <f>setrules!D385&amp;IF(setrules!E385="","",",-"&amp;setrules!E385)</f>
        <v/>
      </c>
      <c r="B334" t="str">
        <f>setrules!F385&amp;IF(setrules!G385="","",",-"&amp;setrules!G385)&amp;IF(setrules!P385="","",",-"&amp;setrules!P385)</f>
        <v>ICAEPRH*</v>
      </c>
      <c r="C334" t="str">
        <f>setrules!H385&amp;IF(setrules!I385="","",",-"&amp;setrules!I385)</f>
        <v/>
      </c>
      <c r="D334" t="str">
        <f>setrules!J385&amp;IF(setrules!K385="","",",-"&amp;setrules!K385)</f>
        <v/>
      </c>
      <c r="E334" t="str">
        <f>setrules!L385&amp;IF(setrules!M385="","",",-"&amp;setrules!M385)</f>
        <v/>
      </c>
      <c r="F334" t="str">
        <f>setrules!B385</f>
        <v>ICAPH_ALL</v>
      </c>
    </row>
    <row r="335" spans="1:6" x14ac:dyDescent="0.25">
      <c r="A335" t="str">
        <f>setrules!D386&amp;IF(setrules!E386="","",",-"&amp;setrules!E386)</f>
        <v/>
      </c>
      <c r="B335" t="str">
        <f>setrules!F386&amp;IF(setrules!G386="","",",-"&amp;setrules!G386)&amp;IF(setrules!P386="","",",-"&amp;setrules!P386)</f>
        <v>ICAEPRHCOA</v>
      </c>
      <c r="C335" t="str">
        <f>setrules!H386&amp;IF(setrules!I386="","",",-"&amp;setrules!I386)</f>
        <v/>
      </c>
      <c r="D335" t="str">
        <f>setrules!J386&amp;IF(setrules!K386="","",",-"&amp;setrules!K386)</f>
        <v/>
      </c>
      <c r="E335" t="str">
        <f>setrules!L386&amp;IF(setrules!M386="","",",-"&amp;setrules!M386)</f>
        <v/>
      </c>
      <c r="F335" t="str">
        <f>setrules!B386</f>
        <v>ICAPH_COA</v>
      </c>
    </row>
    <row r="336" spans="1:6" x14ac:dyDescent="0.25">
      <c r="A336" t="str">
        <f>setrules!D387&amp;IF(setrules!E387="","",",-"&amp;setrules!E387)</f>
        <v/>
      </c>
      <c r="B336" t="str">
        <f>setrules!F387&amp;IF(setrules!G387="","",",-"&amp;setrules!G387)&amp;IF(setrules!P387="","",",-"&amp;setrules!P387)</f>
        <v>ICAEPRHELC</v>
      </c>
      <c r="C336" t="str">
        <f>setrules!H387&amp;IF(setrules!I387="","",",-"&amp;setrules!I387)</f>
        <v/>
      </c>
      <c r="D336" t="str">
        <f>setrules!J387&amp;IF(setrules!K387="","",",-"&amp;setrules!K387)</f>
        <v/>
      </c>
      <c r="E336" t="str">
        <f>setrules!L387&amp;IF(setrules!M387="","",",-"&amp;setrules!M387)</f>
        <v/>
      </c>
      <c r="F336" t="str">
        <f>setrules!B387</f>
        <v>ICAPH_ELC</v>
      </c>
    </row>
    <row r="337" spans="1:6" x14ac:dyDescent="0.25">
      <c r="A337" t="str">
        <f>setrules!D388&amp;IF(setrules!E388="","",",-"&amp;setrules!E388)</f>
        <v/>
      </c>
      <c r="B337" t="str">
        <f>setrules!F388&amp;IF(setrules!G388="","",",-"&amp;setrules!G388)&amp;IF(setrules!P388="","",",-"&amp;setrules!P388)</f>
        <v>ICAEPRHNGA</v>
      </c>
      <c r="C337" t="str">
        <f>setrules!H388&amp;IF(setrules!I388="","",",-"&amp;setrules!I388)</f>
        <v/>
      </c>
      <c r="D337" t="str">
        <f>setrules!J388&amp;IF(setrules!K388="","",",-"&amp;setrules!K388)</f>
        <v/>
      </c>
      <c r="E337" t="str">
        <f>setrules!L388&amp;IF(setrules!M388="","",",-"&amp;setrules!M388)</f>
        <v/>
      </c>
      <c r="F337" t="str">
        <f>setrules!B388</f>
        <v>ICAPH_NGA</v>
      </c>
    </row>
    <row r="338" spans="1:6" x14ac:dyDescent="0.25">
      <c r="A338" t="str">
        <f>setrules!D389&amp;IF(setrules!E389="","",",-"&amp;setrules!E389)</f>
        <v/>
      </c>
      <c r="B338" t="str">
        <f>setrules!F389&amp;IF(setrules!G389="","",",-"&amp;setrules!G389)&amp;IF(setrules!P389="","",",-"&amp;setrules!P389)</f>
        <v>ICA*B*,-ICA*BIO,-ICA*B*WOD,-ICA*B*TOM,-ICA*BST*,-ICA*BSA*</v>
      </c>
      <c r="C338" t="str">
        <f>setrules!H389&amp;IF(setrules!I389="","",",-"&amp;setrules!I389)</f>
        <v/>
      </c>
      <c r="D338" t="str">
        <f>setrules!J389&amp;IF(setrules!K389="","",",-"&amp;setrules!K389)</f>
        <v/>
      </c>
      <c r="E338" t="str">
        <f>setrules!L389&amp;IF(setrules!M389="","",",-"&amp;setrules!M389)</f>
        <v/>
      </c>
      <c r="F338" t="str">
        <f>setrules!B389</f>
        <v>ICAST_ALL</v>
      </c>
    </row>
    <row r="339" spans="1:6" x14ac:dyDescent="0.25">
      <c r="A339" t="str">
        <f>setrules!D390&amp;IF(setrules!E390="","",",-"&amp;setrules!E390)</f>
        <v>dmd</v>
      </c>
      <c r="B339" t="str">
        <f>setrules!F390&amp;IF(setrules!G390="","",",-"&amp;setrules!G390)&amp;IF(setrules!P390="","",",-"&amp;setrules!P390)</f>
        <v>CO*</v>
      </c>
      <c r="C339" t="str">
        <f>setrules!H390&amp;IF(setrules!I390="","",",-"&amp;setrules!I390)</f>
        <v/>
      </c>
      <c r="D339" t="str">
        <f>setrules!J390&amp;IF(setrules!K390="","",",-"&amp;setrules!K390)</f>
        <v/>
      </c>
      <c r="E339" t="str">
        <f>setrules!L390&amp;IF(setrules!M390="","",",-"&amp;setrules!M390)</f>
        <v/>
      </c>
      <c r="F339" t="str">
        <f>setrules!B390</f>
        <v>DMD_COFF</v>
      </c>
    </row>
    <row r="340" spans="1:6" x14ac:dyDescent="0.25">
      <c r="A340" t="str">
        <f>setrules!D391&amp;IF(setrules!E391="","",",-"&amp;setrules!E391)</f>
        <v/>
      </c>
      <c r="B340" t="str">
        <f>setrules!F391&amp;IF(setrules!G391="","",",-"&amp;setrules!G391)&amp;IF(setrules!P391="","",",-"&amp;setrules!P391)</f>
        <v>ICAEFEDPFS</v>
      </c>
      <c r="C340" t="str">
        <f>setrules!H391&amp;IF(setrules!I391="","",",-"&amp;setrules!I391)</f>
        <v/>
      </c>
      <c r="D340" t="str">
        <f>setrules!J391&amp;IF(setrules!K391="","",",-"&amp;setrules!K391)</f>
        <v/>
      </c>
      <c r="E340" t="str">
        <f>setrules!L391&amp;IF(setrules!M391="","",",-"&amp;setrules!M391)</f>
        <v/>
      </c>
      <c r="F340" t="str">
        <f>setrules!B391</f>
        <v>ICAFS_PFS</v>
      </c>
    </row>
    <row r="341" spans="1:6" x14ac:dyDescent="0.25">
      <c r="A341" t="str">
        <f>setrules!D392&amp;IF(setrules!E392="","",",-"&amp;setrules!E392)</f>
        <v/>
      </c>
      <c r="B341" t="str">
        <f>setrules!F392&amp;IF(setrules!G392="","",",-"&amp;setrules!G392)&amp;IF(setrules!P392="","",",-"&amp;setrules!P392)</f>
        <v>ESOLPVCOM</v>
      </c>
      <c r="C341" t="str">
        <f>setrules!H392&amp;IF(setrules!I392="","",",-"&amp;setrules!I392)</f>
        <v/>
      </c>
      <c r="D341" t="str">
        <f>setrules!J392&amp;IF(setrules!K392="","",",-"&amp;setrules!K392)</f>
        <v/>
      </c>
      <c r="E341" t="str">
        <f>setrules!L392&amp;IF(setrules!M392="","",",-"&amp;setrules!M392)</f>
        <v/>
      </c>
      <c r="F341" t="str">
        <f>setrules!B392</f>
        <v>COM-PV</v>
      </c>
    </row>
    <row r="342" spans="1:6" x14ac:dyDescent="0.25">
      <c r="A342" t="str">
        <f>setrules!D393&amp;IF(setrules!E393="","",",-"&amp;setrules!E393)</f>
        <v/>
      </c>
      <c r="B342" t="str">
        <f>setrules!F393&amp;IF(setrules!G393="","",",-"&amp;setrules!G393)&amp;IF(setrules!P393="","",",-"&amp;setrules!P393)</f>
        <v>CLTINC*</v>
      </c>
      <c r="C342" t="str">
        <f>setrules!H393&amp;IF(setrules!I393="","",",-"&amp;setrules!I393)</f>
        <v/>
      </c>
      <c r="D342" t="str">
        <f>setrules!J393&amp;IF(setrules!K393="","",",-"&amp;setrules!K393)</f>
        <v/>
      </c>
      <c r="E342" t="str">
        <f>setrules!L393&amp;IF(setrules!M393="","",",-"&amp;setrules!M393)</f>
        <v/>
      </c>
      <c r="F342" t="str">
        <f>setrules!B393</f>
        <v>CLT-INC</v>
      </c>
    </row>
    <row r="343" spans="1:6" x14ac:dyDescent="0.25">
      <c r="A343" t="str">
        <f>setrules!D394&amp;IF(setrules!E394="","",",-"&amp;setrules!E394)</f>
        <v/>
      </c>
      <c r="B343" t="str">
        <f>setrules!F394&amp;IF(setrules!G394="","",",-"&amp;setrules!G394)&amp;IF(setrules!P394="","",",-"&amp;setrules!P394)</f>
        <v>CLT*</v>
      </c>
      <c r="C343" t="str">
        <f>setrules!H394&amp;IF(setrules!I394="","",",-"&amp;setrules!I394)</f>
        <v>*LED*</v>
      </c>
      <c r="D343" t="str">
        <f>setrules!J394&amp;IF(setrules!K394="","",",-"&amp;setrules!K394)</f>
        <v/>
      </c>
      <c r="E343" t="str">
        <f>setrules!L394&amp;IF(setrules!M394="","",",-"&amp;setrules!M394)</f>
        <v/>
      </c>
      <c r="F343" t="str">
        <f>setrules!B394</f>
        <v>CLT-LED</v>
      </c>
    </row>
    <row r="344" spans="1:6" x14ac:dyDescent="0.25">
      <c r="A344" t="str">
        <f>setrules!D395&amp;IF(setrules!E395="","",",-"&amp;setrules!E395)</f>
        <v/>
      </c>
      <c r="B344" t="str">
        <f>setrules!F395&amp;IF(setrules!G395="","",",-"&amp;setrules!G395)&amp;IF(setrules!P395="","",",-"&amp;setrules!P395)</f>
        <v>CLT*T5*</v>
      </c>
      <c r="C344" t="str">
        <f>setrules!H395&amp;IF(setrules!I395="","",",-"&amp;setrules!I395)</f>
        <v/>
      </c>
      <c r="D344" t="str">
        <f>setrules!J395&amp;IF(setrules!K395="","",",-"&amp;setrules!K395)</f>
        <v/>
      </c>
      <c r="E344" t="str">
        <f>setrules!L395&amp;IF(setrules!M395="","",",-"&amp;setrules!M395)</f>
        <v/>
      </c>
      <c r="F344" t="str">
        <f>setrules!B395</f>
        <v>CLT-T5</v>
      </c>
    </row>
    <row r="345" spans="1:6" x14ac:dyDescent="0.25">
      <c r="A345" t="str">
        <f>setrules!D396&amp;IF(setrules!E396="","",",-"&amp;setrules!E396)</f>
        <v/>
      </c>
      <c r="B345" t="str">
        <f>setrules!F396&amp;IF(setrules!G396="","",",-"&amp;setrules!G396)&amp;IF(setrules!P396="","",",-"&amp;setrules!P396)</f>
        <v>CLT*T8*</v>
      </c>
      <c r="C345" t="str">
        <f>setrules!H396&amp;IF(setrules!I396="","",",-"&amp;setrules!I396)</f>
        <v/>
      </c>
      <c r="D345" t="str">
        <f>setrules!J396&amp;IF(setrules!K396="","",",-"&amp;setrules!K396)</f>
        <v/>
      </c>
      <c r="E345" t="str">
        <f>setrules!L396&amp;IF(setrules!M396="","",",-"&amp;setrules!M396)</f>
        <v/>
      </c>
      <c r="F345" t="str">
        <f>setrules!B396</f>
        <v>CLT-T8</v>
      </c>
    </row>
    <row r="346" spans="1:6" x14ac:dyDescent="0.25">
      <c r="B346" t="s">
        <v>2661</v>
      </c>
      <c r="F346" t="s">
        <v>801</v>
      </c>
    </row>
    <row r="347" spans="1:6" x14ac:dyDescent="0.25">
      <c r="A347" t="str">
        <f>setrules!D398&amp;IF(setrules!E398="","",",-"&amp;setrules!E398)</f>
        <v/>
      </c>
      <c r="B347" t="str">
        <f>setrules!F398&amp;IF(setrules!G398="","",",-"&amp;setrules!G398)&amp;IF(setrules!P398="","",",-"&amp;setrules!P398)</f>
        <v/>
      </c>
      <c r="C347" t="str">
        <f>setrules!H398&amp;IF(setrules!I398="","",",-"&amp;setrules!I398)</f>
        <v>*CO2*RETRO*,-*PASS THROUGH*</v>
      </c>
      <c r="D347" t="str">
        <f>setrules!J398&amp;IF(setrules!K398="","",",-"&amp;setrules!K398)</f>
        <v/>
      </c>
      <c r="E347" t="str">
        <f>setrules!L398&amp;IF(setrules!M398="","",",-"&amp;setrules!M398)</f>
        <v/>
      </c>
      <c r="F347" t="str">
        <f>setrules!B398</f>
        <v>CO2 RETROFITS</v>
      </c>
    </row>
    <row r="348" spans="1:6" x14ac:dyDescent="0.25">
      <c r="A348" t="str">
        <f>setrules!D399&amp;IF(setrules!E399="","",",-"&amp;setrules!E399)</f>
        <v/>
      </c>
      <c r="B348" t="str">
        <f>setrules!F399&amp;IF(setrules!G399="","",",-"&amp;setrules!G399)&amp;IF(setrules!P399="","",",-"&amp;setrules!P399)</f>
        <v>CRFWIR*</v>
      </c>
      <c r="C348" t="str">
        <f>setrules!H399&amp;IF(setrules!I399="","",",-"&amp;setrules!I399)</f>
        <v/>
      </c>
      <c r="D348" t="str">
        <f>setrules!J399&amp;IF(setrules!K399="","",",-"&amp;setrules!K399)</f>
        <v/>
      </c>
      <c r="E348" t="str">
        <f>setrules!L399&amp;IF(setrules!M399="","",",-"&amp;setrules!M399)</f>
        <v/>
      </c>
      <c r="F348" t="str">
        <f>setrules!B399</f>
        <v>CRF-WIC</v>
      </c>
    </row>
    <row r="349" spans="1:6" x14ac:dyDescent="0.25">
      <c r="A349" t="str">
        <f>setrules!D400&amp;IF(setrules!E400="","",",-"&amp;setrules!E400)</f>
        <v/>
      </c>
      <c r="B349" t="str">
        <f>setrules!F400&amp;IF(setrules!G400="","",",-"&amp;setrules!G400)&amp;IF(setrules!P400="","",",-"&amp;setrules!P400)</f>
        <v/>
      </c>
      <c r="C349" t="str">
        <f>setrules!H400&amp;IF(setrules!I400="","",",-"&amp;setrules!I400)</f>
        <v>COF.ELC.OFFEQUP</v>
      </c>
      <c r="D349" t="str">
        <f>setrules!J400&amp;IF(setrules!K400="","",",-"&amp;setrules!K400)</f>
        <v/>
      </c>
      <c r="E349" t="str">
        <f>setrules!L400&amp;IF(setrules!M400="","",",-"&amp;setrules!M400)</f>
        <v/>
      </c>
      <c r="F349" t="str">
        <f>setrules!B400</f>
        <v>COF-ALL</v>
      </c>
    </row>
    <row r="350" spans="1:6" x14ac:dyDescent="0.25">
      <c r="A350" t="str">
        <f>setrules!D401&amp;IF(setrules!E401="","",",-"&amp;setrules!E401)</f>
        <v/>
      </c>
      <c r="B350" t="str">
        <f>setrules!F401&amp;IF(setrules!G401="","",",-"&amp;setrules!G401)&amp;IF(setrules!P401="","",",-"&amp;setrules!P401)</f>
        <v>CLTCFL*</v>
      </c>
      <c r="C350" t="str">
        <f>setrules!H401&amp;IF(setrules!I401="","",",-"&amp;setrules!I401)</f>
        <v/>
      </c>
      <c r="D350" t="str">
        <f>setrules!J401&amp;IF(setrules!K401="","",",-"&amp;setrules!K401)</f>
        <v/>
      </c>
      <c r="E350" t="str">
        <f>setrules!L401&amp;IF(setrules!M401="","",",-"&amp;setrules!M401)</f>
        <v/>
      </c>
      <c r="F350" t="str">
        <f>setrules!B401</f>
        <v>CLT-CFL</v>
      </c>
    </row>
    <row r="351" spans="1:6" x14ac:dyDescent="0.25">
      <c r="A351" t="str">
        <f>setrules!D402&amp;IF(setrules!E402="","",",-"&amp;setrules!E402)</f>
        <v/>
      </c>
      <c r="B351" t="str">
        <f>setrules!F402&amp;IF(setrules!G402="","",",-"&amp;setrules!G402)&amp;IF(setrules!P402="","",",-"&amp;setrules!P402)</f>
        <v>CRF*</v>
      </c>
      <c r="C351" t="str">
        <f>setrules!H402&amp;IF(setrules!I402="","",",-"&amp;setrules!I402)</f>
        <v/>
      </c>
      <c r="D351" t="str">
        <f>setrules!J402&amp;IF(setrules!K402="","",",-"&amp;setrules!K402)</f>
        <v/>
      </c>
      <c r="E351" t="str">
        <f>setrules!L402&amp;IF(setrules!M402="","",",-"&amp;setrules!M402)</f>
        <v/>
      </c>
      <c r="F351" t="str">
        <f>setrules!B402</f>
        <v>CRF-ALL</v>
      </c>
    </row>
    <row r="352" spans="1:6" x14ac:dyDescent="0.25">
      <c r="A352" t="str">
        <f>setrules!D403&amp;IF(setrules!E403="","",",-"&amp;setrules!E403)</f>
        <v/>
      </c>
      <c r="B352" t="str">
        <f>setrules!F403&amp;IF(setrules!G403="","",",-"&amp;setrules!G403)&amp;IF(setrules!P403="","",",-"&amp;setrules!P403)</f>
        <v>CRFBV*</v>
      </c>
      <c r="C352" t="str">
        <f>setrules!H403&amp;IF(setrules!I403="","",",-"&amp;setrules!I403)</f>
        <v/>
      </c>
      <c r="D352" t="str">
        <f>setrules!J403&amp;IF(setrules!K403="","",",-"&amp;setrules!K403)</f>
        <v/>
      </c>
      <c r="E352" t="str">
        <f>setrules!L403&amp;IF(setrules!M403="","",",-"&amp;setrules!M403)</f>
        <v/>
      </c>
      <c r="F352" t="str">
        <f>setrules!B403</f>
        <v>CRF-BEV</v>
      </c>
    </row>
    <row r="353" spans="1:6" x14ac:dyDescent="0.25">
      <c r="A353" t="str">
        <f>setrules!D404&amp;IF(setrules!E404="","",",-"&amp;setrules!E404)</f>
        <v/>
      </c>
      <c r="B353" t="str">
        <f>setrules!F404&amp;IF(setrules!G404="","",",-"&amp;setrules!G404)&amp;IF(setrules!P404="","",",-"&amp;setrules!P404)</f>
        <v>CRFCEN*</v>
      </c>
      <c r="C353" t="str">
        <f>setrules!H404&amp;IF(setrules!I404="","",",-"&amp;setrules!I404)</f>
        <v/>
      </c>
      <c r="D353" t="str">
        <f>setrules!J404&amp;IF(setrules!K404="","",",-"&amp;setrules!K404)</f>
        <v/>
      </c>
      <c r="E353" t="str">
        <f>setrules!L404&amp;IF(setrules!M404="","",",-"&amp;setrules!M404)</f>
        <v/>
      </c>
      <c r="F353" t="str">
        <f>setrules!B404</f>
        <v>CRF-CEN</v>
      </c>
    </row>
    <row r="354" spans="1:6" x14ac:dyDescent="0.25">
      <c r="A354" t="str">
        <f>setrules!D405&amp;IF(setrules!E405="","",",-"&amp;setrules!E405)</f>
        <v/>
      </c>
      <c r="B354" t="str">
        <f>setrules!F405&amp;IF(setrules!G405="","",",-"&amp;setrules!G405)&amp;IF(setrules!P405="","",",-"&amp;setrules!P405)</f>
        <v>CRFICM*</v>
      </c>
      <c r="C354" t="str">
        <f>setrules!H405&amp;IF(setrules!I405="","",",-"&amp;setrules!I405)</f>
        <v/>
      </c>
      <c r="D354" t="str">
        <f>setrules!J405&amp;IF(setrules!K405="","",",-"&amp;setrules!K405)</f>
        <v/>
      </c>
      <c r="E354" t="str">
        <f>setrules!L405&amp;IF(setrules!M405="","",",-"&amp;setrules!M405)</f>
        <v/>
      </c>
      <c r="F354" t="str">
        <f>setrules!B405</f>
        <v>CRF-ICM</v>
      </c>
    </row>
    <row r="355" spans="1:6" x14ac:dyDescent="0.25">
      <c r="A355" t="str">
        <f>setrules!D406&amp;IF(setrules!E406="","",",-"&amp;setrules!E406)</f>
        <v/>
      </c>
      <c r="B355" t="str">
        <f>setrules!F406&amp;IF(setrules!G406="","",",-"&amp;setrules!G406)&amp;IF(setrules!P406="","",",-"&amp;setrules!P406)</f>
        <v>CRFRIF*</v>
      </c>
      <c r="C355" t="str">
        <f>setrules!H406&amp;IF(setrules!I406="","",",-"&amp;setrules!I406)</f>
        <v/>
      </c>
      <c r="D355" t="str">
        <f>setrules!J406&amp;IF(setrules!K406="","",",-"&amp;setrules!K406)</f>
        <v/>
      </c>
      <c r="E355" t="str">
        <f>setrules!L406&amp;IF(setrules!M406="","",",-"&amp;setrules!M406)</f>
        <v/>
      </c>
      <c r="F355" t="str">
        <f>setrules!B406</f>
        <v>CRF-RIF</v>
      </c>
    </row>
    <row r="356" spans="1:6" x14ac:dyDescent="0.25">
      <c r="A356" t="str">
        <f>setrules!D407&amp;IF(setrules!E407="","",",-"&amp;setrules!E407)</f>
        <v/>
      </c>
      <c r="B356" t="str">
        <f>setrules!F407&amp;IF(setrules!G407="","",",-"&amp;setrules!G407)&amp;IF(setrules!P407="","",",-"&amp;setrules!P407)</f>
        <v>CRFRIR*</v>
      </c>
      <c r="C356" t="str">
        <f>setrules!H407&amp;IF(setrules!I407="","",",-"&amp;setrules!I407)</f>
        <v/>
      </c>
      <c r="D356" t="str">
        <f>setrules!J407&amp;IF(setrules!K407="","",",-"&amp;setrules!K407)</f>
        <v/>
      </c>
      <c r="E356" t="str">
        <f>setrules!L407&amp;IF(setrules!M407="","",",-"&amp;setrules!M407)</f>
        <v/>
      </c>
      <c r="F356" t="str">
        <f>setrules!B407</f>
        <v>CRF-RIR</v>
      </c>
    </row>
    <row r="357" spans="1:6" x14ac:dyDescent="0.25">
      <c r="A357" t="str">
        <f>setrules!D408&amp;IF(setrules!E408="","",",-"&amp;setrules!E408)</f>
        <v>dmd</v>
      </c>
      <c r="B357" t="str">
        <f>setrules!F408&amp;IF(setrules!G408="","",",-"&amp;setrules!G408)&amp;IF(setrules!P408="","",",-"&amp;setrules!P408)</f>
        <v>CR*</v>
      </c>
      <c r="C357" t="str">
        <f>setrules!H408&amp;IF(setrules!I408="","",",-"&amp;setrules!I408)</f>
        <v/>
      </c>
      <c r="D357" t="str">
        <f>setrules!J408&amp;IF(setrules!K408="","",",-"&amp;setrules!K408)</f>
        <v/>
      </c>
      <c r="E357" t="str">
        <f>setrules!L408&amp;IF(setrules!M408="","",",-"&amp;setrules!M408)</f>
        <v/>
      </c>
      <c r="F357" t="str">
        <f>setrules!B408</f>
        <v>DMD_CRF</v>
      </c>
    </row>
    <row r="358" spans="1:6" x14ac:dyDescent="0.25">
      <c r="A358" t="str">
        <f>setrules!D409&amp;IF(setrules!E409="","",",-"&amp;setrules!E409)</f>
        <v/>
      </c>
      <c r="B358" t="str">
        <f>setrules!F409&amp;IF(setrules!G409="","",",-"&amp;setrules!G409)&amp;IF(setrules!P409="","",",-"&amp;setrules!P409)</f>
        <v>SCEBSTCE*</v>
      </c>
      <c r="C358" t="str">
        <f>setrules!H409&amp;IF(setrules!I409="","",",-"&amp;setrules!I409)</f>
        <v/>
      </c>
      <c r="D358" t="str">
        <f>setrules!J409&amp;IF(setrules!K409="","",",-"&amp;setrules!K409)</f>
        <v/>
      </c>
      <c r="E358" t="str">
        <f>setrules!L409&amp;IF(setrules!M409="","",",-"&amp;setrules!M409)</f>
        <v/>
      </c>
      <c r="F358" t="str">
        <f>setrules!B409</f>
        <v>COAL TO CHP</v>
      </c>
    </row>
    <row r="359" spans="1:6" x14ac:dyDescent="0.25">
      <c r="A359" t="str">
        <f>setrules!D410&amp;IF(setrules!E410="","",",-"&amp;setrules!E410)</f>
        <v/>
      </c>
      <c r="B359" t="str">
        <f>setrules!F410&amp;IF(setrules!G410="","",",-"&amp;setrules!G410)&amp;IF(setrules!P410="","",",-"&amp;setrules!P410)</f>
        <v>CCKNG*</v>
      </c>
      <c r="C359" t="str">
        <f>setrules!H410&amp;IF(setrules!I410="","",",-"&amp;setrules!I410)</f>
        <v/>
      </c>
      <c r="D359" t="str">
        <f>setrules!J410&amp;IF(setrules!K410="","",",-"&amp;setrules!K410)</f>
        <v/>
      </c>
      <c r="E359" t="str">
        <f>setrules!L410&amp;IF(setrules!M410="","",",-"&amp;setrules!M410)</f>
        <v/>
      </c>
      <c r="F359" t="str">
        <f>setrules!B410</f>
        <v>CCK-NG</v>
      </c>
    </row>
    <row r="360" spans="1:6" x14ac:dyDescent="0.25">
      <c r="A360" t="str">
        <f>setrules!D411&amp;IF(setrules!E411="","",",-"&amp;setrules!E411)</f>
        <v>TCH</v>
      </c>
      <c r="B360" t="str">
        <f>setrules!F411&amp;IF(setrules!G411="","",",-"&amp;setrules!G411)&amp;IF(setrules!P411="","",",-"&amp;setrules!P411)</f>
        <v/>
      </c>
      <c r="C360" t="str">
        <f>setrules!H411&amp;IF(setrules!I411="","",",-"&amp;setrules!I411)</f>
        <v/>
      </c>
      <c r="D360" t="str">
        <f>setrules!J411&amp;IF(setrules!K411="","",",-"&amp;setrules!K411)</f>
        <v/>
      </c>
      <c r="E360" t="str">
        <f>setrules!L411&amp;IF(setrules!M411="","",",-"&amp;setrules!M411)</f>
        <v/>
      </c>
      <c r="F360" t="str">
        <f>setrules!B411</f>
        <v>_ALLTECH</v>
      </c>
    </row>
    <row r="361" spans="1:6" x14ac:dyDescent="0.25">
      <c r="A361" t="str">
        <f>setrules!D412&amp;IF(setrules!E412="","",",-"&amp;setrules!E412)</f>
        <v/>
      </c>
      <c r="B361" t="str">
        <f>setrules!F412&amp;IF(setrules!G412="","",",-"&amp;setrules!G412)&amp;IF(setrules!P412="","",",-"&amp;setrules!P412)</f>
        <v/>
      </c>
      <c r="C361" t="str">
        <f>setrules!H412&amp;IF(setrules!I412="","",",-"&amp;setrules!I412)</f>
        <v>*BDL*</v>
      </c>
      <c r="D361" t="str">
        <f>setrules!J412&amp;IF(setrules!K412="","",",-"&amp;setrules!K412)</f>
        <v/>
      </c>
      <c r="E361" t="str">
        <f>setrules!L412&amp;IF(setrules!M412="","",",-"&amp;setrules!M412)</f>
        <v/>
      </c>
      <c r="F361" t="str">
        <f>setrules!B412</f>
        <v>BIODIESEL PROCESSES</v>
      </c>
    </row>
    <row r="362" spans="1:6" x14ac:dyDescent="0.25">
      <c r="A362" t="str">
        <f>setrules!D413&amp;IF(setrules!E413="","",",-"&amp;setrules!E413)</f>
        <v/>
      </c>
      <c r="B362" t="str">
        <f>setrules!F413&amp;IF(setrules!G413="","",",-"&amp;setrules!G413)&amp;IF(setrules!P413="","",",-"&amp;setrules!P413)</f>
        <v>,-,-PECGETHB15,-PFSRETHB15,-PPMRETHB15,-PWSYOBDL1,-PWSYOBDL2,-PWSYOBDL3,-PCRNETHDC,-PCRNETHDN,-PVSYOBDL,-PCRNETHDE,-PCRNETHWE,-</v>
      </c>
      <c r="C362" t="str">
        <f>setrules!H413&amp;IF(setrules!I413="","",",-"&amp;setrules!I413)</f>
        <v>PRODUCTION OF*</v>
      </c>
      <c r="D362" t="str">
        <f>setrules!J413&amp;IF(setrules!K413="","",",-"&amp;setrules!K413)</f>
        <v/>
      </c>
      <c r="E362" t="str">
        <f>setrules!L413&amp;IF(setrules!M413="","",",-"&amp;setrules!M413)</f>
        <v/>
      </c>
      <c r="F362" t="str">
        <f>setrules!B413</f>
        <v>BIOF_ADV2</v>
      </c>
    </row>
    <row r="363" spans="1:6" x14ac:dyDescent="0.25">
      <c r="A363" t="str">
        <f>setrules!D414&amp;IF(setrules!E414="","",",-"&amp;setrules!E414)</f>
        <v/>
      </c>
      <c r="B363" t="str">
        <f>setrules!F414&amp;IF(setrules!G414="","",",-"&amp;setrules!G414)&amp;IF(setrules!P414="","",",-"&amp;setrules!P414)</f>
        <v>,-,-IMPMTHP11,-IMPMTHP12,-IMPMTHP13,-IMPMTHP14,-IMPMTHP15,-IMPMTHP21,-IMPMTHP22,-IMPMTHP23,-IMPMTHP24,-IMPMTHP25,-IMPMTHP31,-IMPMTHP32,-IMPMTHP33,-IMPMTHP34,-IMPMTHP35,-IMPMTHP41,-IMPMTHP42,-IMPMTHP43,-IMPMTHP44,-IMPMTHP45,-IMPMTHP51,-IMPMTHP52,-IMPMTHP53,-IMPMTHP55,-IMPMTHP54,-</v>
      </c>
      <c r="C363" t="str">
        <f>setrules!H414&amp;IF(setrules!I414="","",",-"&amp;setrules!I414)</f>
        <v>*ETH*</v>
      </c>
      <c r="D363" t="str">
        <f>setrules!J414&amp;IF(setrules!K414="","",",-"&amp;setrules!K414)</f>
        <v/>
      </c>
      <c r="E363" t="str">
        <f>setrules!L414&amp;IF(setrules!M414="","",",-"&amp;setrules!M414)</f>
        <v/>
      </c>
      <c r="F363" t="str">
        <f>setrules!B414</f>
        <v>BIOFUELS PROCESSES</v>
      </c>
    </row>
    <row r="364" spans="1:6" x14ac:dyDescent="0.25">
      <c r="A364" t="str">
        <f>setrules!D415&amp;IF(setrules!E415="","",",-"&amp;setrules!E415)</f>
        <v/>
      </c>
      <c r="B364" t="str">
        <f>setrules!F415&amp;IF(setrules!G415="","",",-"&amp;setrules!G415)&amp;IF(setrules!P415="","",",-"&amp;setrules!P415)</f>
        <v>RNWBCRN*</v>
      </c>
      <c r="C364" t="str">
        <f>setrules!H415&amp;IF(setrules!I415="","",",-"&amp;setrules!I415)</f>
        <v/>
      </c>
      <c r="D364" t="str">
        <f>setrules!J415&amp;IF(setrules!K415="","",",-"&amp;setrules!K415)</f>
        <v/>
      </c>
      <c r="E364" t="str">
        <f>setrules!L415&amp;IF(setrules!M415="","",",-"&amp;setrules!M415)</f>
        <v/>
      </c>
      <c r="F364" t="str">
        <f>setrules!B415</f>
        <v>BIOMASS CORN</v>
      </c>
    </row>
    <row r="365" spans="1:6" x14ac:dyDescent="0.25">
      <c r="A365" t="str">
        <f>setrules!D416&amp;IF(setrules!E416="","",",-"&amp;setrules!E416)</f>
        <v/>
      </c>
      <c r="B365" t="str">
        <f>setrules!F416&amp;IF(setrules!G416="","",",-"&amp;setrules!G416)&amp;IF(setrules!P416="","",",-"&amp;setrules!P416)</f>
        <v>,-,-CS,-</v>
      </c>
      <c r="C365" t="str">
        <f>setrules!H416&amp;IF(setrules!I416="","",",-"&amp;setrules!I416)</f>
        <v>*BIOMASS*</v>
      </c>
      <c r="D365" t="str">
        <f>setrules!J416&amp;IF(setrules!K416="","",",-"&amp;setrules!K416)</f>
        <v/>
      </c>
      <c r="E365" t="str">
        <f>setrules!L416&amp;IF(setrules!M416="","",",-"&amp;setrules!M416)</f>
        <v/>
      </c>
      <c r="F365" t="str">
        <f>setrules!B416</f>
        <v>BIOMASS PROCESSES</v>
      </c>
    </row>
    <row r="366" spans="1:6" x14ac:dyDescent="0.25">
      <c r="A366" t="str">
        <f>setrules!D417&amp;IF(setrules!E417="","",",-"&amp;setrules!E417)</f>
        <v/>
      </c>
      <c r="B366" t="str">
        <f>setrules!F417&amp;IF(setrules!G417="","",",-"&amp;setrules!G417)&amp;IF(setrules!P417="","",",-"&amp;setrules!P417)</f>
        <v>SCNGAC*</v>
      </c>
      <c r="C366" t="str">
        <f>setrules!H417&amp;IF(setrules!I417="","",",-"&amp;setrules!I417)</f>
        <v/>
      </c>
      <c r="D366" t="str">
        <f>setrules!J417&amp;IF(setrules!K417="","",",-"&amp;setrules!K417)</f>
        <v/>
      </c>
      <c r="E366" t="str">
        <f>setrules!L417&amp;IF(setrules!M417="","",",-"&amp;setrules!M417)</f>
        <v/>
      </c>
      <c r="F366" t="str">
        <f>setrules!B417</f>
        <v>CANIMP</v>
      </c>
    </row>
    <row r="367" spans="1:6" x14ac:dyDescent="0.25">
      <c r="A367" t="str">
        <f>setrules!D418&amp;IF(setrules!E418="","",",-"&amp;setrules!E418)</f>
        <v/>
      </c>
      <c r="B367" t="str">
        <f>setrules!F418&amp;IF(setrules!G418="","",",-"&amp;setrules!G418)&amp;IF(setrules!P418="","",",-"&amp;setrules!P418)</f>
        <v>*HID*</v>
      </c>
      <c r="C367" t="str">
        <f>setrules!H418&amp;IF(setrules!I418="","",",-"&amp;setrules!I418)</f>
        <v/>
      </c>
      <c r="D367" t="str">
        <f>setrules!J418&amp;IF(setrules!K418="","",",-"&amp;setrules!K418)</f>
        <v/>
      </c>
      <c r="E367" t="str">
        <f>setrules!L418&amp;IF(setrules!M418="","",",-"&amp;setrules!M418)</f>
        <v/>
      </c>
      <c r="F367" t="str">
        <f>setrules!B418</f>
        <v>CLT-HID</v>
      </c>
    </row>
    <row r="368" spans="1:6" x14ac:dyDescent="0.25">
      <c r="A368" t="str">
        <f>setrules!D419&amp;IF(setrules!E419="","",",-"&amp;setrules!E419)</f>
        <v/>
      </c>
      <c r="B368" t="str">
        <f>setrules!F419&amp;IF(setrules!G419="","",",-"&amp;setrules!G419)&amp;IF(setrules!P419="","",",-"&amp;setrules!P419)</f>
        <v>CCKEL*</v>
      </c>
      <c r="C368" t="str">
        <f>setrules!H419&amp;IF(setrules!I419="","",",-"&amp;setrules!I419)</f>
        <v/>
      </c>
      <c r="D368" t="str">
        <f>setrules!J419&amp;IF(setrules!K419="","",",-"&amp;setrules!K419)</f>
        <v/>
      </c>
      <c r="E368" t="str">
        <f>setrules!L419&amp;IF(setrules!M419="","",",-"&amp;setrules!M419)</f>
        <v/>
      </c>
      <c r="F368" t="str">
        <f>setrules!B419</f>
        <v>CCK-ELC</v>
      </c>
    </row>
    <row r="369" spans="1:6" x14ac:dyDescent="0.25">
      <c r="A369" t="str">
        <f>setrules!D420&amp;IF(setrules!E420="","",",-"&amp;setrules!E420)</f>
        <v/>
      </c>
      <c r="B369" t="str">
        <f>setrules!F420&amp;IF(setrules!G420="","",",-"&amp;setrules!G420)&amp;IF(setrules!P420="","",",-"&amp;setrules!P420)</f>
        <v>CLTHAL*,-,-CLTHPS150R,-CLTHPS70,-CLTHPS70R,-CLTHS100,-CLTHS150,-CLTHSLD,-CLTHSLED,-</v>
      </c>
      <c r="C369" t="str">
        <f>setrules!H420&amp;IF(setrules!I420="","",",-"&amp;setrules!I420)</f>
        <v/>
      </c>
      <c r="D369" t="str">
        <f>setrules!J420&amp;IF(setrules!K420="","",",-"&amp;setrules!K420)</f>
        <v/>
      </c>
      <c r="E369" t="str">
        <f>setrules!L420&amp;IF(setrules!M420="","",",-"&amp;setrules!M420)</f>
        <v/>
      </c>
      <c r="F369" t="str">
        <f>setrules!B420</f>
        <v>CLT-HAL</v>
      </c>
    </row>
    <row r="370" spans="1:6" x14ac:dyDescent="0.25">
      <c r="A370" t="str">
        <f>setrules!D421&amp;IF(setrules!E421="","",",-"&amp;setrules!E421)</f>
        <v/>
      </c>
      <c r="B370" t="str">
        <f>setrules!F421&amp;IF(setrules!G421="","",",-"&amp;setrules!G421)&amp;IF(setrules!P421="","",",-"&amp;setrules!P421)</f>
        <v>CCK*</v>
      </c>
      <c r="C370" t="str">
        <f>setrules!H421&amp;IF(setrules!I421="","",",-"&amp;setrules!I421)</f>
        <v>*INDUCTION*</v>
      </c>
      <c r="D370" t="str">
        <f>setrules!J421&amp;IF(setrules!K421="","",",-"&amp;setrules!K421)</f>
        <v/>
      </c>
      <c r="E370" t="str">
        <f>setrules!L421&amp;IF(setrules!M421="","",",-"&amp;setrules!M421)</f>
        <v/>
      </c>
      <c r="F370" t="str">
        <f>setrules!B421</f>
        <v>CCK-OVN</v>
      </c>
    </row>
    <row r="371" spans="1:6" x14ac:dyDescent="0.25">
      <c r="A371" t="str">
        <f>setrules!D422&amp;IF(setrules!E422="","",",-"&amp;setrules!E422)</f>
        <v/>
      </c>
      <c r="B371" t="str">
        <f>setrules!F422&amp;IF(setrules!G422="","",",-"&amp;setrules!G422)&amp;IF(setrules!P422="","",",-"&amp;setrules!P422)</f>
        <v>CCK*</v>
      </c>
      <c r="C371" t="str">
        <f>setrules!H422&amp;IF(setrules!I422="","",",-"&amp;setrules!I422)</f>
        <v>*RANGE*</v>
      </c>
      <c r="D371" t="str">
        <f>setrules!J422&amp;IF(setrules!K422="","",",-"&amp;setrules!K422)</f>
        <v/>
      </c>
      <c r="E371" t="str">
        <f>setrules!L422&amp;IF(setrules!M422="","",",-"&amp;setrules!M422)</f>
        <v/>
      </c>
      <c r="F371" t="str">
        <f>setrules!B422</f>
        <v>CCK-RNG</v>
      </c>
    </row>
    <row r="372" spans="1:6" x14ac:dyDescent="0.25">
      <c r="A372" t="str">
        <f>setrules!D423&amp;IF(setrules!E423="","",",-"&amp;setrules!E423)</f>
        <v/>
      </c>
      <c r="B372" t="str">
        <f>setrules!F423&amp;IF(setrules!G423="","",",-"&amp;setrules!G423)&amp;IF(setrules!P423="","",",-"&amp;setrules!P423)</f>
        <v>E*CCS*</v>
      </c>
      <c r="C372" t="str">
        <f>setrules!H423&amp;IF(setrules!I423="","",",-"&amp;setrules!I423)</f>
        <v/>
      </c>
      <c r="D372" t="str">
        <f>setrules!J423&amp;IF(setrules!K423="","",",-"&amp;setrules!K423)</f>
        <v/>
      </c>
      <c r="E372" t="str">
        <f>setrules!L423&amp;IF(setrules!M423="","",",-"&amp;setrules!M423)</f>
        <v/>
      </c>
      <c r="F372" t="str">
        <f>setrules!B423</f>
        <v>CCS TECHS</v>
      </c>
    </row>
    <row r="373" spans="1:6" x14ac:dyDescent="0.25">
      <c r="A373" t="str">
        <f>setrules!D424&amp;IF(setrules!E424="","",",-"&amp;setrules!E424)</f>
        <v/>
      </c>
      <c r="B373" t="str">
        <f>setrules!F424&amp;IF(setrules!G424="","",",-"&amp;setrules!G424)&amp;IF(setrules!P424="","",",-"&amp;setrules!P424)</f>
        <v>I*BST*</v>
      </c>
      <c r="C373" t="str">
        <f>setrules!H424&amp;IF(setrules!I424="","",",-"&amp;setrules!I424)</f>
        <v/>
      </c>
      <c r="D373" t="str">
        <f>setrules!J424&amp;IF(setrules!K424="","",",-"&amp;setrules!K424)</f>
        <v/>
      </c>
      <c r="E373" t="str">
        <f>setrules!L424&amp;IF(setrules!M424="","",",-"&amp;setrules!M424)</f>
        <v/>
      </c>
      <c r="F373" t="str">
        <f>setrules!B424</f>
        <v>CHPI_ALL</v>
      </c>
    </row>
    <row r="374" spans="1:6" x14ac:dyDescent="0.25">
      <c r="A374" t="str">
        <f>setrules!D425&amp;IF(setrules!E425="","",",-"&amp;setrules!E425)</f>
        <v/>
      </c>
      <c r="B374" t="str">
        <f>setrules!F425&amp;IF(setrules!G425="","",",-"&amp;setrules!G425)&amp;IF(setrules!P425="","",",-"&amp;setrules!P425)</f>
        <v>I*BSTNGA</v>
      </c>
      <c r="C374" t="str">
        <f>setrules!H425&amp;IF(setrules!I425="","",",-"&amp;setrules!I425)</f>
        <v/>
      </c>
      <c r="D374" t="str">
        <f>setrules!J425&amp;IF(setrules!K425="","",",-"&amp;setrules!K425)</f>
        <v/>
      </c>
      <c r="E374" t="str">
        <f>setrules!L425&amp;IF(setrules!M425="","",",-"&amp;setrules!M425)</f>
        <v/>
      </c>
      <c r="F374" t="str">
        <f>setrules!B425</f>
        <v>CHPI_NG</v>
      </c>
    </row>
    <row r="375" spans="1:6" x14ac:dyDescent="0.25">
      <c r="A375" t="str">
        <f>setrules!D426&amp;IF(setrules!E426="","",",-"&amp;setrules!E426)</f>
        <v/>
      </c>
      <c r="B375" t="str">
        <f>setrules!F426&amp;IF(setrules!G426="","",",-"&amp;setrules!G426)&amp;IF(setrules!P426="","",",-"&amp;setrules!P426)</f>
        <v>CLT*</v>
      </c>
      <c r="C375" t="str">
        <f>setrules!H426&amp;IF(setrules!I426="","",",-"&amp;setrules!I426)</f>
        <v/>
      </c>
      <c r="D375" t="str">
        <f>setrules!J426&amp;IF(setrules!K426="","",",-"&amp;setrules!K426)</f>
        <v/>
      </c>
      <c r="E375" t="str">
        <f>setrules!L426&amp;IF(setrules!M426="","",",-"&amp;setrules!M426)</f>
        <v/>
      </c>
      <c r="F375" t="str">
        <f>setrules!B426</f>
        <v>CLT-ALL</v>
      </c>
    </row>
    <row r="376" spans="1:6" x14ac:dyDescent="0.25">
      <c r="A376" t="str">
        <f>setrules!D427&amp;IF(setrules!E427="","",",-"&amp;setrules!E427)</f>
        <v/>
      </c>
      <c r="B376" t="str">
        <f>setrules!F427&amp;IF(setrules!G427="","",",-"&amp;setrules!G427)&amp;IF(setrules!P427="","",",-"&amp;setrules!P427)</f>
        <v>CRFWIF*</v>
      </c>
      <c r="C376" t="str">
        <f>setrules!H427&amp;IF(setrules!I427="","",",-"&amp;setrules!I427)</f>
        <v/>
      </c>
      <c r="D376" t="str">
        <f>setrules!J427&amp;IF(setrules!K427="","",",-"&amp;setrules!K427)</f>
        <v/>
      </c>
      <c r="E376" t="str">
        <f>setrules!L427&amp;IF(setrules!M427="","",",-"&amp;setrules!M427)</f>
        <v/>
      </c>
      <c r="F376" t="str">
        <f>setrules!B427</f>
        <v>CRF-WIF</v>
      </c>
    </row>
    <row r="377" spans="1:6" x14ac:dyDescent="0.25">
      <c r="A377" t="str">
        <f>setrules!D428&amp;IF(setrules!E428="","",",-"&amp;setrules!E428)</f>
        <v/>
      </c>
      <c r="B377" t="str">
        <f>setrules!F428&amp;IF(setrules!G428="","",",-"&amp;setrules!G428)&amp;IF(setrules!P428="","",",-"&amp;setrules!P428)</f>
        <v>CCK*</v>
      </c>
      <c r="C377" t="str">
        <f>setrules!H428&amp;IF(setrules!I428="","",",-"&amp;setrules!I428)</f>
        <v/>
      </c>
      <c r="D377" t="str">
        <f>setrules!J428&amp;IF(setrules!K428="","",",-"&amp;setrules!K428)</f>
        <v/>
      </c>
      <c r="E377" t="str">
        <f>setrules!L428&amp;IF(setrules!M428="","",",-"&amp;setrules!M428)</f>
        <v/>
      </c>
      <c r="F377" t="str">
        <f>setrules!B428</f>
        <v>CCK-ALL</v>
      </c>
    </row>
    <row r="378" spans="1:6" x14ac:dyDescent="0.25">
      <c r="A378" t="str">
        <f>setrules!D429&amp;IF(setrules!E429="","",",-"&amp;setrules!E429)</f>
        <v/>
      </c>
      <c r="B378" t="str">
        <f>setrules!F429&amp;IF(setrules!G429="","",",-"&amp;setrules!G429)&amp;IF(setrules!P429="","",",-"&amp;setrules!P429)</f>
        <v>CWH*</v>
      </c>
      <c r="C378" t="str">
        <f>setrules!H429&amp;IF(setrules!I429="","",",-"&amp;setrules!I429)</f>
        <v>,-*SOLAR*</v>
      </c>
      <c r="D378" t="str">
        <f>setrules!J429&amp;IF(setrules!K429="","",",-"&amp;setrules!K429)</f>
        <v>ELC</v>
      </c>
      <c r="E378" t="str">
        <f>setrules!L429&amp;IF(setrules!M429="","",",-"&amp;setrules!M429)</f>
        <v/>
      </c>
      <c r="F378" t="str">
        <f>setrules!B429</f>
        <v>CWH-ELC</v>
      </c>
    </row>
    <row r="379" spans="1:6" x14ac:dyDescent="0.25">
      <c r="A379" t="str">
        <f>setrules!D430&amp;IF(setrules!E430="","",",-"&amp;setrules!E430)</f>
        <v/>
      </c>
      <c r="B379" t="str">
        <f>setrules!F430&amp;IF(setrules!G430="","",",-"&amp;setrules!G430)&amp;IF(setrules!P430="","",",-"&amp;setrules!P430)</f>
        <v>PCOADSU*</v>
      </c>
      <c r="C379" t="str">
        <f>setrules!H430&amp;IF(setrules!I430="","",",-"&amp;setrules!I430)</f>
        <v/>
      </c>
      <c r="D379" t="str">
        <f>setrules!J430&amp;IF(setrules!K430="","",",-"&amp;setrules!K430)</f>
        <v/>
      </c>
      <c r="E379" t="str">
        <f>setrules!L430&amp;IF(setrules!M430="","",",-"&amp;setrules!M430)</f>
        <v/>
      </c>
      <c r="F379" t="str">
        <f>setrules!B430</f>
        <v>CTL-ALL</v>
      </c>
    </row>
    <row r="380" spans="1:6" x14ac:dyDescent="0.25">
      <c r="A380" t="str">
        <f>setrules!D431&amp;IF(setrules!E431="","",",-"&amp;setrules!E431)</f>
        <v/>
      </c>
      <c r="B380" t="str">
        <f>setrules!F431&amp;IF(setrules!G431="","",",-"&amp;setrules!G431)&amp;IF(setrules!P431="","",",-"&amp;setrules!P431)</f>
        <v>PCOASNG*</v>
      </c>
      <c r="C380" t="str">
        <f>setrules!H431&amp;IF(setrules!I431="","",",-"&amp;setrules!I431)</f>
        <v/>
      </c>
      <c r="D380" t="str">
        <f>setrules!J431&amp;IF(setrules!K431="","",",-"&amp;setrules!K431)</f>
        <v/>
      </c>
      <c r="E380" t="str">
        <f>setrules!L431&amp;IF(setrules!M431="","",",-"&amp;setrules!M431)</f>
        <v/>
      </c>
      <c r="F380" t="str">
        <f>setrules!B431</f>
        <v>CTN-ALL</v>
      </c>
    </row>
    <row r="381" spans="1:6" x14ac:dyDescent="0.25">
      <c r="A381" t="str">
        <f>setrules!D432&amp;IF(setrules!E432="","",",-"&amp;setrules!E432)</f>
        <v/>
      </c>
      <c r="B381" t="str">
        <f>setrules!F432&amp;IF(setrules!G432="","",",-"&amp;setrules!G432)&amp;IF(setrules!P432="","",",-"&amp;setrules!P432)</f>
        <v>CVT*</v>
      </c>
      <c r="C381" t="str">
        <f>setrules!H432&amp;IF(setrules!I432="","",",-"&amp;setrules!I432)</f>
        <v/>
      </c>
      <c r="D381" t="str">
        <f>setrules!J432&amp;IF(setrules!K432="","",",-"&amp;setrules!K432)</f>
        <v/>
      </c>
      <c r="E381" t="str">
        <f>setrules!L432&amp;IF(setrules!M432="","",",-"&amp;setrules!M432)</f>
        <v/>
      </c>
      <c r="F381" t="str">
        <f>setrules!B432</f>
        <v>CVT-ALL</v>
      </c>
    </row>
    <row r="382" spans="1:6" x14ac:dyDescent="0.25">
      <c r="A382" t="str">
        <f>setrules!D433&amp;IF(setrules!E433="","",",-"&amp;setrules!E433)</f>
        <v/>
      </c>
      <c r="B382" t="str">
        <f>setrules!F433&amp;IF(setrules!G433="","",",-"&amp;setrules!G433)&amp;IF(setrules!P433="","",",-"&amp;setrules!P433)</f>
        <v>CVT*</v>
      </c>
      <c r="C382" t="str">
        <f>setrules!H433&amp;IF(setrules!I433="","",",-"&amp;setrules!I433)</f>
        <v>*CAV*</v>
      </c>
      <c r="D382" t="str">
        <f>setrules!J433&amp;IF(setrules!K433="","",",-"&amp;setrules!K433)</f>
        <v/>
      </c>
      <c r="E382" t="str">
        <f>setrules!L433&amp;IF(setrules!M433="","",",-"&amp;setrules!M433)</f>
        <v/>
      </c>
      <c r="F382" t="str">
        <f>setrules!B433</f>
        <v>CVT-CAV</v>
      </c>
    </row>
    <row r="383" spans="1:6" x14ac:dyDescent="0.25">
      <c r="A383" t="str">
        <f>setrules!D434&amp;IF(setrules!E434="","",",-"&amp;setrules!E434)</f>
        <v/>
      </c>
      <c r="B383" t="str">
        <f>setrules!F434&amp;IF(setrules!G434="","",",-"&amp;setrules!G434)&amp;IF(setrules!P434="","",",-"&amp;setrules!P434)</f>
        <v>CVT*</v>
      </c>
      <c r="C383" t="str">
        <f>setrules!H434&amp;IF(setrules!I434="","",",-"&amp;setrules!I434)</f>
        <v>*VAV*</v>
      </c>
      <c r="D383" t="str">
        <f>setrules!J434&amp;IF(setrules!K434="","",",-"&amp;setrules!K434)</f>
        <v/>
      </c>
      <c r="E383" t="str">
        <f>setrules!L434&amp;IF(setrules!M434="","",",-"&amp;setrules!M434)</f>
        <v/>
      </c>
      <c r="F383" t="str">
        <f>setrules!B434</f>
        <v>CVT-VAV</v>
      </c>
    </row>
    <row r="384" spans="1:6" x14ac:dyDescent="0.25">
      <c r="A384" t="str">
        <f>setrules!D435&amp;IF(setrules!E435="","",",-"&amp;setrules!E435)</f>
        <v/>
      </c>
      <c r="B384" t="str">
        <f>setrules!F435&amp;IF(setrules!G435="","",",-"&amp;setrules!G435)&amp;IF(setrules!P435="","",",-"&amp;setrules!P435)</f>
        <v>CWH*</v>
      </c>
      <c r="C384" t="str">
        <f>setrules!H435&amp;IF(setrules!I435="","",",-"&amp;setrules!I435)</f>
        <v/>
      </c>
      <c r="D384" t="str">
        <f>setrules!J435&amp;IF(setrules!K435="","",",-"&amp;setrules!K435)</f>
        <v/>
      </c>
      <c r="E384" t="str">
        <f>setrules!L435&amp;IF(setrules!M435="","",",-"&amp;setrules!M435)</f>
        <v/>
      </c>
      <c r="F384" t="str">
        <f>setrules!B435</f>
        <v>CWH-ALL</v>
      </c>
    </row>
    <row r="385" spans="1:6" x14ac:dyDescent="0.25">
      <c r="A385" t="str">
        <f>setrules!D436&amp;IF(setrules!E436="","",",-"&amp;setrules!E436)</f>
        <v/>
      </c>
      <c r="B385" t="str">
        <f>setrules!F436&amp;IF(setrules!G436="","",",-"&amp;setrules!G436)&amp;IF(setrules!P436="","",",-"&amp;setrules!P436)</f>
        <v>CRFRVM*</v>
      </c>
      <c r="C385" t="str">
        <f>setrules!H436&amp;IF(setrules!I436="","",",-"&amp;setrules!I436)</f>
        <v/>
      </c>
      <c r="D385" t="str">
        <f>setrules!J436&amp;IF(setrules!K436="","",",-"&amp;setrules!K436)</f>
        <v/>
      </c>
      <c r="E385" t="str">
        <f>setrules!L436&amp;IF(setrules!M436="","",",-"&amp;setrules!M436)</f>
        <v/>
      </c>
      <c r="F385" t="str">
        <f>setrules!B436</f>
        <v>CRF-RVM</v>
      </c>
    </row>
    <row r="386" spans="1:6" x14ac:dyDescent="0.25">
      <c r="A386" t="str">
        <f>setrules!D437&amp;IF(setrules!E437="","",",-"&amp;setrules!E437)</f>
        <v/>
      </c>
      <c r="B386" t="str">
        <f>setrules!F437&amp;IF(setrules!G437="","",",-"&amp;setrules!G437)&amp;IF(setrules!P437="","",",-"&amp;setrules!P437)</f>
        <v>CWHEHP*</v>
      </c>
      <c r="C386" t="str">
        <f>setrules!H437&amp;IF(setrules!I437="","",",-"&amp;setrules!I437)</f>
        <v/>
      </c>
      <c r="D386" t="str">
        <f>setrules!J437&amp;IF(setrules!K437="","",",-"&amp;setrules!K437)</f>
        <v/>
      </c>
      <c r="E386" t="str">
        <f>setrules!L437&amp;IF(setrules!M437="","",",-"&amp;setrules!M437)</f>
        <v/>
      </c>
      <c r="F386" t="str">
        <f>setrules!B437</f>
        <v>CWH-EHP</v>
      </c>
    </row>
    <row r="387" spans="1:6" x14ac:dyDescent="0.25">
      <c r="A387" t="str">
        <f>setrules!D438&amp;IF(setrules!E438="","",",-"&amp;setrules!E438)</f>
        <v/>
      </c>
      <c r="B387" t="str">
        <f>setrules!F438&amp;IF(setrules!G438="","",",-"&amp;setrules!G438)&amp;IF(setrules!P438="","",",-"&amp;setrules!P438)</f>
        <v>CSHELO*</v>
      </c>
      <c r="C387" t="str">
        <f>setrules!H438&amp;IF(setrules!I438="","",",-"&amp;setrules!I438)</f>
        <v/>
      </c>
      <c r="D387" t="str">
        <f>setrules!J438&amp;IF(setrules!K438="","",",-"&amp;setrules!K438)</f>
        <v/>
      </c>
      <c r="E387" t="str">
        <f>setrules!L438&amp;IF(setrules!M438="","",",-"&amp;setrules!M438)</f>
        <v/>
      </c>
      <c r="F387" t="str">
        <f>setrules!B438</f>
        <v>CSH-ELO</v>
      </c>
    </row>
    <row r="388" spans="1:6" x14ac:dyDescent="0.25">
      <c r="A388" t="str">
        <f>setrules!D439&amp;IF(setrules!E439="","",",-"&amp;setrules!E439)</f>
        <v/>
      </c>
      <c r="B388" t="str">
        <f>setrules!F439&amp;IF(setrules!G439="","",",-"&amp;setrules!G439)&amp;IF(setrules!P439="","",",-"&amp;setrules!P439)</f>
        <v>CWHN*</v>
      </c>
      <c r="C388" t="str">
        <f>setrules!H439&amp;IF(setrules!I439="","",",-"&amp;setrules!I439)</f>
        <v/>
      </c>
      <c r="D388" t="str">
        <f>setrules!J439&amp;IF(setrules!K439="","",",-"&amp;setrules!K439)</f>
        <v/>
      </c>
      <c r="E388" t="str">
        <f>setrules!L439&amp;IF(setrules!M439="","",",-"&amp;setrules!M439)</f>
        <v/>
      </c>
      <c r="F388" t="str">
        <f>setrules!B439</f>
        <v>CWH-NG</v>
      </c>
    </row>
    <row r="389" spans="1:6" x14ac:dyDescent="0.25">
      <c r="A389" t="str">
        <f>setrules!D440&amp;IF(setrules!E440="","",",-"&amp;setrules!E440)</f>
        <v/>
      </c>
      <c r="B389" t="str">
        <f>setrules!F440&amp;IF(setrules!G440="","",",-"&amp;setrules!G440)&amp;IF(setrules!P440="","",",-"&amp;setrules!P440)</f>
        <v>CWHNGI*</v>
      </c>
      <c r="C389" t="str">
        <f>setrules!H440&amp;IF(setrules!I440="","",",-"&amp;setrules!I440)</f>
        <v/>
      </c>
      <c r="D389" t="str">
        <f>setrules!J440&amp;IF(setrules!K440="","",",-"&amp;setrules!K440)</f>
        <v/>
      </c>
      <c r="E389" t="str">
        <f>setrules!L440&amp;IF(setrules!M440="","",",-"&amp;setrules!M440)</f>
        <v/>
      </c>
      <c r="F389" t="str">
        <f>setrules!B440</f>
        <v>CWH-NGI</v>
      </c>
    </row>
    <row r="390" spans="1:6" x14ac:dyDescent="0.25">
      <c r="A390" t="str">
        <f>setrules!D441&amp;IF(setrules!E441="","",",-"&amp;setrules!E441)</f>
        <v/>
      </c>
      <c r="B390" t="str">
        <f>setrules!F441&amp;IF(setrules!G441="","",",-"&amp;setrules!G441)&amp;IF(setrules!P441="","",",-"&amp;setrules!P441)</f>
        <v>CWHSLN*</v>
      </c>
      <c r="C390" t="str">
        <f>setrules!H441&amp;IF(setrules!I441="","",",-"&amp;setrules!I441)</f>
        <v/>
      </c>
      <c r="D390" t="str">
        <f>setrules!J441&amp;IF(setrules!K441="","",",-"&amp;setrules!K441)</f>
        <v/>
      </c>
      <c r="E390" t="str">
        <f>setrules!L441&amp;IF(setrules!M441="","",",-"&amp;setrules!M441)</f>
        <v/>
      </c>
      <c r="F390" t="str">
        <f>setrules!B441</f>
        <v>CWH-SOL</v>
      </c>
    </row>
    <row r="391" spans="1:6" x14ac:dyDescent="0.25">
      <c r="A391" t="str">
        <f>setrules!D442&amp;IF(setrules!E442="","",",-"&amp;setrules!E442)</f>
        <v>dmd</v>
      </c>
      <c r="B391" t="str">
        <f>setrules!F442&amp;IF(setrules!G442="","",",-"&amp;setrules!G442)&amp;IF(setrules!P442="","",",-"&amp;setrules!P442)</f>
        <v>CCK*</v>
      </c>
      <c r="C391" t="str">
        <f>setrules!H442&amp;IF(setrules!I442="","",",-"&amp;setrules!I442)</f>
        <v/>
      </c>
      <c r="D391" t="str">
        <f>setrules!J442&amp;IF(setrules!K442="","",",-"&amp;setrules!K442)</f>
        <v/>
      </c>
      <c r="E391" t="str">
        <f>setrules!L442&amp;IF(setrules!M442="","",",-"&amp;setrules!M442)</f>
        <v/>
      </c>
      <c r="F391" t="str">
        <f>setrules!B442</f>
        <v>DMD_CCK</v>
      </c>
    </row>
    <row r="392" spans="1:6" x14ac:dyDescent="0.25">
      <c r="A392" t="str">
        <f>setrules!D443&amp;IF(setrules!E443="","",",-"&amp;setrules!E443)</f>
        <v>dmd</v>
      </c>
      <c r="B392" t="str">
        <f>setrules!F443&amp;IF(setrules!G443="","",",-"&amp;setrules!G443)&amp;IF(setrules!P443="","",",-"&amp;setrules!P443)</f>
        <v>CLT*</v>
      </c>
      <c r="C392" t="str">
        <f>setrules!H443&amp;IF(setrules!I443="","",",-"&amp;setrules!I443)</f>
        <v/>
      </c>
      <c r="D392" t="str">
        <f>setrules!J443&amp;IF(setrules!K443="","",",-"&amp;setrules!K443)</f>
        <v/>
      </c>
      <c r="E392" t="str">
        <f>setrules!L443&amp;IF(setrules!M443="","",",-"&amp;setrules!M443)</f>
        <v/>
      </c>
      <c r="F392" t="str">
        <f>setrules!B443</f>
        <v>DMD_CLT</v>
      </c>
    </row>
    <row r="393" spans="1:6" x14ac:dyDescent="0.25">
      <c r="A393" t="str">
        <f>setrules!D444&amp;IF(setrules!E444="","",",-"&amp;setrules!E444)</f>
        <v>dmd</v>
      </c>
      <c r="B393" t="str">
        <f>setrules!F444&amp;IF(setrules!G444="","",",-"&amp;setrules!G444)&amp;IF(setrules!P444="","",",-"&amp;setrules!P444)</f>
        <v>CM*</v>
      </c>
      <c r="C393" t="str">
        <f>setrules!H444&amp;IF(setrules!I444="","",",-"&amp;setrules!I444)</f>
        <v/>
      </c>
      <c r="D393" t="str">
        <f>setrules!J444&amp;IF(setrules!K444="","",",-"&amp;setrules!K444)</f>
        <v/>
      </c>
      <c r="E393" t="str">
        <f>setrules!L444&amp;IF(setrules!M444="","",",-"&amp;setrules!M444)</f>
        <v/>
      </c>
      <c r="F393" t="str">
        <f>setrules!B444</f>
        <v>DMD_CMISC</v>
      </c>
    </row>
    <row r="394" spans="1:6" x14ac:dyDescent="0.25">
      <c r="A394" t="str">
        <f>setrules!D445&amp;IF(setrules!E445="","",",-"&amp;setrules!E445)</f>
        <v>dmd,-DMD_CCK,-DMD_CLT,-DMD_CMISC,-DMD_COFF,-DMD_CRF,-DMD_CSC,-DMD_CSH,-DMD_CVT,-DMD_CWH</v>
      </c>
      <c r="B394" t="str">
        <f>setrules!F445&amp;IF(setrules!G445="","",",-"&amp;setrules!G445)&amp;IF(setrules!P445="","",",-"&amp;setrules!P445)</f>
        <v>C*</v>
      </c>
      <c r="C394" t="str">
        <f>setrules!H445&amp;IF(setrules!I445="","",",-"&amp;setrules!I445)</f>
        <v/>
      </c>
      <c r="D394" t="str">
        <f>setrules!J445&amp;IF(setrules!K445="","",",-"&amp;setrules!K445)</f>
        <v/>
      </c>
      <c r="E394" t="str">
        <f>setrules!L445&amp;IF(setrules!M445="","",",-"&amp;setrules!M445)</f>
        <v/>
      </c>
      <c r="F394" t="str">
        <f>setrules!B445</f>
        <v>DMD_CMISS</v>
      </c>
    </row>
    <row r="395" spans="1:6" x14ac:dyDescent="0.25">
      <c r="A395" t="str">
        <f>setrules!D446&amp;IF(setrules!E446="","",",-"&amp;setrules!E446)</f>
        <v/>
      </c>
      <c r="B395" t="str">
        <f>setrules!F446&amp;IF(setrules!G446="","",",-"&amp;setrules!G446)&amp;IF(setrules!P446="","",",-"&amp;setrules!P446)</f>
        <v>CWH*</v>
      </c>
      <c r="C395" t="str">
        <f>setrules!H446&amp;IF(setrules!I446="","",",-"&amp;setrules!I446)</f>
        <v/>
      </c>
      <c r="D395" t="str">
        <f>setrules!J446&amp;IF(setrules!K446="","",",-"&amp;setrules!K446)</f>
        <v>COMDSL</v>
      </c>
      <c r="E395" t="str">
        <f>setrules!L446&amp;IF(setrules!M446="","",",-"&amp;setrules!M446)</f>
        <v/>
      </c>
      <c r="F395" t="str">
        <f>setrules!B446</f>
        <v>CWH-DSL</v>
      </c>
    </row>
    <row r="396" spans="1:6" x14ac:dyDescent="0.25">
      <c r="A396" t="str">
        <f>setrules!D447&amp;IF(setrules!E447="","",",-"&amp;setrules!E447)</f>
        <v/>
      </c>
      <c r="B396" t="str">
        <f>setrules!F447&amp;IF(setrules!G447="","",",-"&amp;setrules!G447)&amp;IF(setrules!P447="","",",-"&amp;setrules!P447)</f>
        <v>CSCCRC*</v>
      </c>
      <c r="C396" t="str">
        <f>setrules!H447&amp;IF(setrules!I447="","",",-"&amp;setrules!I447)</f>
        <v/>
      </c>
      <c r="D396" t="str">
        <f>setrules!J447&amp;IF(setrules!K447="","",",-"&amp;setrules!K447)</f>
        <v/>
      </c>
      <c r="E396" t="str">
        <f>setrules!L447&amp;IF(setrules!M447="","",",-"&amp;setrules!M447)</f>
        <v/>
      </c>
      <c r="F396" t="str">
        <f>setrules!B447</f>
        <v>CSC-RC</v>
      </c>
    </row>
    <row r="397" spans="1:6" x14ac:dyDescent="0.25">
      <c r="A397" t="str">
        <f>setrules!D448&amp;IF(setrules!E448="","",",-"&amp;setrules!E448)</f>
        <v/>
      </c>
      <c r="B397" t="str">
        <f>setrules!F448&amp;IF(setrules!G448="","",",-"&amp;setrules!G448)&amp;IF(setrules!P448="","",",-"&amp;setrules!P448)</f>
        <v>CSCAHP*</v>
      </c>
      <c r="C397" t="str">
        <f>setrules!H448&amp;IF(setrules!I448="","",",-"&amp;setrules!I448)</f>
        <v/>
      </c>
      <c r="D397" t="str">
        <f>setrules!J448&amp;IF(setrules!K448="","",",-"&amp;setrules!K448)</f>
        <v/>
      </c>
      <c r="E397" t="str">
        <f>setrules!L448&amp;IF(setrules!M448="","",",-"&amp;setrules!M448)</f>
        <v/>
      </c>
      <c r="F397" t="str">
        <f>setrules!B448</f>
        <v>CSC-AHP</v>
      </c>
    </row>
    <row r="398" spans="1:6" x14ac:dyDescent="0.25">
      <c r="A398" t="str">
        <f>setrules!D449&amp;IF(setrules!E449="","",",-"&amp;setrules!E449)</f>
        <v/>
      </c>
      <c r="B398" t="str">
        <f>setrules!F449&amp;IF(setrules!G449="","",",-"&amp;setrules!G449)&amp;IF(setrules!P449="","",",-"&amp;setrules!P449)</f>
        <v>CSC*</v>
      </c>
      <c r="C398" t="str">
        <f>setrules!H449&amp;IF(setrules!I449="","",",-"&amp;setrules!I449)</f>
        <v/>
      </c>
      <c r="D398" t="str">
        <f>setrules!J449&amp;IF(setrules!K449="","",",-"&amp;setrules!K449)</f>
        <v/>
      </c>
      <c r="E398" t="str">
        <f>setrules!L449&amp;IF(setrules!M449="","",",-"&amp;setrules!M449)</f>
        <v/>
      </c>
      <c r="F398" t="str">
        <f>setrules!B449</f>
        <v>CSC-ALL</v>
      </c>
    </row>
    <row r="399" spans="1:6" x14ac:dyDescent="0.25">
      <c r="A399" t="str">
        <f>setrules!D450&amp;IF(setrules!E450="","",",-"&amp;setrules!E450)</f>
        <v/>
      </c>
      <c r="B399" t="str">
        <f>setrules!F450&amp;IF(setrules!G450="","",",-"&amp;setrules!G450)&amp;IF(setrules!P450="","",",-"&amp;setrules!P450)</f>
        <v>CSCCC*</v>
      </c>
      <c r="C399" t="str">
        <f>setrules!H450&amp;IF(setrules!I450="","",",-"&amp;setrules!I450)</f>
        <v/>
      </c>
      <c r="D399" t="str">
        <f>setrules!J450&amp;IF(setrules!K450="","",",-"&amp;setrules!K450)</f>
        <v/>
      </c>
      <c r="E399" t="str">
        <f>setrules!L450&amp;IF(setrules!M450="","",",-"&amp;setrules!M450)</f>
        <v/>
      </c>
      <c r="F399" t="str">
        <f>setrules!B450</f>
        <v>CSC-CC</v>
      </c>
    </row>
    <row r="400" spans="1:6" x14ac:dyDescent="0.25">
      <c r="A400" t="str">
        <f>setrules!D451&amp;IF(setrules!E451="","",",-"&amp;setrules!E451)</f>
        <v/>
      </c>
      <c r="B400" t="str">
        <f>setrules!F451&amp;IF(setrules!G451="","",",-"&amp;setrules!G451)&amp;IF(setrules!P451="","",",-"&amp;setrules!P451)</f>
        <v>CSCCAC*</v>
      </c>
      <c r="C400" t="str">
        <f>setrules!H451&amp;IF(setrules!I451="","",",-"&amp;setrules!I451)</f>
        <v/>
      </c>
      <c r="D400" t="str">
        <f>setrules!J451&amp;IF(setrules!K451="","",",-"&amp;setrules!K451)</f>
        <v/>
      </c>
      <c r="E400" t="str">
        <f>setrules!L451&amp;IF(setrules!M451="","",",-"&amp;setrules!M451)</f>
        <v/>
      </c>
      <c r="F400" t="str">
        <f>setrules!B451</f>
        <v>CSC-CEN</v>
      </c>
    </row>
    <row r="401" spans="1:6" x14ac:dyDescent="0.25">
      <c r="A401" t="str">
        <f>setrules!D452&amp;IF(setrules!E452="","",",-"&amp;setrules!E452)</f>
        <v/>
      </c>
      <c r="B401" t="str">
        <f>setrules!F452&amp;IF(setrules!G452="","",",-"&amp;setrules!G452)&amp;IF(setrules!P452="","",",-"&amp;setrules!P452)</f>
        <v>CSC*</v>
      </c>
      <c r="C401" t="str">
        <f>setrules!H452&amp;IF(setrules!I452="","",",-"&amp;setrules!I452)</f>
        <v>*chiller*</v>
      </c>
      <c r="D401" t="str">
        <f>setrules!J452&amp;IF(setrules!K452="","",",-"&amp;setrules!K452)</f>
        <v/>
      </c>
      <c r="E401" t="str">
        <f>setrules!L452&amp;IF(setrules!M452="","",",-"&amp;setrules!M452)</f>
        <v/>
      </c>
      <c r="F401" t="str">
        <f>setrules!B452</f>
        <v>CSC-CH</v>
      </c>
    </row>
    <row r="402" spans="1:6" x14ac:dyDescent="0.25">
      <c r="A402" t="str">
        <f>setrules!D453&amp;IF(setrules!E453="","",",-"&amp;setrules!E453)</f>
        <v/>
      </c>
      <c r="B402" t="str">
        <f>setrules!F453&amp;IF(setrules!G453="","",",-"&amp;setrules!G453)&amp;IF(setrules!P453="","",",-"&amp;setrules!P453)</f>
        <v>CSC*</v>
      </c>
      <c r="C402" t="str">
        <f>setrules!H453&amp;IF(setrules!I453="","",",-"&amp;setrules!I453)</f>
        <v/>
      </c>
      <c r="D402" t="str">
        <f>setrules!J453&amp;IF(setrules!K453="","",",-"&amp;setrules!K453)</f>
        <v>ELC</v>
      </c>
      <c r="E402" t="str">
        <f>setrules!L453&amp;IF(setrules!M453="","",",-"&amp;setrules!M453)</f>
        <v/>
      </c>
      <c r="F402" t="str">
        <f>setrules!B453</f>
        <v>CSC-ELC</v>
      </c>
    </row>
    <row r="403" spans="1:6" x14ac:dyDescent="0.25">
      <c r="A403" t="str">
        <f>setrules!D454&amp;IF(setrules!E454="","",",-"&amp;setrules!E454)</f>
        <v/>
      </c>
      <c r="B403" t="str">
        <f>setrules!F454&amp;IF(setrules!G454="","",",-"&amp;setrules!G454)&amp;IF(setrules!P454="","",",-"&amp;setrules!P454)</f>
        <v>CSCGHP*</v>
      </c>
      <c r="C403" t="str">
        <f>setrules!H454&amp;IF(setrules!I454="","",",-"&amp;setrules!I454)</f>
        <v/>
      </c>
      <c r="D403" t="str">
        <f>setrules!J454&amp;IF(setrules!K454="","",",-"&amp;setrules!K454)</f>
        <v/>
      </c>
      <c r="E403" t="str">
        <f>setrules!L454&amp;IF(setrules!M454="","",",-"&amp;setrules!M454)</f>
        <v/>
      </c>
      <c r="F403" t="str">
        <f>setrules!B454</f>
        <v>CSC-GHP</v>
      </c>
    </row>
    <row r="404" spans="1:6" x14ac:dyDescent="0.25">
      <c r="A404" t="str">
        <f>setrules!D455&amp;IF(setrules!E455="","",",-"&amp;setrules!E455)</f>
        <v/>
      </c>
      <c r="B404" t="str">
        <f>setrules!F455&amp;IF(setrules!G455="","",",-"&amp;setrules!G455)&amp;IF(setrules!P455="","",",-"&amp;setrules!P455)</f>
        <v>CSH*</v>
      </c>
      <c r="C404" t="str">
        <f>setrules!H455&amp;IF(setrules!I455="","",",-"&amp;setrules!I455)</f>
        <v/>
      </c>
      <c r="D404" t="str">
        <f>setrules!J455&amp;IF(setrules!K455="","",",-"&amp;setrules!K455)</f>
        <v>COMNGA</v>
      </c>
      <c r="E404" t="str">
        <f>setrules!L455&amp;IF(setrules!M455="","",",-"&amp;setrules!M455)</f>
        <v/>
      </c>
      <c r="F404" t="str">
        <f>setrules!B455</f>
        <v>CSH-NG</v>
      </c>
    </row>
    <row r="405" spans="1:6" x14ac:dyDescent="0.25">
      <c r="A405" t="str">
        <f>setrules!D456&amp;IF(setrules!E456="","",",-"&amp;setrules!E456)</f>
        <v/>
      </c>
      <c r="B405" t="str">
        <f>setrules!F456&amp;IF(setrules!G456="","",",-"&amp;setrules!G456)&amp;IF(setrules!P456="","",",-"&amp;setrules!P456)</f>
        <v>CSC*</v>
      </c>
      <c r="C405" t="str">
        <f>setrules!H456&amp;IF(setrules!I456="","",",-"&amp;setrules!I456)</f>
        <v/>
      </c>
      <c r="D405" t="str">
        <f>setrules!J456&amp;IF(setrules!K456="","",",-"&amp;setrules!K456)</f>
        <v>COMNGA</v>
      </c>
      <c r="E405" t="str">
        <f>setrules!L456&amp;IF(setrules!M456="","",",-"&amp;setrules!M456)</f>
        <v/>
      </c>
      <c r="F405" t="str">
        <f>setrules!B456</f>
        <v>CSC-NG</v>
      </c>
    </row>
    <row r="406" spans="1:6" x14ac:dyDescent="0.25">
      <c r="A406" t="str">
        <f>setrules!D457&amp;IF(setrules!E457="","",",-"&amp;setrules!E457)</f>
        <v/>
      </c>
      <c r="B406" t="str">
        <f>setrules!F457&amp;IF(setrules!G457="","",",-"&amp;setrules!G457)&amp;IF(setrules!P457="","",",-"&amp;setrules!P457)</f>
        <v>CSH*</v>
      </c>
      <c r="C406" t="str">
        <f>setrules!H457&amp;IF(setrules!I457="","",",-"&amp;setrules!I457)</f>
        <v>*Furnace*</v>
      </c>
      <c r="D406" t="str">
        <f>setrules!J457&amp;IF(setrules!K457="","",",-"&amp;setrules!K457)</f>
        <v/>
      </c>
      <c r="E406" t="str">
        <f>setrules!L457&amp;IF(setrules!M457="","",",-"&amp;setrules!M457)</f>
        <v/>
      </c>
      <c r="F406" t="str">
        <f>setrules!B457</f>
        <v>CSH-FUR</v>
      </c>
    </row>
    <row r="407" spans="1:6" x14ac:dyDescent="0.25">
      <c r="A407" t="str">
        <f>setrules!D458&amp;IF(setrules!E458="","",",-"&amp;setrules!E458)</f>
        <v/>
      </c>
      <c r="B407" t="str">
        <f>setrules!F458&amp;IF(setrules!G458="","",",-"&amp;setrules!G458)&amp;IF(setrules!P458="","",",-"&amp;setrules!P458)</f>
        <v>CSCRAC*</v>
      </c>
      <c r="C407" t="str">
        <f>setrules!H458&amp;IF(setrules!I458="","",",-"&amp;setrules!I458)</f>
        <v/>
      </c>
      <c r="D407" t="str">
        <f>setrules!J458&amp;IF(setrules!K458="","",",-"&amp;setrules!K458)</f>
        <v/>
      </c>
      <c r="E407" t="str">
        <f>setrules!L458&amp;IF(setrules!M458="","",",-"&amp;setrules!M458)</f>
        <v/>
      </c>
      <c r="F407" t="str">
        <f>setrules!B458</f>
        <v>CSC-RF</v>
      </c>
    </row>
    <row r="408" spans="1:6" x14ac:dyDescent="0.25">
      <c r="A408" t="str">
        <f>setrules!D459&amp;IF(setrules!E459="","",",-"&amp;setrules!E459)</f>
        <v/>
      </c>
      <c r="B408" t="str">
        <f>setrules!F459&amp;IF(setrules!G459="","",",-"&amp;setrules!G459)&amp;IF(setrules!P459="","",",-"&amp;setrules!P459)</f>
        <v>CSCWAC*</v>
      </c>
      <c r="C408" t="str">
        <f>setrules!H459&amp;IF(setrules!I459="","",",-"&amp;setrules!I459)</f>
        <v/>
      </c>
      <c r="D408" t="str">
        <f>setrules!J459&amp;IF(setrules!K459="","",",-"&amp;setrules!K459)</f>
        <v/>
      </c>
      <c r="E408" t="str">
        <f>setrules!L459&amp;IF(setrules!M459="","",",-"&amp;setrules!M459)</f>
        <v/>
      </c>
      <c r="F408" t="str">
        <f>setrules!B459</f>
        <v>CSC-WW</v>
      </c>
    </row>
    <row r="409" spans="1:6" x14ac:dyDescent="0.25">
      <c r="A409" t="str">
        <f>setrules!D460&amp;IF(setrules!E460="","",",-"&amp;setrules!E460)</f>
        <v/>
      </c>
      <c r="B409" t="str">
        <f>setrules!F460&amp;IF(setrules!G460="","",",-"&amp;setrules!G460)&amp;IF(setrules!P460="","",",-"&amp;setrules!P460)</f>
        <v>CSH*</v>
      </c>
      <c r="C409" t="str">
        <f>setrules!H460&amp;IF(setrules!I460="","",",-"&amp;setrules!I460)</f>
        <v/>
      </c>
      <c r="D409" t="str">
        <f>setrules!J460&amp;IF(setrules!K460="","",",-"&amp;setrules!K460)</f>
        <v/>
      </c>
      <c r="E409" t="str">
        <f>setrules!L460&amp;IF(setrules!M460="","",",-"&amp;setrules!M460)</f>
        <v/>
      </c>
      <c r="F409" t="str">
        <f>setrules!B460</f>
        <v>CSH-ALL</v>
      </c>
    </row>
    <row r="410" spans="1:6" x14ac:dyDescent="0.25">
      <c r="A410" t="str">
        <f>setrules!D461&amp;IF(setrules!E461="","",",-"&amp;setrules!E461)</f>
        <v/>
      </c>
      <c r="B410" t="str">
        <f>setrules!F461&amp;IF(setrules!G461="","",",-"&amp;setrules!G461)&amp;IF(setrules!P461="","",",-"&amp;setrules!P461)</f>
        <v>CSH*</v>
      </c>
      <c r="C410" t="str">
        <f>setrules!H461&amp;IF(setrules!I461="","",",-"&amp;setrules!I461)</f>
        <v>*Boiler*</v>
      </c>
      <c r="D410" t="str">
        <f>setrules!J461&amp;IF(setrules!K461="","",",-"&amp;setrules!K461)</f>
        <v/>
      </c>
      <c r="E410" t="str">
        <f>setrules!L461&amp;IF(setrules!M461="","",",-"&amp;setrules!M461)</f>
        <v/>
      </c>
      <c r="F410" t="str">
        <f>setrules!B461</f>
        <v>CSH-BLR</v>
      </c>
    </row>
    <row r="411" spans="1:6" x14ac:dyDescent="0.25">
      <c r="A411" t="str">
        <f>setrules!D462&amp;IF(setrules!E462="","",",-"&amp;setrules!E462)</f>
        <v/>
      </c>
      <c r="B411" t="str">
        <f>setrules!F462&amp;IF(setrules!G462="","",",-"&amp;setrules!G462)&amp;IF(setrules!P462="","",",-"&amp;setrules!P462)</f>
        <v>CSH*</v>
      </c>
      <c r="C411" t="str">
        <f>setrules!H462&amp;IF(setrules!I462="","",",-"&amp;setrules!I462)</f>
        <v/>
      </c>
      <c r="D411" t="str">
        <f>setrules!J462&amp;IF(setrules!K462="","",",-"&amp;setrules!K462)</f>
        <v>COMDSL</v>
      </c>
      <c r="E411" t="str">
        <f>setrules!L462&amp;IF(setrules!M462="","",",-"&amp;setrules!M462)</f>
        <v/>
      </c>
      <c r="F411" t="str">
        <f>setrules!B462</f>
        <v>CSH-DSL</v>
      </c>
    </row>
    <row r="412" spans="1:6" x14ac:dyDescent="0.25">
      <c r="A412" t="str">
        <f>setrules!D463&amp;IF(setrules!E463="","",",-"&amp;setrules!E463)</f>
        <v/>
      </c>
      <c r="B412" t="str">
        <f>setrules!F463&amp;IF(setrules!G463="","",",-"&amp;setrules!G463)&amp;IF(setrules!P463="","",",-"&amp;setrules!P463)</f>
        <v>CSH*</v>
      </c>
      <c r="C412" t="str">
        <f>setrules!H463&amp;IF(setrules!I463="","",",-"&amp;setrules!I463)</f>
        <v/>
      </c>
      <c r="D412" t="str">
        <f>setrules!J463&amp;IF(setrules!K463="","",",-"&amp;setrules!K463)</f>
        <v>ELC</v>
      </c>
      <c r="E412" t="str">
        <f>setrules!L463&amp;IF(setrules!M463="","",",-"&amp;setrules!M463)</f>
        <v/>
      </c>
      <c r="F412" t="str">
        <f>setrules!B463</f>
        <v>CSH-ELC</v>
      </c>
    </row>
    <row r="413" spans="1:6" x14ac:dyDescent="0.25">
      <c r="A413" t="str">
        <f>setrules!D464&amp;IF(setrules!E464="","",",-"&amp;setrules!E464)</f>
        <v/>
      </c>
      <c r="B413" t="str">
        <f>setrules!F464&amp;IF(setrules!G464="","",",-"&amp;setrules!G464)&amp;IF(setrules!P464="","",",-"&amp;setrules!P464)</f>
        <v>ICIEFEDPFS</v>
      </c>
      <c r="C413" t="str">
        <f>setrules!H464&amp;IF(setrules!I464="","",",-"&amp;setrules!I464)</f>
        <v/>
      </c>
      <c r="D413" t="str">
        <f>setrules!J464&amp;IF(setrules!K464="","",",-"&amp;setrules!K464)</f>
        <v/>
      </c>
      <c r="E413" t="str">
        <f>setrules!L464&amp;IF(setrules!M464="","",",-"&amp;setrules!M464)</f>
        <v/>
      </c>
      <c r="F413" t="str">
        <f>setrules!B464</f>
        <v>ICIFS_PFS</v>
      </c>
    </row>
    <row r="414" spans="1:6" x14ac:dyDescent="0.25">
      <c r="A414" t="str">
        <f>setrules!D465&amp;IF(setrules!E465="","",",-"&amp;setrules!E465)</f>
        <v/>
      </c>
      <c r="B414" t="str">
        <f>setrules!F465&amp;IF(setrules!G465="","",",-"&amp;setrules!G465)&amp;IF(setrules!P465="","",",-"&amp;setrules!P465)</f>
        <v>CSC*</v>
      </c>
      <c r="C414" t="str">
        <f>setrules!H465&amp;IF(setrules!I465="","",",-"&amp;setrules!I465)</f>
        <v>*HP*</v>
      </c>
      <c r="D414" t="str">
        <f>setrules!J465&amp;IF(setrules!K465="","",",-"&amp;setrules!K465)</f>
        <v/>
      </c>
      <c r="E414" t="str">
        <f>setrules!L465&amp;IF(setrules!M465="","",",-"&amp;setrules!M465)</f>
        <v/>
      </c>
      <c r="F414" t="str">
        <f>setrules!B465</f>
        <v>CSC-HP</v>
      </c>
    </row>
    <row r="415" spans="1:6" x14ac:dyDescent="0.25">
      <c r="A415" t="str">
        <f>setrules!D466&amp;IF(setrules!E466="","",",-"&amp;setrules!E466)</f>
        <v/>
      </c>
      <c r="B415" t="str">
        <f>setrules!F466&amp;IF(setrules!G466="","",",-"&amp;setrules!G466)&amp;IF(setrules!P466="","",",-"&amp;setrules!P466)</f>
        <v>ICTEFACCOA</v>
      </c>
      <c r="C415" t="str">
        <f>setrules!H466&amp;IF(setrules!I466="","",",-"&amp;setrules!I466)</f>
        <v/>
      </c>
      <c r="D415" t="str">
        <f>setrules!J466&amp;IF(setrules!K466="","",",-"&amp;setrules!K466)</f>
        <v/>
      </c>
      <c r="E415" t="str">
        <f>setrules!L466&amp;IF(setrules!M466="","",",-"&amp;setrules!M466)</f>
        <v/>
      </c>
      <c r="F415" t="str">
        <f>setrules!B466</f>
        <v>ICTFA_COA</v>
      </c>
    </row>
    <row r="416" spans="1:6" x14ac:dyDescent="0.25">
      <c r="A416" t="str">
        <f>setrules!D467&amp;IF(setrules!E467="","",",-"&amp;setrules!E467)</f>
        <v/>
      </c>
      <c r="B416" t="str">
        <f>setrules!F467&amp;IF(setrules!G467="","",",-"&amp;setrules!G467)&amp;IF(setrules!P467="","",",-"&amp;setrules!P467)</f>
        <v>ICB*COA*</v>
      </c>
      <c r="C416" t="str">
        <f>setrules!H467&amp;IF(setrules!I467="","",",-"&amp;setrules!I467)</f>
        <v/>
      </c>
      <c r="D416" t="str">
        <f>setrules!J467&amp;IF(setrules!K467="","",",-"&amp;setrules!K467)</f>
        <v/>
      </c>
      <c r="E416" t="str">
        <f>setrules!L467&amp;IF(setrules!M467="","",",-"&amp;setrules!M467)</f>
        <v/>
      </c>
      <c r="F416" t="str">
        <f>setrules!B467</f>
        <v>ICS_COA</v>
      </c>
    </row>
    <row r="417" spans="1:6" x14ac:dyDescent="0.25">
      <c r="A417" t="str">
        <f>setrules!D468&amp;IF(setrules!E468="","",",-"&amp;setrules!E468)</f>
        <v/>
      </c>
      <c r="B417" t="str">
        <f>setrules!F468&amp;IF(setrules!G468="","",",-"&amp;setrules!G468)&amp;IF(setrules!P468="","",",-"&amp;setrules!P468)</f>
        <v>ICB*DST*</v>
      </c>
      <c r="C417" t="str">
        <f>setrules!H468&amp;IF(setrules!I468="","",",-"&amp;setrules!I468)</f>
        <v/>
      </c>
      <c r="D417" t="str">
        <f>setrules!J468&amp;IF(setrules!K468="","",",-"&amp;setrules!K468)</f>
        <v/>
      </c>
      <c r="E417" t="str">
        <f>setrules!L468&amp;IF(setrules!M468="","",",-"&amp;setrules!M468)</f>
        <v/>
      </c>
      <c r="F417" t="str">
        <f>setrules!B468</f>
        <v>ICS_DST</v>
      </c>
    </row>
    <row r="418" spans="1:6" x14ac:dyDescent="0.25">
      <c r="A418" t="str">
        <f>setrules!D469&amp;IF(setrules!E469="","",",-"&amp;setrules!E469)</f>
        <v/>
      </c>
      <c r="B418" t="str">
        <f>setrules!F469&amp;IF(setrules!G469="","",",-"&amp;setrules!G469)&amp;IF(setrules!P469="","",",-"&amp;setrules!P469)</f>
        <v>ICB*ELC*</v>
      </c>
      <c r="C418" t="str">
        <f>setrules!H469&amp;IF(setrules!I469="","",",-"&amp;setrules!I469)</f>
        <v/>
      </c>
      <c r="D418" t="str">
        <f>setrules!J469&amp;IF(setrules!K469="","",",-"&amp;setrules!K469)</f>
        <v/>
      </c>
      <c r="E418" t="str">
        <f>setrules!L469&amp;IF(setrules!M469="","",",-"&amp;setrules!M469)</f>
        <v/>
      </c>
      <c r="F418" t="str">
        <f>setrules!B469</f>
        <v>ICS_ELC</v>
      </c>
    </row>
    <row r="419" spans="1:6" x14ac:dyDescent="0.25">
      <c r="A419" t="str">
        <f>setrules!D470&amp;IF(setrules!E470="","",",-"&amp;setrules!E470)</f>
        <v/>
      </c>
      <c r="B419" t="str">
        <f>setrules!F470&amp;IF(setrules!G470="","",",-"&amp;setrules!G470)&amp;IF(setrules!P470="","",",-"&amp;setrules!P470)</f>
        <v>ICB*FSTM*</v>
      </c>
      <c r="C419" t="str">
        <f>setrules!H470&amp;IF(setrules!I470="","",",-"&amp;setrules!I470)</f>
        <v/>
      </c>
      <c r="D419" t="str">
        <f>setrules!J470&amp;IF(setrules!K470="","",",-"&amp;setrules!K470)</f>
        <v/>
      </c>
      <c r="E419" t="str">
        <f>setrules!L470&amp;IF(setrules!M470="","",",-"&amp;setrules!M470)</f>
        <v/>
      </c>
      <c r="F419" t="str">
        <f>setrules!B470</f>
        <v>ICS_FTSM</v>
      </c>
    </row>
    <row r="420" spans="1:6" x14ac:dyDescent="0.25">
      <c r="A420" t="str">
        <f>setrules!D471&amp;IF(setrules!E471="","",",-"&amp;setrules!E471)</f>
        <v/>
      </c>
      <c r="B420" t="str">
        <f>setrules!F471&amp;IF(setrules!G471="","",",-"&amp;setrules!G471)&amp;IF(setrules!P471="","",",-"&amp;setrules!P471)</f>
        <v>ICB*LPG*</v>
      </c>
      <c r="C420" t="str">
        <f>setrules!H471&amp;IF(setrules!I471="","",",-"&amp;setrules!I471)</f>
        <v/>
      </c>
      <c r="D420" t="str">
        <f>setrules!J471&amp;IF(setrules!K471="","",",-"&amp;setrules!K471)</f>
        <v/>
      </c>
      <c r="E420" t="str">
        <f>setrules!L471&amp;IF(setrules!M471="","",",-"&amp;setrules!M471)</f>
        <v/>
      </c>
      <c r="F420" t="str">
        <f>setrules!B471</f>
        <v>ICS_LPG</v>
      </c>
    </row>
    <row r="421" spans="1:6" x14ac:dyDescent="0.25">
      <c r="A421" t="str">
        <f>setrules!D472&amp;IF(setrules!E472="","",",-"&amp;setrules!E472)</f>
        <v/>
      </c>
      <c r="B421" t="str">
        <f>setrules!F472&amp;IF(setrules!G472="","",",-"&amp;setrules!G472)&amp;IF(setrules!P472="","",",-"&amp;setrules!P472)</f>
        <v>ICB*NGA*</v>
      </c>
      <c r="C421" t="str">
        <f>setrules!H472&amp;IF(setrules!I472="","",",-"&amp;setrules!I472)</f>
        <v/>
      </c>
      <c r="D421" t="str">
        <f>setrules!J472&amp;IF(setrules!K472="","",",-"&amp;setrules!K472)</f>
        <v/>
      </c>
      <c r="E421" t="str">
        <f>setrules!L472&amp;IF(setrules!M472="","",",-"&amp;setrules!M472)</f>
        <v/>
      </c>
      <c r="F421" t="str">
        <f>setrules!B472</f>
        <v>ICS_NGA</v>
      </c>
    </row>
    <row r="422" spans="1:6" x14ac:dyDescent="0.25">
      <c r="A422" t="str">
        <f>setrules!D473&amp;IF(setrules!E473="","",",-"&amp;setrules!E473)</f>
        <v/>
      </c>
      <c r="B422" t="str">
        <f>setrules!F473&amp;IF(setrules!G473="","",",-"&amp;setrules!G473)&amp;IF(setrules!P473="","",",-"&amp;setrules!P473)</f>
        <v>ICTEFEDPTC</v>
      </c>
      <c r="C422" t="str">
        <f>setrules!H473&amp;IF(setrules!I473="","",",-"&amp;setrules!I473)</f>
        <v/>
      </c>
      <c r="D422" t="str">
        <f>setrules!J473&amp;IF(setrules!K473="","",",-"&amp;setrules!K473)</f>
        <v/>
      </c>
      <c r="E422" t="str">
        <f>setrules!L473&amp;IF(setrules!M473="","",",-"&amp;setrules!M473)</f>
        <v/>
      </c>
      <c r="F422" t="str">
        <f>setrules!B473</f>
        <v>ICTFS_PTC</v>
      </c>
    </row>
    <row r="423" spans="1:6" x14ac:dyDescent="0.25">
      <c r="A423" t="str">
        <f>setrules!D474&amp;IF(setrules!E474="","",",-"&amp;setrules!E474)</f>
        <v/>
      </c>
      <c r="B423" t="str">
        <f>setrules!F474&amp;IF(setrules!G474="","",",-"&amp;setrules!G474)&amp;IF(setrules!P474="","",",-"&amp;setrules!P474)</f>
        <v>ICTEFAC*</v>
      </c>
      <c r="C423" t="str">
        <f>setrules!H474&amp;IF(setrules!I474="","",",-"&amp;setrules!I474)</f>
        <v/>
      </c>
      <c r="D423" t="str">
        <f>setrules!J474&amp;IF(setrules!K474="","",",-"&amp;setrules!K474)</f>
        <v/>
      </c>
      <c r="E423" t="str">
        <f>setrules!L474&amp;IF(setrules!M474="","",",-"&amp;setrules!M474)</f>
        <v/>
      </c>
      <c r="F423" t="str">
        <f>setrules!B474</f>
        <v>ICTFA_ALL</v>
      </c>
    </row>
    <row r="424" spans="1:6" x14ac:dyDescent="0.25">
      <c r="A424" t="str">
        <f>setrules!D475&amp;IF(setrules!E475="","",",-"&amp;setrules!E475)</f>
        <v/>
      </c>
      <c r="B424" t="str">
        <f>setrules!F475&amp;IF(setrules!G475="","",",-"&amp;setrules!G475)&amp;IF(setrules!P475="","",",-"&amp;setrules!P475)</f>
        <v>ICP*NGA,-,-ICPEFACNGA,-ICPEFEDNGA,-ICPEMDRNGA,-ICPEPRHNGA,-ICPNREGNGA,-</v>
      </c>
      <c r="C424" t="str">
        <f>setrules!H475&amp;IF(setrules!I475="","",",-"&amp;setrules!I475)</f>
        <v/>
      </c>
      <c r="D424" t="str">
        <f>setrules!J475&amp;IF(setrules!K475="","",",-"&amp;setrules!K475)</f>
        <v/>
      </c>
      <c r="E424" t="str">
        <f>setrules!L475&amp;IF(setrules!M475="","",",-"&amp;setrules!M475)</f>
        <v/>
      </c>
      <c r="F424" t="str">
        <f>setrules!B475</f>
        <v>ICPST_NGA</v>
      </c>
    </row>
    <row r="425" spans="1:6" x14ac:dyDescent="0.25">
      <c r="A425" t="str">
        <f>setrules!D476&amp;IF(setrules!E476="","",",-"&amp;setrules!E476)</f>
        <v/>
      </c>
      <c r="B425" t="str">
        <f>setrules!F476&amp;IF(setrules!G476="","",",-"&amp;setrules!G476)&amp;IF(setrules!P476="","",",-"&amp;setrules!P476)</f>
        <v>ICTEFACDST</v>
      </c>
      <c r="C425" t="str">
        <f>setrules!H476&amp;IF(setrules!I476="","",",-"&amp;setrules!I476)</f>
        <v/>
      </c>
      <c r="D425" t="str">
        <f>setrules!J476&amp;IF(setrules!K476="","",",-"&amp;setrules!K476)</f>
        <v/>
      </c>
      <c r="E425" t="str">
        <f>setrules!L476&amp;IF(setrules!M476="","",",-"&amp;setrules!M476)</f>
        <v/>
      </c>
      <c r="F425" t="str">
        <f>setrules!B476</f>
        <v>ICTFA_DST</v>
      </c>
    </row>
    <row r="426" spans="1:6" x14ac:dyDescent="0.25">
      <c r="A426" t="str">
        <f>setrules!D477&amp;IF(setrules!E477="","",",-"&amp;setrules!E477)</f>
        <v/>
      </c>
      <c r="B426" t="str">
        <f>setrules!F477&amp;IF(setrules!G477="","",",-"&amp;setrules!G477)&amp;IF(setrules!P477="","",",-"&amp;setrules!P477)</f>
        <v>ICTEFACELC</v>
      </c>
      <c r="C426" t="str">
        <f>setrules!H477&amp;IF(setrules!I477="","",",-"&amp;setrules!I477)</f>
        <v/>
      </c>
      <c r="D426" t="str">
        <f>setrules!J477&amp;IF(setrules!K477="","",",-"&amp;setrules!K477)</f>
        <v/>
      </c>
      <c r="E426" t="str">
        <f>setrules!L477&amp;IF(setrules!M477="","",",-"&amp;setrules!M477)</f>
        <v/>
      </c>
      <c r="F426" t="str">
        <f>setrules!B477</f>
        <v>ICTFA_ELC</v>
      </c>
    </row>
    <row r="427" spans="1:6" x14ac:dyDescent="0.25">
      <c r="A427" t="str">
        <f>setrules!D478&amp;IF(setrules!E478="","",",-"&amp;setrules!E478)</f>
        <v/>
      </c>
      <c r="B427" t="str">
        <f>setrules!F478&amp;IF(setrules!G478="","",",-"&amp;setrules!G478)&amp;IF(setrules!P478="","",",-"&amp;setrules!P478)</f>
        <v>ICTEFACNGA</v>
      </c>
      <c r="C427" t="str">
        <f>setrules!H478&amp;IF(setrules!I478="","",",-"&amp;setrules!I478)</f>
        <v/>
      </c>
      <c r="D427" t="str">
        <f>setrules!J478&amp;IF(setrules!K478="","",",-"&amp;setrules!K478)</f>
        <v/>
      </c>
      <c r="E427" t="str">
        <f>setrules!L478&amp;IF(setrules!M478="","",",-"&amp;setrules!M478)</f>
        <v/>
      </c>
      <c r="F427" t="str">
        <f>setrules!B478</f>
        <v>ICTFA_NGA</v>
      </c>
    </row>
    <row r="428" spans="1:6" x14ac:dyDescent="0.25">
      <c r="A428" t="str">
        <f>setrules!D479&amp;IF(setrules!E479="","",",-"&amp;setrules!E479)</f>
        <v/>
      </c>
      <c r="B428" t="str">
        <f>setrules!F479&amp;IF(setrules!G479="","",",-"&amp;setrules!G479)&amp;IF(setrules!P479="","",",-"&amp;setrules!P479)</f>
        <v>ICTEFED*</v>
      </c>
      <c r="C428" t="str">
        <f>setrules!H479&amp;IF(setrules!I479="","",",-"&amp;setrules!I479)</f>
        <v/>
      </c>
      <c r="D428" t="str">
        <f>setrules!J479&amp;IF(setrules!K479="","",",-"&amp;setrules!K479)</f>
        <v/>
      </c>
      <c r="E428" t="str">
        <f>setrules!L479&amp;IF(setrules!M479="","",",-"&amp;setrules!M479)</f>
        <v/>
      </c>
      <c r="F428" t="str">
        <f>setrules!B479</f>
        <v>ICTFS_ALL</v>
      </c>
    </row>
    <row r="429" spans="1:6" x14ac:dyDescent="0.25">
      <c r="A429" t="str">
        <f>setrules!D480&amp;IF(setrules!E480="","",",-"&amp;setrules!E480)</f>
        <v/>
      </c>
      <c r="B429" t="str">
        <f>setrules!F480&amp;IF(setrules!G480="","",",-"&amp;setrules!G480)&amp;IF(setrules!P480="","",",-"&amp;setrules!P480)</f>
        <v>ICTEFEDBIO</v>
      </c>
      <c r="C429" t="str">
        <f>setrules!H480&amp;IF(setrules!I480="","",",-"&amp;setrules!I480)</f>
        <v/>
      </c>
      <c r="D429" t="str">
        <f>setrules!J480&amp;IF(setrules!K480="","",",-"&amp;setrules!K480)</f>
        <v/>
      </c>
      <c r="E429" t="str">
        <f>setrules!L480&amp;IF(setrules!M480="","",",-"&amp;setrules!M480)</f>
        <v/>
      </c>
      <c r="F429" t="str">
        <f>setrules!B480</f>
        <v>ICTFS_BIO</v>
      </c>
    </row>
    <row r="430" spans="1:6" x14ac:dyDescent="0.25">
      <c r="A430" t="str">
        <f>setrules!D481&amp;IF(setrules!E481="","",",-"&amp;setrules!E481)</f>
        <v/>
      </c>
      <c r="B430" t="str">
        <f>setrules!F481&amp;IF(setrules!G481="","",",-"&amp;setrules!G481)&amp;IF(setrules!P481="","",",-"&amp;setrules!P481)</f>
        <v>ICTEFEDNGA</v>
      </c>
      <c r="C430" t="str">
        <f>setrules!H481&amp;IF(setrules!I481="","",",-"&amp;setrules!I481)</f>
        <v/>
      </c>
      <c r="D430" t="str">
        <f>setrules!J481&amp;IF(setrules!K481="","",",-"&amp;setrules!K481)</f>
        <v/>
      </c>
      <c r="E430" t="str">
        <f>setrules!L481&amp;IF(setrules!M481="","",",-"&amp;setrules!M481)</f>
        <v/>
      </c>
      <c r="F430" t="str">
        <f>setrules!B481</f>
        <v>ICTFS_NGA</v>
      </c>
    </row>
    <row r="431" spans="1:6" x14ac:dyDescent="0.25">
      <c r="A431" t="str">
        <f>setrules!D482&amp;IF(setrules!E482="","",",-"&amp;setrules!E482)</f>
        <v/>
      </c>
      <c r="B431" t="str">
        <f>setrules!F482&amp;IF(setrules!G482="","",",-"&amp;setrules!G482)&amp;IF(setrules!P482="","",",-"&amp;setrules!P482)</f>
        <v>ICIEFED*</v>
      </c>
      <c r="C431" t="str">
        <f>setrules!H482&amp;IF(setrules!I482="","",",-"&amp;setrules!I482)</f>
        <v/>
      </c>
      <c r="D431" t="str">
        <f>setrules!J482&amp;IF(setrules!K482="","",",-"&amp;setrules!K482)</f>
        <v/>
      </c>
      <c r="E431" t="str">
        <f>setrules!L482&amp;IF(setrules!M482="","",",-"&amp;setrules!M482)</f>
        <v/>
      </c>
      <c r="F431" t="str">
        <f>setrules!B482</f>
        <v>ICIFS_ALL</v>
      </c>
    </row>
    <row r="432" spans="1:6" x14ac:dyDescent="0.25">
      <c r="A432" t="str">
        <f>setrules!D483&amp;IF(setrules!E483="","",",-"&amp;setrules!E483)</f>
        <v/>
      </c>
      <c r="B432" t="str">
        <f>setrules!F483&amp;IF(setrules!G483="","",",-"&amp;setrules!G483)&amp;IF(setrules!P483="","",",-"&amp;setrules!P483)</f>
        <v>ICB*RFL*</v>
      </c>
      <c r="C432" t="str">
        <f>setrules!H483&amp;IF(setrules!I483="","",",-"&amp;setrules!I483)</f>
        <v/>
      </c>
      <c r="D432" t="str">
        <f>setrules!J483&amp;IF(setrules!K483="","",",-"&amp;setrules!K483)</f>
        <v/>
      </c>
      <c r="E432" t="str">
        <f>setrules!L483&amp;IF(setrules!M483="","",",-"&amp;setrules!M483)</f>
        <v/>
      </c>
      <c r="F432" t="str">
        <f>setrules!B483</f>
        <v>ICS_RFL</v>
      </c>
    </row>
    <row r="433" spans="1:6" x14ac:dyDescent="0.25">
      <c r="A433" t="str">
        <f>setrules!D484&amp;IF(setrules!E484="","",",-"&amp;setrules!E484)</f>
        <v/>
      </c>
      <c r="B433" t="str">
        <f>setrules!F484&amp;IF(setrules!G484="","",",-"&amp;setrules!G484)&amp;IF(setrules!P484="","",",-"&amp;setrules!P484)</f>
        <v>ICPEPRHELC</v>
      </c>
      <c r="C433" t="str">
        <f>setrules!H484&amp;IF(setrules!I484="","",",-"&amp;setrules!I484)</f>
        <v/>
      </c>
      <c r="D433" t="str">
        <f>setrules!J484&amp;IF(setrules!K484="","",",-"&amp;setrules!K484)</f>
        <v/>
      </c>
      <c r="E433" t="str">
        <f>setrules!L484&amp;IF(setrules!M484="","",",-"&amp;setrules!M484)</f>
        <v/>
      </c>
      <c r="F433" t="str">
        <f>setrules!B484</f>
        <v>ICPPH_ELC</v>
      </c>
    </row>
    <row r="434" spans="1:6" x14ac:dyDescent="0.25">
      <c r="A434" t="str">
        <f>setrules!D485&amp;IF(setrules!E485="","",",-"&amp;setrules!E485)</f>
        <v/>
      </c>
      <c r="B434" t="str">
        <f>setrules!F485&amp;IF(setrules!G485="","",",-"&amp;setrules!G485)&amp;IF(setrules!P485="","",",-"&amp;setrules!P485)</f>
        <v>ICPEMDRELC</v>
      </c>
      <c r="C434" t="str">
        <f>setrules!H485&amp;IF(setrules!I485="","",",-"&amp;setrules!I485)</f>
        <v/>
      </c>
      <c r="D434" t="str">
        <f>setrules!J485&amp;IF(setrules!K485="","",",-"&amp;setrules!K485)</f>
        <v/>
      </c>
      <c r="E434" t="str">
        <f>setrules!L485&amp;IF(setrules!M485="","",",-"&amp;setrules!M485)</f>
        <v/>
      </c>
      <c r="F434" t="str">
        <f>setrules!B485</f>
        <v>ICPMD_ELC</v>
      </c>
    </row>
    <row r="435" spans="1:6" x14ac:dyDescent="0.25">
      <c r="A435" t="str">
        <f>setrules!D486&amp;IF(setrules!E486="","",",-"&amp;setrules!E486)</f>
        <v/>
      </c>
      <c r="B435" t="str">
        <f>setrules!F486&amp;IF(setrules!G486="","",",-"&amp;setrules!G486)&amp;IF(setrules!P486="","",",-"&amp;setrules!P486)</f>
        <v>ICPEMDRNGA</v>
      </c>
      <c r="C435" t="str">
        <f>setrules!H486&amp;IF(setrules!I486="","",",-"&amp;setrules!I486)</f>
        <v/>
      </c>
      <c r="D435" t="str">
        <f>setrules!J486&amp;IF(setrules!K486="","",",-"&amp;setrules!K486)</f>
        <v/>
      </c>
      <c r="E435" t="str">
        <f>setrules!L486&amp;IF(setrules!M486="","",",-"&amp;setrules!M486)</f>
        <v/>
      </c>
      <c r="F435" t="str">
        <f>setrules!B486</f>
        <v>ICPMD_NGA</v>
      </c>
    </row>
    <row r="436" spans="1:6" x14ac:dyDescent="0.25">
      <c r="A436" t="str">
        <f>setrules!D487&amp;IF(setrules!E487="","",",-"&amp;setrules!E487)</f>
        <v/>
      </c>
      <c r="B436" t="str">
        <f>setrules!F487&amp;IF(setrules!G487="","",",-"&amp;setrules!G487)&amp;IF(setrules!P487="","",",-"&amp;setrules!P487)</f>
        <v>ICP*B*BIO,ICP*B*WOD,ICP*B*WOD,ICP*B*TOM,ICPEOHT*,ICPOHTOSTM,-ICP*BST*</v>
      </c>
      <c r="C436" t="str">
        <f>setrules!H487&amp;IF(setrules!I487="","",",-"&amp;setrules!I487)</f>
        <v/>
      </c>
      <c r="D436" t="str">
        <f>setrules!J487&amp;IF(setrules!K487="","",",-"&amp;setrules!K487)</f>
        <v/>
      </c>
      <c r="E436" t="str">
        <f>setrules!L487&amp;IF(setrules!M487="","",",-"&amp;setrules!M487)</f>
        <v/>
      </c>
      <c r="F436" t="str">
        <f>setrules!B487</f>
        <v>ICPOH_ALL</v>
      </c>
    </row>
    <row r="437" spans="1:6" x14ac:dyDescent="0.25">
      <c r="A437" t="str">
        <f>setrules!D488&amp;IF(setrules!E488="","",",-"&amp;setrules!E488)</f>
        <v/>
      </c>
      <c r="B437" t="str">
        <f>setrules!F488&amp;IF(setrules!G488="","",",-"&amp;setrules!G488)&amp;IF(setrules!P488="","",",-"&amp;setrules!P488)</f>
        <v>ICPEOHTDST</v>
      </c>
      <c r="C437" t="str">
        <f>setrules!H488&amp;IF(setrules!I488="","",",-"&amp;setrules!I488)</f>
        <v/>
      </c>
      <c r="D437" t="str">
        <f>setrules!J488&amp;IF(setrules!K488="","",",-"&amp;setrules!K488)</f>
        <v/>
      </c>
      <c r="E437" t="str">
        <f>setrules!L488&amp;IF(setrules!M488="","",",-"&amp;setrules!M488)</f>
        <v/>
      </c>
      <c r="F437" t="str">
        <f>setrules!B488</f>
        <v>ICPOH_DST</v>
      </c>
    </row>
    <row r="438" spans="1:6" x14ac:dyDescent="0.25">
      <c r="A438" t="str">
        <f>setrules!D489&amp;IF(setrules!E489="","",",-"&amp;setrules!E489)</f>
        <v/>
      </c>
      <c r="B438" t="str">
        <f>setrules!F489&amp;IF(setrules!G489="","",",-"&amp;setrules!G489)&amp;IF(setrules!P489="","",",-"&amp;setrules!P489)</f>
        <v>ICPEOHTELC</v>
      </c>
      <c r="C438" t="str">
        <f>setrules!H489&amp;IF(setrules!I489="","",",-"&amp;setrules!I489)</f>
        <v/>
      </c>
      <c r="D438" t="str">
        <f>setrules!J489&amp;IF(setrules!K489="","",",-"&amp;setrules!K489)</f>
        <v/>
      </c>
      <c r="E438" t="str">
        <f>setrules!L489&amp;IF(setrules!M489="","",",-"&amp;setrules!M489)</f>
        <v/>
      </c>
      <c r="F438" t="str">
        <f>setrules!B489</f>
        <v>ICPOH_ELC</v>
      </c>
    </row>
    <row r="439" spans="1:6" x14ac:dyDescent="0.25">
      <c r="A439" t="str">
        <f>setrules!D490&amp;IF(setrules!E490="","",",-"&amp;setrules!E490)</f>
        <v/>
      </c>
      <c r="B439" t="str">
        <f>setrules!F490&amp;IF(setrules!G490="","",",-"&amp;setrules!G490)&amp;IF(setrules!P490="","",",-"&amp;setrules!P490)</f>
        <v>ICPNREGNGA</v>
      </c>
      <c r="C439" t="str">
        <f>setrules!H490&amp;IF(setrules!I490="","",",-"&amp;setrules!I490)</f>
        <v/>
      </c>
      <c r="D439" t="str">
        <f>setrules!J490&amp;IF(setrules!K490="","",",-"&amp;setrules!K490)</f>
        <v/>
      </c>
      <c r="E439" t="str">
        <f>setrules!L490&amp;IF(setrules!M490="","",",-"&amp;setrules!M490)</f>
        <v/>
      </c>
      <c r="F439" t="str">
        <f>setrules!B490</f>
        <v>ICPOH_NGA</v>
      </c>
    </row>
    <row r="440" spans="1:6" x14ac:dyDescent="0.25">
      <c r="A440" t="str">
        <f>setrules!D491&amp;IF(setrules!E491="","",",-"&amp;setrules!E491)</f>
        <v/>
      </c>
      <c r="B440" t="str">
        <f>setrules!F491&amp;IF(setrules!G491="","",",-"&amp;setrules!G491)&amp;IF(setrules!P491="","",",-"&amp;setrules!P491)</f>
        <v>ICPEOHTOTP</v>
      </c>
      <c r="C440" t="str">
        <f>setrules!H491&amp;IF(setrules!I491="","",",-"&amp;setrules!I491)</f>
        <v/>
      </c>
      <c r="D440" t="str">
        <f>setrules!J491&amp;IF(setrules!K491="","",",-"&amp;setrules!K491)</f>
        <v/>
      </c>
      <c r="E440" t="str">
        <f>setrules!L491&amp;IF(setrules!M491="","",",-"&amp;setrules!M491)</f>
        <v/>
      </c>
      <c r="F440" t="str">
        <f>setrules!B491</f>
        <v>ICPOH_OTP</v>
      </c>
    </row>
    <row r="441" spans="1:6" x14ac:dyDescent="0.25">
      <c r="A441" t="str">
        <f>setrules!D492&amp;IF(setrules!E492="","",",-"&amp;setrules!E492)</f>
        <v/>
      </c>
      <c r="B441" t="str">
        <f>setrules!F492&amp;IF(setrules!G492="","",",-"&amp;setrules!G492)&amp;IF(setrules!P492="","",",-"&amp;setrules!P492)</f>
        <v>ICB*</v>
      </c>
      <c r="C441" t="str">
        <f>setrules!H492&amp;IF(setrules!I492="","",",-"&amp;setrules!I492)</f>
        <v/>
      </c>
      <c r="D441" t="str">
        <f>setrules!J492&amp;IF(setrules!K492="","",",-"&amp;setrules!K492)</f>
        <v/>
      </c>
      <c r="E441" t="str">
        <f>setrules!L492&amp;IF(setrules!M492="","",",-"&amp;setrules!M492)</f>
        <v/>
      </c>
      <c r="F441" t="str">
        <f>setrules!B492</f>
        <v>ICS_ALL</v>
      </c>
    </row>
    <row r="442" spans="1:6" x14ac:dyDescent="0.25">
      <c r="A442" t="str">
        <f>setrules!D493&amp;IF(setrules!E493="","",",-"&amp;setrules!E493)</f>
        <v/>
      </c>
      <c r="B442" t="str">
        <f>setrules!F493&amp;IF(setrules!G493="","",",-"&amp;setrules!G493)&amp;IF(setrules!P493="","",",-"&amp;setrules!P493)</f>
        <v>ICPEPRH*</v>
      </c>
      <c r="C442" t="str">
        <f>setrules!H493&amp;IF(setrules!I493="","",",-"&amp;setrules!I493)</f>
        <v/>
      </c>
      <c r="D442" t="str">
        <f>setrules!J493&amp;IF(setrules!K493="","",",-"&amp;setrules!K493)</f>
        <v/>
      </c>
      <c r="E442" t="str">
        <f>setrules!L493&amp;IF(setrules!M493="","",",-"&amp;setrules!M493)</f>
        <v/>
      </c>
      <c r="F442" t="str">
        <f>setrules!B493</f>
        <v>ICPPH_ALL</v>
      </c>
    </row>
    <row r="443" spans="1:6" x14ac:dyDescent="0.25">
      <c r="A443" t="str">
        <f>setrules!D494&amp;IF(setrules!E494="","",",-"&amp;setrules!E494)</f>
        <v/>
      </c>
      <c r="B443" t="str">
        <f>setrules!F494&amp;IF(setrules!G494="","",",-"&amp;setrules!G494)&amp;IF(setrules!P494="","",",-"&amp;setrules!P494)</f>
        <v>ICPE*RFL,-,-ICPEOHTRFL,-</v>
      </c>
      <c r="C443" t="str">
        <f>setrules!H494&amp;IF(setrules!I494="","",",-"&amp;setrules!I494)</f>
        <v/>
      </c>
      <c r="D443" t="str">
        <f>setrules!J494&amp;IF(setrules!K494="","",",-"&amp;setrules!K494)</f>
        <v/>
      </c>
      <c r="E443" t="str">
        <f>setrules!L494&amp;IF(setrules!M494="","",",-"&amp;setrules!M494)</f>
        <v/>
      </c>
      <c r="F443" t="str">
        <f>setrules!B494</f>
        <v>ICPST_RFL</v>
      </c>
    </row>
    <row r="444" spans="1:6" x14ac:dyDescent="0.25">
      <c r="A444" t="str">
        <f>setrules!D495&amp;IF(setrules!E495="","",",-"&amp;setrules!E495)</f>
        <v/>
      </c>
      <c r="B444" t="str">
        <f>setrules!F495&amp;IF(setrules!G495="","",",-"&amp;setrules!G495)&amp;IF(setrules!P495="","",",-"&amp;setrules!P495)</f>
        <v>ICPEPRHNGA</v>
      </c>
      <c r="C444" t="str">
        <f>setrules!H495&amp;IF(setrules!I495="","",",-"&amp;setrules!I495)</f>
        <v/>
      </c>
      <c r="D444" t="str">
        <f>setrules!J495&amp;IF(setrules!K495="","",",-"&amp;setrules!K495)</f>
        <v/>
      </c>
      <c r="E444" t="str">
        <f>setrules!L495&amp;IF(setrules!M495="","",",-"&amp;setrules!M495)</f>
        <v/>
      </c>
      <c r="F444" t="str">
        <f>setrules!B495</f>
        <v>ICPPH_NGA</v>
      </c>
    </row>
    <row r="445" spans="1:6" x14ac:dyDescent="0.25">
      <c r="A445" t="str">
        <f>setrules!D496&amp;IF(setrules!E496="","",",-"&amp;setrules!E496)</f>
        <v/>
      </c>
      <c r="B445" t="str">
        <f>setrules!F496&amp;IF(setrules!G496="","",",-"&amp;setrules!G496)&amp;IF(setrules!P496="","",",-"&amp;setrules!P496)</f>
        <v>ICP*B*,ICPBOLFSTM,-ICP*B*BIO,-ICP*B*WOD,-ICP*B*TOM,-ICP*BST*,-ICP*BSA*</v>
      </c>
      <c r="C445" t="str">
        <f>setrules!H496&amp;IF(setrules!I496="","",",-"&amp;setrules!I496)</f>
        <v/>
      </c>
      <c r="D445" t="str">
        <f>setrules!J496&amp;IF(setrules!K496="","",",-"&amp;setrules!K496)</f>
        <v/>
      </c>
      <c r="E445" t="str">
        <f>setrules!L496&amp;IF(setrules!M496="","",",-"&amp;setrules!M496)</f>
        <v/>
      </c>
      <c r="F445" t="str">
        <f>setrules!B496</f>
        <v>ICPST_ALL</v>
      </c>
    </row>
    <row r="446" spans="1:6" x14ac:dyDescent="0.25">
      <c r="A446" t="str">
        <f>setrules!D497&amp;IF(setrules!E497="","",",-"&amp;setrules!E497)</f>
        <v/>
      </c>
      <c r="B446" t="str">
        <f>setrules!F497&amp;IF(setrules!G497="","",",-"&amp;setrules!G497)&amp;IF(setrules!P497="","",",-"&amp;setrules!P497)</f>
        <v>ICPBOLFSTM</v>
      </c>
      <c r="C446" t="str">
        <f>setrules!H497&amp;IF(setrules!I497="","",",-"&amp;setrules!I497)</f>
        <v/>
      </c>
      <c r="D446" t="str">
        <f>setrules!J497&amp;IF(setrules!K497="","",",-"&amp;setrules!K497)</f>
        <v/>
      </c>
      <c r="E446" t="str">
        <f>setrules!L497&amp;IF(setrules!M497="","",",-"&amp;setrules!M497)</f>
        <v/>
      </c>
      <c r="F446" t="str">
        <f>setrules!B497</f>
        <v>ICPST_CHP</v>
      </c>
    </row>
    <row r="447" spans="1:6" x14ac:dyDescent="0.25">
      <c r="A447" t="str">
        <f>setrules!D498&amp;IF(setrules!E498="","",",-"&amp;setrules!E498)</f>
        <v/>
      </c>
      <c r="B447" t="str">
        <f>setrules!F498&amp;IF(setrules!G498="","",",-"&amp;setrules!G498)&amp;IF(setrules!P498="","",",-"&amp;setrules!P498)</f>
        <v>ICP*COA</v>
      </c>
      <c r="C447" t="str">
        <f>setrules!H498&amp;IF(setrules!I498="","",",-"&amp;setrules!I498)</f>
        <v/>
      </c>
      <c r="D447" t="str">
        <f>setrules!J498&amp;IF(setrules!K498="","",",-"&amp;setrules!K498)</f>
        <v/>
      </c>
      <c r="E447" t="str">
        <f>setrules!L498&amp;IF(setrules!M498="","",",-"&amp;setrules!M498)</f>
        <v/>
      </c>
      <c r="F447" t="str">
        <f>setrules!B498</f>
        <v>ICPST_COA</v>
      </c>
    </row>
    <row r="448" spans="1:6" x14ac:dyDescent="0.25">
      <c r="A448" t="str">
        <f>setrules!D499&amp;IF(setrules!E499="","",",-"&amp;setrules!E499)</f>
        <v/>
      </c>
      <c r="B448" t="str">
        <f>setrules!F499&amp;IF(setrules!G499="","",",-"&amp;setrules!G499)&amp;IF(setrules!P499="","",",-"&amp;setrules!P499)</f>
        <v>ICP*B*ELC,-ICP*BSTELC,-ICP*BSAELC</v>
      </c>
      <c r="C448" t="str">
        <f>setrules!H499&amp;IF(setrules!I499="","",",-"&amp;setrules!I499)</f>
        <v/>
      </c>
      <c r="D448" t="str">
        <f>setrules!J499&amp;IF(setrules!K499="","",",-"&amp;setrules!K499)</f>
        <v/>
      </c>
      <c r="E448" t="str">
        <f>setrules!L499&amp;IF(setrules!M499="","",",-"&amp;setrules!M499)</f>
        <v/>
      </c>
      <c r="F448" t="str">
        <f>setrules!B499</f>
        <v>ICPST_ELC</v>
      </c>
    </row>
    <row r="449" spans="1:6" x14ac:dyDescent="0.25">
      <c r="A449" t="str">
        <f>setrules!D500&amp;IF(setrules!E500="","",",-"&amp;setrules!E500)</f>
        <v/>
      </c>
      <c r="B449" t="str">
        <f>setrules!F500&amp;IF(setrules!G500="","",",-"&amp;setrules!G500)&amp;IF(setrules!P500="","",",-"&amp;setrules!P500)</f>
        <v>ICP*B*LPG,-ICP*BSTLPG,-ICP*BSALPG</v>
      </c>
      <c r="C449" t="str">
        <f>setrules!H500&amp;IF(setrules!I500="","",",-"&amp;setrules!I500)</f>
        <v/>
      </c>
      <c r="D449" t="str">
        <f>setrules!J500&amp;IF(setrules!K500="","",",-"&amp;setrules!K500)</f>
        <v/>
      </c>
      <c r="E449" t="str">
        <f>setrules!L500&amp;IF(setrules!M500="","",",-"&amp;setrules!M500)</f>
        <v/>
      </c>
      <c r="F449" t="str">
        <f>setrules!B500</f>
        <v>ICPST_LPG</v>
      </c>
    </row>
    <row r="450" spans="1:6" x14ac:dyDescent="0.25">
      <c r="A450" t="str">
        <f>setrules!D501&amp;IF(setrules!E501="","",",-"&amp;setrules!E501)</f>
        <v/>
      </c>
      <c r="B450" t="str">
        <f>setrules!F501&amp;IF(setrules!G501="","",",-"&amp;setrules!G501)&amp;IF(setrules!P501="","",",-"&amp;setrules!P501)</f>
        <v>ICTEFEDRFL</v>
      </c>
      <c r="C450" t="str">
        <f>setrules!H501&amp;IF(setrules!I501="","",",-"&amp;setrules!I501)</f>
        <v/>
      </c>
      <c r="D450" t="str">
        <f>setrules!J501&amp;IF(setrules!K501="","",",-"&amp;setrules!K501)</f>
        <v/>
      </c>
      <c r="E450" t="str">
        <f>setrules!L501&amp;IF(setrules!M501="","",",-"&amp;setrules!M501)</f>
        <v/>
      </c>
      <c r="F450" t="str">
        <f>setrules!B501</f>
        <v>ICTFS_RFL</v>
      </c>
    </row>
    <row r="451" spans="1:6" x14ac:dyDescent="0.25">
      <c r="A451" t="str">
        <f>setrules!D502&amp;IF(setrules!E502="","",",-"&amp;setrules!E502)</f>
        <v/>
      </c>
      <c r="B451" t="str">
        <f>setrules!F502&amp;IF(setrules!G502="","",",-"&amp;setrules!G502)&amp;IF(setrules!P502="","",",-"&amp;setrules!P502)</f>
        <v>ICPEOHTRFL</v>
      </c>
      <c r="C451" t="str">
        <f>setrules!H502&amp;IF(setrules!I502="","",",-"&amp;setrules!I502)</f>
        <v/>
      </c>
      <c r="D451" t="str">
        <f>setrules!J502&amp;IF(setrules!K502="","",",-"&amp;setrules!K502)</f>
        <v/>
      </c>
      <c r="E451" t="str">
        <f>setrules!L502&amp;IF(setrules!M502="","",",-"&amp;setrules!M502)</f>
        <v/>
      </c>
      <c r="F451" t="str">
        <f>setrules!B502</f>
        <v>ICPOH_RFL</v>
      </c>
    </row>
    <row r="452" spans="1:6" x14ac:dyDescent="0.25">
      <c r="A452" t="str">
        <f>setrules!D503&amp;IF(setrules!E503="","",",-"&amp;setrules!E503)</f>
        <v/>
      </c>
      <c r="B452" t="str">
        <f>setrules!F503&amp;IF(setrules!G503="","",",-"&amp;setrules!G503)&amp;IF(setrules!P503="","",",-"&amp;setrules!P503)</f>
        <v>IMSEFEDBIO</v>
      </c>
      <c r="C452" t="str">
        <f>setrules!H503&amp;IF(setrules!I503="","",",-"&amp;setrules!I503)</f>
        <v/>
      </c>
      <c r="D452" t="str">
        <f>setrules!J503&amp;IF(setrules!K503="","",",-"&amp;setrules!K503)</f>
        <v/>
      </c>
      <c r="E452" t="str">
        <f>setrules!L503&amp;IF(setrules!M503="","",",-"&amp;setrules!M503)</f>
        <v/>
      </c>
      <c r="F452" t="str">
        <f>setrules!B503</f>
        <v>IMSFS_BIO</v>
      </c>
    </row>
    <row r="453" spans="1:6" x14ac:dyDescent="0.25">
      <c r="A453" t="str">
        <f>setrules!D504&amp;IF(setrules!E504="","",",-"&amp;setrules!E504)</f>
        <v/>
      </c>
      <c r="B453" t="str">
        <f>setrules!F504&amp;IF(setrules!G504="","",",-"&amp;setrules!G504)&amp;IF(setrules!P504="","",",-"&amp;setrules!P504)</f>
        <v>ICT*DST,-,-ICTEFACDST,-ICTEMDRDST,-ICTEPRHDST,-</v>
      </c>
      <c r="C453" t="str">
        <f>setrules!H504&amp;IF(setrules!I504="","",",-"&amp;setrules!I504)</f>
        <v/>
      </c>
      <c r="D453" t="str">
        <f>setrules!J504&amp;IF(setrules!K504="","",",-"&amp;setrules!K504)</f>
        <v/>
      </c>
      <c r="E453" t="str">
        <f>setrules!L504&amp;IF(setrules!M504="","",",-"&amp;setrules!M504)</f>
        <v/>
      </c>
      <c r="F453" t="str">
        <f>setrules!B504</f>
        <v>ICTST_DST</v>
      </c>
    </row>
    <row r="454" spans="1:6" x14ac:dyDescent="0.25">
      <c r="A454" t="str">
        <f>setrules!D505&amp;IF(setrules!E505="","",",-"&amp;setrules!E505)</f>
        <v/>
      </c>
      <c r="B454" t="str">
        <f>setrules!F505&amp;IF(setrules!G505="","",",-"&amp;setrules!G505)&amp;IF(setrules!P505="","",",-"&amp;setrules!P505)</f>
        <v>ICT*B*ELC</v>
      </c>
      <c r="C454" t="str">
        <f>setrules!H505&amp;IF(setrules!I505="","",",-"&amp;setrules!I505)</f>
        <v/>
      </c>
      <c r="D454" t="str">
        <f>setrules!J505&amp;IF(setrules!K505="","",",-"&amp;setrules!K505)</f>
        <v/>
      </c>
      <c r="E454" t="str">
        <f>setrules!L505&amp;IF(setrules!M505="","",",-"&amp;setrules!M505)</f>
        <v/>
      </c>
      <c r="F454" t="str">
        <f>setrules!B505</f>
        <v>ICTST_ELC</v>
      </c>
    </row>
    <row r="455" spans="1:6" x14ac:dyDescent="0.25">
      <c r="A455" t="str">
        <f>setrules!D506&amp;IF(setrules!E506="","",",-"&amp;setrules!E506)</f>
        <v/>
      </c>
      <c r="B455" t="str">
        <f>setrules!F506&amp;IF(setrules!G506="","",",-"&amp;setrules!G506)&amp;IF(setrules!P506="","",",-"&amp;setrules!P506)</f>
        <v>ICT*NGA,-,-ICTEFACNGA,-ICTEFEDNGA,-ICTEMDRNGA,-ICTEPRHNGA,-ICTNREGNGA,-</v>
      </c>
      <c r="C455" t="str">
        <f>setrules!H506&amp;IF(setrules!I506="","",",-"&amp;setrules!I506)</f>
        <v/>
      </c>
      <c r="D455" t="str">
        <f>setrules!J506&amp;IF(setrules!K506="","",",-"&amp;setrules!K506)</f>
        <v/>
      </c>
      <c r="E455" t="str">
        <f>setrules!L506&amp;IF(setrules!M506="","",",-"&amp;setrules!M506)</f>
        <v/>
      </c>
      <c r="F455" t="str">
        <f>setrules!B506</f>
        <v>ICTST_NGA</v>
      </c>
    </row>
    <row r="456" spans="1:6" x14ac:dyDescent="0.25">
      <c r="A456" t="str">
        <f>setrules!D507&amp;IF(setrules!E507="","",",-"&amp;setrules!E507)</f>
        <v/>
      </c>
      <c r="B456" t="str">
        <f>setrules!F507&amp;IF(setrules!G507="","",",-"&amp;setrules!G507)&amp;IF(setrules!P507="","",",-"&amp;setrules!P507)</f>
        <v>ICT*RFL,-,-ICTEFEDRFL,-ICTEPRHRFL,-</v>
      </c>
      <c r="C456" t="str">
        <f>setrules!H507&amp;IF(setrules!I507="","",",-"&amp;setrules!I507)</f>
        <v/>
      </c>
      <c r="D456" t="str">
        <f>setrules!J507&amp;IF(setrules!K507="","",",-"&amp;setrules!K507)</f>
        <v/>
      </c>
      <c r="E456" t="str">
        <f>setrules!L507&amp;IF(setrules!M507="","",",-"&amp;setrules!M507)</f>
        <v/>
      </c>
      <c r="F456" t="str">
        <f>setrules!B507</f>
        <v>ICTST_RFL</v>
      </c>
    </row>
    <row r="457" spans="1:6" x14ac:dyDescent="0.25">
      <c r="A457" t="str">
        <f>setrules!D508&amp;IF(setrules!E508="","",",-"&amp;setrules!E508)</f>
        <v/>
      </c>
      <c r="B457" t="str">
        <f>setrules!F508&amp;IF(setrules!G508="","",",-"&amp;setrules!G508)&amp;IF(setrules!P508="","",",-"&amp;setrules!P508)</f>
        <v>IFD*</v>
      </c>
      <c r="C457" t="str">
        <f>setrules!H508&amp;IF(setrules!I508="","",",-"&amp;setrules!I508)</f>
        <v/>
      </c>
      <c r="D457" t="str">
        <f>setrules!J508&amp;IF(setrules!K508="","",",-"&amp;setrules!K508)</f>
        <v/>
      </c>
      <c r="E457" t="str">
        <f>setrules!L508&amp;IF(setrules!M508="","",",-"&amp;setrules!M508)</f>
        <v/>
      </c>
      <c r="F457" t="str">
        <f>setrules!B508</f>
        <v>IFD EXISTING</v>
      </c>
    </row>
    <row r="458" spans="1:6" x14ac:dyDescent="0.25">
      <c r="A458" t="str">
        <f>setrules!D509&amp;IF(setrules!E509="","",",-"&amp;setrules!E509)</f>
        <v/>
      </c>
      <c r="B458" t="str">
        <f>setrules!F509&amp;IF(setrules!G509="","",",-"&amp;setrules!G509)&amp;IF(setrules!P509="","",",-"&amp;setrules!P509)</f>
        <v>IFDEFAC*</v>
      </c>
      <c r="C458" t="str">
        <f>setrules!H509&amp;IF(setrules!I509="","",",-"&amp;setrules!I509)</f>
        <v/>
      </c>
      <c r="D458" t="str">
        <f>setrules!J509&amp;IF(setrules!K509="","",",-"&amp;setrules!K509)</f>
        <v/>
      </c>
      <c r="E458" t="str">
        <f>setrules!L509&amp;IF(setrules!M509="","",",-"&amp;setrules!M509)</f>
        <v/>
      </c>
      <c r="F458" t="str">
        <f>setrules!B509</f>
        <v>IFDFA_ALL</v>
      </c>
    </row>
    <row r="459" spans="1:6" x14ac:dyDescent="0.25">
      <c r="A459" t="str">
        <f>setrules!D510&amp;IF(setrules!E510="","",",-"&amp;setrules!E510)</f>
        <v/>
      </c>
      <c r="B459" t="str">
        <f>setrules!F510&amp;IF(setrules!G510="","",",-"&amp;setrules!G510)&amp;IF(setrules!P510="","",",-"&amp;setrules!P510)</f>
        <v>ICTEFEDOTP</v>
      </c>
      <c r="C459" t="str">
        <f>setrules!H510&amp;IF(setrules!I510="","",",-"&amp;setrules!I510)</f>
        <v/>
      </c>
      <c r="D459" t="str">
        <f>setrules!J510&amp;IF(setrules!K510="","",",-"&amp;setrules!K510)</f>
        <v/>
      </c>
      <c r="E459" t="str">
        <f>setrules!L510&amp;IF(setrules!M510="","",",-"&amp;setrules!M510)</f>
        <v/>
      </c>
      <c r="F459" t="str">
        <f>setrules!B510</f>
        <v>ICTFS_OTP</v>
      </c>
    </row>
    <row r="460" spans="1:6" x14ac:dyDescent="0.25">
      <c r="A460" t="str">
        <f>setrules!D511&amp;IF(setrules!E511="","",",-"&amp;setrules!E511)</f>
        <v/>
      </c>
      <c r="B460" t="str">
        <f>setrules!F511&amp;IF(setrules!G511="","",",-"&amp;setrules!G511)&amp;IF(setrules!P511="","",",-"&amp;setrules!P511)</f>
        <v>IFDEFACDST</v>
      </c>
      <c r="C460" t="str">
        <f>setrules!H511&amp;IF(setrules!I511="","",",-"&amp;setrules!I511)</f>
        <v/>
      </c>
      <c r="D460" t="str">
        <f>setrules!J511&amp;IF(setrules!K511="","",",-"&amp;setrules!K511)</f>
        <v/>
      </c>
      <c r="E460" t="str">
        <f>setrules!L511&amp;IF(setrules!M511="","",",-"&amp;setrules!M511)</f>
        <v/>
      </c>
      <c r="F460" t="str">
        <f>setrules!B511</f>
        <v>IFDFA_DST</v>
      </c>
    </row>
    <row r="461" spans="1:6" x14ac:dyDescent="0.25">
      <c r="A461" t="str">
        <f>setrules!D512&amp;IF(setrules!E512="","",",-"&amp;setrules!E512)</f>
        <v/>
      </c>
      <c r="B461" t="str">
        <f>setrules!F512&amp;IF(setrules!G512="","",",-"&amp;setrules!G512)&amp;IF(setrules!P512="","",",-"&amp;setrules!P512)</f>
        <v>ICT*B*,-ICT*B*BIO,-ICT*B*WOD,-ICT*B*TOM,-ICT*BST*,-ICT*BSA*</v>
      </c>
      <c r="C461" t="str">
        <f>setrules!H512&amp;IF(setrules!I512="","",",-"&amp;setrules!I512)</f>
        <v/>
      </c>
      <c r="D461" t="str">
        <f>setrules!J512&amp;IF(setrules!K512="","",",-"&amp;setrules!K512)</f>
        <v/>
      </c>
      <c r="E461" t="str">
        <f>setrules!L512&amp;IF(setrules!M512="","",",-"&amp;setrules!M512)</f>
        <v/>
      </c>
      <c r="F461" t="str">
        <f>setrules!B512</f>
        <v>ICTST_ALL</v>
      </c>
    </row>
    <row r="462" spans="1:6" x14ac:dyDescent="0.25">
      <c r="A462" t="str">
        <f>setrules!D513&amp;IF(setrules!E513="","",",-"&amp;setrules!E513)</f>
        <v/>
      </c>
      <c r="B462" t="str">
        <f>setrules!F513&amp;IF(setrules!G513="","",",-"&amp;setrules!G513)&amp;IF(setrules!P513="","",",-"&amp;setrules!P513)</f>
        <v>IFDEFACLPG</v>
      </c>
      <c r="C462" t="str">
        <f>setrules!H513&amp;IF(setrules!I513="","",",-"&amp;setrules!I513)</f>
        <v/>
      </c>
      <c r="D462" t="str">
        <f>setrules!J513&amp;IF(setrules!K513="","",",-"&amp;setrules!K513)</f>
        <v/>
      </c>
      <c r="E462" t="str">
        <f>setrules!L513&amp;IF(setrules!M513="","",",-"&amp;setrules!M513)</f>
        <v/>
      </c>
      <c r="F462" t="str">
        <f>setrules!B513</f>
        <v>IFDFA_LPG</v>
      </c>
    </row>
    <row r="463" spans="1:6" x14ac:dyDescent="0.25">
      <c r="A463" t="str">
        <f>setrules!D514&amp;IF(setrules!E514="","",",-"&amp;setrules!E514)</f>
        <v/>
      </c>
      <c r="B463" t="str">
        <f>setrules!F514&amp;IF(setrules!G514="","",",-"&amp;setrules!G514)&amp;IF(setrules!P514="","",",-"&amp;setrules!P514)</f>
        <v>IFDEFACNGA</v>
      </c>
      <c r="C463" t="str">
        <f>setrules!H514&amp;IF(setrules!I514="","",",-"&amp;setrules!I514)</f>
        <v/>
      </c>
      <c r="D463" t="str">
        <f>setrules!J514&amp;IF(setrules!K514="","",",-"&amp;setrules!K514)</f>
        <v/>
      </c>
      <c r="E463" t="str">
        <f>setrules!L514&amp;IF(setrules!M514="","",",-"&amp;setrules!M514)</f>
        <v/>
      </c>
      <c r="F463" t="str">
        <f>setrules!B514</f>
        <v>IFDFA_NGA</v>
      </c>
    </row>
    <row r="464" spans="1:6" x14ac:dyDescent="0.25">
      <c r="A464" t="str">
        <f>setrules!D515&amp;IF(setrules!E515="","",",-"&amp;setrules!E515)</f>
        <v/>
      </c>
      <c r="B464" t="str">
        <f>setrules!F515&amp;IF(setrules!G515="","",",-"&amp;setrules!G515)&amp;IF(setrules!P515="","",",-"&amp;setrules!P515)</f>
        <v>IFDEFED*</v>
      </c>
      <c r="C464" t="str">
        <f>setrules!H515&amp;IF(setrules!I515="","",",-"&amp;setrules!I515)</f>
        <v/>
      </c>
      <c r="D464" t="str">
        <f>setrules!J515&amp;IF(setrules!K515="","",",-"&amp;setrules!K515)</f>
        <v/>
      </c>
      <c r="E464" t="str">
        <f>setrules!L515&amp;IF(setrules!M515="","",",-"&amp;setrules!M515)</f>
        <v/>
      </c>
      <c r="F464" t="str">
        <f>setrules!B515</f>
        <v>IFDFS_ALL</v>
      </c>
    </row>
    <row r="465" spans="1:6" x14ac:dyDescent="0.25">
      <c r="A465" t="str">
        <f>setrules!D516&amp;IF(setrules!E516="","",",-"&amp;setrules!E516)</f>
        <v/>
      </c>
      <c r="B465" t="str">
        <f>setrules!F516&amp;IF(setrules!G516="","",",-"&amp;setrules!G516)&amp;IF(setrules!P516="","",",-"&amp;setrules!P516)</f>
        <v>IFDEFEDBIO</v>
      </c>
      <c r="C465" t="str">
        <f>setrules!H516&amp;IF(setrules!I516="","",",-"&amp;setrules!I516)</f>
        <v/>
      </c>
      <c r="D465" t="str">
        <f>setrules!J516&amp;IF(setrules!K516="","",",-"&amp;setrules!K516)</f>
        <v/>
      </c>
      <c r="E465" t="str">
        <f>setrules!L516&amp;IF(setrules!M516="","",",-"&amp;setrules!M516)</f>
        <v/>
      </c>
      <c r="F465" t="str">
        <f>setrules!B516</f>
        <v>IFDFS_BIO</v>
      </c>
    </row>
    <row r="466" spans="1:6" x14ac:dyDescent="0.25">
      <c r="A466" t="str">
        <f>setrules!D517&amp;IF(setrules!E517="","",",-"&amp;setrules!E517)</f>
        <v/>
      </c>
      <c r="B466" t="str">
        <f>setrules!F517&amp;IF(setrules!G517="","",",-"&amp;setrules!G517)&amp;IF(setrules!P517="","",",-"&amp;setrules!P517)</f>
        <v>IFDEFEDLPG</v>
      </c>
      <c r="C466" t="str">
        <f>setrules!H517&amp;IF(setrules!I517="","",",-"&amp;setrules!I517)</f>
        <v/>
      </c>
      <c r="D466" t="str">
        <f>setrules!J517&amp;IF(setrules!K517="","",",-"&amp;setrules!K517)</f>
        <v/>
      </c>
      <c r="E466" t="str">
        <f>setrules!L517&amp;IF(setrules!M517="","",",-"&amp;setrules!M517)</f>
        <v/>
      </c>
      <c r="F466" t="str">
        <f>setrules!B517</f>
        <v>IFDFS_LPG</v>
      </c>
    </row>
    <row r="467" spans="1:6" x14ac:dyDescent="0.25">
      <c r="A467" t="str">
        <f>setrules!D518&amp;IF(setrules!E518="","",",-"&amp;setrules!E518)</f>
        <v/>
      </c>
      <c r="B467" t="str">
        <f>setrules!F518&amp;IF(setrules!G518="","",",-"&amp;setrules!G518)&amp;IF(setrules!P518="","",",-"&amp;setrules!P518)</f>
        <v>IFDEFEDNGA</v>
      </c>
      <c r="C467" t="str">
        <f>setrules!H518&amp;IF(setrules!I518="","",",-"&amp;setrules!I518)</f>
        <v/>
      </c>
      <c r="D467" t="str">
        <f>setrules!J518&amp;IF(setrules!K518="","",",-"&amp;setrules!K518)</f>
        <v/>
      </c>
      <c r="E467" t="str">
        <f>setrules!L518&amp;IF(setrules!M518="","",",-"&amp;setrules!M518)</f>
        <v/>
      </c>
      <c r="F467" t="str">
        <f>setrules!B518</f>
        <v>IFDFS_NGA</v>
      </c>
    </row>
    <row r="468" spans="1:6" x14ac:dyDescent="0.25">
      <c r="A468" t="str">
        <f>setrules!D519&amp;IF(setrules!E519="","",",-"&amp;setrules!E519)</f>
        <v/>
      </c>
      <c r="B468" t="str">
        <f>setrules!F519&amp;IF(setrules!G519="","",",-"&amp;setrules!G519)&amp;IF(setrules!P519="","",",-"&amp;setrules!P519)</f>
        <v>IFDEMDR*</v>
      </c>
      <c r="C468" t="str">
        <f>setrules!H519&amp;IF(setrules!I519="","",",-"&amp;setrules!I519)</f>
        <v/>
      </c>
      <c r="D468" t="str">
        <f>setrules!J519&amp;IF(setrules!K519="","",",-"&amp;setrules!K519)</f>
        <v/>
      </c>
      <c r="E468" t="str">
        <f>setrules!L519&amp;IF(setrules!M519="","",",-"&amp;setrules!M519)</f>
        <v/>
      </c>
      <c r="F468" t="str">
        <f>setrules!B519</f>
        <v>IFDMD_ALL</v>
      </c>
    </row>
    <row r="469" spans="1:6" x14ac:dyDescent="0.25">
      <c r="A469" t="str">
        <f>setrules!D520&amp;IF(setrules!E520="","",",-"&amp;setrules!E520)</f>
        <v/>
      </c>
      <c r="B469" t="str">
        <f>setrules!F520&amp;IF(setrules!G520="","",",-"&amp;setrules!G520)&amp;IF(setrules!P520="","",",-"&amp;setrules!P520)</f>
        <v>IMS*B*,-IMS*B*BIO,-IMS*B*WOD,-IMS*B*TOM,-IMS*BST*,-IMS*BSA*</v>
      </c>
      <c r="C469" t="str">
        <f>setrules!H520&amp;IF(setrules!I520="","",",-"&amp;setrules!I520)</f>
        <v/>
      </c>
      <c r="D469" t="str">
        <f>setrules!J520&amp;IF(setrules!K520="","",",-"&amp;setrules!K520)</f>
        <v/>
      </c>
      <c r="E469" t="str">
        <f>setrules!L520&amp;IF(setrules!M520="","",",-"&amp;setrules!M520)</f>
        <v/>
      </c>
      <c r="F469" t="str">
        <f>setrules!B520</f>
        <v>IMSST_ALL</v>
      </c>
    </row>
    <row r="470" spans="1:6" x14ac:dyDescent="0.25">
      <c r="A470" t="str">
        <f>setrules!D521&amp;IF(setrules!E521="","",",-"&amp;setrules!E521)</f>
        <v/>
      </c>
      <c r="B470" t="str">
        <f>setrules!F521&amp;IF(setrules!G521="","",",-"&amp;setrules!G521)&amp;IF(setrules!P521="","",",-"&amp;setrules!P521)</f>
        <v>ICTEOHTOTP</v>
      </c>
      <c r="C470" t="str">
        <f>setrules!H521&amp;IF(setrules!I521="","",",-"&amp;setrules!I521)</f>
        <v/>
      </c>
      <c r="D470" t="str">
        <f>setrules!J521&amp;IF(setrules!K521="","",",-"&amp;setrules!K521)</f>
        <v/>
      </c>
      <c r="E470" t="str">
        <f>setrules!L521&amp;IF(setrules!M521="","",",-"&amp;setrules!M521)</f>
        <v/>
      </c>
      <c r="F470" t="str">
        <f>setrules!B521</f>
        <v>ICTOH_OTP</v>
      </c>
    </row>
    <row r="471" spans="1:6" x14ac:dyDescent="0.25">
      <c r="A471" t="str">
        <f>setrules!D522&amp;IF(setrules!E522="","",",-"&amp;setrules!E522)</f>
        <v/>
      </c>
      <c r="B471" t="str">
        <f>setrules!F522&amp;IF(setrules!G522="","",",-"&amp;setrules!G522)&amp;IF(setrules!P522="","",",-"&amp;setrules!P522)</f>
        <v>ICTEMDR*</v>
      </c>
      <c r="C471" t="str">
        <f>setrules!H522&amp;IF(setrules!I522="","",",-"&amp;setrules!I522)</f>
        <v/>
      </c>
      <c r="D471" t="str">
        <f>setrules!J522&amp;IF(setrules!K522="","",",-"&amp;setrules!K522)</f>
        <v/>
      </c>
      <c r="E471" t="str">
        <f>setrules!L522&amp;IF(setrules!M522="","",",-"&amp;setrules!M522)</f>
        <v/>
      </c>
      <c r="F471" t="str">
        <f>setrules!B522</f>
        <v>ICTMD_ALL</v>
      </c>
    </row>
    <row r="472" spans="1:6" x14ac:dyDescent="0.25">
      <c r="A472" t="str">
        <f>setrules!D523&amp;IF(setrules!E523="","",",-"&amp;setrules!E523)</f>
        <v/>
      </c>
      <c r="B472" t="str">
        <f>setrules!F523&amp;IF(setrules!G523="","",",-"&amp;setrules!G523)&amp;IF(setrules!P523="","",",-"&amp;setrules!P523)</f>
        <v>ICTEMDRDST</v>
      </c>
      <c r="C472" t="str">
        <f>setrules!H523&amp;IF(setrules!I523="","",",-"&amp;setrules!I523)</f>
        <v/>
      </c>
      <c r="D472" t="str">
        <f>setrules!J523&amp;IF(setrules!K523="","",",-"&amp;setrules!K523)</f>
        <v/>
      </c>
      <c r="E472" t="str">
        <f>setrules!L523&amp;IF(setrules!M523="","",",-"&amp;setrules!M523)</f>
        <v/>
      </c>
      <c r="F472" t="str">
        <f>setrules!B523</f>
        <v>ICTMD_DST</v>
      </c>
    </row>
    <row r="473" spans="1:6" x14ac:dyDescent="0.25">
      <c r="A473" t="str">
        <f>setrules!D524&amp;IF(setrules!E524="","",",-"&amp;setrules!E524)</f>
        <v/>
      </c>
      <c r="B473" t="str">
        <f>setrules!F524&amp;IF(setrules!G524="","",",-"&amp;setrules!G524)&amp;IF(setrules!P524="","",",-"&amp;setrules!P524)</f>
        <v>ICTEMDRELC</v>
      </c>
      <c r="C473" t="str">
        <f>setrules!H524&amp;IF(setrules!I524="","",",-"&amp;setrules!I524)</f>
        <v/>
      </c>
      <c r="D473" t="str">
        <f>setrules!J524&amp;IF(setrules!K524="","",",-"&amp;setrules!K524)</f>
        <v/>
      </c>
      <c r="E473" t="str">
        <f>setrules!L524&amp;IF(setrules!M524="","",",-"&amp;setrules!M524)</f>
        <v/>
      </c>
      <c r="F473" t="str">
        <f>setrules!B524</f>
        <v>ICTMD_ELC</v>
      </c>
    </row>
    <row r="474" spans="1:6" x14ac:dyDescent="0.25">
      <c r="A474" t="str">
        <f>setrules!D525&amp;IF(setrules!E525="","",",-"&amp;setrules!E525)</f>
        <v/>
      </c>
      <c r="B474" t="str">
        <f>setrules!F525&amp;IF(setrules!G525="","",",-"&amp;setrules!G525)&amp;IF(setrules!P525="","",",-"&amp;setrules!P525)</f>
        <v>ICTEMDRNGA</v>
      </c>
      <c r="C474" t="str">
        <f>setrules!H525&amp;IF(setrules!I525="","",",-"&amp;setrules!I525)</f>
        <v/>
      </c>
      <c r="D474" t="str">
        <f>setrules!J525&amp;IF(setrules!K525="","",",-"&amp;setrules!K525)</f>
        <v/>
      </c>
      <c r="E474" t="str">
        <f>setrules!L525&amp;IF(setrules!M525="","",",-"&amp;setrules!M525)</f>
        <v/>
      </c>
      <c r="F474" t="str">
        <f>setrules!B525</f>
        <v>ICTMD_NGA</v>
      </c>
    </row>
    <row r="475" spans="1:6" x14ac:dyDescent="0.25">
      <c r="A475" t="str">
        <f>setrules!D526&amp;IF(setrules!E526="","",",-"&amp;setrules!E526)</f>
        <v/>
      </c>
      <c r="B475" t="str">
        <f>setrules!F526&amp;IF(setrules!G526="","",",-"&amp;setrules!G526)&amp;IF(setrules!P526="","",",-"&amp;setrules!P526)</f>
        <v>ICT*B*BIO,ICT*B*WOD,ICT*B*TOM,ICTEOHT*,ICTOHTOSTM,-ICT*BST*</v>
      </c>
      <c r="C475" t="str">
        <f>setrules!H526&amp;IF(setrules!I526="","",",-"&amp;setrules!I526)</f>
        <v/>
      </c>
      <c r="D475" t="str">
        <f>setrules!J526&amp;IF(setrules!K526="","",",-"&amp;setrules!K526)</f>
        <v/>
      </c>
      <c r="E475" t="str">
        <f>setrules!L526&amp;IF(setrules!M526="","",",-"&amp;setrules!M526)</f>
        <v/>
      </c>
      <c r="F475" t="str">
        <f>setrules!B526</f>
        <v>ICTOH_ALL</v>
      </c>
    </row>
    <row r="476" spans="1:6" x14ac:dyDescent="0.25">
      <c r="A476" t="str">
        <f>setrules!D527&amp;IF(setrules!E527="","",",-"&amp;setrules!E527)</f>
        <v/>
      </c>
      <c r="B476" t="str">
        <f>setrules!F527&amp;IF(setrules!G527="","",",-"&amp;setrules!G527)&amp;IF(setrules!P527="","",",-"&amp;setrules!P527)</f>
        <v>ICT*BIO,-,-ICTEFEDBIO,-</v>
      </c>
      <c r="C476" t="str">
        <f>setrules!H527&amp;IF(setrules!I527="","",",-"&amp;setrules!I527)</f>
        <v/>
      </c>
      <c r="D476" t="str">
        <f>setrules!J527&amp;IF(setrules!K527="","",",-"&amp;setrules!K527)</f>
        <v/>
      </c>
      <c r="E476" t="str">
        <f>setrules!L527&amp;IF(setrules!M527="","",",-"&amp;setrules!M527)</f>
        <v/>
      </c>
      <c r="F476" t="str">
        <f>setrules!B527</f>
        <v>ICTOH_BIO</v>
      </c>
    </row>
    <row r="477" spans="1:6" x14ac:dyDescent="0.25">
      <c r="A477" t="str">
        <f>setrules!D528&amp;IF(setrules!E528="","",",-"&amp;setrules!E528)</f>
        <v/>
      </c>
      <c r="B477" t="str">
        <f>setrules!F528&amp;IF(setrules!G528="","",",-"&amp;setrules!G528)&amp;IF(setrules!P528="","",",-"&amp;setrules!P528)</f>
        <v>ICTOHTOSTM</v>
      </c>
      <c r="C477" t="str">
        <f>setrules!H528&amp;IF(setrules!I528="","",",-"&amp;setrules!I528)</f>
        <v/>
      </c>
      <c r="D477" t="str">
        <f>setrules!J528&amp;IF(setrules!K528="","",",-"&amp;setrules!K528)</f>
        <v/>
      </c>
      <c r="E477" t="str">
        <f>setrules!L528&amp;IF(setrules!M528="","",",-"&amp;setrules!M528)</f>
        <v/>
      </c>
      <c r="F477" t="str">
        <f>setrules!B528</f>
        <v>ICTOH_CHP</v>
      </c>
    </row>
    <row r="478" spans="1:6" x14ac:dyDescent="0.25">
      <c r="A478" t="str">
        <f>setrules!D529&amp;IF(setrules!E529="","",",-"&amp;setrules!E529)</f>
        <v/>
      </c>
      <c r="B478" t="str">
        <f>setrules!F529&amp;IF(setrules!G529="","",",-"&amp;setrules!G529)&amp;IF(setrules!P529="","",",-"&amp;setrules!P529)</f>
        <v>ICT*COA,-,-ICTEFACCOA,-</v>
      </c>
      <c r="C478" t="str">
        <f>setrules!H529&amp;IF(setrules!I529="","",",-"&amp;setrules!I529)</f>
        <v/>
      </c>
      <c r="D478" t="str">
        <f>setrules!J529&amp;IF(setrules!K529="","",",-"&amp;setrules!K529)</f>
        <v/>
      </c>
      <c r="E478" t="str">
        <f>setrules!L529&amp;IF(setrules!M529="","",",-"&amp;setrules!M529)</f>
        <v/>
      </c>
      <c r="F478" t="str">
        <f>setrules!B529</f>
        <v>ICTST_COA</v>
      </c>
    </row>
    <row r="479" spans="1:6" x14ac:dyDescent="0.25">
      <c r="A479" t="str">
        <f>setrules!D530&amp;IF(setrules!E530="","",",-"&amp;setrules!E530)</f>
        <v/>
      </c>
      <c r="B479" t="str">
        <f>setrules!F530&amp;IF(setrules!G530="","",",-"&amp;setrules!G530)&amp;IF(setrules!P530="","",",-"&amp;setrules!P530)</f>
        <v>ICTNREGNGA</v>
      </c>
      <c r="C479" t="str">
        <f>setrules!H530&amp;IF(setrules!I530="","",",-"&amp;setrules!I530)</f>
        <v/>
      </c>
      <c r="D479" t="str">
        <f>setrules!J530&amp;IF(setrules!K530="","",",-"&amp;setrules!K530)</f>
        <v/>
      </c>
      <c r="E479" t="str">
        <f>setrules!L530&amp;IF(setrules!M530="","",",-"&amp;setrules!M530)</f>
        <v/>
      </c>
      <c r="F479" t="str">
        <f>setrules!B530</f>
        <v>ICTOH_NGA</v>
      </c>
    </row>
    <row r="480" spans="1:6" x14ac:dyDescent="0.25">
      <c r="A480" t="str">
        <f>setrules!D531&amp;IF(setrules!E531="","",",-"&amp;setrules!E531)</f>
        <v/>
      </c>
      <c r="B480" t="str">
        <f>setrules!F531&amp;IF(setrules!G531="","",",-"&amp;setrules!G531)&amp;IF(setrules!P531="","",",-"&amp;setrules!P531)</f>
        <v>ICTBOLFSTM</v>
      </c>
      <c r="C480" t="str">
        <f>setrules!H531&amp;IF(setrules!I531="","",",-"&amp;setrules!I531)</f>
        <v/>
      </c>
      <c r="D480" t="str">
        <f>setrules!J531&amp;IF(setrules!K531="","",",-"&amp;setrules!K531)</f>
        <v/>
      </c>
      <c r="E480" t="str">
        <f>setrules!L531&amp;IF(setrules!M531="","",",-"&amp;setrules!M531)</f>
        <v/>
      </c>
      <c r="F480" t="str">
        <f>setrules!B531</f>
        <v>ICTST_CHP</v>
      </c>
    </row>
    <row r="481" spans="1:6" x14ac:dyDescent="0.25">
      <c r="A481" t="str">
        <f>setrules!D532&amp;IF(setrules!E532="","",",-"&amp;setrules!E532)</f>
        <v/>
      </c>
      <c r="B481" t="str">
        <f>setrules!F532&amp;IF(setrules!G532="","",",-"&amp;setrules!G532)&amp;IF(setrules!P532="","",",-"&amp;setrules!P532)</f>
        <v>ICTEOHTPTC</v>
      </c>
      <c r="C481" t="str">
        <f>setrules!H532&amp;IF(setrules!I532="","",",-"&amp;setrules!I532)</f>
        <v/>
      </c>
      <c r="D481" t="str">
        <f>setrules!J532&amp;IF(setrules!K532="","",",-"&amp;setrules!K532)</f>
        <v/>
      </c>
      <c r="E481" t="str">
        <f>setrules!L532&amp;IF(setrules!M532="","",",-"&amp;setrules!M532)</f>
        <v/>
      </c>
      <c r="F481" t="str">
        <f>setrules!B532</f>
        <v>ICTOH_PTC</v>
      </c>
    </row>
    <row r="482" spans="1:6" x14ac:dyDescent="0.25">
      <c r="A482" t="str">
        <f>setrules!D533&amp;IF(setrules!E533="","",",-"&amp;setrules!E533)</f>
        <v/>
      </c>
      <c r="B482" t="str">
        <f>setrules!F533&amp;IF(setrules!G533="","",",-"&amp;setrules!G533)&amp;IF(setrules!P533="","",",-"&amp;setrules!P533)</f>
        <v>ICTEPRH*</v>
      </c>
      <c r="C482" t="str">
        <f>setrules!H533&amp;IF(setrules!I533="","",",-"&amp;setrules!I533)</f>
        <v/>
      </c>
      <c r="D482" t="str">
        <f>setrules!J533&amp;IF(setrules!K533="","",",-"&amp;setrules!K533)</f>
        <v/>
      </c>
      <c r="E482" t="str">
        <f>setrules!L533&amp;IF(setrules!M533="","",",-"&amp;setrules!M533)</f>
        <v/>
      </c>
      <c r="F482" t="str">
        <f>setrules!B533</f>
        <v>ICTPH_ALL</v>
      </c>
    </row>
    <row r="483" spans="1:6" x14ac:dyDescent="0.25">
      <c r="A483" t="str">
        <f>setrules!D534&amp;IF(setrules!E534="","",",-"&amp;setrules!E534)</f>
        <v/>
      </c>
      <c r="B483" t="str">
        <f>setrules!F534&amp;IF(setrules!G534="","",",-"&amp;setrules!G534)&amp;IF(setrules!P534="","",",-"&amp;setrules!P534)</f>
        <v>ICTEPRHDST</v>
      </c>
      <c r="C483" t="str">
        <f>setrules!H534&amp;IF(setrules!I534="","",",-"&amp;setrules!I534)</f>
        <v/>
      </c>
      <c r="D483" t="str">
        <f>setrules!J534&amp;IF(setrules!K534="","",",-"&amp;setrules!K534)</f>
        <v/>
      </c>
      <c r="E483" t="str">
        <f>setrules!L534&amp;IF(setrules!M534="","",",-"&amp;setrules!M534)</f>
        <v/>
      </c>
      <c r="F483" t="str">
        <f>setrules!B534</f>
        <v>ICTPH_DST</v>
      </c>
    </row>
    <row r="484" spans="1:6" x14ac:dyDescent="0.25">
      <c r="A484" t="str">
        <f>setrules!D535&amp;IF(setrules!E535="","",",-"&amp;setrules!E535)</f>
        <v/>
      </c>
      <c r="B484" t="str">
        <f>setrules!F535&amp;IF(setrules!G535="","",",-"&amp;setrules!G535)&amp;IF(setrules!P535="","",",-"&amp;setrules!P535)</f>
        <v>ICTEPRHELC</v>
      </c>
      <c r="C484" t="str">
        <f>setrules!H535&amp;IF(setrules!I535="","",",-"&amp;setrules!I535)</f>
        <v/>
      </c>
      <c r="D484" t="str">
        <f>setrules!J535&amp;IF(setrules!K535="","",",-"&amp;setrules!K535)</f>
        <v/>
      </c>
      <c r="E484" t="str">
        <f>setrules!L535&amp;IF(setrules!M535="","",",-"&amp;setrules!M535)</f>
        <v/>
      </c>
      <c r="F484" t="str">
        <f>setrules!B535</f>
        <v>ICTPH_ELC</v>
      </c>
    </row>
    <row r="485" spans="1:6" x14ac:dyDescent="0.25">
      <c r="A485" t="str">
        <f>setrules!D536&amp;IF(setrules!E536="","",",-"&amp;setrules!E536)</f>
        <v/>
      </c>
      <c r="B485" t="str">
        <f>setrules!F536&amp;IF(setrules!G536="","",",-"&amp;setrules!G536)&amp;IF(setrules!P536="","",",-"&amp;setrules!P536)</f>
        <v>ICTEPRHNGA</v>
      </c>
      <c r="C485" t="str">
        <f>setrules!H536&amp;IF(setrules!I536="","",",-"&amp;setrules!I536)</f>
        <v/>
      </c>
      <c r="D485" t="str">
        <f>setrules!J536&amp;IF(setrules!K536="","",",-"&amp;setrules!K536)</f>
        <v/>
      </c>
      <c r="E485" t="str">
        <f>setrules!L536&amp;IF(setrules!M536="","",",-"&amp;setrules!M536)</f>
        <v/>
      </c>
      <c r="F485" t="str">
        <f>setrules!B536</f>
        <v>ICTPH_NGA</v>
      </c>
    </row>
    <row r="486" spans="1:6" x14ac:dyDescent="0.25">
      <c r="A486" t="str">
        <f>setrules!D537&amp;IF(setrules!E537="","",",-"&amp;setrules!E537)</f>
        <v/>
      </c>
      <c r="B486" t="str">
        <f>setrules!F537&amp;IF(setrules!G537="","",",-"&amp;setrules!G537)&amp;IF(setrules!P537="","",",-"&amp;setrules!P537)</f>
        <v>ICTEPRHRFL</v>
      </c>
      <c r="C486" t="str">
        <f>setrules!H537&amp;IF(setrules!I537="","",",-"&amp;setrules!I537)</f>
        <v/>
      </c>
      <c r="D486" t="str">
        <f>setrules!J537&amp;IF(setrules!K537="","",",-"&amp;setrules!K537)</f>
        <v/>
      </c>
      <c r="E486" t="str">
        <f>setrules!L537&amp;IF(setrules!M537="","",",-"&amp;setrules!M537)</f>
        <v/>
      </c>
      <c r="F486" t="str">
        <f>setrules!B537</f>
        <v>ICTPH_RFL</v>
      </c>
    </row>
    <row r="487" spans="1:6" x14ac:dyDescent="0.25">
      <c r="A487" t="str">
        <f>setrules!D538&amp;IF(setrules!E538="","",",-"&amp;setrules!E538)</f>
        <v/>
      </c>
      <c r="B487" t="str">
        <f>setrules!F538&amp;IF(setrules!G538="","",",-"&amp;setrules!G538)&amp;IF(setrules!P538="","",",-"&amp;setrules!P538)</f>
        <v>ICPEFEDNGA</v>
      </c>
      <c r="C487" t="str">
        <f>setrules!H538&amp;IF(setrules!I538="","",",-"&amp;setrules!I538)</f>
        <v/>
      </c>
      <c r="D487" t="str">
        <f>setrules!J538&amp;IF(setrules!K538="","",",-"&amp;setrules!K538)</f>
        <v/>
      </c>
      <c r="E487" t="str">
        <f>setrules!L538&amp;IF(setrules!M538="","",",-"&amp;setrules!M538)</f>
        <v/>
      </c>
      <c r="F487" t="str">
        <f>setrules!B538</f>
        <v>ICPFS_NGA</v>
      </c>
    </row>
    <row r="488" spans="1:6" x14ac:dyDescent="0.25">
      <c r="A488" t="str">
        <f>setrules!D539&amp;IF(setrules!E539="","",",-"&amp;setrules!E539)</f>
        <v/>
      </c>
      <c r="B488" t="str">
        <f>setrules!F539&amp;IF(setrules!G539="","",",-"&amp;setrules!G539)&amp;IF(setrules!P539="","",",-"&amp;setrules!P539)</f>
        <v>ICTEOHTELC</v>
      </c>
      <c r="C488" t="str">
        <f>setrules!H539&amp;IF(setrules!I539="","",",-"&amp;setrules!I539)</f>
        <v/>
      </c>
      <c r="D488" t="str">
        <f>setrules!J539&amp;IF(setrules!K539="","",",-"&amp;setrules!K539)</f>
        <v/>
      </c>
      <c r="E488" t="str">
        <f>setrules!L539&amp;IF(setrules!M539="","",",-"&amp;setrules!M539)</f>
        <v/>
      </c>
      <c r="F488" t="str">
        <f>setrules!B539</f>
        <v>ICTOH_ELC</v>
      </c>
    </row>
    <row r="489" spans="1:6" x14ac:dyDescent="0.25">
      <c r="A489" t="str">
        <f>setrules!D540&amp;IF(setrules!E540="","",",-"&amp;setrules!E540)</f>
        <v/>
      </c>
      <c r="B489" t="str">
        <f>setrules!F540&amp;IF(setrules!G540="","",",-"&amp;setrules!G540)&amp;IF(setrules!P540="","",",-"&amp;setrules!P540)</f>
        <v>ICOEFED*</v>
      </c>
      <c r="C489" t="str">
        <f>setrules!H540&amp;IF(setrules!I540="","",",-"&amp;setrules!I540)</f>
        <v/>
      </c>
      <c r="D489" t="str">
        <f>setrules!J540&amp;IF(setrules!K540="","",",-"&amp;setrules!K540)</f>
        <v/>
      </c>
      <c r="E489" t="str">
        <f>setrules!L540&amp;IF(setrules!M540="","",",-"&amp;setrules!M540)</f>
        <v/>
      </c>
      <c r="F489" t="str">
        <f>setrules!B540</f>
        <v>ICOFS_ALL</v>
      </c>
    </row>
    <row r="490" spans="1:6" x14ac:dyDescent="0.25">
      <c r="A490" t="str">
        <f>setrules!D541&amp;IF(setrules!E541="","",",-"&amp;setrules!E541)</f>
        <v/>
      </c>
      <c r="B490" t="str">
        <f>setrules!F541&amp;IF(setrules!G541="","",",-"&amp;setrules!G541)&amp;IF(setrules!P541="","",",-"&amp;setrules!P541)</f>
        <v>ICM*DST*</v>
      </c>
      <c r="C490" t="str">
        <f>setrules!H541&amp;IF(setrules!I541="","",",-"&amp;setrules!I541)</f>
        <v/>
      </c>
      <c r="D490" t="str">
        <f>setrules!J541&amp;IF(setrules!K541="","",",-"&amp;setrules!K541)</f>
        <v/>
      </c>
      <c r="E490" t="str">
        <f>setrules!L541&amp;IF(setrules!M541="","",",-"&amp;setrules!M541)</f>
        <v/>
      </c>
      <c r="F490" t="str">
        <f>setrules!B541</f>
        <v>ICM_DST</v>
      </c>
    </row>
    <row r="491" spans="1:6" x14ac:dyDescent="0.25">
      <c r="A491" t="str">
        <f>setrules!D542&amp;IF(setrules!E542="","",",-"&amp;setrules!E542)</f>
        <v/>
      </c>
      <c r="B491" t="str">
        <f>setrules!F542&amp;IF(setrules!G542="","",",-"&amp;setrules!G542)&amp;IF(setrules!P542="","",",-"&amp;setrules!P542)</f>
        <v>ICM*ELC*</v>
      </c>
      <c r="C491" t="str">
        <f>setrules!H542&amp;IF(setrules!I542="","",",-"&amp;setrules!I542)</f>
        <v/>
      </c>
      <c r="D491" t="str">
        <f>setrules!J542&amp;IF(setrules!K542="","",",-"&amp;setrules!K542)</f>
        <v/>
      </c>
      <c r="E491" t="str">
        <f>setrules!L542&amp;IF(setrules!M542="","",",-"&amp;setrules!M542)</f>
        <v/>
      </c>
      <c r="F491" t="str">
        <f>setrules!B542</f>
        <v>ICM_ELC</v>
      </c>
    </row>
    <row r="492" spans="1:6" x14ac:dyDescent="0.25">
      <c r="A492" t="str">
        <f>setrules!D543&amp;IF(setrules!E543="","",",-"&amp;setrules!E543)</f>
        <v/>
      </c>
      <c r="B492" t="str">
        <f>setrules!F543&amp;IF(setrules!G543="","",",-"&amp;setrules!G543)&amp;IF(setrules!P543="","",",-"&amp;setrules!P543)</f>
        <v>ICM*LPG*</v>
      </c>
      <c r="C492" t="str">
        <f>setrules!H543&amp;IF(setrules!I543="","",",-"&amp;setrules!I543)</f>
        <v/>
      </c>
      <c r="D492" t="str">
        <f>setrules!J543&amp;IF(setrules!K543="","",",-"&amp;setrules!K543)</f>
        <v/>
      </c>
      <c r="E492" t="str">
        <f>setrules!L543&amp;IF(setrules!M543="","",",-"&amp;setrules!M543)</f>
        <v/>
      </c>
      <c r="F492" t="str">
        <f>setrules!B543</f>
        <v>ICM_LPG</v>
      </c>
    </row>
    <row r="493" spans="1:6" x14ac:dyDescent="0.25">
      <c r="A493" t="str">
        <f>setrules!D544&amp;IF(setrules!E544="","",",-"&amp;setrules!E544)</f>
        <v/>
      </c>
      <c r="B493" t="str">
        <f>setrules!F544&amp;IF(setrules!G544="","",",-"&amp;setrules!G544)&amp;IF(setrules!P544="","",",-"&amp;setrules!P544)</f>
        <v>ICM*NGA*</v>
      </c>
      <c r="C493" t="str">
        <f>setrules!H544&amp;IF(setrules!I544="","",",-"&amp;setrules!I544)</f>
        <v>*CHP*</v>
      </c>
      <c r="D493" t="str">
        <f>setrules!J544&amp;IF(setrules!K544="","",",-"&amp;setrules!K544)</f>
        <v/>
      </c>
      <c r="E493" t="str">
        <f>setrules!L544&amp;IF(setrules!M544="","",",-"&amp;setrules!M544)</f>
        <v/>
      </c>
      <c r="F493" t="str">
        <f>setrules!B544</f>
        <v>ICM_NGA</v>
      </c>
    </row>
    <row r="494" spans="1:6" x14ac:dyDescent="0.25">
      <c r="A494" t="str">
        <f>setrules!D545&amp;IF(setrules!E545="","",",-"&amp;setrules!E545)</f>
        <v/>
      </c>
      <c r="B494" t="str">
        <f>setrules!F545&amp;IF(setrules!G545="","",",-"&amp;setrules!G545)&amp;IF(setrules!P545="","",",-"&amp;setrules!P545)</f>
        <v>ICO*RFL*</v>
      </c>
      <c r="C494" t="str">
        <f>setrules!H545&amp;IF(setrules!I545="","",",-"&amp;setrules!I545)</f>
        <v/>
      </c>
      <c r="D494" t="str">
        <f>setrules!J545&amp;IF(setrules!K545="","",",-"&amp;setrules!K545)</f>
        <v/>
      </c>
      <c r="E494" t="str">
        <f>setrules!L545&amp;IF(setrules!M545="","",",-"&amp;setrules!M545)</f>
        <v/>
      </c>
      <c r="F494" t="str">
        <f>setrules!B545</f>
        <v>ICO_RFL</v>
      </c>
    </row>
    <row r="495" spans="1:6" x14ac:dyDescent="0.25">
      <c r="A495" t="str">
        <f>setrules!D546&amp;IF(setrules!E546="","",",-"&amp;setrules!E546)</f>
        <v/>
      </c>
      <c r="B495" t="str">
        <f>setrules!F546&amp;IF(setrules!G546="","",",-"&amp;setrules!G546)&amp;IF(setrules!P546="","",",-"&amp;setrules!P546)</f>
        <v>ICOEFAC*</v>
      </c>
      <c r="C495" t="str">
        <f>setrules!H546&amp;IF(setrules!I546="","",",-"&amp;setrules!I546)</f>
        <v/>
      </c>
      <c r="D495" t="str">
        <f>setrules!J546&amp;IF(setrules!K546="","",",-"&amp;setrules!K546)</f>
        <v/>
      </c>
      <c r="E495" t="str">
        <f>setrules!L546&amp;IF(setrules!M546="","",",-"&amp;setrules!M546)</f>
        <v/>
      </c>
      <c r="F495" t="str">
        <f>setrules!B546</f>
        <v>ICOFA_ALL</v>
      </c>
    </row>
    <row r="496" spans="1:6" x14ac:dyDescent="0.25">
      <c r="A496" t="str">
        <f>setrules!D547&amp;IF(setrules!E547="","",",-"&amp;setrules!E547)</f>
        <v/>
      </c>
      <c r="B496" t="str">
        <f>setrules!F547&amp;IF(setrules!G547="","",",-"&amp;setrules!G547)&amp;IF(setrules!P547="","",",-"&amp;setrules!P547)</f>
        <v>ICPEMDR*</v>
      </c>
      <c r="C496" t="str">
        <f>setrules!H547&amp;IF(setrules!I547="","",",-"&amp;setrules!I547)</f>
        <v/>
      </c>
      <c r="D496" t="str">
        <f>setrules!J547&amp;IF(setrules!K547="","",",-"&amp;setrules!K547)</f>
        <v/>
      </c>
      <c r="E496" t="str">
        <f>setrules!L547&amp;IF(setrules!M547="","",",-"&amp;setrules!M547)</f>
        <v/>
      </c>
      <c r="F496" t="str">
        <f>setrules!B547</f>
        <v>ICPMD_ALL</v>
      </c>
    </row>
    <row r="497" spans="1:6" x14ac:dyDescent="0.25">
      <c r="A497" t="str">
        <f>setrules!D548&amp;IF(setrules!E548="","",",-"&amp;setrules!E548)</f>
        <v/>
      </c>
      <c r="B497" t="str">
        <f>setrules!F548&amp;IF(setrules!G548="","",",-"&amp;setrules!G548)&amp;IF(setrules!P548="","",",-"&amp;setrules!P548)</f>
        <v>ICOEFACNGA</v>
      </c>
      <c r="C497" t="str">
        <f>setrules!H548&amp;IF(setrules!I548="","",",-"&amp;setrules!I548)</f>
        <v/>
      </c>
      <c r="D497" t="str">
        <f>setrules!J548&amp;IF(setrules!K548="","",",-"&amp;setrules!K548)</f>
        <v/>
      </c>
      <c r="E497" t="str">
        <f>setrules!L548&amp;IF(setrules!M548="","",",-"&amp;setrules!M548)</f>
        <v/>
      </c>
      <c r="F497" t="str">
        <f>setrules!B548</f>
        <v>ICOFA_NGA</v>
      </c>
    </row>
    <row r="498" spans="1:6" x14ac:dyDescent="0.25">
      <c r="A498" t="str">
        <f>setrules!D549&amp;IF(setrules!E549="","",",-"&amp;setrules!E549)</f>
        <v/>
      </c>
      <c r="B498" t="str">
        <f>setrules!F549&amp;IF(setrules!G549="","",",-"&amp;setrules!G549)&amp;IF(setrules!P549="","",",-"&amp;setrules!P549)</f>
        <v>ICI*NGA,-ICI*BSANGA,-,-ICIEFACNGA,-ICIEFEDNGA,-ICIEMDRNGA,-ICIEPRHNGA,-</v>
      </c>
      <c r="C498" t="str">
        <f>setrules!H549&amp;IF(setrules!I549="","",",-"&amp;setrules!I549)</f>
        <v/>
      </c>
      <c r="D498" t="str">
        <f>setrules!J549&amp;IF(setrules!K549="","",",-"&amp;setrules!K549)</f>
        <v/>
      </c>
      <c r="E498" t="str">
        <f>setrules!L549&amp;IF(setrules!M549="","",",-"&amp;setrules!M549)</f>
        <v/>
      </c>
      <c r="F498" t="str">
        <f>setrules!B549</f>
        <v>ICIST_NGA</v>
      </c>
    </row>
    <row r="499" spans="1:6" x14ac:dyDescent="0.25">
      <c r="A499" t="str">
        <f>setrules!D550&amp;IF(setrules!E550="","",",-"&amp;setrules!E550)</f>
        <v/>
      </c>
      <c r="B499" t="str">
        <f>setrules!F550&amp;IF(setrules!G550="","",",-"&amp;setrules!G550)&amp;IF(setrules!P550="","",",-"&amp;setrules!P550)</f>
        <v>ICOEFEDLPG</v>
      </c>
      <c r="C499" t="str">
        <f>setrules!H550&amp;IF(setrules!I550="","",",-"&amp;setrules!I550)</f>
        <v/>
      </c>
      <c r="D499" t="str">
        <f>setrules!J550&amp;IF(setrules!K550="","",",-"&amp;setrules!K550)</f>
        <v/>
      </c>
      <c r="E499" t="str">
        <f>setrules!L550&amp;IF(setrules!M550="","",",-"&amp;setrules!M550)</f>
        <v/>
      </c>
      <c r="F499" t="str">
        <f>setrules!B550</f>
        <v>ICOFS_LPG</v>
      </c>
    </row>
    <row r="500" spans="1:6" x14ac:dyDescent="0.25">
      <c r="A500" t="str">
        <f>setrules!D551&amp;IF(setrules!E551="","",",-"&amp;setrules!E551)</f>
        <v/>
      </c>
      <c r="B500" t="str">
        <f>setrules!F551&amp;IF(setrules!G551="","",",-"&amp;setrules!G551)&amp;IF(setrules!P551="","",",-"&amp;setrules!P551)</f>
        <v>ICOEFEDNGA</v>
      </c>
      <c r="C500" t="str">
        <f>setrules!H551&amp;IF(setrules!I551="","",",-"&amp;setrules!I551)</f>
        <v/>
      </c>
      <c r="D500" t="str">
        <f>setrules!J551&amp;IF(setrules!K551="","",",-"&amp;setrules!K551)</f>
        <v/>
      </c>
      <c r="E500" t="str">
        <f>setrules!L551&amp;IF(setrules!M551="","",",-"&amp;setrules!M551)</f>
        <v/>
      </c>
      <c r="F500" t="str">
        <f>setrules!B551</f>
        <v>ICOFS_NGA</v>
      </c>
    </row>
    <row r="501" spans="1:6" x14ac:dyDescent="0.25">
      <c r="A501" t="str">
        <f>setrules!D552&amp;IF(setrules!E552="","",",-"&amp;setrules!E552)</f>
        <v/>
      </c>
      <c r="B501" t="str">
        <f>setrules!F552&amp;IF(setrules!G552="","",",-"&amp;setrules!G552)&amp;IF(setrules!P552="","",",-"&amp;setrules!P552)</f>
        <v>ICOEFEDPFS</v>
      </c>
      <c r="C501" t="str">
        <f>setrules!H552&amp;IF(setrules!I552="","",",-"&amp;setrules!I552)</f>
        <v/>
      </c>
      <c r="D501" t="str">
        <f>setrules!J552&amp;IF(setrules!K552="","",",-"&amp;setrules!K552)</f>
        <v/>
      </c>
      <c r="E501" t="str">
        <f>setrules!L552&amp;IF(setrules!M552="","",",-"&amp;setrules!M552)</f>
        <v/>
      </c>
      <c r="F501" t="str">
        <f>setrules!B552</f>
        <v>ICOFS_PFS</v>
      </c>
    </row>
    <row r="502" spans="1:6" x14ac:dyDescent="0.25">
      <c r="A502" t="str">
        <f>setrules!D553&amp;IF(setrules!E553="","",",-"&amp;setrules!E553)</f>
        <v/>
      </c>
      <c r="B502" t="str">
        <f>setrules!F553&amp;IF(setrules!G553="","",",-"&amp;setrules!G553)&amp;IF(setrules!P553="","",",-"&amp;setrules!P553)</f>
        <v>ICOH*</v>
      </c>
      <c r="C502" t="str">
        <f>setrules!H553&amp;IF(setrules!I553="","",",-"&amp;setrules!I553)</f>
        <v/>
      </c>
      <c r="D502" t="str">
        <f>setrules!J553&amp;IF(setrules!K553="","",",-"&amp;setrules!K553)</f>
        <v/>
      </c>
      <c r="E502" t="str">
        <f>setrules!L553&amp;IF(setrules!M553="","",",-"&amp;setrules!M553)</f>
        <v/>
      </c>
      <c r="F502" t="str">
        <f>setrules!B553</f>
        <v>ICOH_ALL</v>
      </c>
    </row>
    <row r="503" spans="1:6" x14ac:dyDescent="0.25">
      <c r="A503" t="str">
        <f>setrules!D554&amp;IF(setrules!E554="","",",-"&amp;setrules!E554)</f>
        <v/>
      </c>
      <c r="B503" t="str">
        <f>setrules!F554&amp;IF(setrules!G554="","",",-"&amp;setrules!G554)&amp;IF(setrules!P554="","",",-"&amp;setrules!P554)</f>
        <v>ICOH*COA</v>
      </c>
      <c r="C503" t="str">
        <f>setrules!H554&amp;IF(setrules!I554="","",",-"&amp;setrules!I554)</f>
        <v/>
      </c>
      <c r="D503" t="str">
        <f>setrules!J554&amp;IF(setrules!K554="","",",-"&amp;setrules!K554)</f>
        <v/>
      </c>
      <c r="E503" t="str">
        <f>setrules!L554&amp;IF(setrules!M554="","",",-"&amp;setrules!M554)</f>
        <v/>
      </c>
      <c r="F503" t="str">
        <f>setrules!B554</f>
        <v>ICOH_COA</v>
      </c>
    </row>
    <row r="504" spans="1:6" x14ac:dyDescent="0.25">
      <c r="A504" t="str">
        <f>setrules!D555&amp;IF(setrules!E555="","",",-"&amp;setrules!E555)</f>
        <v/>
      </c>
      <c r="B504" t="str">
        <f>setrules!F555&amp;IF(setrules!G555="","",",-"&amp;setrules!G555)&amp;IF(setrules!P555="","",",-"&amp;setrules!P555)</f>
        <v>ICOH*DST*</v>
      </c>
      <c r="C504" t="str">
        <f>setrules!H555&amp;IF(setrules!I555="","",",-"&amp;setrules!I555)</f>
        <v/>
      </c>
      <c r="D504" t="str">
        <f>setrules!J555&amp;IF(setrules!K555="","",",-"&amp;setrules!K555)</f>
        <v/>
      </c>
      <c r="E504" t="str">
        <f>setrules!L555&amp;IF(setrules!M555="","",",-"&amp;setrules!M555)</f>
        <v/>
      </c>
      <c r="F504" t="str">
        <f>setrules!B555</f>
        <v>ICOH_DST</v>
      </c>
    </row>
    <row r="505" spans="1:6" x14ac:dyDescent="0.25">
      <c r="A505" t="str">
        <f>setrules!D556&amp;IF(setrules!E556="","",",-"&amp;setrules!E556)</f>
        <v/>
      </c>
      <c r="B505" t="str">
        <f>setrules!F556&amp;IF(setrules!G556="","",",-"&amp;setrules!G556)&amp;IF(setrules!P556="","",",-"&amp;setrules!P556)</f>
        <v>ICOH*ELC*</v>
      </c>
      <c r="C505" t="str">
        <f>setrules!H556&amp;IF(setrules!I556="","",",-"&amp;setrules!I556)</f>
        <v/>
      </c>
      <c r="D505" t="str">
        <f>setrules!J556&amp;IF(setrules!K556="","",",-"&amp;setrules!K556)</f>
        <v/>
      </c>
      <c r="E505" t="str">
        <f>setrules!L556&amp;IF(setrules!M556="","",",-"&amp;setrules!M556)</f>
        <v/>
      </c>
      <c r="F505" t="str">
        <f>setrules!B556</f>
        <v>ICOH_ELC</v>
      </c>
    </row>
    <row r="506" spans="1:6" x14ac:dyDescent="0.25">
      <c r="A506" t="str">
        <f>setrules!D557&amp;IF(setrules!E557="","",",-"&amp;setrules!E557)</f>
        <v/>
      </c>
      <c r="B506" t="str">
        <f>setrules!F557&amp;IF(setrules!G557="","",",-"&amp;setrules!G557)&amp;IF(setrules!P557="","",",-"&amp;setrules!P557)</f>
        <v>ICOEFACELC</v>
      </c>
      <c r="C506" t="str">
        <f>setrules!H557&amp;IF(setrules!I557="","",",-"&amp;setrules!I557)</f>
        <v/>
      </c>
      <c r="D506" t="str">
        <f>setrules!J557&amp;IF(setrules!K557="","",",-"&amp;setrules!K557)</f>
        <v/>
      </c>
      <c r="E506" t="str">
        <f>setrules!L557&amp;IF(setrules!M557="","",",-"&amp;setrules!M557)</f>
        <v/>
      </c>
      <c r="F506" t="str">
        <f>setrules!B557</f>
        <v>ICOFA_ELC</v>
      </c>
    </row>
    <row r="507" spans="1:6" x14ac:dyDescent="0.25">
      <c r="A507" t="str">
        <f>setrules!D558&amp;IF(setrules!E558="","",",-"&amp;setrules!E558)</f>
        <v/>
      </c>
      <c r="B507" t="str">
        <f>setrules!F558&amp;IF(setrules!G558="","",",-"&amp;setrules!G558)&amp;IF(setrules!P558="","",",-"&amp;setrules!P558)</f>
        <v>ICIEPRHELC</v>
      </c>
      <c r="C507" t="str">
        <f>setrules!H558&amp;IF(setrules!I558="","",",-"&amp;setrules!I558)</f>
        <v/>
      </c>
      <c r="D507" t="str">
        <f>setrules!J558&amp;IF(setrules!K558="","",",-"&amp;setrules!K558)</f>
        <v/>
      </c>
      <c r="E507" t="str">
        <f>setrules!L558&amp;IF(setrules!M558="","",",-"&amp;setrules!M558)</f>
        <v/>
      </c>
      <c r="F507" t="str">
        <f>setrules!B558</f>
        <v>ICIPH_ELC</v>
      </c>
    </row>
    <row r="508" spans="1:6" x14ac:dyDescent="0.25">
      <c r="A508" t="str">
        <f>setrules!D559&amp;IF(setrules!E559="","",",-"&amp;setrules!E559)</f>
        <v/>
      </c>
      <c r="B508" t="str">
        <f>setrules!F559&amp;IF(setrules!G559="","",",-"&amp;setrules!G559)&amp;IF(setrules!P559="","",",-"&amp;setrules!P559)</f>
        <v>IFDEMDRDST</v>
      </c>
      <c r="C508" t="str">
        <f>setrules!H559&amp;IF(setrules!I559="","",",-"&amp;setrules!I559)</f>
        <v/>
      </c>
      <c r="D508" t="str">
        <f>setrules!J559&amp;IF(setrules!K559="","",",-"&amp;setrules!K559)</f>
        <v/>
      </c>
      <c r="E508" t="str">
        <f>setrules!L559&amp;IF(setrules!M559="","",",-"&amp;setrules!M559)</f>
        <v/>
      </c>
      <c r="F508" t="str">
        <f>setrules!B559</f>
        <v>IFDMD_DST</v>
      </c>
    </row>
    <row r="509" spans="1:6" x14ac:dyDescent="0.25">
      <c r="A509" t="str">
        <f>setrules!D560&amp;IF(setrules!E560="","",",-"&amp;setrules!E560)</f>
        <v/>
      </c>
      <c r="B509" t="str">
        <f>setrules!F560&amp;IF(setrules!G560="","",",-"&amp;setrules!G560)&amp;IF(setrules!P560="","",",-"&amp;setrules!P560)</f>
        <v>ICIEMDR*</v>
      </c>
      <c r="C509" t="str">
        <f>setrules!H560&amp;IF(setrules!I560="","",",-"&amp;setrules!I560)</f>
        <v/>
      </c>
      <c r="D509" t="str">
        <f>setrules!J560&amp;IF(setrules!K560="","",",-"&amp;setrules!K560)</f>
        <v/>
      </c>
      <c r="E509" t="str">
        <f>setrules!L560&amp;IF(setrules!M560="","",",-"&amp;setrules!M560)</f>
        <v/>
      </c>
      <c r="F509" t="str">
        <f>setrules!B560</f>
        <v>ICIMD_ALL</v>
      </c>
    </row>
    <row r="510" spans="1:6" x14ac:dyDescent="0.25">
      <c r="A510" t="str">
        <f>setrules!D561&amp;IF(setrules!E561="","",",-"&amp;setrules!E561)</f>
        <v/>
      </c>
      <c r="B510" t="str">
        <f>setrules!F561&amp;IF(setrules!G561="","",",-"&amp;setrules!G561)&amp;IF(setrules!P561="","",",-"&amp;setrules!P561)</f>
        <v>ICIEMDRELC</v>
      </c>
      <c r="C510" t="str">
        <f>setrules!H561&amp;IF(setrules!I561="","",",-"&amp;setrules!I561)</f>
        <v/>
      </c>
      <c r="D510" t="str">
        <f>setrules!J561&amp;IF(setrules!K561="","",",-"&amp;setrules!K561)</f>
        <v/>
      </c>
      <c r="E510" t="str">
        <f>setrules!L561&amp;IF(setrules!M561="","",",-"&amp;setrules!M561)</f>
        <v/>
      </c>
      <c r="F510" t="str">
        <f>setrules!B561</f>
        <v>ICIMD_ELC</v>
      </c>
    </row>
    <row r="511" spans="1:6" x14ac:dyDescent="0.25">
      <c r="A511" t="str">
        <f>setrules!D562&amp;IF(setrules!E562="","",",-"&amp;setrules!E562)</f>
        <v/>
      </c>
      <c r="B511" t="str">
        <f>setrules!F562&amp;IF(setrules!G562="","",",-"&amp;setrules!G562)&amp;IF(setrules!P562="","",",-"&amp;setrules!P562)</f>
        <v>ICIEMDRNGA</v>
      </c>
      <c r="C511" t="str">
        <f>setrules!H562&amp;IF(setrules!I562="","",",-"&amp;setrules!I562)</f>
        <v/>
      </c>
      <c r="D511" t="str">
        <f>setrules!J562&amp;IF(setrules!K562="","",",-"&amp;setrules!K562)</f>
        <v/>
      </c>
      <c r="E511" t="str">
        <f>setrules!L562&amp;IF(setrules!M562="","",",-"&amp;setrules!M562)</f>
        <v/>
      </c>
      <c r="F511" t="str">
        <f>setrules!B562</f>
        <v>ICIMD_NGA</v>
      </c>
    </row>
    <row r="512" spans="1:6" x14ac:dyDescent="0.25">
      <c r="A512" t="str">
        <f>setrules!D563&amp;IF(setrules!E563="","",",-"&amp;setrules!E563)</f>
        <v/>
      </c>
      <c r="B512" t="str">
        <f>setrules!F563&amp;IF(setrules!G563="","",",-"&amp;setrules!G563)&amp;IF(setrules!P563="","",",-"&amp;setrules!P563)</f>
        <v>ICI*B*BIO,ICI*B*WOD,ICI*B*TOM,ICIEOHT*,ICIOHTOSTM,-ICI*BST*</v>
      </c>
      <c r="C512" t="str">
        <f>setrules!H563&amp;IF(setrules!I563="","",",-"&amp;setrules!I563)</f>
        <v/>
      </c>
      <c r="D512" t="str">
        <f>setrules!J563&amp;IF(setrules!K563="","",",-"&amp;setrules!K563)</f>
        <v/>
      </c>
      <c r="E512" t="str">
        <f>setrules!L563&amp;IF(setrules!M563="","",",-"&amp;setrules!M563)</f>
        <v/>
      </c>
      <c r="F512" t="str">
        <f>setrules!B563</f>
        <v>ICIOH_ALL</v>
      </c>
    </row>
    <row r="513" spans="1:6" x14ac:dyDescent="0.25">
      <c r="A513" t="str">
        <f>setrules!D564&amp;IF(setrules!E564="","",",-"&amp;setrules!E564)</f>
        <v/>
      </c>
      <c r="B513" t="str">
        <f>setrules!F564&amp;IF(setrules!G564="","",",-"&amp;setrules!G564)&amp;IF(setrules!P564="","",",-"&amp;setrules!P564)</f>
        <v>ICIEOHTELC</v>
      </c>
      <c r="C513" t="str">
        <f>setrules!H564&amp;IF(setrules!I564="","",",-"&amp;setrules!I564)</f>
        <v/>
      </c>
      <c r="D513" t="str">
        <f>setrules!J564&amp;IF(setrules!K564="","",",-"&amp;setrules!K564)</f>
        <v/>
      </c>
      <c r="E513" t="str">
        <f>setrules!L564&amp;IF(setrules!M564="","",",-"&amp;setrules!M564)</f>
        <v/>
      </c>
      <c r="F513" t="str">
        <f>setrules!B564</f>
        <v>ICIOH_ELC</v>
      </c>
    </row>
    <row r="514" spans="1:6" x14ac:dyDescent="0.25">
      <c r="A514" t="str">
        <f>setrules!D565&amp;IF(setrules!E565="","",",-"&amp;setrules!E565)</f>
        <v/>
      </c>
      <c r="B514" t="str">
        <f>setrules!F565&amp;IF(setrules!G565="","",",-"&amp;setrules!G565)&amp;IF(setrules!P565="","",",-"&amp;setrules!P565)</f>
        <v>ICIEOHTOTP</v>
      </c>
      <c r="C514" t="str">
        <f>setrules!H565&amp;IF(setrules!I565="","",",-"&amp;setrules!I565)</f>
        <v/>
      </c>
      <c r="D514" t="str">
        <f>setrules!J565&amp;IF(setrules!K565="","",",-"&amp;setrules!K565)</f>
        <v/>
      </c>
      <c r="E514" t="str">
        <f>setrules!L565&amp;IF(setrules!M565="","",",-"&amp;setrules!M565)</f>
        <v/>
      </c>
      <c r="F514" t="str">
        <f>setrules!B565</f>
        <v>ICIOH_OTP</v>
      </c>
    </row>
    <row r="515" spans="1:6" x14ac:dyDescent="0.25">
      <c r="A515" t="str">
        <f>setrules!D566&amp;IF(setrules!E566="","",",-"&amp;setrules!E566)</f>
        <v/>
      </c>
      <c r="B515" t="str">
        <f>setrules!F566&amp;IF(setrules!G566="","",",-"&amp;setrules!G566)&amp;IF(setrules!P566="","",",-"&amp;setrules!P566)</f>
        <v>ICMDRCOA*</v>
      </c>
      <c r="C515" t="str">
        <f>setrules!H566&amp;IF(setrules!I566="","",",-"&amp;setrules!I566)</f>
        <v/>
      </c>
      <c r="D515" t="str">
        <f>setrules!J566&amp;IF(setrules!K566="","",",-"&amp;setrules!K566)</f>
        <v/>
      </c>
      <c r="E515" t="str">
        <f>setrules!L566&amp;IF(setrules!M566="","",",-"&amp;setrules!M566)</f>
        <v/>
      </c>
      <c r="F515" t="str">
        <f>setrules!B566</f>
        <v>ICM_COA</v>
      </c>
    </row>
    <row r="516" spans="1:6" x14ac:dyDescent="0.25">
      <c r="A516" t="str">
        <f>setrules!D567&amp;IF(setrules!E567="","",",-"&amp;setrules!E567)</f>
        <v/>
      </c>
      <c r="B516" t="str">
        <f>setrules!F567&amp;IF(setrules!G567="","",",-"&amp;setrules!G567)&amp;IF(setrules!P567="","",",-"&amp;setrules!P567)</f>
        <v>ICIEPRHCOA</v>
      </c>
      <c r="C516" t="str">
        <f>setrules!H567&amp;IF(setrules!I567="","",",-"&amp;setrules!I567)</f>
        <v/>
      </c>
      <c r="D516" t="str">
        <f>setrules!J567&amp;IF(setrules!K567="","",",-"&amp;setrules!K567)</f>
        <v/>
      </c>
      <c r="E516" t="str">
        <f>setrules!L567&amp;IF(setrules!M567="","",",-"&amp;setrules!M567)</f>
        <v/>
      </c>
      <c r="F516" t="str">
        <f>setrules!B567</f>
        <v>ICIPH_COA</v>
      </c>
    </row>
    <row r="517" spans="1:6" x14ac:dyDescent="0.25">
      <c r="A517" t="str">
        <f>setrules!D568&amp;IF(setrules!E568="","",",-"&amp;setrules!E568)</f>
        <v/>
      </c>
      <c r="B517" t="str">
        <f>setrules!F568&amp;IF(setrules!G568="","",",-"&amp;setrules!G568)&amp;IF(setrules!P568="","",",-"&amp;setrules!P568)</f>
        <v>ICM*</v>
      </c>
      <c r="C517" t="str">
        <f>setrules!H568&amp;IF(setrules!I568="","",",-"&amp;setrules!I568)</f>
        <v>,-CHP</v>
      </c>
      <c r="D517" t="str">
        <f>setrules!J568&amp;IF(setrules!K568="","",",-"&amp;setrules!K568)</f>
        <v/>
      </c>
      <c r="E517" t="str">
        <f>setrules!L568&amp;IF(setrules!M568="","",",-"&amp;setrules!M568)</f>
        <v/>
      </c>
      <c r="F517" t="str">
        <f>setrules!B568</f>
        <v>ICM_ALL</v>
      </c>
    </row>
    <row r="518" spans="1:6" x14ac:dyDescent="0.25">
      <c r="A518" t="str">
        <f>setrules!D569&amp;IF(setrules!E569="","",",-"&amp;setrules!E569)</f>
        <v/>
      </c>
      <c r="B518" t="str">
        <f>setrules!F569&amp;IF(setrules!G569="","",",-"&amp;setrules!G569)&amp;IF(setrules!P569="","",",-"&amp;setrules!P569)</f>
        <v>ICIEPRHNGA</v>
      </c>
      <c r="C518" t="str">
        <f>setrules!H569&amp;IF(setrules!I569="","",",-"&amp;setrules!I569)</f>
        <v/>
      </c>
      <c r="D518" t="str">
        <f>setrules!J569&amp;IF(setrules!K569="","",",-"&amp;setrules!K569)</f>
        <v/>
      </c>
      <c r="E518" t="str">
        <f>setrules!L569&amp;IF(setrules!M569="","",",-"&amp;setrules!M569)</f>
        <v/>
      </c>
      <c r="F518" t="str">
        <f>setrules!B569</f>
        <v>ICIPH_NGA</v>
      </c>
    </row>
    <row r="519" spans="1:6" x14ac:dyDescent="0.25">
      <c r="A519" t="str">
        <f>setrules!D570&amp;IF(setrules!E570="","",",-"&amp;setrules!E570)</f>
        <v/>
      </c>
      <c r="B519" t="str">
        <f>setrules!F570&amp;IF(setrules!G570="","",",-"&amp;setrules!G570)&amp;IF(setrules!P570="","",",-"&amp;setrules!P570)</f>
        <v>ICIEPRHRFL</v>
      </c>
      <c r="C519" t="str">
        <f>setrules!H570&amp;IF(setrules!I570="","",",-"&amp;setrules!I570)</f>
        <v/>
      </c>
      <c r="D519" t="str">
        <f>setrules!J570&amp;IF(setrules!K570="","",",-"&amp;setrules!K570)</f>
        <v/>
      </c>
      <c r="E519" t="str">
        <f>setrules!L570&amp;IF(setrules!M570="","",",-"&amp;setrules!M570)</f>
        <v/>
      </c>
      <c r="F519" t="str">
        <f>setrules!B570</f>
        <v>ICIPH_RFL</v>
      </c>
    </row>
    <row r="520" spans="1:6" x14ac:dyDescent="0.25">
      <c r="A520" t="str">
        <f>setrules!D571&amp;IF(setrules!E571="","",",-"&amp;setrules!E571)</f>
        <v/>
      </c>
      <c r="B520" t="str">
        <f>setrules!F571&amp;IF(setrules!G571="","",",-"&amp;setrules!G571)&amp;IF(setrules!P571="","",",-"&amp;setrules!P571)</f>
        <v>ICI*B*,ICIBOLFSTM,-ICI*B*BIO,-ICI*B*WOD,-ICI*B*TOM,-ICI*BST*,-ICI*BSA*</v>
      </c>
      <c r="C520" t="str">
        <f>setrules!H571&amp;IF(setrules!I571="","",",-"&amp;setrules!I571)</f>
        <v/>
      </c>
      <c r="D520" t="str">
        <f>setrules!J571&amp;IF(setrules!K571="","",",-"&amp;setrules!K571)</f>
        <v/>
      </c>
      <c r="E520" t="str">
        <f>setrules!L571&amp;IF(setrules!M571="","",",-"&amp;setrules!M571)</f>
        <v/>
      </c>
      <c r="F520" t="str">
        <f>setrules!B571</f>
        <v>ICIST_ALL</v>
      </c>
    </row>
    <row r="521" spans="1:6" x14ac:dyDescent="0.25">
      <c r="A521" t="str">
        <f>setrules!D572&amp;IF(setrules!E572="","",",-"&amp;setrules!E572)</f>
        <v/>
      </c>
      <c r="B521" t="str">
        <f>setrules!F572&amp;IF(setrules!G572="","",",-"&amp;setrules!G572)&amp;IF(setrules!P572="","",",-"&amp;setrules!P572)</f>
        <v>ICIBOLFSTM</v>
      </c>
      <c r="C521" t="str">
        <f>setrules!H572&amp;IF(setrules!I572="","",",-"&amp;setrules!I572)</f>
        <v/>
      </c>
      <c r="D521" t="str">
        <f>setrules!J572&amp;IF(setrules!K572="","",",-"&amp;setrules!K572)</f>
        <v/>
      </c>
      <c r="E521" t="str">
        <f>setrules!L572&amp;IF(setrules!M572="","",",-"&amp;setrules!M572)</f>
        <v/>
      </c>
      <c r="F521" t="str">
        <f>setrules!B572</f>
        <v>ICIST_CHP</v>
      </c>
    </row>
    <row r="522" spans="1:6" x14ac:dyDescent="0.25">
      <c r="A522" t="str">
        <f>setrules!D573&amp;IF(setrules!E573="","",",-"&amp;setrules!E573)</f>
        <v/>
      </c>
      <c r="B522" t="str">
        <f>setrules!F573&amp;IF(setrules!G573="","",",-"&amp;setrules!G573)&amp;IF(setrules!P573="","",",-"&amp;setrules!P573)</f>
        <v>ICI*COA,-ICI*BSACOA,-,-ICIEPRHCOA,-</v>
      </c>
      <c r="C522" t="str">
        <f>setrules!H573&amp;IF(setrules!I573="","",",-"&amp;setrules!I573)</f>
        <v/>
      </c>
      <c r="D522" t="str">
        <f>setrules!J573&amp;IF(setrules!K573="","",",-"&amp;setrules!K573)</f>
        <v/>
      </c>
      <c r="E522" t="str">
        <f>setrules!L573&amp;IF(setrules!M573="","",",-"&amp;setrules!M573)</f>
        <v/>
      </c>
      <c r="F522" t="str">
        <f>setrules!B573</f>
        <v>ICIST_COA</v>
      </c>
    </row>
    <row r="523" spans="1:6" x14ac:dyDescent="0.25">
      <c r="A523" t="str">
        <f>setrules!D574&amp;IF(setrules!E574="","",",-"&amp;setrules!E574)</f>
        <v/>
      </c>
      <c r="B523" t="str">
        <f>setrules!F574&amp;IF(setrules!G574="","",",-"&amp;setrules!G574)&amp;IF(setrules!P574="","",",-"&amp;setrules!P574)</f>
        <v>ICIEBOLDST</v>
      </c>
      <c r="C523" t="str">
        <f>setrules!H574&amp;IF(setrules!I574="","",",-"&amp;setrules!I574)</f>
        <v/>
      </c>
      <c r="D523" t="str">
        <f>setrules!J574&amp;IF(setrules!K574="","",",-"&amp;setrules!K574)</f>
        <v/>
      </c>
      <c r="E523" t="str">
        <f>setrules!L574&amp;IF(setrules!M574="","",",-"&amp;setrules!M574)</f>
        <v/>
      </c>
      <c r="F523" t="str">
        <f>setrules!B574</f>
        <v>ICIST_DST</v>
      </c>
    </row>
    <row r="524" spans="1:6" x14ac:dyDescent="0.25">
      <c r="A524" t="str">
        <f>setrules!D575&amp;IF(setrules!E575="","",",-"&amp;setrules!E575)</f>
        <v/>
      </c>
      <c r="B524" t="str">
        <f>setrules!F575&amp;IF(setrules!G575="","",",-"&amp;setrules!G575)&amp;IF(setrules!P575="","",",-"&amp;setrules!P575)</f>
        <v>ICOH*OTH*</v>
      </c>
      <c r="C524" t="str">
        <f>setrules!H575&amp;IF(setrules!I575="","",",-"&amp;setrules!I575)</f>
        <v/>
      </c>
      <c r="D524" t="str">
        <f>setrules!J575&amp;IF(setrules!K575="","",",-"&amp;setrules!K575)</f>
        <v/>
      </c>
      <c r="E524" t="str">
        <f>setrules!L575&amp;IF(setrules!M575="","",",-"&amp;setrules!M575)</f>
        <v/>
      </c>
      <c r="F524" t="str">
        <f>setrules!B575</f>
        <v>ICOH_OTH</v>
      </c>
    </row>
    <row r="525" spans="1:6" x14ac:dyDescent="0.25">
      <c r="A525" t="str">
        <f>setrules!D576&amp;IF(setrules!E576="","",",-"&amp;setrules!E576)</f>
        <v/>
      </c>
      <c r="B525" t="str">
        <f>setrules!F576&amp;IF(setrules!G576="","",",-"&amp;setrules!G576)&amp;IF(setrules!P576="","",",-"&amp;setrules!P576)</f>
        <v>ICIEPRH*</v>
      </c>
      <c r="C525" t="str">
        <f>setrules!H576&amp;IF(setrules!I576="","",",-"&amp;setrules!I576)</f>
        <v/>
      </c>
      <c r="D525" t="str">
        <f>setrules!J576&amp;IF(setrules!K576="","",",-"&amp;setrules!K576)</f>
        <v/>
      </c>
      <c r="E525" t="str">
        <f>setrules!L576&amp;IF(setrules!M576="","",",-"&amp;setrules!M576)</f>
        <v/>
      </c>
      <c r="F525" t="str">
        <f>setrules!B576</f>
        <v>ICIPH_ALL</v>
      </c>
    </row>
    <row r="526" spans="1:6" x14ac:dyDescent="0.25">
      <c r="A526" t="str">
        <f>setrules!D577&amp;IF(setrules!E577="","",",-"&amp;setrules!E577)</f>
        <v/>
      </c>
      <c r="B526" t="str">
        <f>setrules!F577&amp;IF(setrules!G577="","",",-"&amp;setrules!G577)&amp;IF(setrules!P577="","",",-"&amp;setrules!P577)</f>
        <v>ICP*NGA*</v>
      </c>
      <c r="C526" t="str">
        <f>setrules!H577&amp;IF(setrules!I577="","",",-"&amp;setrules!I577)</f>
        <v/>
      </c>
      <c r="D526" t="str">
        <f>setrules!J577&amp;IF(setrules!K577="","",",-"&amp;setrules!K577)</f>
        <v/>
      </c>
      <c r="E526" t="str">
        <f>setrules!L577&amp;IF(setrules!M577="","",",-"&amp;setrules!M577)</f>
        <v/>
      </c>
      <c r="F526" t="str">
        <f>setrules!B577</f>
        <v>ICP_NGA</v>
      </c>
    </row>
    <row r="527" spans="1:6" x14ac:dyDescent="0.25">
      <c r="A527" t="str">
        <f>setrules!D578&amp;IF(setrules!E578="","",",-"&amp;setrules!E578)</f>
        <v/>
      </c>
      <c r="B527" t="str">
        <f>setrules!F578&amp;IF(setrules!G578="","",",-"&amp;setrules!G578)&amp;IF(setrules!P578="","",",-"&amp;setrules!P578)</f>
        <v>ICOH*LPG*</v>
      </c>
      <c r="C527" t="str">
        <f>setrules!H578&amp;IF(setrules!I578="","",",-"&amp;setrules!I578)</f>
        <v/>
      </c>
      <c r="D527" t="str">
        <f>setrules!J578&amp;IF(setrules!K578="","",",-"&amp;setrules!K578)</f>
        <v/>
      </c>
      <c r="E527" t="str">
        <f>setrules!L578&amp;IF(setrules!M578="","",",-"&amp;setrules!M578)</f>
        <v/>
      </c>
      <c r="F527" t="str">
        <f>setrules!B578</f>
        <v>ICOH_LPG</v>
      </c>
    </row>
    <row r="528" spans="1:6" x14ac:dyDescent="0.25">
      <c r="A528" t="str">
        <f>setrules!D579&amp;IF(setrules!E579="","",",-"&amp;setrules!E579)</f>
        <v/>
      </c>
      <c r="B528" t="str">
        <f>setrules!F579&amp;IF(setrules!G579="","",",-"&amp;setrules!G579)&amp;IF(setrules!P579="","",",-"&amp;setrules!P579)</f>
        <v>ICO*NGA,-ICO*BSANGA,-,-ICOEFACNGA,-ICOEFEDNGA,-ICOEMDRNGA,-ICOEOHTNGA,-ICOEPRHNGA,-</v>
      </c>
      <c r="C528" t="str">
        <f>setrules!H579&amp;IF(setrules!I579="","",",-"&amp;setrules!I579)</f>
        <v/>
      </c>
      <c r="D528" t="str">
        <f>setrules!J579&amp;IF(setrules!K579="","",",-"&amp;setrules!K579)</f>
        <v/>
      </c>
      <c r="E528" t="str">
        <f>setrules!L579&amp;IF(setrules!M579="","",",-"&amp;setrules!M579)</f>
        <v/>
      </c>
      <c r="F528" t="str">
        <f>setrules!B579</f>
        <v>ICOST_NGA</v>
      </c>
    </row>
    <row r="529" spans="1:6" x14ac:dyDescent="0.25">
      <c r="A529" t="str">
        <f>setrules!D580&amp;IF(setrules!E580="","",",-"&amp;setrules!E580)</f>
        <v/>
      </c>
      <c r="B529" t="str">
        <f>setrules!F580&amp;IF(setrules!G580="","",",-"&amp;setrules!G580)&amp;IF(setrules!P580="","",",-"&amp;setrules!P580)</f>
        <v>ICO*RFL</v>
      </c>
      <c r="C529" t="str">
        <f>setrules!H580&amp;IF(setrules!I580="","",",-"&amp;setrules!I580)</f>
        <v/>
      </c>
      <c r="D529" t="str">
        <f>setrules!J580&amp;IF(setrules!K580="","",",-"&amp;setrules!K580)</f>
        <v/>
      </c>
      <c r="E529" t="str">
        <f>setrules!L580&amp;IF(setrules!M580="","",",-"&amp;setrules!M580)</f>
        <v/>
      </c>
      <c r="F529" t="str">
        <f>setrules!B580</f>
        <v>ICOST_RFL</v>
      </c>
    </row>
    <row r="530" spans="1:6" x14ac:dyDescent="0.25">
      <c r="A530" t="str">
        <f>setrules!D581&amp;IF(setrules!E581="","",",-"&amp;setrules!E581)</f>
        <v/>
      </c>
      <c r="B530" t="str">
        <f>setrules!F581&amp;IF(setrules!G581="","",",-"&amp;setrules!G581)&amp;IF(setrules!P581="","",",-"&amp;setrules!P581)</f>
        <v>ICP*</v>
      </c>
      <c r="C530" t="str">
        <f>setrules!H581&amp;IF(setrules!I581="","",",-"&amp;setrules!I581)</f>
        <v/>
      </c>
      <c r="D530" t="str">
        <f>setrules!J581&amp;IF(setrules!K581="","",",-"&amp;setrules!K581)</f>
        <v/>
      </c>
      <c r="E530" t="str">
        <f>setrules!L581&amp;IF(setrules!M581="","",",-"&amp;setrules!M581)</f>
        <v/>
      </c>
      <c r="F530" t="str">
        <f>setrules!B581</f>
        <v>ICP</v>
      </c>
    </row>
    <row r="531" spans="1:6" x14ac:dyDescent="0.25">
      <c r="A531" t="str">
        <f>setrules!D582&amp;IF(setrules!E582="","",",-"&amp;setrules!E582)</f>
        <v/>
      </c>
      <c r="B531" t="str">
        <f>setrules!F582&amp;IF(setrules!G582="","",",-"&amp;setrules!G582)&amp;IF(setrules!P582="","",",-"&amp;setrules!P582)</f>
        <v>ICP*</v>
      </c>
      <c r="C531" t="str">
        <f>setrules!H582&amp;IF(setrules!I582="","",",-"&amp;setrules!I582)</f>
        <v/>
      </c>
      <c r="D531" t="str">
        <f>setrules!J582&amp;IF(setrules!K582="","",",-"&amp;setrules!K582)</f>
        <v/>
      </c>
      <c r="E531" t="str">
        <f>setrules!L582&amp;IF(setrules!M582="","",",-"&amp;setrules!M582)</f>
        <v/>
      </c>
      <c r="F531" t="str">
        <f>setrules!B582</f>
        <v>ICP_ALL</v>
      </c>
    </row>
    <row r="532" spans="1:6" x14ac:dyDescent="0.25">
      <c r="A532" t="str">
        <f>setrules!D583&amp;IF(setrules!E583="","",",-"&amp;setrules!E583)</f>
        <v/>
      </c>
      <c r="B532" t="str">
        <f>setrules!F583&amp;IF(setrules!G583="","",",-"&amp;setrules!G583)&amp;IF(setrules!P583="","",",-"&amp;setrules!P583)</f>
        <v>ICP*COA*</v>
      </c>
      <c r="C532" t="str">
        <f>setrules!H583&amp;IF(setrules!I583="","",",-"&amp;setrules!I583)</f>
        <v/>
      </c>
      <c r="D532" t="str">
        <f>setrules!J583&amp;IF(setrules!K583="","",",-"&amp;setrules!K583)</f>
        <v/>
      </c>
      <c r="E532" t="str">
        <f>setrules!L583&amp;IF(setrules!M583="","",",-"&amp;setrules!M583)</f>
        <v/>
      </c>
      <c r="F532" t="str">
        <f>setrules!B583</f>
        <v>ICP_COA</v>
      </c>
    </row>
    <row r="533" spans="1:6" x14ac:dyDescent="0.25">
      <c r="A533" t="str">
        <f>setrules!D584&amp;IF(setrules!E584="","",",-"&amp;setrules!E584)</f>
        <v/>
      </c>
      <c r="B533" t="str">
        <f>setrules!F584&amp;IF(setrules!G584="","",",-"&amp;setrules!G584)&amp;IF(setrules!P584="","",",-"&amp;setrules!P584)</f>
        <v>ICP*DST*</v>
      </c>
      <c r="C533" t="str">
        <f>setrules!H584&amp;IF(setrules!I584="","",",-"&amp;setrules!I584)</f>
        <v/>
      </c>
      <c r="D533" t="str">
        <f>setrules!J584&amp;IF(setrules!K584="","",",-"&amp;setrules!K584)</f>
        <v/>
      </c>
      <c r="E533" t="str">
        <f>setrules!L584&amp;IF(setrules!M584="","",",-"&amp;setrules!M584)</f>
        <v/>
      </c>
      <c r="F533" t="str">
        <f>setrules!B584</f>
        <v>ICP_DST</v>
      </c>
    </row>
    <row r="534" spans="1:6" x14ac:dyDescent="0.25">
      <c r="A534" t="str">
        <f>setrules!D585&amp;IF(setrules!E585="","",",-"&amp;setrules!E585)</f>
        <v/>
      </c>
      <c r="B534" t="str">
        <f>setrules!F585&amp;IF(setrules!G585="","",",-"&amp;setrules!G585)&amp;IF(setrules!P585="","",",-"&amp;setrules!P585)</f>
        <v>ICOEBOLDST,ICOEBLLDST</v>
      </c>
      <c r="C534" t="str">
        <f>setrules!H585&amp;IF(setrules!I585="","",",-"&amp;setrules!I585)</f>
        <v/>
      </c>
      <c r="D534" t="str">
        <f>setrules!J585&amp;IF(setrules!K585="","",",-"&amp;setrules!K585)</f>
        <v/>
      </c>
      <c r="E534" t="str">
        <f>setrules!L585&amp;IF(setrules!M585="","",",-"&amp;setrules!M585)</f>
        <v/>
      </c>
      <c r="F534" t="str">
        <f>setrules!B585</f>
        <v>ICOST_DST</v>
      </c>
    </row>
    <row r="535" spans="1:6" x14ac:dyDescent="0.25">
      <c r="A535" t="str">
        <f>setrules!D586&amp;IF(setrules!E586="","",",-"&amp;setrules!E586)</f>
        <v/>
      </c>
      <c r="B535" t="str">
        <f>setrules!F586&amp;IF(setrules!G586="","",",-"&amp;setrules!G586)&amp;IF(setrules!P586="","",",-"&amp;setrules!P586)</f>
        <v>ICP*LPG*</v>
      </c>
      <c r="C535" t="str">
        <f>setrules!H586&amp;IF(setrules!I586="","",",-"&amp;setrules!I586)</f>
        <v/>
      </c>
      <c r="D535" t="str">
        <f>setrules!J586&amp;IF(setrules!K586="","",",-"&amp;setrules!K586)</f>
        <v/>
      </c>
      <c r="E535" t="str">
        <f>setrules!L586&amp;IF(setrules!M586="","",",-"&amp;setrules!M586)</f>
        <v/>
      </c>
      <c r="F535" t="str">
        <f>setrules!B586</f>
        <v>ICP_LPG</v>
      </c>
    </row>
    <row r="536" spans="1:6" x14ac:dyDescent="0.25">
      <c r="A536" t="str">
        <f>setrules!D587&amp;IF(setrules!E587="","",",-"&amp;setrules!E587)</f>
        <v/>
      </c>
      <c r="B536" t="str">
        <f>setrules!F587&amp;IF(setrules!G587="","",",-"&amp;setrules!G587)&amp;IF(setrules!P587="","",",-"&amp;setrules!P587)</f>
        <v>ICO*COA,-ICO*BSACOA,-,-ICOEPRHCOA,-</v>
      </c>
      <c r="C536" t="str">
        <f>setrules!H587&amp;IF(setrules!I587="","",",-"&amp;setrules!I587)</f>
        <v/>
      </c>
      <c r="D536" t="str">
        <f>setrules!J587&amp;IF(setrules!K587="","",",-"&amp;setrules!K587)</f>
        <v/>
      </c>
      <c r="E536" t="str">
        <f>setrules!L587&amp;IF(setrules!M587="","",",-"&amp;setrules!M587)</f>
        <v/>
      </c>
      <c r="F536" t="str">
        <f>setrules!B587</f>
        <v>ICOST_COA</v>
      </c>
    </row>
    <row r="537" spans="1:6" x14ac:dyDescent="0.25">
      <c r="A537" t="str">
        <f>setrules!D588&amp;IF(setrules!E588="","",",-"&amp;setrules!E588)</f>
        <v/>
      </c>
      <c r="B537" t="str">
        <f>setrules!F588&amp;IF(setrules!G588="","",",-"&amp;setrules!G588)&amp;IF(setrules!P588="","",",-"&amp;setrules!P588)</f>
        <v>ICP*RFL*</v>
      </c>
      <c r="C537" t="str">
        <f>setrules!H588&amp;IF(setrules!I588="","",",-"&amp;setrules!I588)</f>
        <v/>
      </c>
      <c r="D537" t="str">
        <f>setrules!J588&amp;IF(setrules!K588="","",",-"&amp;setrules!K588)</f>
        <v/>
      </c>
      <c r="E537" t="str">
        <f>setrules!L588&amp;IF(setrules!M588="","",",-"&amp;setrules!M588)</f>
        <v/>
      </c>
      <c r="F537" t="str">
        <f>setrules!B588</f>
        <v>ICP_RFL</v>
      </c>
    </row>
    <row r="538" spans="1:6" x14ac:dyDescent="0.25">
      <c r="A538" t="str">
        <f>setrules!D589&amp;IF(setrules!E589="","",",-"&amp;setrules!E589)</f>
        <v/>
      </c>
      <c r="B538" t="str">
        <f>setrules!F589&amp;IF(setrules!G589="","",",-"&amp;setrules!G589)&amp;IF(setrules!P589="","",",-"&amp;setrules!P589)</f>
        <v>ICPEFAC*</v>
      </c>
      <c r="C538" t="str">
        <f>setrules!H589&amp;IF(setrules!I589="","",",-"&amp;setrules!I589)</f>
        <v/>
      </c>
      <c r="D538" t="str">
        <f>setrules!J589&amp;IF(setrules!K589="","",",-"&amp;setrules!K589)</f>
        <v/>
      </c>
      <c r="E538" t="str">
        <f>setrules!L589&amp;IF(setrules!M589="","",",-"&amp;setrules!M589)</f>
        <v/>
      </c>
      <c r="F538" t="str">
        <f>setrules!B589</f>
        <v>ICPFA_ALL</v>
      </c>
    </row>
    <row r="539" spans="1:6" x14ac:dyDescent="0.25">
      <c r="A539" t="str">
        <f>setrules!D590&amp;IF(setrules!E590="","",",-"&amp;setrules!E590)</f>
        <v/>
      </c>
      <c r="B539" t="str">
        <f>setrules!F590&amp;IF(setrules!G590="","",",-"&amp;setrules!G590)&amp;IF(setrules!P590="","",",-"&amp;setrules!P590)</f>
        <v>ICPEFACELC</v>
      </c>
      <c r="C539" t="str">
        <f>setrules!H590&amp;IF(setrules!I590="","",",-"&amp;setrules!I590)</f>
        <v/>
      </c>
      <c r="D539" t="str">
        <f>setrules!J590&amp;IF(setrules!K590="","",",-"&amp;setrules!K590)</f>
        <v/>
      </c>
      <c r="E539" t="str">
        <f>setrules!L590&amp;IF(setrules!M590="","",",-"&amp;setrules!M590)</f>
        <v/>
      </c>
      <c r="F539" t="str">
        <f>setrules!B590</f>
        <v>ICPFA_ELC</v>
      </c>
    </row>
    <row r="540" spans="1:6" x14ac:dyDescent="0.25">
      <c r="A540" t="str">
        <f>setrules!D591&amp;IF(setrules!E591="","",",-"&amp;setrules!E591)</f>
        <v/>
      </c>
      <c r="B540" t="str">
        <f>setrules!F591&amp;IF(setrules!G591="","",",-"&amp;setrules!G591)&amp;IF(setrules!P591="","",",-"&amp;setrules!P591)</f>
        <v>ICPEFACNGA</v>
      </c>
      <c r="C540" t="str">
        <f>setrules!H591&amp;IF(setrules!I591="","",",-"&amp;setrules!I591)</f>
        <v/>
      </c>
      <c r="D540" t="str">
        <f>setrules!J591&amp;IF(setrules!K591="","",",-"&amp;setrules!K591)</f>
        <v/>
      </c>
      <c r="E540" t="str">
        <f>setrules!L591&amp;IF(setrules!M591="","",",-"&amp;setrules!M591)</f>
        <v/>
      </c>
      <c r="F540" t="str">
        <f>setrules!B591</f>
        <v>ICPFA_NGA</v>
      </c>
    </row>
    <row r="541" spans="1:6" x14ac:dyDescent="0.25">
      <c r="A541" t="str">
        <f>setrules!D592&amp;IF(setrules!E592="","",",-"&amp;setrules!E592)</f>
        <v/>
      </c>
      <c r="B541" t="str">
        <f>setrules!F592&amp;IF(setrules!G592="","",",-"&amp;setrules!G592)&amp;IF(setrules!P592="","",",-"&amp;setrules!P592)</f>
        <v>ICPEFED*</v>
      </c>
      <c r="C541" t="str">
        <f>setrules!H592&amp;IF(setrules!I592="","",",-"&amp;setrules!I592)</f>
        <v/>
      </c>
      <c r="D541" t="str">
        <f>setrules!J592&amp;IF(setrules!K592="","",",-"&amp;setrules!K592)</f>
        <v/>
      </c>
      <c r="E541" t="str">
        <f>setrules!L592&amp;IF(setrules!M592="","",",-"&amp;setrules!M592)</f>
        <v/>
      </c>
      <c r="F541" t="str">
        <f>setrules!B592</f>
        <v>ICPFS_ALL</v>
      </c>
    </row>
    <row r="542" spans="1:6" x14ac:dyDescent="0.25">
      <c r="A542" t="str">
        <f>setrules!D593&amp;IF(setrules!E593="","",",-"&amp;setrules!E593)</f>
        <v/>
      </c>
      <c r="B542" t="str">
        <f>setrules!F593&amp;IF(setrules!G593="","",",-"&amp;setrules!G593)&amp;IF(setrules!P593="","",",-"&amp;setrules!P593)</f>
        <v>ICPEFEDLPG</v>
      </c>
      <c r="C542" t="str">
        <f>setrules!H593&amp;IF(setrules!I593="","",",-"&amp;setrules!I593)</f>
        <v/>
      </c>
      <c r="D542" t="str">
        <f>setrules!J593&amp;IF(setrules!K593="","",",-"&amp;setrules!K593)</f>
        <v/>
      </c>
      <c r="E542" t="str">
        <f>setrules!L593&amp;IF(setrules!M593="","",",-"&amp;setrules!M593)</f>
        <v/>
      </c>
      <c r="F542" t="str">
        <f>setrules!B593</f>
        <v>ICPFS_LPG</v>
      </c>
    </row>
    <row r="543" spans="1:6" x14ac:dyDescent="0.25">
      <c r="A543" t="str">
        <f>setrules!D594&amp;IF(setrules!E594="","",",-"&amp;setrules!E594)</f>
        <v/>
      </c>
      <c r="B543" t="str">
        <f>setrules!F594&amp;IF(setrules!G594="","",",-"&amp;setrules!G594)&amp;IF(setrules!P594="","",",-"&amp;setrules!P594)</f>
        <v>ICIEFEDNGA</v>
      </c>
      <c r="C543" t="str">
        <f>setrules!H594&amp;IF(setrules!I594="","",",-"&amp;setrules!I594)</f>
        <v/>
      </c>
      <c r="D543" t="str">
        <f>setrules!J594&amp;IF(setrules!K594="","",",-"&amp;setrules!K594)</f>
        <v/>
      </c>
      <c r="E543" t="str">
        <f>setrules!L594&amp;IF(setrules!M594="","",",-"&amp;setrules!M594)</f>
        <v/>
      </c>
      <c r="F543" t="str">
        <f>setrules!B594</f>
        <v>ICIFS_NGA</v>
      </c>
    </row>
    <row r="544" spans="1:6" x14ac:dyDescent="0.25">
      <c r="A544" t="str">
        <f>setrules!D595&amp;IF(setrules!E595="","",",-"&amp;setrules!E595)</f>
        <v/>
      </c>
      <c r="B544" t="str">
        <f>setrules!F595&amp;IF(setrules!G595="","",",-"&amp;setrules!G595)&amp;IF(setrules!P595="","",",-"&amp;setrules!P595)</f>
        <v>ICP*ELC*</v>
      </c>
      <c r="C544" t="str">
        <f>setrules!H595&amp;IF(setrules!I595="","",",-"&amp;setrules!I595)</f>
        <v/>
      </c>
      <c r="D544" t="str">
        <f>setrules!J595&amp;IF(setrules!K595="","",",-"&amp;setrules!K595)</f>
        <v/>
      </c>
      <c r="E544" t="str">
        <f>setrules!L595&amp;IF(setrules!M595="","",",-"&amp;setrules!M595)</f>
        <v/>
      </c>
      <c r="F544" t="str">
        <f>setrules!B595</f>
        <v>ICP_ELC</v>
      </c>
    </row>
    <row r="545" spans="1:6" x14ac:dyDescent="0.25">
      <c r="A545" t="str">
        <f>setrules!D596&amp;IF(setrules!E596="","",",-"&amp;setrules!E596)</f>
        <v/>
      </c>
      <c r="B545" t="str">
        <f>setrules!F596&amp;IF(setrules!G596="","",",-"&amp;setrules!G596)&amp;IF(setrules!P596="","",",-"&amp;setrules!P596)</f>
        <v>ICOEOHTNGA</v>
      </c>
      <c r="C545" t="str">
        <f>setrules!H596&amp;IF(setrules!I596="","",",-"&amp;setrules!I596)</f>
        <v/>
      </c>
      <c r="D545" t="str">
        <f>setrules!J596&amp;IF(setrules!K596="","",",-"&amp;setrules!K596)</f>
        <v/>
      </c>
      <c r="E545" t="str">
        <f>setrules!L596&amp;IF(setrules!M596="","",",-"&amp;setrules!M596)</f>
        <v/>
      </c>
      <c r="F545" t="str">
        <f>setrules!B596</f>
        <v>ICOOH_NGA</v>
      </c>
    </row>
    <row r="546" spans="1:6" x14ac:dyDescent="0.25">
      <c r="A546" t="str">
        <f>setrules!D597&amp;IF(setrules!E597="","",",-"&amp;setrules!E597)</f>
        <v/>
      </c>
      <c r="B546" t="str">
        <f>setrules!F597&amp;IF(setrules!G597="","",",-"&amp;setrules!G597)&amp;IF(setrules!P597="","",",-"&amp;setrules!P597)</f>
        <v>ICPEFEDPFS</v>
      </c>
      <c r="C546" t="str">
        <f>setrules!H597&amp;IF(setrules!I597="","",",-"&amp;setrules!I597)</f>
        <v/>
      </c>
      <c r="D546" t="str">
        <f>setrules!J597&amp;IF(setrules!K597="","",",-"&amp;setrules!K597)</f>
        <v/>
      </c>
      <c r="E546" t="str">
        <f>setrules!L597&amp;IF(setrules!M597="","",",-"&amp;setrules!M597)</f>
        <v/>
      </c>
      <c r="F546" t="str">
        <f>setrules!B597</f>
        <v>ICPFS_PFS</v>
      </c>
    </row>
    <row r="547" spans="1:6" x14ac:dyDescent="0.25">
      <c r="A547" t="str">
        <f>setrules!D598&amp;IF(setrules!E598="","",",-"&amp;setrules!E598)</f>
        <v/>
      </c>
      <c r="B547" t="str">
        <f>setrules!F598&amp;IF(setrules!G598="","",",-"&amp;setrules!G598)&amp;IF(setrules!P598="","",",-"&amp;setrules!P598)</f>
        <v>ICOH*RFL*</v>
      </c>
      <c r="C547" t="str">
        <f>setrules!H598&amp;IF(setrules!I598="","",",-"&amp;setrules!I598)</f>
        <v/>
      </c>
      <c r="D547" t="str">
        <f>setrules!J598&amp;IF(setrules!K598="","",",-"&amp;setrules!K598)</f>
        <v/>
      </c>
      <c r="E547" t="str">
        <f>setrules!L598&amp;IF(setrules!M598="","",",-"&amp;setrules!M598)</f>
        <v/>
      </c>
      <c r="F547" t="str">
        <f>setrules!B598</f>
        <v>ICOH_RFL</v>
      </c>
    </row>
    <row r="548" spans="1:6" x14ac:dyDescent="0.25">
      <c r="A548" t="str">
        <f>setrules!D599&amp;IF(setrules!E599="","",",-"&amp;setrules!E599)</f>
        <v/>
      </c>
      <c r="B548" t="str">
        <f>setrules!F599&amp;IF(setrules!G599="","",",-"&amp;setrules!G599)&amp;IF(setrules!P599="","",",-"&amp;setrules!P599)</f>
        <v>ICOHRSTM*</v>
      </c>
      <c r="C548" t="str">
        <f>setrules!H599&amp;IF(setrules!I599="","",",-"&amp;setrules!I599)</f>
        <v/>
      </c>
      <c r="D548" t="str">
        <f>setrules!J599&amp;IF(setrules!K599="","",",-"&amp;setrules!K599)</f>
        <v/>
      </c>
      <c r="E548" t="str">
        <f>setrules!L599&amp;IF(setrules!M599="","",",-"&amp;setrules!M599)</f>
        <v/>
      </c>
      <c r="F548" t="str">
        <f>setrules!B599</f>
        <v>ICOH_RSTM</v>
      </c>
    </row>
    <row r="549" spans="1:6" x14ac:dyDescent="0.25">
      <c r="A549" t="str">
        <f>setrules!D600&amp;IF(setrules!E600="","",",-"&amp;setrules!E600)</f>
        <v/>
      </c>
      <c r="B549" t="str">
        <f>setrules!F600&amp;IF(setrules!G600="","",",-"&amp;setrules!G600)&amp;IF(setrules!P600="","",",-"&amp;setrules!P600)</f>
        <v>ICOEMDR*</v>
      </c>
      <c r="C549" t="str">
        <f>setrules!H600&amp;IF(setrules!I600="","",",-"&amp;setrules!I600)</f>
        <v/>
      </c>
      <c r="D549" t="str">
        <f>setrules!J600&amp;IF(setrules!K600="","",",-"&amp;setrules!K600)</f>
        <v/>
      </c>
      <c r="E549" t="str">
        <f>setrules!L600&amp;IF(setrules!M600="","",",-"&amp;setrules!M600)</f>
        <v/>
      </c>
      <c r="F549" t="str">
        <f>setrules!B600</f>
        <v>ICOMD_ALL</v>
      </c>
    </row>
    <row r="550" spans="1:6" x14ac:dyDescent="0.25">
      <c r="A550" t="str">
        <f>setrules!D601&amp;IF(setrules!E601="","",",-"&amp;setrules!E601)</f>
        <v/>
      </c>
      <c r="B550" t="str">
        <f>setrules!F601&amp;IF(setrules!G601="","",",-"&amp;setrules!G601)&amp;IF(setrules!P601="","",",-"&amp;setrules!P601)</f>
        <v>ICOEMDRELC</v>
      </c>
      <c r="C550" t="str">
        <f>setrules!H601&amp;IF(setrules!I601="","",",-"&amp;setrules!I601)</f>
        <v/>
      </c>
      <c r="D550" t="str">
        <f>setrules!J601&amp;IF(setrules!K601="","",",-"&amp;setrules!K601)</f>
        <v/>
      </c>
      <c r="E550" t="str">
        <f>setrules!L601&amp;IF(setrules!M601="","",",-"&amp;setrules!M601)</f>
        <v/>
      </c>
      <c r="F550" t="str">
        <f>setrules!B601</f>
        <v>ICOMD_ELC</v>
      </c>
    </row>
    <row r="551" spans="1:6" x14ac:dyDescent="0.25">
      <c r="A551" t="str">
        <f>setrules!D602&amp;IF(setrules!E602="","",",-"&amp;setrules!E602)</f>
        <v/>
      </c>
      <c r="B551" t="str">
        <f>setrules!F602&amp;IF(setrules!G602="","",",-"&amp;setrules!G602)&amp;IF(setrules!P602="","",",-"&amp;setrules!P602)</f>
        <v>ICOEMDRNGA</v>
      </c>
      <c r="C551" t="str">
        <f>setrules!H602&amp;IF(setrules!I602="","",",-"&amp;setrules!I602)</f>
        <v/>
      </c>
      <c r="D551" t="str">
        <f>setrules!J602&amp;IF(setrules!K602="","",",-"&amp;setrules!K602)</f>
        <v/>
      </c>
      <c r="E551" t="str">
        <f>setrules!L602&amp;IF(setrules!M602="","",",-"&amp;setrules!M602)</f>
        <v/>
      </c>
      <c r="F551" t="str">
        <f>setrules!B602</f>
        <v>ICOMD_NGA</v>
      </c>
    </row>
    <row r="552" spans="1:6" x14ac:dyDescent="0.25">
      <c r="A552" t="str">
        <f>setrules!D603&amp;IF(setrules!E603="","",",-"&amp;setrules!E603)</f>
        <v/>
      </c>
      <c r="B552" t="str">
        <f>setrules!F603&amp;IF(setrules!G603="","",",-"&amp;setrules!G603)&amp;IF(setrules!P603="","",",-"&amp;setrules!P603)</f>
        <v>ICO*B*BIO,ICO*B*WOD,ICO*B*TOM,ICOEOHT*,ICOOHTOSTM,-ICO*BST*</v>
      </c>
      <c r="C552" t="str">
        <f>setrules!H603&amp;IF(setrules!I603="","",",-"&amp;setrules!I603)</f>
        <v/>
      </c>
      <c r="D552" t="str">
        <f>setrules!J603&amp;IF(setrules!K603="","",",-"&amp;setrules!K603)</f>
        <v/>
      </c>
      <c r="E552" t="str">
        <f>setrules!L603&amp;IF(setrules!M603="","",",-"&amp;setrules!M603)</f>
        <v/>
      </c>
      <c r="F552" t="str">
        <f>setrules!B603</f>
        <v>ICOOH_ALL</v>
      </c>
    </row>
    <row r="553" spans="1:6" x14ac:dyDescent="0.25">
      <c r="A553" t="str">
        <f>setrules!D604&amp;IF(setrules!E604="","",",-"&amp;setrules!E604)</f>
        <v/>
      </c>
      <c r="B553" t="str">
        <f>setrules!F604&amp;IF(setrules!G604="","",",-"&amp;setrules!G604)&amp;IF(setrules!P604="","",",-"&amp;setrules!P604)</f>
        <v>ICO*B*ELC,-ICO*BSTELC,-ICO*BSAELC</v>
      </c>
      <c r="C553" t="str">
        <f>setrules!H604&amp;IF(setrules!I604="","",",-"&amp;setrules!I604)</f>
        <v/>
      </c>
      <c r="D553" t="str">
        <f>setrules!J604&amp;IF(setrules!K604="","",",-"&amp;setrules!K604)</f>
        <v/>
      </c>
      <c r="E553" t="str">
        <f>setrules!L604&amp;IF(setrules!M604="","",",-"&amp;setrules!M604)</f>
        <v/>
      </c>
      <c r="F553" t="str">
        <f>setrules!B604</f>
        <v>ICOST_ELC</v>
      </c>
    </row>
    <row r="554" spans="1:6" x14ac:dyDescent="0.25">
      <c r="A554" t="str">
        <f>setrules!D605&amp;IF(setrules!E605="","",",-"&amp;setrules!E605)</f>
        <v/>
      </c>
      <c r="B554" t="str">
        <f>setrules!F605&amp;IF(setrules!G605="","",",-"&amp;setrules!G605)&amp;IF(setrules!P605="","",",-"&amp;setrules!P605)</f>
        <v>ICOEOHTLPG</v>
      </c>
      <c r="C554" t="str">
        <f>setrules!H605&amp;IF(setrules!I605="","",",-"&amp;setrules!I605)</f>
        <v/>
      </c>
      <c r="D554" t="str">
        <f>setrules!J605&amp;IF(setrules!K605="","",",-"&amp;setrules!K605)</f>
        <v/>
      </c>
      <c r="E554" t="str">
        <f>setrules!L605&amp;IF(setrules!M605="","",",-"&amp;setrules!M605)</f>
        <v/>
      </c>
      <c r="F554" t="str">
        <f>setrules!B605</f>
        <v>ICOOH_LPG</v>
      </c>
    </row>
    <row r="555" spans="1:6" x14ac:dyDescent="0.25">
      <c r="A555" t="str">
        <f>setrules!D606&amp;IF(setrules!E606="","",",-"&amp;setrules!E606)</f>
        <v/>
      </c>
      <c r="B555" t="str">
        <f>setrules!F606&amp;IF(setrules!G606="","",",-"&amp;setrules!G606)&amp;IF(setrules!P606="","",",-"&amp;setrules!P606)</f>
        <v>ICOH*NGA*</v>
      </c>
      <c r="C555" t="str">
        <f>setrules!H606&amp;IF(setrules!I606="","",",-"&amp;setrules!I606)</f>
        <v/>
      </c>
      <c r="D555" t="str">
        <f>setrules!J606&amp;IF(setrules!K606="","",",-"&amp;setrules!K606)</f>
        <v/>
      </c>
      <c r="E555" t="str">
        <f>setrules!L606&amp;IF(setrules!M606="","",",-"&amp;setrules!M606)</f>
        <v/>
      </c>
      <c r="F555" t="str">
        <f>setrules!B606</f>
        <v>ICOH_NGA</v>
      </c>
    </row>
    <row r="556" spans="1:6" x14ac:dyDescent="0.25">
      <c r="A556" t="str">
        <f>setrules!D607&amp;IF(setrules!E607="","",",-"&amp;setrules!E607)</f>
        <v/>
      </c>
      <c r="B556" t="str">
        <f>setrules!F607&amp;IF(setrules!G607="","",",-"&amp;setrules!G607)&amp;IF(setrules!P607="","",",-"&amp;setrules!P607)</f>
        <v>ICOEOHTOTP</v>
      </c>
      <c r="C556" t="str">
        <f>setrules!H607&amp;IF(setrules!I607="","",",-"&amp;setrules!I607)</f>
        <v/>
      </c>
      <c r="D556" t="str">
        <f>setrules!J607&amp;IF(setrules!K607="","",",-"&amp;setrules!K607)</f>
        <v/>
      </c>
      <c r="E556" t="str">
        <f>setrules!L607&amp;IF(setrules!M607="","",",-"&amp;setrules!M607)</f>
        <v/>
      </c>
      <c r="F556" t="str">
        <f>setrules!B607</f>
        <v>ICOOH_OTP</v>
      </c>
    </row>
    <row r="557" spans="1:6" x14ac:dyDescent="0.25">
      <c r="A557" t="str">
        <f>setrules!D608&amp;IF(setrules!E608="","",",-"&amp;setrules!E608)</f>
        <v/>
      </c>
      <c r="B557" t="str">
        <f>setrules!F608&amp;IF(setrules!G608="","",",-"&amp;setrules!G608)&amp;IF(setrules!P608="","",",-"&amp;setrules!P608)</f>
        <v>ICOEPRH*</v>
      </c>
      <c r="C557" t="str">
        <f>setrules!H608&amp;IF(setrules!I608="","",",-"&amp;setrules!I608)</f>
        <v/>
      </c>
      <c r="D557" t="str">
        <f>setrules!J608&amp;IF(setrules!K608="","",",-"&amp;setrules!K608)</f>
        <v/>
      </c>
      <c r="E557" t="str">
        <f>setrules!L608&amp;IF(setrules!M608="","",",-"&amp;setrules!M608)</f>
        <v/>
      </c>
      <c r="F557" t="str">
        <f>setrules!B608</f>
        <v>ICOPH_ALL</v>
      </c>
    </row>
    <row r="558" spans="1:6" x14ac:dyDescent="0.25">
      <c r="A558" t="str">
        <f>setrules!D609&amp;IF(setrules!E609="","",",-"&amp;setrules!E609)</f>
        <v/>
      </c>
      <c r="B558" t="str">
        <f>setrules!F609&amp;IF(setrules!G609="","",",-"&amp;setrules!G609)&amp;IF(setrules!P609="","",",-"&amp;setrules!P609)</f>
        <v>ICOEPRHCOA</v>
      </c>
      <c r="C558" t="str">
        <f>setrules!H609&amp;IF(setrules!I609="","",",-"&amp;setrules!I609)</f>
        <v/>
      </c>
      <c r="D558" t="str">
        <f>setrules!J609&amp;IF(setrules!K609="","",",-"&amp;setrules!K609)</f>
        <v/>
      </c>
      <c r="E558" t="str">
        <f>setrules!L609&amp;IF(setrules!M609="","",",-"&amp;setrules!M609)</f>
        <v/>
      </c>
      <c r="F558" t="str">
        <f>setrules!B609</f>
        <v>ICOPH_COA</v>
      </c>
    </row>
    <row r="559" spans="1:6" x14ac:dyDescent="0.25">
      <c r="A559" t="str">
        <f>setrules!D610&amp;IF(setrules!E610="","",",-"&amp;setrules!E610)</f>
        <v/>
      </c>
      <c r="B559" t="str">
        <f>setrules!F610&amp;IF(setrules!G610="","",",-"&amp;setrules!G610)&amp;IF(setrules!P610="","",",-"&amp;setrules!P610)</f>
        <v>ICOEPRHELC</v>
      </c>
      <c r="C559" t="str">
        <f>setrules!H610&amp;IF(setrules!I610="","",",-"&amp;setrules!I610)</f>
        <v/>
      </c>
      <c r="D559" t="str">
        <f>setrules!J610&amp;IF(setrules!K610="","",",-"&amp;setrules!K610)</f>
        <v/>
      </c>
      <c r="E559" t="str">
        <f>setrules!L610&amp;IF(setrules!M610="","",",-"&amp;setrules!M610)</f>
        <v/>
      </c>
      <c r="F559" t="str">
        <f>setrules!B610</f>
        <v>ICOPH_ELC</v>
      </c>
    </row>
    <row r="560" spans="1:6" x14ac:dyDescent="0.25">
      <c r="A560" t="str">
        <f>setrules!D611&amp;IF(setrules!E611="","",",-"&amp;setrules!E611)</f>
        <v/>
      </c>
      <c r="B560" t="str">
        <f>setrules!F611&amp;IF(setrules!G611="","",",-"&amp;setrules!G611)&amp;IF(setrules!P611="","",",-"&amp;setrules!P611)</f>
        <v>ICOEPRHNGA</v>
      </c>
      <c r="C560" t="str">
        <f>setrules!H611&amp;IF(setrules!I611="","",",-"&amp;setrules!I611)</f>
        <v/>
      </c>
      <c r="D560" t="str">
        <f>setrules!J611&amp;IF(setrules!K611="","",",-"&amp;setrules!K611)</f>
        <v/>
      </c>
      <c r="E560" t="str">
        <f>setrules!L611&amp;IF(setrules!M611="","",",-"&amp;setrules!M611)</f>
        <v/>
      </c>
      <c r="F560" t="str">
        <f>setrules!B611</f>
        <v>ICOPH_NGA</v>
      </c>
    </row>
    <row r="561" spans="1:6" x14ac:dyDescent="0.25">
      <c r="A561" t="str">
        <f>setrules!D612&amp;IF(setrules!E612="","",",-"&amp;setrules!E612)</f>
        <v/>
      </c>
      <c r="B561" t="str">
        <f>setrules!F612&amp;IF(setrules!G612="","",",-"&amp;setrules!G612)&amp;IF(setrules!P612="","",",-"&amp;setrules!P612)</f>
        <v>ICO*B*,ICOBOLFSTM,-ICO*B*BIO,-ICO*B*WOD,-ICO*B*TOM,-ICO*BST*,-ICO*BSA*</v>
      </c>
      <c r="C561" t="str">
        <f>setrules!H612&amp;IF(setrules!I612="","",",-"&amp;setrules!I612)</f>
        <v/>
      </c>
      <c r="D561" t="str">
        <f>setrules!J612&amp;IF(setrules!K612="","",",-"&amp;setrules!K612)</f>
        <v/>
      </c>
      <c r="E561" t="str">
        <f>setrules!L612&amp;IF(setrules!M612="","",",-"&amp;setrules!M612)</f>
        <v/>
      </c>
      <c r="F561" t="str">
        <f>setrules!B612</f>
        <v>ICOST_ALL</v>
      </c>
    </row>
    <row r="562" spans="1:6" x14ac:dyDescent="0.25">
      <c r="A562" t="str">
        <f>setrules!D613&amp;IF(setrules!E613="","",",-"&amp;setrules!E613)</f>
        <v/>
      </c>
      <c r="B562" t="str">
        <f>setrules!F613&amp;IF(setrules!G613="","",",-"&amp;setrules!G613)&amp;IF(setrules!P613="","",",-"&amp;setrules!P613)</f>
        <v>ICOBOLFSTM</v>
      </c>
      <c r="C562" t="str">
        <f>setrules!H613&amp;IF(setrules!I613="","",",-"&amp;setrules!I613)</f>
        <v/>
      </c>
      <c r="D562" t="str">
        <f>setrules!J613&amp;IF(setrules!K613="","",",-"&amp;setrules!K613)</f>
        <v/>
      </c>
      <c r="E562" t="str">
        <f>setrules!L613&amp;IF(setrules!M613="","",",-"&amp;setrules!M613)</f>
        <v/>
      </c>
      <c r="F562" t="str">
        <f>setrules!B613</f>
        <v>ICOST_CHP</v>
      </c>
    </row>
    <row r="563" spans="1:6" x14ac:dyDescent="0.25">
      <c r="A563" t="str">
        <f>setrules!D614&amp;IF(setrules!E614="","",",-"&amp;setrules!E614)</f>
        <v/>
      </c>
      <c r="B563" t="str">
        <f>setrules!F614&amp;IF(setrules!G614="","",",-"&amp;setrules!G614)&amp;IF(setrules!P614="","",",-"&amp;setrules!P614)</f>
        <v>ICOEOHTDST</v>
      </c>
      <c r="C563" t="str">
        <f>setrules!H614&amp;IF(setrules!I614="","",",-"&amp;setrules!I614)</f>
        <v/>
      </c>
      <c r="D563" t="str">
        <f>setrules!J614&amp;IF(setrules!K614="","",",-"&amp;setrules!K614)</f>
        <v/>
      </c>
      <c r="E563" t="str">
        <f>setrules!L614&amp;IF(setrules!M614="","",",-"&amp;setrules!M614)</f>
        <v/>
      </c>
      <c r="F563" t="str">
        <f>setrules!B614</f>
        <v>ICOOH_DST</v>
      </c>
    </row>
    <row r="564" spans="1:6" x14ac:dyDescent="0.25">
      <c r="A564" t="str">
        <f>setrules!D615&amp;IF(setrules!E615="","",",-"&amp;setrules!E615)</f>
        <v/>
      </c>
      <c r="B564" t="str">
        <f>setrules!F615&amp;IF(setrules!G615="","",",-"&amp;setrules!G615)&amp;IF(setrules!P615="","",",-"&amp;setrules!P615)</f>
        <v>ITOH*</v>
      </c>
      <c r="C564" t="str">
        <f>setrules!H615&amp;IF(setrules!I615="","",",-"&amp;setrules!I615)</f>
        <v/>
      </c>
      <c r="D564" t="str">
        <f>setrules!J615&amp;IF(setrules!K615="","",",-"&amp;setrules!K615)</f>
        <v/>
      </c>
      <c r="E564" t="str">
        <f>setrules!L615&amp;IF(setrules!M615="","",",-"&amp;setrules!M615)</f>
        <v/>
      </c>
      <c r="F564" t="str">
        <f>setrules!B615</f>
        <v>ITOH_ALL</v>
      </c>
    </row>
    <row r="565" spans="1:6" x14ac:dyDescent="0.25">
      <c r="A565" t="str">
        <f>setrules!D616&amp;IF(setrules!E616="","",",-"&amp;setrules!E616)</f>
        <v/>
      </c>
      <c r="B565" t="str">
        <f>setrules!F616&amp;IF(setrules!G616="","",",-"&amp;setrules!G616)&amp;IF(setrules!P616="","",",-"&amp;setrules!P616)</f>
        <v>ITB*</v>
      </c>
      <c r="C565" t="str">
        <f>setrules!H616&amp;IF(setrules!I616="","",",-"&amp;setrules!I616)</f>
        <v/>
      </c>
      <c r="D565" t="str">
        <f>setrules!J616&amp;IF(setrules!K616="","",",-"&amp;setrules!K616)</f>
        <v/>
      </c>
      <c r="E565" t="str">
        <f>setrules!L616&amp;IF(setrules!M616="","",",-"&amp;setrules!M616)</f>
        <v/>
      </c>
      <c r="F565" t="str">
        <f>setrules!B616</f>
        <v>ITS_ALL</v>
      </c>
    </row>
    <row r="566" spans="1:6" x14ac:dyDescent="0.25">
      <c r="A566" t="str">
        <f>setrules!D617&amp;IF(setrules!E617="","",",-"&amp;setrules!E617)</f>
        <v/>
      </c>
      <c r="B566" t="str">
        <f>setrules!F617&amp;IF(setrules!G617="","",",-"&amp;setrules!G617)&amp;IF(setrules!P617="","",",-"&amp;setrules!P617)</f>
        <v>ITFACELC*</v>
      </c>
      <c r="C566" t="str">
        <f>setrules!H617&amp;IF(setrules!I617="","",",-"&amp;setrules!I617)</f>
        <v/>
      </c>
      <c r="D566" t="str">
        <f>setrules!J617&amp;IF(setrules!K617="","",",-"&amp;setrules!K617)</f>
        <v/>
      </c>
      <c r="E566" t="str">
        <f>setrules!L617&amp;IF(setrules!M617="","",",-"&amp;setrules!M617)</f>
        <v/>
      </c>
      <c r="F566" t="str">
        <f>setrules!B617</f>
        <v>ITFA_ELC</v>
      </c>
    </row>
    <row r="567" spans="1:6" x14ac:dyDescent="0.25">
      <c r="A567" t="str">
        <f>setrules!D618&amp;IF(setrules!E618="","",",-"&amp;setrules!E618)</f>
        <v/>
      </c>
      <c r="B567" t="str">
        <f>setrules!F618&amp;IF(setrules!G618="","",",-"&amp;setrules!G618)&amp;IF(setrules!P618="","",",-"&amp;setrules!P618)</f>
        <v>ITFACLPG*</v>
      </c>
      <c r="C567" t="str">
        <f>setrules!H618&amp;IF(setrules!I618="","",",-"&amp;setrules!I618)</f>
        <v/>
      </c>
      <c r="D567" t="str">
        <f>setrules!J618&amp;IF(setrules!K618="","",",-"&amp;setrules!K618)</f>
        <v/>
      </c>
      <c r="E567" t="str">
        <f>setrules!L618&amp;IF(setrules!M618="","",",-"&amp;setrules!M618)</f>
        <v/>
      </c>
      <c r="F567" t="str">
        <f>setrules!B618</f>
        <v>ITFA_LPG</v>
      </c>
    </row>
    <row r="568" spans="1:6" x14ac:dyDescent="0.25">
      <c r="A568" t="str">
        <f>setrules!D619&amp;IF(setrules!E619="","",",-"&amp;setrules!E619)</f>
        <v/>
      </c>
      <c r="B568" t="str">
        <f>setrules!F619&amp;IF(setrules!G619="","",",-"&amp;setrules!G619)&amp;IF(setrules!P619="","",",-"&amp;setrules!P619)</f>
        <v>ITFACNGA*</v>
      </c>
      <c r="C568" t="str">
        <f>setrules!H619&amp;IF(setrules!I619="","",",-"&amp;setrules!I619)</f>
        <v/>
      </c>
      <c r="D568" t="str">
        <f>setrules!J619&amp;IF(setrules!K619="","",",-"&amp;setrules!K619)</f>
        <v/>
      </c>
      <c r="E568" t="str">
        <f>setrules!L619&amp;IF(setrules!M619="","",",-"&amp;setrules!M619)</f>
        <v/>
      </c>
      <c r="F568" t="str">
        <f>setrules!B619</f>
        <v>ITFA_NGA</v>
      </c>
    </row>
    <row r="569" spans="1:6" x14ac:dyDescent="0.25">
      <c r="A569" t="str">
        <f>setrules!D620&amp;IF(setrules!E620="","",",-"&amp;setrules!E620)</f>
        <v/>
      </c>
      <c r="B569" t="str">
        <f>setrules!F620&amp;IF(setrules!G620="","",",-"&amp;setrules!G620)&amp;IF(setrules!P620="","",",-"&amp;setrules!P620)</f>
        <v>ITFACRFL*</v>
      </c>
      <c r="C569" t="str">
        <f>setrules!H620&amp;IF(setrules!I620="","",",-"&amp;setrules!I620)</f>
        <v/>
      </c>
      <c r="D569" t="str">
        <f>setrules!J620&amp;IF(setrules!K620="","",",-"&amp;setrules!K620)</f>
        <v/>
      </c>
      <c r="E569" t="str">
        <f>setrules!L620&amp;IF(setrules!M620="","",",-"&amp;setrules!M620)</f>
        <v/>
      </c>
      <c r="F569" t="str">
        <f>setrules!B620</f>
        <v>ITFA_RFL</v>
      </c>
    </row>
    <row r="570" spans="1:6" x14ac:dyDescent="0.25">
      <c r="A570" t="str">
        <f>setrules!D621&amp;IF(setrules!E621="","",",-"&amp;setrules!E621)</f>
        <v/>
      </c>
      <c r="B570" t="str">
        <f>setrules!F621&amp;IF(setrules!G621="","",",-"&amp;setrules!G621)&amp;IF(setrules!P621="","",",-"&amp;setrules!P621)</f>
        <v>ITM*</v>
      </c>
      <c r="C570" t="str">
        <f>setrules!H621&amp;IF(setrules!I621="","",",-"&amp;setrules!I621)</f>
        <v/>
      </c>
      <c r="D570" t="str">
        <f>setrules!J621&amp;IF(setrules!K621="","",",-"&amp;setrules!K621)</f>
        <v/>
      </c>
      <c r="E570" t="str">
        <f>setrules!L621&amp;IF(setrules!M621="","",",-"&amp;setrules!M621)</f>
        <v/>
      </c>
      <c r="F570" t="str">
        <f>setrules!B621</f>
        <v>ITM_ALL</v>
      </c>
    </row>
    <row r="571" spans="1:6" x14ac:dyDescent="0.25">
      <c r="A571" t="str">
        <f>setrules!D622&amp;IF(setrules!E622="","",",-"&amp;setrules!E622)</f>
        <v/>
      </c>
      <c r="B571" t="str">
        <f>setrules!F622&amp;IF(setrules!G622="","",",-"&amp;setrules!G622)&amp;IF(setrules!P622="","",",-"&amp;setrules!P622)</f>
        <v>ITFAC*</v>
      </c>
      <c r="C571" t="str">
        <f>setrules!H622&amp;IF(setrules!I622="","",",-"&amp;setrules!I622)</f>
        <v/>
      </c>
      <c r="D571" t="str">
        <f>setrules!J622&amp;IF(setrules!K622="","",",-"&amp;setrules!K622)</f>
        <v/>
      </c>
      <c r="E571" t="str">
        <f>setrules!L622&amp;IF(setrules!M622="","",",-"&amp;setrules!M622)</f>
        <v/>
      </c>
      <c r="F571" t="str">
        <f>setrules!B622</f>
        <v>ITFA_ALL</v>
      </c>
    </row>
    <row r="572" spans="1:6" x14ac:dyDescent="0.25">
      <c r="A572" t="str">
        <f>setrules!D623&amp;IF(setrules!E623="","",",-"&amp;setrules!E623)</f>
        <v/>
      </c>
      <c r="B572" t="str">
        <f>setrules!F623&amp;IF(setrules!G623="","",",-"&amp;setrules!G623)&amp;IF(setrules!P623="","",",-"&amp;setrules!P623)</f>
        <v>ITM*NGA*</v>
      </c>
      <c r="C572" t="str">
        <f>setrules!H623&amp;IF(setrules!I623="","",",-"&amp;setrules!I623)</f>
        <v/>
      </c>
      <c r="D572" t="str">
        <f>setrules!J623&amp;IF(setrules!K623="","",",-"&amp;setrules!K623)</f>
        <v/>
      </c>
      <c r="E572" t="str">
        <f>setrules!L623&amp;IF(setrules!M623="","",",-"&amp;setrules!M623)</f>
        <v/>
      </c>
      <c r="F572" t="str">
        <f>setrules!B623</f>
        <v>ITM_NGA</v>
      </c>
    </row>
    <row r="573" spans="1:6" x14ac:dyDescent="0.25">
      <c r="A573" t="str">
        <f>setrules!D624&amp;IF(setrules!E624="","",",-"&amp;setrules!E624)</f>
        <v/>
      </c>
      <c r="B573" t="str">
        <f>setrules!F624&amp;IF(setrules!G624="","",",-"&amp;setrules!G624)&amp;IF(setrules!P624="","",",-"&amp;setrules!P624)</f>
        <v>ITFS*OTH*</v>
      </c>
      <c r="C573" t="str">
        <f>setrules!H624&amp;IF(setrules!I624="","",",-"&amp;setrules!I624)</f>
        <v/>
      </c>
      <c r="D573" t="str">
        <f>setrules!J624&amp;IF(setrules!K624="","",",-"&amp;setrules!K624)</f>
        <v/>
      </c>
      <c r="E573" t="str">
        <f>setrules!L624&amp;IF(setrules!M624="","",",-"&amp;setrules!M624)</f>
        <v/>
      </c>
      <c r="F573" t="str">
        <f>setrules!B624</f>
        <v>ITF_OTH</v>
      </c>
    </row>
    <row r="574" spans="1:6" x14ac:dyDescent="0.25">
      <c r="A574" t="str">
        <f>setrules!D625&amp;IF(setrules!E625="","",",-"&amp;setrules!E625)</f>
        <v/>
      </c>
      <c r="B574" t="str">
        <f>setrules!F625&amp;IF(setrules!G625="","",",-"&amp;setrules!G625)&amp;IF(setrules!P625="","",",-"&amp;setrules!P625)</f>
        <v>ITOH*ELC*</v>
      </c>
      <c r="C574" t="str">
        <f>setrules!H625&amp;IF(setrules!I625="","",",-"&amp;setrules!I625)</f>
        <v/>
      </c>
      <c r="D574" t="str">
        <f>setrules!J625&amp;IF(setrules!K625="","",",-"&amp;setrules!K625)</f>
        <v/>
      </c>
      <c r="E574" t="str">
        <f>setrules!L625&amp;IF(setrules!M625="","",",-"&amp;setrules!M625)</f>
        <v/>
      </c>
      <c r="F574" t="str">
        <f>setrules!B625</f>
        <v>ITOH_ELC</v>
      </c>
    </row>
    <row r="575" spans="1:6" x14ac:dyDescent="0.25">
      <c r="A575" t="str">
        <f>setrules!D626&amp;IF(setrules!E626="","",",-"&amp;setrules!E626)</f>
        <v/>
      </c>
      <c r="B575" t="str">
        <f>setrules!F626&amp;IF(setrules!G626="","",",-"&amp;setrules!G626)&amp;IF(setrules!P626="","",",-"&amp;setrules!P626)</f>
        <v>ITOH*NGA*</v>
      </c>
      <c r="C575" t="str">
        <f>setrules!H626&amp;IF(setrules!I626="","",",-"&amp;setrules!I626)</f>
        <v/>
      </c>
      <c r="D575" t="str">
        <f>setrules!J626&amp;IF(setrules!K626="","",",-"&amp;setrules!K626)</f>
        <v/>
      </c>
      <c r="E575" t="str">
        <f>setrules!L626&amp;IF(setrules!M626="","",",-"&amp;setrules!M626)</f>
        <v/>
      </c>
      <c r="F575" t="str">
        <f>setrules!B626</f>
        <v>ITOH_NGA</v>
      </c>
    </row>
    <row r="576" spans="1:6" x14ac:dyDescent="0.25">
      <c r="A576" t="str">
        <f>setrules!D627&amp;IF(setrules!E627="","",",-"&amp;setrules!E627)</f>
        <v/>
      </c>
      <c r="B576" t="str">
        <f>setrules!F627&amp;IF(setrules!G627="","",",-"&amp;setrules!G627)&amp;IF(setrules!P627="","",",-"&amp;setrules!P627)</f>
        <v>ITOH*RSTM*</v>
      </c>
      <c r="C576" t="str">
        <f>setrules!H627&amp;IF(setrules!I627="","",",-"&amp;setrules!I627)</f>
        <v/>
      </c>
      <c r="D576" t="str">
        <f>setrules!J627&amp;IF(setrules!K627="","",",-"&amp;setrules!K627)</f>
        <v/>
      </c>
      <c r="E576" t="str">
        <f>setrules!L627&amp;IF(setrules!M627="","",",-"&amp;setrules!M627)</f>
        <v/>
      </c>
      <c r="F576" t="str">
        <f>setrules!B627</f>
        <v>ITOH_RSTM</v>
      </c>
    </row>
    <row r="577" spans="1:6" x14ac:dyDescent="0.25">
      <c r="A577" t="str">
        <f>setrules!D628&amp;IF(setrules!E628="","",",-"&amp;setrules!E628)</f>
        <v/>
      </c>
      <c r="B577" t="str">
        <f>setrules!F628&amp;IF(setrules!G628="","",",-"&amp;setrules!G628)&amp;IF(setrules!P628="","",",-"&amp;setrules!P628)</f>
        <v>ITP*</v>
      </c>
      <c r="C577" t="str">
        <f>setrules!H628&amp;IF(setrules!I628="","",",-"&amp;setrules!I628)</f>
        <v/>
      </c>
      <c r="D577" t="str">
        <f>setrules!J628&amp;IF(setrules!K628="","",",-"&amp;setrules!K628)</f>
        <v/>
      </c>
      <c r="E577" t="str">
        <f>setrules!L628&amp;IF(setrules!M628="","",",-"&amp;setrules!M628)</f>
        <v/>
      </c>
      <c r="F577" t="str">
        <f>setrules!B628</f>
        <v>ITP_ALL</v>
      </c>
    </row>
    <row r="578" spans="1:6" x14ac:dyDescent="0.25">
      <c r="A578" t="str">
        <f>setrules!D629&amp;IF(setrules!E629="","",",-"&amp;setrules!E629)</f>
        <v/>
      </c>
      <c r="B578" t="str">
        <f>setrules!F629&amp;IF(setrules!G629="","",",-"&amp;setrules!G629)&amp;IF(setrules!P629="","",",-"&amp;setrules!P629)</f>
        <v>ITP*ELC*</v>
      </c>
      <c r="C578" t="str">
        <f>setrules!H629&amp;IF(setrules!I629="","",",-"&amp;setrules!I629)</f>
        <v/>
      </c>
      <c r="D578" t="str">
        <f>setrules!J629&amp;IF(setrules!K629="","",",-"&amp;setrules!K629)</f>
        <v/>
      </c>
      <c r="E578" t="str">
        <f>setrules!L629&amp;IF(setrules!M629="","",",-"&amp;setrules!M629)</f>
        <v/>
      </c>
      <c r="F578" t="str">
        <f>setrules!B629</f>
        <v>ITP_ELC</v>
      </c>
    </row>
    <row r="579" spans="1:6" x14ac:dyDescent="0.25">
      <c r="A579" t="str">
        <f>setrules!D630&amp;IF(setrules!E630="","",",-"&amp;setrules!E630)</f>
        <v/>
      </c>
      <c r="B579" t="str">
        <f>setrules!F630&amp;IF(setrules!G630="","",",-"&amp;setrules!G630)&amp;IF(setrules!P630="","",",-"&amp;setrules!P630)</f>
        <v>ITP*LPG*</v>
      </c>
      <c r="C579" t="str">
        <f>setrules!H630&amp;IF(setrules!I630="","",",-"&amp;setrules!I630)</f>
        <v/>
      </c>
      <c r="D579" t="str">
        <f>setrules!J630&amp;IF(setrules!K630="","",",-"&amp;setrules!K630)</f>
        <v/>
      </c>
      <c r="E579" t="str">
        <f>setrules!L630&amp;IF(setrules!M630="","",",-"&amp;setrules!M630)</f>
        <v/>
      </c>
      <c r="F579" t="str">
        <f>setrules!B630</f>
        <v>ITP_LPG</v>
      </c>
    </row>
    <row r="580" spans="1:6" x14ac:dyDescent="0.25">
      <c r="A580" t="str">
        <f>setrules!D631&amp;IF(setrules!E631="","",",-"&amp;setrules!E631)</f>
        <v/>
      </c>
      <c r="B580" t="str">
        <f>setrules!F631&amp;IF(setrules!G631="","",",-"&amp;setrules!G631)&amp;IF(setrules!P631="","",",-"&amp;setrules!P631)</f>
        <v>TL*</v>
      </c>
      <c r="C580" t="str">
        <f>setrules!H631&amp;IF(setrules!I631="","",",-"&amp;setrules!I631)</f>
        <v>*.FCH.*</v>
      </c>
      <c r="D580" t="str">
        <f>setrules!J631&amp;IF(setrules!K631="","",",-"&amp;setrules!K631)</f>
        <v/>
      </c>
      <c r="E580" t="str">
        <f>setrules!L631&amp;IF(setrules!M631="","",",-"&amp;setrules!M631)</f>
        <v/>
      </c>
      <c r="F580" t="str">
        <f>setrules!B631</f>
        <v>LDFCHT</v>
      </c>
    </row>
    <row r="581" spans="1:6" x14ac:dyDescent="0.25">
      <c r="A581" t="str">
        <f>setrules!D632&amp;IF(setrules!E632="","",",-"&amp;setrules!E632)</f>
        <v/>
      </c>
      <c r="B581" t="str">
        <f>setrules!F632&amp;IF(setrules!G632="","",",-"&amp;setrules!G632)&amp;IF(setrules!P632="","",",-"&amp;setrules!P632)</f>
        <v>ITM*ELC*</v>
      </c>
      <c r="C581" t="str">
        <f>setrules!H632&amp;IF(setrules!I632="","",",-"&amp;setrules!I632)</f>
        <v/>
      </c>
      <c r="D581" t="str">
        <f>setrules!J632&amp;IF(setrules!K632="","",",-"&amp;setrules!K632)</f>
        <v/>
      </c>
      <c r="E581" t="str">
        <f>setrules!L632&amp;IF(setrules!M632="","",",-"&amp;setrules!M632)</f>
        <v/>
      </c>
      <c r="F581" t="str">
        <f>setrules!B632</f>
        <v>ITM_ELC</v>
      </c>
    </row>
    <row r="582" spans="1:6" x14ac:dyDescent="0.25">
      <c r="A582" t="str">
        <f>setrules!D633&amp;IF(setrules!E633="","",",-"&amp;setrules!E633)</f>
        <v/>
      </c>
      <c r="B582" t="str">
        <f>setrules!F633&amp;IF(setrules!G633="","",",-"&amp;setrules!G633)&amp;IF(setrules!P633="","",",-"&amp;setrules!P633)</f>
        <v>IPB*DST*</v>
      </c>
      <c r="C582" t="str">
        <f>setrules!H633&amp;IF(setrules!I633="","",",-"&amp;setrules!I633)</f>
        <v/>
      </c>
      <c r="D582" t="str">
        <f>setrules!J633&amp;IF(setrules!K633="","",",-"&amp;setrules!K633)</f>
        <v/>
      </c>
      <c r="E582" t="str">
        <f>setrules!L633&amp;IF(setrules!M633="","",",-"&amp;setrules!M633)</f>
        <v/>
      </c>
      <c r="F582" t="str">
        <f>setrules!B633</f>
        <v>IPS_DST</v>
      </c>
    </row>
    <row r="583" spans="1:6" x14ac:dyDescent="0.25">
      <c r="A583" t="str">
        <f>setrules!D634&amp;IF(setrules!E634="","",",-"&amp;setrules!E634)</f>
        <v/>
      </c>
      <c r="B583" t="str">
        <f>setrules!F634&amp;IF(setrules!G634="","",",-"&amp;setrules!G634)&amp;IF(setrules!P634="","",",-"&amp;setrules!P634)</f>
        <v>IPPRH*COA*</v>
      </c>
      <c r="C583" t="str">
        <f>setrules!H634&amp;IF(setrules!I634="","",",-"&amp;setrules!I634)</f>
        <v/>
      </c>
      <c r="D583" t="str">
        <f>setrules!J634&amp;IF(setrules!K634="","",",-"&amp;setrules!K634)</f>
        <v/>
      </c>
      <c r="E583" t="str">
        <f>setrules!L634&amp;IF(setrules!M634="","",",-"&amp;setrules!M634)</f>
        <v/>
      </c>
      <c r="F583" t="str">
        <f>setrules!B634</f>
        <v>IPP_COA</v>
      </c>
    </row>
    <row r="584" spans="1:6" x14ac:dyDescent="0.25">
      <c r="A584" t="str">
        <f>setrules!D635&amp;IF(setrules!E635="","",",-"&amp;setrules!E635)</f>
        <v/>
      </c>
      <c r="B584" t="str">
        <f>setrules!F635&amp;IF(setrules!G635="","",",-"&amp;setrules!G635)&amp;IF(setrules!P635="","",",-"&amp;setrules!P635)</f>
        <v>IPPRH*DST*</v>
      </c>
      <c r="C584" t="str">
        <f>setrules!H635&amp;IF(setrules!I635="","",",-"&amp;setrules!I635)</f>
        <v/>
      </c>
      <c r="D584" t="str">
        <f>setrules!J635&amp;IF(setrules!K635="","",",-"&amp;setrules!K635)</f>
        <v/>
      </c>
      <c r="E584" t="str">
        <f>setrules!L635&amp;IF(setrules!M635="","",",-"&amp;setrules!M635)</f>
        <v/>
      </c>
      <c r="F584" t="str">
        <f>setrules!B635</f>
        <v>IPP_DST</v>
      </c>
    </row>
    <row r="585" spans="1:6" x14ac:dyDescent="0.25">
      <c r="A585" t="str">
        <f>setrules!D636&amp;IF(setrules!E636="","",",-"&amp;setrules!E636)</f>
        <v/>
      </c>
      <c r="B585" t="str">
        <f>setrules!F636&amp;IF(setrules!G636="","",",-"&amp;setrules!G636)&amp;IF(setrules!P636="","",",-"&amp;setrules!P636)</f>
        <v>IPPRH*ELC*</v>
      </c>
      <c r="C585" t="str">
        <f>setrules!H636&amp;IF(setrules!I636="","",",-"&amp;setrules!I636)</f>
        <v/>
      </c>
      <c r="D585" t="str">
        <f>setrules!J636&amp;IF(setrules!K636="","",",-"&amp;setrules!K636)</f>
        <v/>
      </c>
      <c r="E585" t="str">
        <f>setrules!L636&amp;IF(setrules!M636="","",",-"&amp;setrules!M636)</f>
        <v/>
      </c>
      <c r="F585" t="str">
        <f>setrules!B636</f>
        <v>IPP_ELC</v>
      </c>
    </row>
    <row r="586" spans="1:6" x14ac:dyDescent="0.25">
      <c r="A586" t="str">
        <f>setrules!D637&amp;IF(setrules!E637="","",",-"&amp;setrules!E637)</f>
        <v/>
      </c>
      <c r="B586" t="str">
        <f>setrules!F637&amp;IF(setrules!G637="","",",-"&amp;setrules!G637)&amp;IF(setrules!P637="","",",-"&amp;setrules!P637)</f>
        <v>IPPRH*LPG*</v>
      </c>
      <c r="C586" t="str">
        <f>setrules!H637&amp;IF(setrules!I637="","",",-"&amp;setrules!I637)</f>
        <v/>
      </c>
      <c r="D586" t="str">
        <f>setrules!J637&amp;IF(setrules!K637="","",",-"&amp;setrules!K637)</f>
        <v/>
      </c>
      <c r="E586" t="str">
        <f>setrules!L637&amp;IF(setrules!M637="","",",-"&amp;setrules!M637)</f>
        <v/>
      </c>
      <c r="F586" t="str">
        <f>setrules!B637</f>
        <v>IPP_LPG</v>
      </c>
    </row>
    <row r="587" spans="1:6" x14ac:dyDescent="0.25">
      <c r="A587" t="str">
        <f>setrules!D638&amp;IF(setrules!E638="","",",-"&amp;setrules!E638)</f>
        <v/>
      </c>
      <c r="B587" t="str">
        <f>setrules!F638&amp;IF(setrules!G638="","",",-"&amp;setrules!G638)&amp;IF(setrules!P638="","",",-"&amp;setrules!P638)</f>
        <v>IPPRH*NGA*</v>
      </c>
      <c r="C587" t="str">
        <f>setrules!H638&amp;IF(setrules!I638="","",",-"&amp;setrules!I638)</f>
        <v/>
      </c>
      <c r="D587" t="str">
        <f>setrules!J638&amp;IF(setrules!K638="","",",-"&amp;setrules!K638)</f>
        <v/>
      </c>
      <c r="E587" t="str">
        <f>setrules!L638&amp;IF(setrules!M638="","",",-"&amp;setrules!M638)</f>
        <v/>
      </c>
      <c r="F587" t="str">
        <f>setrules!B638</f>
        <v>IPP_NGA</v>
      </c>
    </row>
    <row r="588" spans="1:6" x14ac:dyDescent="0.25">
      <c r="A588" t="str">
        <f>setrules!D639&amp;IF(setrules!E639="","",",-"&amp;setrules!E639)</f>
        <v/>
      </c>
      <c r="B588" t="str">
        <f>setrules!F639&amp;IF(setrules!G639="","",",-"&amp;setrules!G639)&amp;IF(setrules!P639="","",",-"&amp;setrules!P639)</f>
        <v>IPPRH*RFL*</v>
      </c>
      <c r="C588" t="str">
        <f>setrules!H639&amp;IF(setrules!I639="","",",-"&amp;setrules!I639)</f>
        <v/>
      </c>
      <c r="D588" t="str">
        <f>setrules!J639&amp;IF(setrules!K639="","",",-"&amp;setrules!K639)</f>
        <v/>
      </c>
      <c r="E588" t="str">
        <f>setrules!L639&amp;IF(setrules!M639="","",",-"&amp;setrules!M639)</f>
        <v/>
      </c>
      <c r="F588" t="str">
        <f>setrules!B639</f>
        <v>IPP_RFL</v>
      </c>
    </row>
    <row r="589" spans="1:6" x14ac:dyDescent="0.25">
      <c r="A589" t="str">
        <f>setrules!D640&amp;IF(setrules!E640="","",",-"&amp;setrules!E640)</f>
        <v/>
      </c>
      <c r="B589" t="str">
        <f>setrules!F640&amp;IF(setrules!G640="","",",-"&amp;setrules!G640)&amp;IF(setrules!P640="","",",-"&amp;setrules!P640)</f>
        <v>ITFACDST*</v>
      </c>
      <c r="C589" t="str">
        <f>setrules!H640&amp;IF(setrules!I640="","",",-"&amp;setrules!I640)</f>
        <v/>
      </c>
      <c r="D589" t="str">
        <f>setrules!J640&amp;IF(setrules!K640="","",",-"&amp;setrules!K640)</f>
        <v/>
      </c>
      <c r="E589" t="str">
        <f>setrules!L640&amp;IF(setrules!M640="","",",-"&amp;setrules!M640)</f>
        <v/>
      </c>
      <c r="F589" t="str">
        <f>setrules!B640</f>
        <v>ITFA_DST</v>
      </c>
    </row>
    <row r="590" spans="1:6" x14ac:dyDescent="0.25">
      <c r="A590" t="str">
        <f>setrules!D641&amp;IF(setrules!E641="","",",-"&amp;setrules!E641)</f>
        <v/>
      </c>
      <c r="B590" t="str">
        <f>setrules!F641&amp;IF(setrules!G641="","",",-"&amp;setrules!G641)&amp;IF(setrules!P641="","",",-"&amp;setrules!P641)</f>
        <v>IPB*COA*</v>
      </c>
      <c r="C590" t="str">
        <f>setrules!H641&amp;IF(setrules!I641="","",",-"&amp;setrules!I641)</f>
        <v/>
      </c>
      <c r="D590" t="str">
        <f>setrules!J641&amp;IF(setrules!K641="","",",-"&amp;setrules!K641)</f>
        <v/>
      </c>
      <c r="E590" t="str">
        <f>setrules!L641&amp;IF(setrules!M641="","",",-"&amp;setrules!M641)</f>
        <v/>
      </c>
      <c r="F590" t="str">
        <f>setrules!B641</f>
        <v>IPS_COA</v>
      </c>
    </row>
    <row r="591" spans="1:6" x14ac:dyDescent="0.25">
      <c r="A591" t="str">
        <f>setrules!D642&amp;IF(setrules!E642="","",",-"&amp;setrules!E642)</f>
        <v/>
      </c>
      <c r="B591" t="str">
        <f>setrules!F642&amp;IF(setrules!G642="","",",-"&amp;setrules!G642)&amp;IF(setrules!P642="","",",-"&amp;setrules!P642)</f>
        <v>ITB*COA*</v>
      </c>
      <c r="C591" t="str">
        <f>setrules!H642&amp;IF(setrules!I642="","",",-"&amp;setrules!I642)</f>
        <v/>
      </c>
      <c r="D591" t="str">
        <f>setrules!J642&amp;IF(setrules!K642="","",",-"&amp;setrules!K642)</f>
        <v/>
      </c>
      <c r="E591" t="str">
        <f>setrules!L642&amp;IF(setrules!M642="","",",-"&amp;setrules!M642)</f>
        <v/>
      </c>
      <c r="F591" t="str">
        <f>setrules!B642</f>
        <v>ITS_COA</v>
      </c>
    </row>
    <row r="592" spans="1:6" x14ac:dyDescent="0.25">
      <c r="A592" t="str">
        <f>setrules!D643&amp;IF(setrules!E643="","",",-"&amp;setrules!E643)</f>
        <v/>
      </c>
      <c r="B592" t="str">
        <f>setrules!F643&amp;IF(setrules!G643="","",",-"&amp;setrules!G643)&amp;IF(setrules!P643="","",",-"&amp;setrules!P643)</f>
        <v>IPB*ELC*</v>
      </c>
      <c r="C592" t="str">
        <f>setrules!H643&amp;IF(setrules!I643="","",",-"&amp;setrules!I643)</f>
        <v/>
      </c>
      <c r="D592" t="str">
        <f>setrules!J643&amp;IF(setrules!K643="","",",-"&amp;setrules!K643)</f>
        <v/>
      </c>
      <c r="E592" t="str">
        <f>setrules!L643&amp;IF(setrules!M643="","",",-"&amp;setrules!M643)</f>
        <v/>
      </c>
      <c r="F592" t="str">
        <f>setrules!B643</f>
        <v>IPS_ELC</v>
      </c>
    </row>
    <row r="593" spans="1:6" x14ac:dyDescent="0.25">
      <c r="A593" t="str">
        <f>setrules!D644&amp;IF(setrules!E644="","",",-"&amp;setrules!E644)</f>
        <v/>
      </c>
      <c r="B593" t="str">
        <f>setrules!F644&amp;IF(setrules!G644="","",",-"&amp;setrules!G644)&amp;IF(setrules!P644="","",",-"&amp;setrules!P644)</f>
        <v>IPBOR*STM*</v>
      </c>
      <c r="C593" t="str">
        <f>setrules!H644&amp;IF(setrules!I644="","",",-"&amp;setrules!I644)</f>
        <v/>
      </c>
      <c r="D593" t="str">
        <f>setrules!J644&amp;IF(setrules!K644="","",",-"&amp;setrules!K644)</f>
        <v/>
      </c>
      <c r="E593" t="str">
        <f>setrules!L644&amp;IF(setrules!M644="","",",-"&amp;setrules!M644)</f>
        <v/>
      </c>
      <c r="F593" t="str">
        <f>setrules!B644</f>
        <v>IPS_FSTM</v>
      </c>
    </row>
    <row r="594" spans="1:6" x14ac:dyDescent="0.25">
      <c r="A594" t="str">
        <f>setrules!D645&amp;IF(setrules!E645="","",",-"&amp;setrules!E645)</f>
        <v/>
      </c>
      <c r="B594" t="str">
        <f>setrules!F645&amp;IF(setrules!G645="","",",-"&amp;setrules!G645)&amp;IF(setrules!P645="","",",-"&amp;setrules!P645)</f>
        <v>IPB*NGA*</v>
      </c>
      <c r="C594" t="str">
        <f>setrules!H645&amp;IF(setrules!I645="","",",-"&amp;setrules!I645)</f>
        <v/>
      </c>
      <c r="D594" t="str">
        <f>setrules!J645&amp;IF(setrules!K645="","",",-"&amp;setrules!K645)</f>
        <v/>
      </c>
      <c r="E594" t="str">
        <f>setrules!L645&amp;IF(setrules!M645="","",",-"&amp;setrules!M645)</f>
        <v/>
      </c>
      <c r="F594" t="str">
        <f>setrules!B645</f>
        <v>IPS_NGA</v>
      </c>
    </row>
    <row r="595" spans="1:6" x14ac:dyDescent="0.25">
      <c r="A595" t="str">
        <f>setrules!D646&amp;IF(setrules!E646="","",",-"&amp;setrules!E646)</f>
        <v/>
      </c>
      <c r="B595" t="str">
        <f>setrules!F646&amp;IF(setrules!G646="","",",-"&amp;setrules!G646)&amp;IF(setrules!P646="","",",-"&amp;setrules!P646)</f>
        <v>IPB*RFL*</v>
      </c>
      <c r="C595" t="str">
        <f>setrules!H646&amp;IF(setrules!I646="","",",-"&amp;setrules!I646)</f>
        <v/>
      </c>
      <c r="D595" t="str">
        <f>setrules!J646&amp;IF(setrules!K646="","",",-"&amp;setrules!K646)</f>
        <v/>
      </c>
      <c r="E595" t="str">
        <f>setrules!L646&amp;IF(setrules!M646="","",",-"&amp;setrules!M646)</f>
        <v/>
      </c>
      <c r="F595" t="str">
        <f>setrules!B646</f>
        <v>IPS_RFL</v>
      </c>
    </row>
    <row r="596" spans="1:6" x14ac:dyDescent="0.25">
      <c r="A596" t="str">
        <f>setrules!D647&amp;IF(setrules!E647="","",",-"&amp;setrules!E647)</f>
        <v/>
      </c>
      <c r="B596" t="str">
        <f>setrules!F647&amp;IF(setrules!G647="","",",-"&amp;setrules!G647)&amp;IF(setrules!P647="","",",-"&amp;setrules!P647)</f>
        <v>ITFS*</v>
      </c>
      <c r="C596" t="str">
        <f>setrules!H647&amp;IF(setrules!I647="","",",-"&amp;setrules!I647)</f>
        <v/>
      </c>
      <c r="D596" t="str">
        <f>setrules!J647&amp;IF(setrules!K647="","",",-"&amp;setrules!K647)</f>
        <v/>
      </c>
      <c r="E596" t="str">
        <f>setrules!L647&amp;IF(setrules!M647="","",",-"&amp;setrules!M647)</f>
        <v/>
      </c>
      <c r="F596" t="str">
        <f>setrules!B647</f>
        <v>ITF_ALL</v>
      </c>
    </row>
    <row r="597" spans="1:6" x14ac:dyDescent="0.25">
      <c r="A597" t="str">
        <f>setrules!D648&amp;IF(setrules!E648="","",",-"&amp;setrules!E648)</f>
        <v/>
      </c>
      <c r="B597" t="str">
        <f>setrules!F648&amp;IF(setrules!G648="","",",-"&amp;setrules!G648)&amp;IF(setrules!P648="","",",-"&amp;setrules!P648)</f>
        <v>ITFS*COA*</v>
      </c>
      <c r="C597" t="str">
        <f>setrules!H648&amp;IF(setrules!I648="","",",-"&amp;setrules!I648)</f>
        <v/>
      </c>
      <c r="D597" t="str">
        <f>setrules!J648&amp;IF(setrules!K648="","",",-"&amp;setrules!K648)</f>
        <v/>
      </c>
      <c r="E597" t="str">
        <f>setrules!L648&amp;IF(setrules!M648="","",",-"&amp;setrules!M648)</f>
        <v/>
      </c>
      <c r="F597" t="str">
        <f>setrules!B648</f>
        <v>ITF_COA</v>
      </c>
    </row>
    <row r="598" spans="1:6" x14ac:dyDescent="0.25">
      <c r="A598" t="str">
        <f>setrules!D649&amp;IF(setrules!E649="","",",-"&amp;setrules!E649)</f>
        <v/>
      </c>
      <c r="B598" t="str">
        <f>setrules!F649&amp;IF(setrules!G649="","",",-"&amp;setrules!G649)&amp;IF(setrules!P649="","",",-"&amp;setrules!P649)</f>
        <v>ITFS*DST*</v>
      </c>
      <c r="C598" t="str">
        <f>setrules!H649&amp;IF(setrules!I649="","",",-"&amp;setrules!I649)</f>
        <v/>
      </c>
      <c r="D598" t="str">
        <f>setrules!J649&amp;IF(setrules!K649="","",",-"&amp;setrules!K649)</f>
        <v/>
      </c>
      <c r="E598" t="str">
        <f>setrules!L649&amp;IF(setrules!M649="","",",-"&amp;setrules!M649)</f>
        <v/>
      </c>
      <c r="F598" t="str">
        <f>setrules!B649</f>
        <v>ITF_DST</v>
      </c>
    </row>
    <row r="599" spans="1:6" x14ac:dyDescent="0.25">
      <c r="A599" t="str">
        <f>setrules!D650&amp;IF(setrules!E650="","",",-"&amp;setrules!E650)</f>
        <v/>
      </c>
      <c r="B599" t="str">
        <f>setrules!F650&amp;IF(setrules!G650="","",",-"&amp;setrules!G650)&amp;IF(setrules!P650="","",",-"&amp;setrules!P650)</f>
        <v>IPB*,-IPBLGCC,-IPBORBIO00</v>
      </c>
      <c r="C599" t="str">
        <f>setrules!H650&amp;IF(setrules!I650="","",",-"&amp;setrules!I650)</f>
        <v/>
      </c>
      <c r="D599" t="str">
        <f>setrules!J650&amp;IF(setrules!K650="","",",-"&amp;setrules!K650)</f>
        <v/>
      </c>
      <c r="E599" t="str">
        <f>setrules!L650&amp;IF(setrules!M650="","",",-"&amp;setrules!M650)</f>
        <v/>
      </c>
      <c r="F599" t="str">
        <f>setrules!B650</f>
        <v>IPS_ALL</v>
      </c>
    </row>
    <row r="600" spans="1:6" x14ac:dyDescent="0.25">
      <c r="A600" t="str">
        <f>setrules!D651&amp;IF(setrules!E651="","",",-"&amp;setrules!E651)</f>
        <v/>
      </c>
      <c r="B600" t="str">
        <f>setrules!F651&amp;IF(setrules!G651="","",",-"&amp;setrules!G651)&amp;IF(setrules!P651="","",",-"&amp;setrules!P651)</f>
        <v>TL*</v>
      </c>
      <c r="C600" t="str">
        <f>setrules!H651&amp;IF(setrules!I651="","",",-"&amp;setrules!I651)</f>
        <v>*.DSL.*</v>
      </c>
      <c r="D600" t="str">
        <f>setrules!J651&amp;IF(setrules!K651="","",",-"&amp;setrules!K651)</f>
        <v/>
      </c>
      <c r="E600" t="str">
        <f>setrules!L651&amp;IF(setrules!M651="","",",-"&amp;setrules!M651)</f>
        <v/>
      </c>
      <c r="F600" t="str">
        <f>setrules!B651</f>
        <v>LDDSLT</v>
      </c>
    </row>
    <row r="601" spans="1:6" x14ac:dyDescent="0.25">
      <c r="A601" t="str">
        <f>setrules!D652&amp;IF(setrules!E652="","",",-"&amp;setrules!E652)</f>
        <v/>
      </c>
      <c r="B601" t="str">
        <f>setrules!F652&amp;IF(setrules!G652="","",",-"&amp;setrules!G652)&amp;IF(setrules!P652="","",",-"&amp;setrules!P652)</f>
        <v>ITP*NGA*</v>
      </c>
      <c r="C601" t="str">
        <f>setrules!H652&amp;IF(setrules!I652="","",",-"&amp;setrules!I652)</f>
        <v/>
      </c>
      <c r="D601" t="str">
        <f>setrules!J652&amp;IF(setrules!K652="","",",-"&amp;setrules!K652)</f>
        <v/>
      </c>
      <c r="E601" t="str">
        <f>setrules!L652&amp;IF(setrules!M652="","",",-"&amp;setrules!M652)</f>
        <v/>
      </c>
      <c r="F601" t="str">
        <f>setrules!B652</f>
        <v>ITP_NGA</v>
      </c>
    </row>
    <row r="602" spans="1:6" x14ac:dyDescent="0.25">
      <c r="A602" t="str">
        <f>setrules!D653&amp;IF(setrules!E653="","",",-"&amp;setrules!E653)</f>
        <v/>
      </c>
      <c r="B602" t="str">
        <f>setrules!F653&amp;IF(setrules!G653="","",",-"&amp;setrules!G653)&amp;IF(setrules!P653="","",",-"&amp;setrules!P653)</f>
        <v>TL*</v>
      </c>
      <c r="C602" t="str">
        <f>setrules!H653&amp;IF(setrules!I653="","",",-"&amp;setrules!I653)</f>
        <v>*.AGSL.*</v>
      </c>
      <c r="D602" t="str">
        <f>setrules!J653&amp;IF(setrules!K653="","",",-"&amp;setrules!K653)</f>
        <v/>
      </c>
      <c r="E602" t="str">
        <f>setrules!L653&amp;IF(setrules!M653="","",",-"&amp;setrules!M653)</f>
        <v/>
      </c>
      <c r="F602" t="str">
        <f>setrules!B653</f>
        <v>LDADVGC</v>
      </c>
    </row>
    <row r="603" spans="1:6" x14ac:dyDescent="0.25">
      <c r="A603" t="str">
        <f>setrules!D654&amp;IF(setrules!E654="","",",-"&amp;setrules!E654)</f>
        <v/>
      </c>
      <c r="B603" t="str">
        <f>setrules!F654&amp;IF(setrules!G654="","",",-"&amp;setrules!G654)&amp;IF(setrules!P654="","",",-"&amp;setrules!P654)</f>
        <v>TL*</v>
      </c>
      <c r="C603" t="str">
        <f>setrules!H654&amp;IF(setrules!I654="","",",-"&amp;setrules!I654)</f>
        <v>*.AGSL.*</v>
      </c>
      <c r="D603" t="str">
        <f>setrules!J654&amp;IF(setrules!K654="","",",-"&amp;setrules!K654)</f>
        <v/>
      </c>
      <c r="E603" t="str">
        <f>setrules!L654&amp;IF(setrules!M654="","",",-"&amp;setrules!M654)</f>
        <v/>
      </c>
      <c r="F603" t="str">
        <f>setrules!B654</f>
        <v>LDADVGT</v>
      </c>
    </row>
    <row r="604" spans="1:6" x14ac:dyDescent="0.25">
      <c r="A604" t="str">
        <f>setrules!D655&amp;IF(setrules!E655="","",",-"&amp;setrules!E655)</f>
        <v/>
      </c>
      <c r="B604" t="str">
        <f>setrules!F655&amp;IF(setrules!G655="","",",-"&amp;setrules!G655)&amp;IF(setrules!P655="","",",-"&amp;setrules!P655)</f>
        <v>TL*</v>
      </c>
      <c r="C604" t="str">
        <f>setrules!H655&amp;IF(setrules!I655="","",",-"&amp;setrules!I655)</f>
        <v>*.CNG*.*</v>
      </c>
      <c r="D604" t="str">
        <f>setrules!J655&amp;IF(setrules!K655="","",",-"&amp;setrules!K655)</f>
        <v/>
      </c>
      <c r="E604" t="str">
        <f>setrules!L655&amp;IF(setrules!M655="","",",-"&amp;setrules!M655)</f>
        <v/>
      </c>
      <c r="F604" t="str">
        <f>setrules!B655</f>
        <v>LDCNGC</v>
      </c>
    </row>
    <row r="605" spans="1:6" x14ac:dyDescent="0.25">
      <c r="A605" t="str">
        <f>setrules!D656&amp;IF(setrules!E656="","",",-"&amp;setrules!E656)</f>
        <v/>
      </c>
      <c r="B605" t="str">
        <f>setrules!F656&amp;IF(setrules!G656="","",",-"&amp;setrules!G656)&amp;IF(setrules!P656="","",",-"&amp;setrules!P656)</f>
        <v>TL*</v>
      </c>
      <c r="C605" t="str">
        <f>setrules!H656&amp;IF(setrules!I656="","",",-"&amp;setrules!I656)</f>
        <v>*.CNG*.*</v>
      </c>
      <c r="D605" t="str">
        <f>setrules!J656&amp;IF(setrules!K656="","",",-"&amp;setrules!K656)</f>
        <v/>
      </c>
      <c r="E605" t="str">
        <f>setrules!L656&amp;IF(setrules!M656="","",",-"&amp;setrules!M656)</f>
        <v/>
      </c>
      <c r="F605" t="str">
        <f>setrules!B656</f>
        <v>LDCNGT</v>
      </c>
    </row>
    <row r="606" spans="1:6" x14ac:dyDescent="0.25">
      <c r="A606" t="str">
        <f>setrules!D657&amp;IF(setrules!E657="","",",-"&amp;setrules!E657)</f>
        <v/>
      </c>
      <c r="B606" t="str">
        <f>setrules!F657&amp;IF(setrules!G657="","",",-"&amp;setrules!G657)&amp;IF(setrules!P657="","",",-"&amp;setrules!P657)</f>
        <v>TL*</v>
      </c>
      <c r="C606" t="str">
        <f>setrules!H657&amp;IF(setrules!I657="","",",-"&amp;setrules!I657)</f>
        <v>*.CONV.*</v>
      </c>
      <c r="D606" t="str">
        <f>setrules!J657&amp;IF(setrules!K657="","",",-"&amp;setrules!K657)</f>
        <v/>
      </c>
      <c r="E606" t="str">
        <f>setrules!L657&amp;IF(setrules!M657="","",",-"&amp;setrules!M657)</f>
        <v/>
      </c>
      <c r="F606" t="str">
        <f>setrules!B657</f>
        <v>LDCONVC</v>
      </c>
    </row>
    <row r="607" spans="1:6" x14ac:dyDescent="0.25">
      <c r="A607" t="str">
        <f>setrules!D658&amp;IF(setrules!E658="","",",-"&amp;setrules!E658)</f>
        <v/>
      </c>
      <c r="B607" t="str">
        <f>setrules!F658&amp;IF(setrules!G658="","",",-"&amp;setrules!G658)&amp;IF(setrules!P658="","",",-"&amp;setrules!P658)</f>
        <v>TL*</v>
      </c>
      <c r="C607" t="str">
        <f>setrules!H658&amp;IF(setrules!I658="","",",-"&amp;setrules!I658)</f>
        <v>*.AE85.*</v>
      </c>
      <c r="D607" t="str">
        <f>setrules!J658&amp;IF(setrules!K658="","",",-"&amp;setrules!K658)</f>
        <v/>
      </c>
      <c r="E607" t="str">
        <f>setrules!L658&amp;IF(setrules!M658="","",",-"&amp;setrules!M658)</f>
        <v/>
      </c>
      <c r="F607" t="str">
        <f>setrules!B658</f>
        <v>LDADVEC</v>
      </c>
    </row>
    <row r="608" spans="1:6" x14ac:dyDescent="0.25">
      <c r="A608" t="str">
        <f>setrules!D659&amp;IF(setrules!E659="","",",-"&amp;setrules!E659)</f>
        <v/>
      </c>
      <c r="B608" t="str">
        <f>setrules!F659&amp;IF(setrules!G659="","",",-"&amp;setrules!G659)&amp;IF(setrules!P659="","",",-"&amp;setrules!P659)</f>
        <v>TL*</v>
      </c>
      <c r="C608" t="str">
        <f>setrules!H659&amp;IF(setrules!I659="","",",-"&amp;setrules!I659)</f>
        <v>*.DSL.*</v>
      </c>
      <c r="D608" t="str">
        <f>setrules!J659&amp;IF(setrules!K659="","",",-"&amp;setrules!K659)</f>
        <v/>
      </c>
      <c r="E608" t="str">
        <f>setrules!L659&amp;IF(setrules!M659="","",",-"&amp;setrules!M659)</f>
        <v/>
      </c>
      <c r="F608" t="str">
        <f>setrules!B659</f>
        <v>LDDSLC</v>
      </c>
    </row>
    <row r="609" spans="1:6" x14ac:dyDescent="0.25">
      <c r="A609" t="str">
        <f>setrules!D660&amp;IF(setrules!E660="","",",-"&amp;setrules!E660)</f>
        <v>PRC</v>
      </c>
      <c r="B609" t="str">
        <f>setrules!F660&amp;IF(setrules!G660="","",",-"&amp;setrules!G660)&amp;IF(setrules!P660="","",",-"&amp;setrules!P660)</f>
        <v>XIOTHKER</v>
      </c>
      <c r="C609" t="str">
        <f>setrules!H660&amp;IF(setrules!I660="","",",-"&amp;setrules!I660)</f>
        <v/>
      </c>
      <c r="D609" t="str">
        <f>setrules!J660&amp;IF(setrules!K660="","",",-"&amp;setrules!K660)</f>
        <v/>
      </c>
      <c r="E609" t="str">
        <f>setrules!L660&amp;IF(setrules!M660="","",",-"&amp;setrules!M660)</f>
        <v/>
      </c>
      <c r="F609" t="str">
        <f>setrules!B660</f>
        <v>IXO_KER</v>
      </c>
    </row>
    <row r="610" spans="1:6" x14ac:dyDescent="0.25">
      <c r="A610" t="str">
        <f>setrules!D661&amp;IF(setrules!E661="","",",-"&amp;setrules!E661)</f>
        <v/>
      </c>
      <c r="B610" t="str">
        <f>setrules!F661&amp;IF(setrules!G661="","",",-"&amp;setrules!G661)&amp;IF(setrules!P661="","",",-"&amp;setrules!P661)</f>
        <v>TL*</v>
      </c>
      <c r="C610" t="str">
        <f>setrules!H661&amp;IF(setrules!I661="","",",-"&amp;setrules!I661)</f>
        <v>*.ETHX.*</v>
      </c>
      <c r="D610" t="str">
        <f>setrules!J661&amp;IF(setrules!K661="","",",-"&amp;setrules!K661)</f>
        <v/>
      </c>
      <c r="E610" t="str">
        <f>setrules!L661&amp;IF(setrules!M661="","",",-"&amp;setrules!M661)</f>
        <v/>
      </c>
      <c r="F610" t="str">
        <f>setrules!B661</f>
        <v>LDE85C</v>
      </c>
    </row>
    <row r="611" spans="1:6" x14ac:dyDescent="0.25">
      <c r="A611" t="str">
        <f>setrules!D662&amp;IF(setrules!E662="","",",-"&amp;setrules!E662)</f>
        <v/>
      </c>
      <c r="B611" t="str">
        <f>setrules!F662&amp;IF(setrules!G662="","",",-"&amp;setrules!G662)&amp;IF(setrules!P662="","",",-"&amp;setrules!P662)</f>
        <v>TL*</v>
      </c>
      <c r="C611" t="str">
        <f>setrules!H662&amp;IF(setrules!I662="","",",-"&amp;setrules!I662)</f>
        <v>*.ETHX.*</v>
      </c>
      <c r="D611" t="str">
        <f>setrules!J662&amp;IF(setrules!K662="","",",-"&amp;setrules!K662)</f>
        <v/>
      </c>
      <c r="E611" t="str">
        <f>setrules!L662&amp;IF(setrules!M662="","",",-"&amp;setrules!M662)</f>
        <v/>
      </c>
      <c r="F611" t="str">
        <f>setrules!B662</f>
        <v>LDE85T</v>
      </c>
    </row>
    <row r="612" spans="1:6" x14ac:dyDescent="0.25">
      <c r="A612" t="str">
        <f>setrules!D663&amp;IF(setrules!E663="","",",-"&amp;setrules!E663)</f>
        <v/>
      </c>
      <c r="B612" t="str">
        <f>setrules!F663&amp;IF(setrules!G663="","",",-"&amp;setrules!G663)&amp;IF(setrules!P663="","",",-"&amp;setrules!P663)</f>
        <v>TL*</v>
      </c>
      <c r="C612" t="str">
        <f>setrules!H663&amp;IF(setrules!I663="","",",-"&amp;setrules!I663)</f>
        <v>*.ELC.*</v>
      </c>
      <c r="D612" t="str">
        <f>setrules!J663&amp;IF(setrules!K663="","",",-"&amp;setrules!K663)</f>
        <v/>
      </c>
      <c r="E612" t="str">
        <f>setrules!L663&amp;IF(setrules!M663="","",",-"&amp;setrules!M663)</f>
        <v/>
      </c>
      <c r="F612" t="str">
        <f>setrules!B663</f>
        <v>LDELCC</v>
      </c>
    </row>
    <row r="613" spans="1:6" x14ac:dyDescent="0.25">
      <c r="A613" t="str">
        <f>setrules!D664&amp;IF(setrules!E664="","",",-"&amp;setrules!E664)</f>
        <v/>
      </c>
      <c r="B613" t="str">
        <f>setrules!F664&amp;IF(setrules!G664="","",",-"&amp;setrules!G664)&amp;IF(setrules!P664="","",",-"&amp;setrules!P664)</f>
        <v>TL*</v>
      </c>
      <c r="C613" t="str">
        <f>setrules!H664&amp;IF(setrules!I664="","",",-"&amp;setrules!I664)</f>
        <v>*.ELC.*</v>
      </c>
      <c r="D613" t="str">
        <f>setrules!J664&amp;IF(setrules!K664="","",",-"&amp;setrules!K664)</f>
        <v/>
      </c>
      <c r="E613" t="str">
        <f>setrules!L664&amp;IF(setrules!M664="","",",-"&amp;setrules!M664)</f>
        <v/>
      </c>
      <c r="F613" t="str">
        <f>setrules!B664</f>
        <v>LDELCT</v>
      </c>
    </row>
    <row r="614" spans="1:6" x14ac:dyDescent="0.25">
      <c r="A614" t="str">
        <f>setrules!D665&amp;IF(setrules!E665="","",",-"&amp;setrules!E665)</f>
        <v/>
      </c>
      <c r="B614" t="str">
        <f>setrules!F665&amp;IF(setrules!G665="","",",-"&amp;setrules!G665)&amp;IF(setrules!P665="","",",-"&amp;setrules!P665)</f>
        <v>TL*</v>
      </c>
      <c r="C614" t="str">
        <f>setrules!H665&amp;IF(setrules!I665="","",",-"&amp;setrules!I665)</f>
        <v>*.FCG.*</v>
      </c>
      <c r="D614" t="str">
        <f>setrules!J665&amp;IF(setrules!K665="","",",-"&amp;setrules!K665)</f>
        <v/>
      </c>
      <c r="E614" t="str">
        <f>setrules!L665&amp;IF(setrules!M665="","",",-"&amp;setrules!M665)</f>
        <v/>
      </c>
      <c r="F614" t="str">
        <f>setrules!B665</f>
        <v>LDFCGC</v>
      </c>
    </row>
    <row r="615" spans="1:6" x14ac:dyDescent="0.25">
      <c r="A615" t="str">
        <f>setrules!D666&amp;IF(setrules!E666="","",",-"&amp;setrules!E666)</f>
        <v/>
      </c>
      <c r="B615" t="str">
        <f>setrules!F666&amp;IF(setrules!G666="","",",-"&amp;setrules!G666)&amp;IF(setrules!P666="","",",-"&amp;setrules!P666)</f>
        <v>TL*</v>
      </c>
      <c r="C615" t="str">
        <f>setrules!H666&amp;IF(setrules!I666="","",",-"&amp;setrules!I666)</f>
        <v>*.FCG.*</v>
      </c>
      <c r="D615" t="str">
        <f>setrules!J666&amp;IF(setrules!K666="","",",-"&amp;setrules!K666)</f>
        <v/>
      </c>
      <c r="E615" t="str">
        <f>setrules!L666&amp;IF(setrules!M666="","",",-"&amp;setrules!M666)</f>
        <v/>
      </c>
      <c r="F615" t="str">
        <f>setrules!B666</f>
        <v>LDFCGT</v>
      </c>
    </row>
    <row r="616" spans="1:6" x14ac:dyDescent="0.25">
      <c r="A616" t="str">
        <f>setrules!D667&amp;IF(setrules!E667="","",",-"&amp;setrules!E667)</f>
        <v/>
      </c>
      <c r="B616" t="str">
        <f>setrules!F667&amp;IF(setrules!G667="","",",-"&amp;setrules!G667)&amp;IF(setrules!P667="","",",-"&amp;setrules!P667)</f>
        <v>IPBEOHTOTP</v>
      </c>
      <c r="C616" t="str">
        <f>setrules!H667&amp;IF(setrules!I667="","",",-"&amp;setrules!I667)</f>
        <v/>
      </c>
      <c r="D616" t="str">
        <f>setrules!J667&amp;IF(setrules!K667="","",",-"&amp;setrules!K667)</f>
        <v/>
      </c>
      <c r="E616" t="str">
        <f>setrules!L667&amp;IF(setrules!M667="","",",-"&amp;setrules!M667)</f>
        <v/>
      </c>
      <c r="F616" t="str">
        <f>setrules!B667</f>
        <v>IPBOH_OTP</v>
      </c>
    </row>
    <row r="617" spans="1:6" x14ac:dyDescent="0.25">
      <c r="A617" t="str">
        <f>setrules!D668&amp;IF(setrules!E668="","",",-"&amp;setrules!E668)</f>
        <v/>
      </c>
      <c r="B617" t="str">
        <f>setrules!F668&amp;IF(setrules!G668="","",",-"&amp;setrules!G668)&amp;IF(setrules!P668="","",",-"&amp;setrules!P668)</f>
        <v>TL*</v>
      </c>
      <c r="C617" t="str">
        <f>setrules!H668&amp;IF(setrules!I668="","",",-"&amp;setrules!I668)</f>
        <v>*.CONV.*</v>
      </c>
      <c r="D617" t="str">
        <f>setrules!J668&amp;IF(setrules!K668="","",",-"&amp;setrules!K668)</f>
        <v/>
      </c>
      <c r="E617" t="str">
        <f>setrules!L668&amp;IF(setrules!M668="","",",-"&amp;setrules!M668)</f>
        <v/>
      </c>
      <c r="F617" t="str">
        <f>setrules!B668</f>
        <v>LDCONVT</v>
      </c>
    </row>
    <row r="618" spans="1:6" x14ac:dyDescent="0.25">
      <c r="A618" t="str">
        <f>setrules!D669&amp;IF(setrules!E669="","",",-"&amp;setrules!E669)</f>
        <v/>
      </c>
      <c r="B618" t="str">
        <f>setrules!F669&amp;IF(setrules!G669="","",",-"&amp;setrules!G669)&amp;IF(setrules!P669="","",",-"&amp;setrules!P669)</f>
        <v>IXN*BIO*</v>
      </c>
      <c r="C618" t="str">
        <f>setrules!H669&amp;IF(setrules!I669="","",",-"&amp;setrules!I669)</f>
        <v/>
      </c>
      <c r="D618" t="str">
        <f>setrules!J669&amp;IF(setrules!K669="","",",-"&amp;setrules!K669)</f>
        <v/>
      </c>
      <c r="E618" t="str">
        <f>setrules!L669&amp;IF(setrules!M669="","",",-"&amp;setrules!M669)</f>
        <v/>
      </c>
      <c r="F618" t="str">
        <f>setrules!B669</f>
        <v>IXN_BIO</v>
      </c>
    </row>
    <row r="619" spans="1:6" x14ac:dyDescent="0.25">
      <c r="A619" t="str">
        <f>setrules!D670&amp;IF(setrules!E670="","",",-"&amp;setrules!E670)</f>
        <v/>
      </c>
      <c r="B619" t="str">
        <f>setrules!F670&amp;IF(setrules!G670="","",",-"&amp;setrules!G670)&amp;IF(setrules!P670="","",",-"&amp;setrules!P670)</f>
        <v>ITB*DST*</v>
      </c>
      <c r="C619" t="str">
        <f>setrules!H670&amp;IF(setrules!I670="","",",-"&amp;setrules!I670)</f>
        <v/>
      </c>
      <c r="D619" t="str">
        <f>setrules!J670&amp;IF(setrules!K670="","",",-"&amp;setrules!K670)</f>
        <v/>
      </c>
      <c r="E619" t="str">
        <f>setrules!L670&amp;IF(setrules!M670="","",",-"&amp;setrules!M670)</f>
        <v/>
      </c>
      <c r="F619" t="str">
        <f>setrules!B670</f>
        <v>ITS_DST</v>
      </c>
    </row>
    <row r="620" spans="1:6" x14ac:dyDescent="0.25">
      <c r="A620" t="str">
        <f>setrules!D671&amp;IF(setrules!E671="","",",-"&amp;setrules!E671)</f>
        <v/>
      </c>
      <c r="B620" t="str">
        <f>setrules!F671&amp;IF(setrules!G671="","",",-"&amp;setrules!G671)&amp;IF(setrules!P671="","",",-"&amp;setrules!P671)</f>
        <v>ITB*ELC*</v>
      </c>
      <c r="C620" t="str">
        <f>setrules!H671&amp;IF(setrules!I671="","",",-"&amp;setrules!I671)</f>
        <v/>
      </c>
      <c r="D620" t="str">
        <f>setrules!J671&amp;IF(setrules!K671="","",",-"&amp;setrules!K671)</f>
        <v/>
      </c>
      <c r="E620" t="str">
        <f>setrules!L671&amp;IF(setrules!M671="","",",-"&amp;setrules!M671)</f>
        <v/>
      </c>
      <c r="F620" t="str">
        <f>setrules!B671</f>
        <v>ITS_ELC</v>
      </c>
    </row>
    <row r="621" spans="1:6" x14ac:dyDescent="0.25">
      <c r="A621" t="str">
        <f>setrules!D672&amp;IF(setrules!E672="","",",-"&amp;setrules!E672)</f>
        <v/>
      </c>
      <c r="B621" t="str">
        <f>setrules!F672&amp;IF(setrules!G672="","",",-"&amp;setrules!G672)&amp;IF(setrules!P672="","",",-"&amp;setrules!P672)</f>
        <v>ITB*FSTM*</v>
      </c>
      <c r="C621" t="str">
        <f>setrules!H672&amp;IF(setrules!I672="","",",-"&amp;setrules!I672)</f>
        <v/>
      </c>
      <c r="D621" t="str">
        <f>setrules!J672&amp;IF(setrules!K672="","",",-"&amp;setrules!K672)</f>
        <v/>
      </c>
      <c r="E621" t="str">
        <f>setrules!L672&amp;IF(setrules!M672="","",",-"&amp;setrules!M672)</f>
        <v/>
      </c>
      <c r="F621" t="str">
        <f>setrules!B672</f>
        <v>ITS_FSTM</v>
      </c>
    </row>
    <row r="622" spans="1:6" x14ac:dyDescent="0.25">
      <c r="A622" t="str">
        <f>setrules!D673&amp;IF(setrules!E673="","",",-"&amp;setrules!E673)</f>
        <v/>
      </c>
      <c r="B622" t="str">
        <f>setrules!F673&amp;IF(setrules!G673="","",",-"&amp;setrules!G673)&amp;IF(setrules!P673="","",",-"&amp;setrules!P673)</f>
        <v>ITB*NGA*</v>
      </c>
      <c r="C622" t="str">
        <f>setrules!H673&amp;IF(setrules!I673="","",",-"&amp;setrules!I673)</f>
        <v/>
      </c>
      <c r="D622" t="str">
        <f>setrules!J673&amp;IF(setrules!K673="","",",-"&amp;setrules!K673)</f>
        <v/>
      </c>
      <c r="E622" t="str">
        <f>setrules!L673&amp;IF(setrules!M673="","",",-"&amp;setrules!M673)</f>
        <v/>
      </c>
      <c r="F622" t="str">
        <f>setrules!B673</f>
        <v>ITS_NGA</v>
      </c>
    </row>
    <row r="623" spans="1:6" x14ac:dyDescent="0.25">
      <c r="A623" t="str">
        <f>setrules!D674&amp;IF(setrules!E674="","",",-"&amp;setrules!E674)</f>
        <v/>
      </c>
      <c r="B623" t="str">
        <f>setrules!F674&amp;IF(setrules!G674="","",",-"&amp;setrules!G674)&amp;IF(setrules!P674="","",",-"&amp;setrules!P674)</f>
        <v>ITB*RFL*</v>
      </c>
      <c r="C623" t="str">
        <f>setrules!H674&amp;IF(setrules!I674="","",",-"&amp;setrules!I674)</f>
        <v/>
      </c>
      <c r="D623" t="str">
        <f>setrules!J674&amp;IF(setrules!K674="","",",-"&amp;setrules!K674)</f>
        <v/>
      </c>
      <c r="E623" t="str">
        <f>setrules!L674&amp;IF(setrules!M674="","",",-"&amp;setrules!M674)</f>
        <v/>
      </c>
      <c r="F623" t="str">
        <f>setrules!B674</f>
        <v>ITS_RFL</v>
      </c>
    </row>
    <row r="624" spans="1:6" x14ac:dyDescent="0.25">
      <c r="A624" t="str">
        <f>setrules!D675&amp;IF(setrules!E675="","",",-"&amp;setrules!E675)</f>
        <v/>
      </c>
      <c r="B624" t="str">
        <f>setrules!F675&amp;IF(setrules!G675="","",",-"&amp;setrules!G675)&amp;IF(setrules!P675="","",",-"&amp;setrules!P675)</f>
        <v>IX*</v>
      </c>
      <c r="C624" t="str">
        <f>setrules!H675&amp;IF(setrules!I675="","",",-"&amp;setrules!I675)</f>
        <v/>
      </c>
      <c r="D624" t="str">
        <f>setrules!J675&amp;IF(setrules!K675="","",",-"&amp;setrules!K675)</f>
        <v/>
      </c>
      <c r="E624" t="str">
        <f>setrules!L675&amp;IF(setrules!M675="","",",-"&amp;setrules!M675)</f>
        <v/>
      </c>
      <c r="F624" t="str">
        <f>setrules!B675</f>
        <v>IX EXISTING</v>
      </c>
    </row>
    <row r="625" spans="1:6" x14ac:dyDescent="0.25">
      <c r="A625" t="str">
        <f>setrules!D676&amp;IF(setrules!E676="","",",-"&amp;setrules!E676)</f>
        <v/>
      </c>
      <c r="B625" t="str">
        <f>setrules!F676&amp;IF(setrules!G676="","",",-"&amp;setrules!G676)&amp;IF(setrules!P676="","",",-"&amp;setrules!P676)</f>
        <v>TL*</v>
      </c>
      <c r="C625" t="str">
        <f>setrules!H676&amp;IF(setrules!I676="","",",-"&amp;setrules!I676)</f>
        <v>*.AE85.*</v>
      </c>
      <c r="D625" t="str">
        <f>setrules!J676&amp;IF(setrules!K676="","",",-"&amp;setrules!K676)</f>
        <v/>
      </c>
      <c r="E625" t="str">
        <f>setrules!L676&amp;IF(setrules!M676="","",",-"&amp;setrules!M676)</f>
        <v/>
      </c>
      <c r="F625" t="str">
        <f>setrules!B676</f>
        <v>LDADVET</v>
      </c>
    </row>
    <row r="626" spans="1:6" x14ac:dyDescent="0.25">
      <c r="A626" t="str">
        <f>setrules!D677&amp;IF(setrules!E677="","",",-"&amp;setrules!E677)</f>
        <v/>
      </c>
      <c r="B626" t="str">
        <f>setrules!F677&amp;IF(setrules!G677="","",",-"&amp;setrules!G677)&amp;IF(setrules!P677="","",",-"&amp;setrules!P677)</f>
        <v>IXN*ASP*</v>
      </c>
      <c r="C626" t="str">
        <f>setrules!H677&amp;IF(setrules!I677="","",",-"&amp;setrules!I677)</f>
        <v/>
      </c>
      <c r="D626" t="str">
        <f>setrules!J677&amp;IF(setrules!K677="","",",-"&amp;setrules!K677)</f>
        <v/>
      </c>
      <c r="E626" t="str">
        <f>setrules!L677&amp;IF(setrules!M677="","",",-"&amp;setrules!M677)</f>
        <v/>
      </c>
      <c r="F626" t="str">
        <f>setrules!B677</f>
        <v>IXN_ASP</v>
      </c>
    </row>
    <row r="627" spans="1:6" x14ac:dyDescent="0.25">
      <c r="A627" t="str">
        <f>setrules!D678&amp;IF(setrules!E678="","",",-"&amp;setrules!E678)</f>
        <v/>
      </c>
      <c r="B627" t="str">
        <f>setrules!F678&amp;IF(setrules!G678="","",",-"&amp;setrules!G678)&amp;IF(setrules!P678="","",",-"&amp;setrules!P678)</f>
        <v>IPO*NGA,-,-IPOEFACNGA,-IPOEMDRNGA,-IPOEOHTNGA,-IPOEPRHNGA,-</v>
      </c>
      <c r="C627" t="str">
        <f>setrules!H678&amp;IF(setrules!I678="","",",-"&amp;setrules!I678)</f>
        <v/>
      </c>
      <c r="D627" t="str">
        <f>setrules!J678&amp;IF(setrules!K678="","",",-"&amp;setrules!K678)</f>
        <v/>
      </c>
      <c r="E627" t="str">
        <f>setrules!L678&amp;IF(setrules!M678="","",",-"&amp;setrules!M678)</f>
        <v/>
      </c>
      <c r="F627" t="str">
        <f>setrules!B678</f>
        <v>IPOST_NGA</v>
      </c>
    </row>
    <row r="628" spans="1:6" x14ac:dyDescent="0.25">
      <c r="A628" t="str">
        <f>setrules!D679&amp;IF(setrules!E679="","",",-"&amp;setrules!E679)</f>
        <v/>
      </c>
      <c r="B628" t="str">
        <f>setrules!F679&amp;IF(setrules!G679="","",",-"&amp;setrules!G679)&amp;IF(setrules!P679="","",",-"&amp;setrules!P679)</f>
        <v>IXN*ELC*</v>
      </c>
      <c r="C628" t="str">
        <f>setrules!H679&amp;IF(setrules!I679="","",",-"&amp;setrules!I679)</f>
        <v/>
      </c>
      <c r="D628" t="str">
        <f>setrules!J679&amp;IF(setrules!K679="","",",-"&amp;setrules!K679)</f>
        <v/>
      </c>
      <c r="E628" t="str">
        <f>setrules!L679&amp;IF(setrules!M679="","",",-"&amp;setrules!M679)</f>
        <v/>
      </c>
      <c r="F628" t="str">
        <f>setrules!B679</f>
        <v>IXN_ELC</v>
      </c>
    </row>
    <row r="629" spans="1:6" x14ac:dyDescent="0.25">
      <c r="A629" t="str">
        <f>setrules!D680&amp;IF(setrules!E680="","",",-"&amp;setrules!E680)</f>
        <v/>
      </c>
      <c r="B629" t="str">
        <f>setrules!F680&amp;IF(setrules!G680="","",",-"&amp;setrules!G680)&amp;IF(setrules!P680="","",",-"&amp;setrules!P680)</f>
        <v>IXN*LPG*</v>
      </c>
      <c r="C629" t="str">
        <f>setrules!H680&amp;IF(setrules!I680="","",",-"&amp;setrules!I680)</f>
        <v/>
      </c>
      <c r="D629" t="str">
        <f>setrules!J680&amp;IF(setrules!K680="","",",-"&amp;setrules!K680)</f>
        <v/>
      </c>
      <c r="E629" t="str">
        <f>setrules!L680&amp;IF(setrules!M680="","",",-"&amp;setrules!M680)</f>
        <v/>
      </c>
      <c r="F629" t="str">
        <f>setrules!B680</f>
        <v>IXN_LPG</v>
      </c>
    </row>
    <row r="630" spans="1:6" x14ac:dyDescent="0.25">
      <c r="A630" t="str">
        <f>setrules!D681&amp;IF(setrules!E681="","",",-"&amp;setrules!E681)</f>
        <v/>
      </c>
      <c r="B630" t="str">
        <f>setrules!F681&amp;IF(setrules!G681="","",",-"&amp;setrules!G681)&amp;IF(setrules!P681="","",",-"&amp;setrules!P681)</f>
        <v>IXN*NGA*</v>
      </c>
      <c r="C630" t="str">
        <f>setrules!H681&amp;IF(setrules!I681="","",",-"&amp;setrules!I681)</f>
        <v/>
      </c>
      <c r="D630" t="str">
        <f>setrules!J681&amp;IF(setrules!K681="","",",-"&amp;setrules!K681)</f>
        <v/>
      </c>
      <c r="E630" t="str">
        <f>setrules!L681&amp;IF(setrules!M681="","",",-"&amp;setrules!M681)</f>
        <v/>
      </c>
      <c r="F630" t="str">
        <f>setrules!B681</f>
        <v>IXN_NGA</v>
      </c>
    </row>
    <row r="631" spans="1:6" x14ac:dyDescent="0.25">
      <c r="A631" t="str">
        <f>setrules!D682&amp;IF(setrules!E682="","",",-"&amp;setrules!E682)</f>
        <v/>
      </c>
      <c r="B631" t="str">
        <f>setrules!F682&amp;IF(setrules!G682="","",",-"&amp;setrules!G682)&amp;IF(setrules!P682="","",",-"&amp;setrules!P682)</f>
        <v>IX*</v>
      </c>
      <c r="C631" t="str">
        <f>setrules!H682&amp;IF(setrules!I682="","",",-"&amp;setrules!I682)</f>
        <v/>
      </c>
      <c r="D631" t="str">
        <f>setrules!J682&amp;IF(setrules!K682="","",",-"&amp;setrules!K682)</f>
        <v/>
      </c>
      <c r="E631" t="str">
        <f>setrules!L682&amp;IF(setrules!M682="","",",-"&amp;setrules!M682)</f>
        <v/>
      </c>
      <c r="F631" t="str">
        <f>setrules!B682</f>
        <v>IXNON EXISTING</v>
      </c>
    </row>
    <row r="632" spans="1:6" x14ac:dyDescent="0.25">
      <c r="A632" t="str">
        <f>setrules!D683&amp;IF(setrules!E683="","",",-"&amp;setrules!E683)</f>
        <v>PRC</v>
      </c>
      <c r="B632" t="str">
        <f>setrules!F683&amp;IF(setrules!G683="","",",-"&amp;setrules!G683)&amp;IF(setrules!P683="","",",-"&amp;setrules!P683)</f>
        <v>XIOTH*</v>
      </c>
      <c r="C632" t="str">
        <f>setrules!H683&amp;IF(setrules!I683="","",",-"&amp;setrules!I683)</f>
        <v/>
      </c>
      <c r="D632" t="str">
        <f>setrules!J683&amp;IF(setrules!K683="","",",-"&amp;setrules!K683)</f>
        <v/>
      </c>
      <c r="E632" t="str">
        <f>setrules!L683&amp;IF(setrules!M683="","",",-"&amp;setrules!M683)</f>
        <v/>
      </c>
      <c r="F632" t="str">
        <f>setrules!B683</f>
        <v>IXO_ALL</v>
      </c>
    </row>
    <row r="633" spans="1:6" x14ac:dyDescent="0.25">
      <c r="A633" t="str">
        <f>setrules!D684&amp;IF(setrules!E684="","",",-"&amp;setrules!E684)</f>
        <v>PRC</v>
      </c>
      <c r="B633" t="str">
        <f>setrules!F684&amp;IF(setrules!G684="","",",-"&amp;setrules!G684)&amp;IF(setrules!P684="","",",-"&amp;setrules!P684)</f>
        <v>XIOTHETH</v>
      </c>
      <c r="C633" t="str">
        <f>setrules!H684&amp;IF(setrules!I684="","",",-"&amp;setrules!I684)</f>
        <v/>
      </c>
      <c r="D633" t="str">
        <f>setrules!J684&amp;IF(setrules!K684="","",",-"&amp;setrules!K684)</f>
        <v/>
      </c>
      <c r="E633" t="str">
        <f>setrules!L684&amp;IF(setrules!M684="","",",-"&amp;setrules!M684)</f>
        <v/>
      </c>
      <c r="F633" t="str">
        <f>setrules!B684</f>
        <v>IXO_ETH</v>
      </c>
    </row>
    <row r="634" spans="1:6" x14ac:dyDescent="0.25">
      <c r="A634" t="str">
        <f>setrules!D685&amp;IF(setrules!E685="","",",-"&amp;setrules!E685)</f>
        <v>PRC</v>
      </c>
      <c r="B634" t="str">
        <f>setrules!F685&amp;IF(setrules!G685="","",",-"&amp;setrules!G685)&amp;IF(setrules!P685="","",",-"&amp;setrules!P685)</f>
        <v>XIOTHJTF</v>
      </c>
      <c r="C634" t="str">
        <f>setrules!H685&amp;IF(setrules!I685="","",",-"&amp;setrules!I685)</f>
        <v/>
      </c>
      <c r="D634" t="str">
        <f>setrules!J685&amp;IF(setrules!K685="","",",-"&amp;setrules!K685)</f>
        <v/>
      </c>
      <c r="E634" t="str">
        <f>setrules!L685&amp;IF(setrules!M685="","",",-"&amp;setrules!M685)</f>
        <v/>
      </c>
      <c r="F634" t="str">
        <f>setrules!B685</f>
        <v>IXO_JTF</v>
      </c>
    </row>
    <row r="635" spans="1:6" x14ac:dyDescent="0.25">
      <c r="A635" t="str">
        <f>setrules!D686&amp;IF(setrules!E686="","",",-"&amp;setrules!E686)</f>
        <v/>
      </c>
      <c r="B635" t="str">
        <f>setrules!F686&amp;IF(setrules!G686="","",",-"&amp;setrules!G686)&amp;IF(setrules!P686="","",",-"&amp;setrules!P686)</f>
        <v>IXN*</v>
      </c>
      <c r="C635" t="str">
        <f>setrules!H686&amp;IF(setrules!I686="","",",-"&amp;setrules!I686)</f>
        <v/>
      </c>
      <c r="D635" t="str">
        <f>setrules!J686&amp;IF(setrules!K686="","",",-"&amp;setrules!K686)</f>
        <v/>
      </c>
      <c r="E635" t="str">
        <f>setrules!L686&amp;IF(setrules!M686="","",",-"&amp;setrules!M686)</f>
        <v/>
      </c>
      <c r="F635" t="str">
        <f>setrules!B686</f>
        <v>IXN_ALL</v>
      </c>
    </row>
    <row r="636" spans="1:6" x14ac:dyDescent="0.25">
      <c r="A636" t="str">
        <f>setrules!D687&amp;IF(setrules!E687="","",",-"&amp;setrules!E687)</f>
        <v/>
      </c>
      <c r="B636" t="str">
        <f>setrules!F687&amp;IF(setrules!G687="","",",-"&amp;setrules!G687)&amp;IF(setrules!P687="","",",-"&amp;setrules!P687)</f>
        <v>IPLEPRHELC</v>
      </c>
      <c r="C636" t="str">
        <f>setrules!H687&amp;IF(setrules!I687="","",",-"&amp;setrules!I687)</f>
        <v/>
      </c>
      <c r="D636" t="str">
        <f>setrules!J687&amp;IF(setrules!K687="","",",-"&amp;setrules!K687)</f>
        <v/>
      </c>
      <c r="E636" t="str">
        <f>setrules!L687&amp;IF(setrules!M687="","",",-"&amp;setrules!M687)</f>
        <v/>
      </c>
      <c r="F636" t="str">
        <f>setrules!B687</f>
        <v>IPLPH_ELC</v>
      </c>
    </row>
    <row r="637" spans="1:6" x14ac:dyDescent="0.25">
      <c r="A637" t="str">
        <f>setrules!D688&amp;IF(setrules!E688="","",",-"&amp;setrules!E688)</f>
        <v/>
      </c>
      <c r="B637" t="str">
        <f>setrules!F688&amp;IF(setrules!G688="","",",-"&amp;setrules!G688)&amp;IF(setrules!P688="","",",-"&amp;setrules!P688)</f>
        <v>IPPRH*</v>
      </c>
      <c r="C637" t="str">
        <f>setrules!H688&amp;IF(setrules!I688="","",",-"&amp;setrules!I688)</f>
        <v/>
      </c>
      <c r="D637" t="str">
        <f>setrules!J688&amp;IF(setrules!K688="","",",-"&amp;setrules!K688)</f>
        <v/>
      </c>
      <c r="E637" t="str">
        <f>setrules!L688&amp;IF(setrules!M688="","",",-"&amp;setrules!M688)</f>
        <v/>
      </c>
      <c r="F637" t="str">
        <f>setrules!B688</f>
        <v>IPP_ALL</v>
      </c>
    </row>
    <row r="638" spans="1:6" x14ac:dyDescent="0.25">
      <c r="A638" t="str">
        <f>setrules!D689&amp;IF(setrules!E689="","",",-"&amp;setrules!E689)</f>
        <v/>
      </c>
      <c r="B638" t="str">
        <f>setrules!F689&amp;IF(setrules!G689="","",",-"&amp;setrules!G689)&amp;IF(setrules!P689="","",",-"&amp;setrules!P689)</f>
        <v>IPL*B*BIO,IPL*B*WOD,IPL*B*TOM,IPLEOHT*,IPLOHTOSTM,-IPL*BST*</v>
      </c>
      <c r="C638" t="str">
        <f>setrules!H689&amp;IF(setrules!I689="","",",-"&amp;setrules!I689)</f>
        <v/>
      </c>
      <c r="D638" t="str">
        <f>setrules!J689&amp;IF(setrules!K689="","",",-"&amp;setrules!K689)</f>
        <v/>
      </c>
      <c r="E638" t="str">
        <f>setrules!L689&amp;IF(setrules!M689="","",",-"&amp;setrules!M689)</f>
        <v/>
      </c>
      <c r="F638" t="str">
        <f>setrules!B689</f>
        <v>IPLOH_ALL</v>
      </c>
    </row>
    <row r="639" spans="1:6" x14ac:dyDescent="0.25">
      <c r="A639" t="str">
        <f>setrules!D690&amp;IF(setrules!E690="","",",-"&amp;setrules!E690)</f>
        <v/>
      </c>
      <c r="B639" t="str">
        <f>setrules!F690&amp;IF(setrules!G690="","",",-"&amp;setrules!G690)&amp;IF(setrules!P690="","",",-"&amp;setrules!P690)</f>
        <v>IPL*B*BIO,IPL*B*WOD,IPL*B*TOM,IPLEOHTBIO,-IPL*BSTBIO,-IPL*BSTWOD,-IPL*BSTTOM</v>
      </c>
      <c r="C639" t="str">
        <f>setrules!H690&amp;IF(setrules!I690="","",",-"&amp;setrules!I690)</f>
        <v/>
      </c>
      <c r="D639" t="str">
        <f>setrules!J690&amp;IF(setrules!K690="","",",-"&amp;setrules!K690)</f>
        <v/>
      </c>
      <c r="E639" t="str">
        <f>setrules!L690&amp;IF(setrules!M690="","",",-"&amp;setrules!M690)</f>
        <v/>
      </c>
      <c r="F639" t="str">
        <f>setrules!B690</f>
        <v>IPLOH_BIO</v>
      </c>
    </row>
    <row r="640" spans="1:6" x14ac:dyDescent="0.25">
      <c r="A640" t="str">
        <f>setrules!D691&amp;IF(setrules!E691="","",",-"&amp;setrules!E691)</f>
        <v/>
      </c>
      <c r="B640" t="str">
        <f>setrules!F691&amp;IF(setrules!G691="","",",-"&amp;setrules!G691)&amp;IF(setrules!P691="","",",-"&amp;setrules!P691)</f>
        <v>IPLOHTOSTM</v>
      </c>
      <c r="C640" t="str">
        <f>setrules!H691&amp;IF(setrules!I691="","",",-"&amp;setrules!I691)</f>
        <v/>
      </c>
      <c r="D640" t="str">
        <f>setrules!J691&amp;IF(setrules!K691="","",",-"&amp;setrules!K691)</f>
        <v/>
      </c>
      <c r="E640" t="str">
        <f>setrules!L691&amp;IF(setrules!M691="","",",-"&amp;setrules!M691)</f>
        <v/>
      </c>
      <c r="F640" t="str">
        <f>setrules!B691</f>
        <v>IPLOH_CHP</v>
      </c>
    </row>
    <row r="641" spans="1:6" x14ac:dyDescent="0.25">
      <c r="A641" t="str">
        <f>setrules!D692&amp;IF(setrules!E692="","",",-"&amp;setrules!E692)</f>
        <v/>
      </c>
      <c r="B641" t="str">
        <f>setrules!F692&amp;IF(setrules!G692="","",",-"&amp;setrules!G692)&amp;IF(setrules!P692="","",",-"&amp;setrules!P692)</f>
        <v>IPLEOHTOTP</v>
      </c>
      <c r="C641" t="str">
        <f>setrules!H692&amp;IF(setrules!I692="","",",-"&amp;setrules!I692)</f>
        <v/>
      </c>
      <c r="D641" t="str">
        <f>setrules!J692&amp;IF(setrules!K692="","",",-"&amp;setrules!K692)</f>
        <v/>
      </c>
      <c r="E641" t="str">
        <f>setrules!L692&amp;IF(setrules!M692="","",",-"&amp;setrules!M692)</f>
        <v/>
      </c>
      <c r="F641" t="str">
        <f>setrules!B692</f>
        <v>IPLOH_OTP</v>
      </c>
    </row>
    <row r="642" spans="1:6" x14ac:dyDescent="0.25">
      <c r="A642" t="str">
        <f>setrules!D693&amp;IF(setrules!E693="","",",-"&amp;setrules!E693)</f>
        <v/>
      </c>
      <c r="B642" t="str">
        <f>setrules!F693&amp;IF(setrules!G693="","",",-"&amp;setrules!G693)&amp;IF(setrules!P693="","",",-"&amp;setrules!P693)</f>
        <v>IPLEOHTPTC</v>
      </c>
      <c r="C642" t="str">
        <f>setrules!H693&amp;IF(setrules!I693="","",",-"&amp;setrules!I693)</f>
        <v/>
      </c>
      <c r="D642" t="str">
        <f>setrules!J693&amp;IF(setrules!K693="","",",-"&amp;setrules!K693)</f>
        <v/>
      </c>
      <c r="E642" t="str">
        <f>setrules!L693&amp;IF(setrules!M693="","",",-"&amp;setrules!M693)</f>
        <v/>
      </c>
      <c r="F642" t="str">
        <f>setrules!B693</f>
        <v>IPLOH_PTC</v>
      </c>
    </row>
    <row r="643" spans="1:6" x14ac:dyDescent="0.25">
      <c r="A643" t="str">
        <f>setrules!D694&amp;IF(setrules!E694="","",",-"&amp;setrules!E694)</f>
        <v/>
      </c>
      <c r="B643" t="str">
        <f>setrules!F694&amp;IF(setrules!G694="","",",-"&amp;setrules!G694)&amp;IF(setrules!P694="","",",-"&amp;setrules!P694)</f>
        <v>IPFA*NGA*</v>
      </c>
      <c r="C643" t="str">
        <f>setrules!H694&amp;IF(setrules!I694="","",",-"&amp;setrules!I694)</f>
        <v/>
      </c>
      <c r="D643" t="str">
        <f>setrules!J694&amp;IF(setrules!K694="","",",-"&amp;setrules!K694)</f>
        <v/>
      </c>
      <c r="E643" t="str">
        <f>setrules!L694&amp;IF(setrules!M694="","",",-"&amp;setrules!M694)</f>
        <v/>
      </c>
      <c r="F643" t="str">
        <f>setrules!B694</f>
        <v>IPFA_NGA</v>
      </c>
    </row>
    <row r="644" spans="1:6" x14ac:dyDescent="0.25">
      <c r="A644" t="str">
        <f>setrules!D695&amp;IF(setrules!E695="","",",-"&amp;setrules!E695)</f>
        <v/>
      </c>
      <c r="B644" t="str">
        <f>setrules!F695&amp;IF(setrules!G695="","",",-"&amp;setrules!G695)&amp;IF(setrules!P695="","",",-"&amp;setrules!P695)</f>
        <v>IPLEPRHDST</v>
      </c>
      <c r="C644" t="str">
        <f>setrules!H695&amp;IF(setrules!I695="","",",-"&amp;setrules!I695)</f>
        <v/>
      </c>
      <c r="D644" t="str">
        <f>setrules!J695&amp;IF(setrules!K695="","",",-"&amp;setrules!K695)</f>
        <v/>
      </c>
      <c r="E644" t="str">
        <f>setrules!L695&amp;IF(setrules!M695="","",",-"&amp;setrules!M695)</f>
        <v/>
      </c>
      <c r="F644" t="str">
        <f>setrules!B695</f>
        <v>IPLPH_DSL</v>
      </c>
    </row>
    <row r="645" spans="1:6" x14ac:dyDescent="0.25">
      <c r="A645" t="str">
        <f>setrules!D696&amp;IF(setrules!E696="","",",-"&amp;setrules!E696)</f>
        <v/>
      </c>
      <c r="B645" t="str">
        <f>setrules!F696&amp;IF(setrules!G696="","",",-"&amp;setrules!G696)&amp;IF(setrules!P696="","",",-"&amp;setrules!P696)</f>
        <v>IPFA*LPG*</v>
      </c>
      <c r="C645" t="str">
        <f>setrules!H696&amp;IF(setrules!I696="","",",-"&amp;setrules!I696)</f>
        <v/>
      </c>
      <c r="D645" t="str">
        <f>setrules!J696&amp;IF(setrules!K696="","",",-"&amp;setrules!K696)</f>
        <v/>
      </c>
      <c r="E645" t="str">
        <f>setrules!L696&amp;IF(setrules!M696="","",",-"&amp;setrules!M696)</f>
        <v/>
      </c>
      <c r="F645" t="str">
        <f>setrules!B696</f>
        <v>IPFA_LPG</v>
      </c>
    </row>
    <row r="646" spans="1:6" x14ac:dyDescent="0.25">
      <c r="A646" t="str">
        <f>setrules!D697&amp;IF(setrules!E697="","",",-"&amp;setrules!E697)</f>
        <v/>
      </c>
      <c r="B646" t="str">
        <f>setrules!F697&amp;IF(setrules!G697="","",",-"&amp;setrules!G697)&amp;IF(setrules!P697="","",",-"&amp;setrules!P697)</f>
        <v>IPLEPRHNGA</v>
      </c>
      <c r="C646" t="str">
        <f>setrules!H697&amp;IF(setrules!I697="","",",-"&amp;setrules!I697)</f>
        <v/>
      </c>
      <c r="D646" t="str">
        <f>setrules!J697&amp;IF(setrules!K697="","",",-"&amp;setrules!K697)</f>
        <v/>
      </c>
      <c r="E646" t="str">
        <f>setrules!L697&amp;IF(setrules!M697="","",",-"&amp;setrules!M697)</f>
        <v/>
      </c>
      <c r="F646" t="str">
        <f>setrules!B697</f>
        <v>IPLPH_NGA</v>
      </c>
    </row>
    <row r="647" spans="1:6" x14ac:dyDescent="0.25">
      <c r="A647" t="str">
        <f>setrules!D698&amp;IF(setrules!E698="","",",-"&amp;setrules!E698)</f>
        <v/>
      </c>
      <c r="B647" t="str">
        <f>setrules!F698&amp;IF(setrules!G698="","",",-"&amp;setrules!G698)&amp;IF(setrules!P698="","",",-"&amp;setrules!P698)</f>
        <v>IPLEPRHRFL</v>
      </c>
      <c r="C647" t="str">
        <f>setrules!H698&amp;IF(setrules!I698="","",",-"&amp;setrules!I698)</f>
        <v/>
      </c>
      <c r="D647" t="str">
        <f>setrules!J698&amp;IF(setrules!K698="","",",-"&amp;setrules!K698)</f>
        <v/>
      </c>
      <c r="E647" t="str">
        <f>setrules!L698&amp;IF(setrules!M698="","",",-"&amp;setrules!M698)</f>
        <v/>
      </c>
      <c r="F647" t="str">
        <f>setrules!B698</f>
        <v>IPLPH_RFL</v>
      </c>
    </row>
    <row r="648" spans="1:6" x14ac:dyDescent="0.25">
      <c r="A648" t="str">
        <f>setrules!D699&amp;IF(setrules!E699="","",",-"&amp;setrules!E699)</f>
        <v/>
      </c>
      <c r="B648" t="str">
        <f>setrules!F699&amp;IF(setrules!G699="","",",-"&amp;setrules!G699)&amp;IF(setrules!P699="","",",-"&amp;setrules!P699)</f>
        <v>IPL*B*,-IPL*B*BIO,-IPL*B*WOD,-IPL*B*TOM,-IPL*BST*,-IPL*BSA*</v>
      </c>
      <c r="C648" t="str">
        <f>setrules!H699&amp;IF(setrules!I699="","",",-"&amp;setrules!I699)</f>
        <v/>
      </c>
      <c r="D648" t="str">
        <f>setrules!J699&amp;IF(setrules!K699="","",",-"&amp;setrules!K699)</f>
        <v/>
      </c>
      <c r="E648" t="str">
        <f>setrules!L699&amp;IF(setrules!M699="","",",-"&amp;setrules!M699)</f>
        <v/>
      </c>
      <c r="F648" t="str">
        <f>setrules!B699</f>
        <v>IPLST_ALL</v>
      </c>
    </row>
    <row r="649" spans="1:6" x14ac:dyDescent="0.25">
      <c r="A649" t="str">
        <f>setrules!D700&amp;IF(setrules!E700="","",",-"&amp;setrules!E700)</f>
        <v/>
      </c>
      <c r="B649" t="str">
        <f>setrules!F700&amp;IF(setrules!G700="","",",-"&amp;setrules!G700)&amp;IF(setrules!P700="","",",-"&amp;setrules!P700)</f>
        <v>IPLBOLFSTM</v>
      </c>
      <c r="C649" t="str">
        <f>setrules!H700&amp;IF(setrules!I700="","",",-"&amp;setrules!I700)</f>
        <v/>
      </c>
      <c r="D649" t="str">
        <f>setrules!J700&amp;IF(setrules!K700="","",",-"&amp;setrules!K700)</f>
        <v/>
      </c>
      <c r="E649" t="str">
        <f>setrules!L700&amp;IF(setrules!M700="","",",-"&amp;setrules!M700)</f>
        <v/>
      </c>
      <c r="F649" t="str">
        <f>setrules!B700</f>
        <v>IPLST_CHP</v>
      </c>
    </row>
    <row r="650" spans="1:6" x14ac:dyDescent="0.25">
      <c r="A650" t="str">
        <f>setrules!D701&amp;IF(setrules!E701="","",",-"&amp;setrules!E701)</f>
        <v/>
      </c>
      <c r="B650" t="str">
        <f>setrules!F701&amp;IF(setrules!G701="","",",-"&amp;setrules!G701)&amp;IF(setrules!P701="","",",-"&amp;setrules!P701)</f>
        <v>IPLEBSTCOA</v>
      </c>
      <c r="C650" t="str">
        <f>setrules!H701&amp;IF(setrules!I701="","",",-"&amp;setrules!I701)</f>
        <v/>
      </c>
      <c r="D650" t="str">
        <f>setrules!J701&amp;IF(setrules!K701="","",",-"&amp;setrules!K701)</f>
        <v/>
      </c>
      <c r="E650" t="str">
        <f>setrules!L701&amp;IF(setrules!M701="","",",-"&amp;setrules!M701)</f>
        <v/>
      </c>
      <c r="F650" t="str">
        <f>setrules!B701</f>
        <v>IPLST_COA</v>
      </c>
    </row>
    <row r="651" spans="1:6" x14ac:dyDescent="0.25">
      <c r="A651" t="str">
        <f>setrules!D702&amp;IF(setrules!E702="","",",-"&amp;setrules!E702)</f>
        <v/>
      </c>
      <c r="B651" t="str">
        <f>setrules!F702&amp;IF(setrules!G702="","",",-"&amp;setrules!G702)&amp;IF(setrules!P702="","",",-"&amp;setrules!P702)</f>
        <v>IPLEBSADST,IPLNCLLDST,IPLEBOLDST</v>
      </c>
      <c r="C651" t="str">
        <f>setrules!H702&amp;IF(setrules!I702="","",",-"&amp;setrules!I702)</f>
        <v/>
      </c>
      <c r="D651" t="str">
        <f>setrules!J702&amp;IF(setrules!K702="","",",-"&amp;setrules!K702)</f>
        <v/>
      </c>
      <c r="E651" t="str">
        <f>setrules!L702&amp;IF(setrules!M702="","",",-"&amp;setrules!M702)</f>
        <v/>
      </c>
      <c r="F651" t="str">
        <f>setrules!B702</f>
        <v>IPLST_DST</v>
      </c>
    </row>
    <row r="652" spans="1:6" x14ac:dyDescent="0.25">
      <c r="A652" t="str">
        <f>setrules!D703&amp;IF(setrules!E703="","",",-"&amp;setrules!E703)</f>
        <v/>
      </c>
      <c r="B652" t="str">
        <f>setrules!F703&amp;IF(setrules!G703="","",",-"&amp;setrules!G703)&amp;IF(setrules!P703="","",",-"&amp;setrules!P703)</f>
        <v>IPL*NGA,-,-IPLEPRHNGA,-</v>
      </c>
      <c r="C652" t="str">
        <f>setrules!H703&amp;IF(setrules!I703="","",",-"&amp;setrules!I703)</f>
        <v/>
      </c>
      <c r="D652" t="str">
        <f>setrules!J703&amp;IF(setrules!K703="","",",-"&amp;setrules!K703)</f>
        <v/>
      </c>
      <c r="E652" t="str">
        <f>setrules!L703&amp;IF(setrules!M703="","",",-"&amp;setrules!M703)</f>
        <v/>
      </c>
      <c r="F652" t="str">
        <f>setrules!B703</f>
        <v>IPLST_NGA</v>
      </c>
    </row>
    <row r="653" spans="1:6" x14ac:dyDescent="0.25">
      <c r="A653" t="str">
        <f>setrules!D704&amp;IF(setrules!E704="","",",-"&amp;setrules!E704)</f>
        <v/>
      </c>
      <c r="B653" t="str">
        <f>setrules!F704&amp;IF(setrules!G704="","",",-"&amp;setrules!G704)&amp;IF(setrules!P704="","",",-"&amp;setrules!P704)</f>
        <v>IPLEPRH*</v>
      </c>
      <c r="C653" t="str">
        <f>setrules!H704&amp;IF(setrules!I704="","",",-"&amp;setrules!I704)</f>
        <v/>
      </c>
      <c r="D653" t="str">
        <f>setrules!J704&amp;IF(setrules!K704="","",",-"&amp;setrules!K704)</f>
        <v/>
      </c>
      <c r="E653" t="str">
        <f>setrules!L704&amp;IF(setrules!M704="","",",-"&amp;setrules!M704)</f>
        <v/>
      </c>
      <c r="F653" t="str">
        <f>setrules!B704</f>
        <v>IPLPH_ALL</v>
      </c>
    </row>
    <row r="654" spans="1:6" x14ac:dyDescent="0.25">
      <c r="A654" t="str">
        <f>setrules!D705&amp;IF(setrules!E705="","",",-"&amp;setrules!E705)</f>
        <v/>
      </c>
      <c r="B654" t="str">
        <f>setrules!F705&amp;IF(setrules!G705="","",",-"&amp;setrules!G705)&amp;IF(setrules!P705="","",",-"&amp;setrules!P705)</f>
        <v>IPB*DST,-,-IPBEFACDST,-</v>
      </c>
      <c r="C654" t="str">
        <f>setrules!H705&amp;IF(setrules!I705="","",",-"&amp;setrules!I705)</f>
        <v/>
      </c>
      <c r="D654" t="str">
        <f>setrules!J705&amp;IF(setrules!K705="","",",-"&amp;setrules!K705)</f>
        <v/>
      </c>
      <c r="E654" t="str">
        <f>setrules!L705&amp;IF(setrules!M705="","",",-"&amp;setrules!M705)</f>
        <v/>
      </c>
      <c r="F654" t="str">
        <f>setrules!B705</f>
        <v>IPBST_DST</v>
      </c>
    </row>
    <row r="655" spans="1:6" x14ac:dyDescent="0.25">
      <c r="A655" t="str">
        <f>setrules!D706&amp;IF(setrules!E706="","",",-"&amp;setrules!E706)</f>
        <v/>
      </c>
      <c r="B655" t="str">
        <f>setrules!F706&amp;IF(setrules!G706="","",",-"&amp;setrules!G706)&amp;IF(setrules!P706="","",",-"&amp;setrules!P706)</f>
        <v>IMSEPRHELC</v>
      </c>
      <c r="C655" t="str">
        <f>setrules!H706&amp;IF(setrules!I706="","",",-"&amp;setrules!I706)</f>
        <v/>
      </c>
      <c r="D655" t="str">
        <f>setrules!J706&amp;IF(setrules!K706="","",",-"&amp;setrules!K706)</f>
        <v/>
      </c>
      <c r="E655" t="str">
        <f>setrules!L706&amp;IF(setrules!M706="","",",-"&amp;setrules!M706)</f>
        <v/>
      </c>
      <c r="F655" t="str">
        <f>setrules!B706</f>
        <v>IMSPH_ELC</v>
      </c>
    </row>
    <row r="656" spans="1:6" x14ac:dyDescent="0.25">
      <c r="A656" t="str">
        <f>setrules!D707&amp;IF(setrules!E707="","",",-"&amp;setrules!E707)</f>
        <v/>
      </c>
      <c r="B656" t="str">
        <f>setrules!F707&amp;IF(setrules!G707="","",",-"&amp;setrules!G707)&amp;IF(setrules!P707="","",",-"&amp;setrules!P707)</f>
        <v>IPBEPRH*</v>
      </c>
      <c r="C656" t="str">
        <f>setrules!H707&amp;IF(setrules!I707="","",",-"&amp;setrules!I707)</f>
        <v/>
      </c>
      <c r="D656" t="str">
        <f>setrules!J707&amp;IF(setrules!K707="","",",-"&amp;setrules!K707)</f>
        <v/>
      </c>
      <c r="E656" t="str">
        <f>setrules!L707&amp;IF(setrules!M707="","",",-"&amp;setrules!M707)</f>
        <v/>
      </c>
      <c r="F656" t="str">
        <f>setrules!B707</f>
        <v>IPBPH_ALL</v>
      </c>
    </row>
    <row r="657" spans="1:6" x14ac:dyDescent="0.25">
      <c r="A657" t="str">
        <f>setrules!D708&amp;IF(setrules!E708="","",",-"&amp;setrules!E708)</f>
        <v/>
      </c>
      <c r="B657" t="str">
        <f>setrules!F708&amp;IF(setrules!G708="","",",-"&amp;setrules!G708)&amp;IF(setrules!P708="","",",-"&amp;setrules!P708)</f>
        <v>IPBEPRHELC</v>
      </c>
      <c r="C657" t="str">
        <f>setrules!H708&amp;IF(setrules!I708="","",",-"&amp;setrules!I708)</f>
        <v/>
      </c>
      <c r="D657" t="str">
        <f>setrules!J708&amp;IF(setrules!K708="","",",-"&amp;setrules!K708)</f>
        <v/>
      </c>
      <c r="E657" t="str">
        <f>setrules!L708&amp;IF(setrules!M708="","",",-"&amp;setrules!M708)</f>
        <v/>
      </c>
      <c r="F657" t="str">
        <f>setrules!B708</f>
        <v>IPBPH_ELC</v>
      </c>
    </row>
    <row r="658" spans="1:6" x14ac:dyDescent="0.25">
      <c r="A658" t="str">
        <f>setrules!D709&amp;IF(setrules!E709="","",",-"&amp;setrules!E709)</f>
        <v/>
      </c>
      <c r="B658" t="str">
        <f>setrules!F709&amp;IF(setrules!G709="","",",-"&amp;setrules!G709)&amp;IF(setrules!P709="","",",-"&amp;setrules!P709)</f>
        <v>IPBEPRHNGA</v>
      </c>
      <c r="C658" t="str">
        <f>setrules!H709&amp;IF(setrules!I709="","",",-"&amp;setrules!I709)</f>
        <v/>
      </c>
      <c r="D658" t="str">
        <f>setrules!J709&amp;IF(setrules!K709="","",",-"&amp;setrules!K709)</f>
        <v/>
      </c>
      <c r="E658" t="str">
        <f>setrules!L709&amp;IF(setrules!M709="","",",-"&amp;setrules!M709)</f>
        <v/>
      </c>
      <c r="F658" t="str">
        <f>setrules!B709</f>
        <v>IPBPH_NGA</v>
      </c>
    </row>
    <row r="659" spans="1:6" x14ac:dyDescent="0.25">
      <c r="A659" t="str">
        <f>setrules!D710&amp;IF(setrules!E710="","",",-"&amp;setrules!E710)</f>
        <v/>
      </c>
      <c r="B659" t="str">
        <f>setrules!F710&amp;IF(setrules!G710="","",",-"&amp;setrules!G710)&amp;IF(setrules!P710="","",",-"&amp;setrules!P710)</f>
        <v>IPBEPRHRFL</v>
      </c>
      <c r="C659" t="str">
        <f>setrules!H710&amp;IF(setrules!I710="","",",-"&amp;setrules!I710)</f>
        <v/>
      </c>
      <c r="D659" t="str">
        <f>setrules!J710&amp;IF(setrules!K710="","",",-"&amp;setrules!K710)</f>
        <v/>
      </c>
      <c r="E659" t="str">
        <f>setrules!L710&amp;IF(setrules!M710="","",",-"&amp;setrules!M710)</f>
        <v/>
      </c>
      <c r="F659" t="str">
        <f>setrules!B710</f>
        <v>IPBPH_RFL</v>
      </c>
    </row>
    <row r="660" spans="1:6" x14ac:dyDescent="0.25">
      <c r="A660" t="str">
        <f>setrules!D711&amp;IF(setrules!E711="","",",-"&amp;setrules!E711)</f>
        <v/>
      </c>
      <c r="B660" t="str">
        <f>setrules!F711&amp;IF(setrules!G711="","",",-"&amp;setrules!G711)&amp;IF(setrules!P711="","",",-"&amp;setrules!P711)</f>
        <v>IPB*B*,-IPB*B*BIO,-IPB*B*WOD,-IPB*B*TOM,-IPB*BST*,-IPBPBSA*</v>
      </c>
      <c r="C660" t="str">
        <f>setrules!H711&amp;IF(setrules!I711="","",",-"&amp;setrules!I711)</f>
        <v/>
      </c>
      <c r="D660" t="str">
        <f>setrules!J711&amp;IF(setrules!K711="","",",-"&amp;setrules!K711)</f>
        <v/>
      </c>
      <c r="E660" t="str">
        <f>setrules!L711&amp;IF(setrules!M711="","",",-"&amp;setrules!M711)</f>
        <v/>
      </c>
      <c r="F660" t="str">
        <f>setrules!B711</f>
        <v>IPBST_ALL</v>
      </c>
    </row>
    <row r="661" spans="1:6" x14ac:dyDescent="0.25">
      <c r="A661" t="str">
        <f>setrules!D712&amp;IF(setrules!E712="","",",-"&amp;setrules!E712)</f>
        <v/>
      </c>
      <c r="B661" t="str">
        <f>setrules!F712&amp;IF(setrules!G712="","",",-"&amp;setrules!G712)&amp;IF(setrules!P712="","",",-"&amp;setrules!P712)</f>
        <v>IPFA*RFL*</v>
      </c>
      <c r="C661" t="str">
        <f>setrules!H712&amp;IF(setrules!I712="","",",-"&amp;setrules!I712)</f>
        <v/>
      </c>
      <c r="D661" t="str">
        <f>setrules!J712&amp;IF(setrules!K712="","",",-"&amp;setrules!K712)</f>
        <v/>
      </c>
      <c r="E661" t="str">
        <f>setrules!L712&amp;IF(setrules!M712="","",",-"&amp;setrules!M712)</f>
        <v/>
      </c>
      <c r="F661" t="str">
        <f>setrules!B712</f>
        <v>IPFA_RFL</v>
      </c>
    </row>
    <row r="662" spans="1:6" x14ac:dyDescent="0.25">
      <c r="A662" t="str">
        <f>setrules!D713&amp;IF(setrules!E713="","",",-"&amp;setrules!E713)</f>
        <v/>
      </c>
      <c r="B662" t="str">
        <f>setrules!F713&amp;IF(setrules!G713="","",",-"&amp;setrules!G713)&amp;IF(setrules!P713="","",",-"&amp;setrules!P713)</f>
        <v>IPB*COA</v>
      </c>
      <c r="C662" t="str">
        <f>setrules!H713&amp;IF(setrules!I713="","",",-"&amp;setrules!I713)</f>
        <v/>
      </c>
      <c r="D662" t="str">
        <f>setrules!J713&amp;IF(setrules!K713="","",",-"&amp;setrules!K713)</f>
        <v/>
      </c>
      <c r="E662" t="str">
        <f>setrules!L713&amp;IF(setrules!M713="","",",-"&amp;setrules!M713)</f>
        <v/>
      </c>
      <c r="F662" t="str">
        <f>setrules!B713</f>
        <v>IPBST_COA</v>
      </c>
    </row>
    <row r="663" spans="1:6" x14ac:dyDescent="0.25">
      <c r="A663" t="str">
        <f>setrules!D714&amp;IF(setrules!E714="","",",-"&amp;setrules!E714)</f>
        <v/>
      </c>
      <c r="B663" t="str">
        <f>setrules!F714&amp;IF(setrules!G714="","",",-"&amp;setrules!G714)&amp;IF(setrules!P714="","",",-"&amp;setrules!P714)</f>
        <v>IPM*COA*</v>
      </c>
      <c r="C663" t="str">
        <f>setrules!H714&amp;IF(setrules!I714="","",",-"&amp;setrules!I714)</f>
        <v/>
      </c>
      <c r="D663" t="str">
        <f>setrules!J714&amp;IF(setrules!K714="","",",-"&amp;setrules!K714)</f>
        <v/>
      </c>
      <c r="E663" t="str">
        <f>setrules!L714&amp;IF(setrules!M714="","",",-"&amp;setrules!M714)</f>
        <v/>
      </c>
      <c r="F663" t="str">
        <f>setrules!B714</f>
        <v>IPM_COA</v>
      </c>
    </row>
    <row r="664" spans="1:6" x14ac:dyDescent="0.25">
      <c r="A664" t="str">
        <f>setrules!D715&amp;IF(setrules!E715="","",",-"&amp;setrules!E715)</f>
        <v/>
      </c>
      <c r="B664" t="str">
        <f>setrules!F715&amp;IF(setrules!G715="","",",-"&amp;setrules!G715)&amp;IF(setrules!P715="","",",-"&amp;setrules!P715)</f>
        <v>IPB*B*ELC</v>
      </c>
      <c r="C664" t="str">
        <f>setrules!H715&amp;IF(setrules!I715="","",",-"&amp;setrules!I715)</f>
        <v/>
      </c>
      <c r="D664" t="str">
        <f>setrules!J715&amp;IF(setrules!K715="","",",-"&amp;setrules!K715)</f>
        <v/>
      </c>
      <c r="E664" t="str">
        <f>setrules!L715&amp;IF(setrules!M715="","",",-"&amp;setrules!M715)</f>
        <v/>
      </c>
      <c r="F664" t="str">
        <f>setrules!B715</f>
        <v>IPBST_ELC</v>
      </c>
    </row>
    <row r="665" spans="1:6" x14ac:dyDescent="0.25">
      <c r="A665" t="str">
        <f>setrules!D716&amp;IF(setrules!E716="","",",-"&amp;setrules!E716)</f>
        <v/>
      </c>
      <c r="B665" t="str">
        <f>setrules!F716&amp;IF(setrules!G716="","",",-"&amp;setrules!G716)&amp;IF(setrules!P716="","",",-"&amp;setrules!P716)</f>
        <v>IPB*NGA,-,-IPBEFACNGA,-IPBEFEDNGA,-IPBEMDRNGA,-IPBEOHTNGA,-IPBEPRHNGA,-</v>
      </c>
      <c r="C665" t="str">
        <f>setrules!H716&amp;IF(setrules!I716="","",",-"&amp;setrules!I716)</f>
        <v/>
      </c>
      <c r="D665" t="str">
        <f>setrules!J716&amp;IF(setrules!K716="","",",-"&amp;setrules!K716)</f>
        <v/>
      </c>
      <c r="E665" t="str">
        <f>setrules!L716&amp;IF(setrules!M716="","",",-"&amp;setrules!M716)</f>
        <v/>
      </c>
      <c r="F665" t="str">
        <f>setrules!B716</f>
        <v>IPBST_NGA</v>
      </c>
    </row>
    <row r="666" spans="1:6" x14ac:dyDescent="0.25">
      <c r="A666" t="str">
        <f>setrules!D717&amp;IF(setrules!E717="","",",-"&amp;setrules!E717)</f>
        <v/>
      </c>
      <c r="B666" t="str">
        <f>setrules!F717&amp;IF(setrules!G717="","",",-"&amp;setrules!G717)&amp;IF(setrules!P717="","",",-"&amp;setrules!P717)</f>
        <v>IPB*RFL,-,-IPBEPRHRFL,-</v>
      </c>
      <c r="C666" t="str">
        <f>setrules!H717&amp;IF(setrules!I717="","",",-"&amp;setrules!I717)</f>
        <v/>
      </c>
      <c r="D666" t="str">
        <f>setrules!J717&amp;IF(setrules!K717="","",",-"&amp;setrules!K717)</f>
        <v/>
      </c>
      <c r="E666" t="str">
        <f>setrules!L717&amp;IF(setrules!M717="","",",-"&amp;setrules!M717)</f>
        <v/>
      </c>
      <c r="F666" t="str">
        <f>setrules!B717</f>
        <v>IPBST_RFL</v>
      </c>
    </row>
    <row r="667" spans="1:6" x14ac:dyDescent="0.25">
      <c r="A667" t="str">
        <f>setrules!D718&amp;IF(setrules!E718="","",",-"&amp;setrules!E718)</f>
        <v/>
      </c>
      <c r="B667" t="str">
        <f>setrules!F718&amp;IF(setrules!G718="","",",-"&amp;setrules!G718)&amp;IF(setrules!P718="","",",-"&amp;setrules!P718)</f>
        <v>IPFAC*</v>
      </c>
      <c r="C667" t="str">
        <f>setrules!H718&amp;IF(setrules!I718="","",",-"&amp;setrules!I718)</f>
        <v/>
      </c>
      <c r="D667" t="str">
        <f>setrules!J718&amp;IF(setrules!K718="","",",-"&amp;setrules!K718)</f>
        <v/>
      </c>
      <c r="E667" t="str">
        <f>setrules!L718&amp;IF(setrules!M718="","",",-"&amp;setrules!M718)</f>
        <v/>
      </c>
      <c r="F667" t="str">
        <f>setrules!B718</f>
        <v>IPFA_ALL</v>
      </c>
    </row>
    <row r="668" spans="1:6" x14ac:dyDescent="0.25">
      <c r="A668" t="str">
        <f>setrules!D719&amp;IF(setrules!E719="","",",-"&amp;setrules!E719)</f>
        <v/>
      </c>
      <c r="B668" t="str">
        <f>setrules!F719&amp;IF(setrules!G719="","",",-"&amp;setrules!G719)&amp;IF(setrules!P719="","",",-"&amp;setrules!P719)</f>
        <v>IPFA*COA*</v>
      </c>
      <c r="C668" t="str">
        <f>setrules!H719&amp;IF(setrules!I719="","",",-"&amp;setrules!I719)</f>
        <v/>
      </c>
      <c r="D668" t="str">
        <f>setrules!J719&amp;IF(setrules!K719="","",",-"&amp;setrules!K719)</f>
        <v/>
      </c>
      <c r="E668" t="str">
        <f>setrules!L719&amp;IF(setrules!M719="","",",-"&amp;setrules!M719)</f>
        <v/>
      </c>
      <c r="F668" t="str">
        <f>setrules!B719</f>
        <v>IPFA_COA</v>
      </c>
    </row>
    <row r="669" spans="1:6" x14ac:dyDescent="0.25">
      <c r="A669" t="str">
        <f>setrules!D720&amp;IF(setrules!E720="","",",-"&amp;setrules!E720)</f>
        <v/>
      </c>
      <c r="B669" t="str">
        <f>setrules!F720&amp;IF(setrules!G720="","",",-"&amp;setrules!G720)&amp;IF(setrules!P720="","",",-"&amp;setrules!P720)</f>
        <v>IPFA*DST*</v>
      </c>
      <c r="C669" t="str">
        <f>setrules!H720&amp;IF(setrules!I720="","",",-"&amp;setrules!I720)</f>
        <v/>
      </c>
      <c r="D669" t="str">
        <f>setrules!J720&amp;IF(setrules!K720="","",",-"&amp;setrules!K720)</f>
        <v/>
      </c>
      <c r="E669" t="str">
        <f>setrules!L720&amp;IF(setrules!M720="","",",-"&amp;setrules!M720)</f>
        <v/>
      </c>
      <c r="F669" t="str">
        <f>setrules!B720</f>
        <v>IPFA_DST</v>
      </c>
    </row>
    <row r="670" spans="1:6" x14ac:dyDescent="0.25">
      <c r="A670" t="str">
        <f>setrules!D721&amp;IF(setrules!E721="","",",-"&amp;setrules!E721)</f>
        <v/>
      </c>
      <c r="B670" t="str">
        <f>setrules!F721&amp;IF(setrules!G721="","",",-"&amp;setrules!G721)&amp;IF(setrules!P721="","",",-"&amp;setrules!P721)</f>
        <v>IPFA*ELC*</v>
      </c>
      <c r="C670" t="str">
        <f>setrules!H721&amp;IF(setrules!I721="","",",-"&amp;setrules!I721)</f>
        <v/>
      </c>
      <c r="D670" t="str">
        <f>setrules!J721&amp;IF(setrules!K721="","",",-"&amp;setrules!K721)</f>
        <v/>
      </c>
      <c r="E670" t="str">
        <f>setrules!L721&amp;IF(setrules!M721="","",",-"&amp;setrules!M721)</f>
        <v/>
      </c>
      <c r="F670" t="str">
        <f>setrules!B721</f>
        <v>IPFA_ELC</v>
      </c>
    </row>
    <row r="671" spans="1:6" x14ac:dyDescent="0.25">
      <c r="A671" t="str">
        <f>setrules!D722&amp;IF(setrules!E722="","",",-"&amp;setrules!E722)</f>
        <v/>
      </c>
      <c r="B671" t="str">
        <f>setrules!F722&amp;IF(setrules!G722="","",",-"&amp;setrules!G722)&amp;IF(setrules!P722="","",",-"&amp;setrules!P722)</f>
        <v>IPBBOLFSTM</v>
      </c>
      <c r="C671" t="str">
        <f>setrules!H722&amp;IF(setrules!I722="","",",-"&amp;setrules!I722)</f>
        <v/>
      </c>
      <c r="D671" t="str">
        <f>setrules!J722&amp;IF(setrules!K722="","",",-"&amp;setrules!K722)</f>
        <v/>
      </c>
      <c r="E671" t="str">
        <f>setrules!L722&amp;IF(setrules!M722="","",",-"&amp;setrules!M722)</f>
        <v/>
      </c>
      <c r="F671" t="str">
        <f>setrules!B722</f>
        <v>IPBST_CHP</v>
      </c>
    </row>
    <row r="672" spans="1:6" x14ac:dyDescent="0.25">
      <c r="A672" t="str">
        <f>setrules!D723&amp;IF(setrules!E723="","",",-"&amp;setrules!E723)</f>
        <v/>
      </c>
      <c r="B672" t="str">
        <f>setrules!F723&amp;IF(setrules!G723="","",",-"&amp;setrules!G723)&amp;IF(setrules!P723="","",",-"&amp;setrules!P723)</f>
        <v>IPOEPRHELC</v>
      </c>
      <c r="C672" t="str">
        <f>setrules!H723&amp;IF(setrules!I723="","",",-"&amp;setrules!I723)</f>
        <v/>
      </c>
      <c r="D672" t="str">
        <f>setrules!J723&amp;IF(setrules!K723="","",",-"&amp;setrules!K723)</f>
        <v/>
      </c>
      <c r="E672" t="str">
        <f>setrules!L723&amp;IF(setrules!M723="","",",-"&amp;setrules!M723)</f>
        <v/>
      </c>
      <c r="F672" t="str">
        <f>setrules!B723</f>
        <v>IPOPH_ELC</v>
      </c>
    </row>
    <row r="673" spans="1:6" x14ac:dyDescent="0.25">
      <c r="A673" t="str">
        <f>setrules!D724&amp;IF(setrules!E724="","",",-"&amp;setrules!E724)</f>
        <v/>
      </c>
      <c r="B673" t="str">
        <f>setrules!F724&amp;IF(setrules!G724="","",",-"&amp;setrules!G724)&amp;IF(setrules!P724="","",",-"&amp;setrules!P724)</f>
        <v>IPO*BIO,IPO*WOD,IPO*TOM</v>
      </c>
      <c r="C673" t="str">
        <f>setrules!H724&amp;IF(setrules!I724="","",",-"&amp;setrules!I724)</f>
        <v/>
      </c>
      <c r="D673" t="str">
        <f>setrules!J724&amp;IF(setrules!K724="","",",-"&amp;setrules!K724)</f>
        <v/>
      </c>
      <c r="E673" t="str">
        <f>setrules!L724&amp;IF(setrules!M724="","",",-"&amp;setrules!M724)</f>
        <v/>
      </c>
      <c r="F673" t="str">
        <f>setrules!B724</f>
        <v>IPOOH_BIO</v>
      </c>
    </row>
    <row r="674" spans="1:6" x14ac:dyDescent="0.25">
      <c r="A674" t="str">
        <f>setrules!D725&amp;IF(setrules!E725="","",",-"&amp;setrules!E725)</f>
        <v/>
      </c>
      <c r="B674" t="str">
        <f>setrules!F725&amp;IF(setrules!G725="","",",-"&amp;setrules!G725)&amp;IF(setrules!P725="","",",-"&amp;setrules!P725)</f>
        <v>IPOOHTOSTM</v>
      </c>
      <c r="C674" t="str">
        <f>setrules!H725&amp;IF(setrules!I725="","",",-"&amp;setrules!I725)</f>
        <v/>
      </c>
      <c r="D674" t="str">
        <f>setrules!J725&amp;IF(setrules!K725="","",",-"&amp;setrules!K725)</f>
        <v/>
      </c>
      <c r="E674" t="str">
        <f>setrules!L725&amp;IF(setrules!M725="","",",-"&amp;setrules!M725)</f>
        <v/>
      </c>
      <c r="F674" t="str">
        <f>setrules!B725</f>
        <v>IPOOH_CHP</v>
      </c>
    </row>
    <row r="675" spans="1:6" x14ac:dyDescent="0.25">
      <c r="A675" t="str">
        <f>setrules!D726&amp;IF(setrules!E726="","",",-"&amp;setrules!E726)</f>
        <v/>
      </c>
      <c r="B675" t="str">
        <f>setrules!F726&amp;IF(setrules!G726="","",",-"&amp;setrules!G726)&amp;IF(setrules!P726="","",",-"&amp;setrules!P726)</f>
        <v>IPOEOHTELC</v>
      </c>
      <c r="C675" t="str">
        <f>setrules!H726&amp;IF(setrules!I726="","",",-"&amp;setrules!I726)</f>
        <v/>
      </c>
      <c r="D675" t="str">
        <f>setrules!J726&amp;IF(setrules!K726="","",",-"&amp;setrules!K726)</f>
        <v/>
      </c>
      <c r="E675" t="str">
        <f>setrules!L726&amp;IF(setrules!M726="","",",-"&amp;setrules!M726)</f>
        <v/>
      </c>
      <c r="F675" t="str">
        <f>setrules!B726</f>
        <v>IPOOH_ELC</v>
      </c>
    </row>
    <row r="676" spans="1:6" x14ac:dyDescent="0.25">
      <c r="A676" t="str">
        <f>setrules!D727&amp;IF(setrules!E727="","",",-"&amp;setrules!E727)</f>
        <v/>
      </c>
      <c r="B676" t="str">
        <f>setrules!F727&amp;IF(setrules!G727="","",",-"&amp;setrules!G727)&amp;IF(setrules!P727="","",",-"&amp;setrules!P727)</f>
        <v>IPOEOHTNGA</v>
      </c>
      <c r="C676" t="str">
        <f>setrules!H727&amp;IF(setrules!I727="","",",-"&amp;setrules!I727)</f>
        <v/>
      </c>
      <c r="D676" t="str">
        <f>setrules!J727&amp;IF(setrules!K727="","",",-"&amp;setrules!K727)</f>
        <v/>
      </c>
      <c r="E676" t="str">
        <f>setrules!L727&amp;IF(setrules!M727="","",",-"&amp;setrules!M727)</f>
        <v/>
      </c>
      <c r="F676" t="str">
        <f>setrules!B727</f>
        <v>IPOOH_NGA</v>
      </c>
    </row>
    <row r="677" spans="1:6" x14ac:dyDescent="0.25">
      <c r="A677" t="str">
        <f>setrules!D728&amp;IF(setrules!E728="","",",-"&amp;setrules!E728)</f>
        <v/>
      </c>
      <c r="B677" t="str">
        <f>setrules!F728&amp;IF(setrules!G728="","",",-"&amp;setrules!G728)&amp;IF(setrules!P728="","",",-"&amp;setrules!P728)</f>
        <v>IPOEOHTOTP</v>
      </c>
      <c r="C677" t="str">
        <f>setrules!H728&amp;IF(setrules!I728="","",",-"&amp;setrules!I728)</f>
        <v/>
      </c>
      <c r="D677" t="str">
        <f>setrules!J728&amp;IF(setrules!K728="","",",-"&amp;setrules!K728)</f>
        <v/>
      </c>
      <c r="E677" t="str">
        <f>setrules!L728&amp;IF(setrules!M728="","",",-"&amp;setrules!M728)</f>
        <v/>
      </c>
      <c r="F677" t="str">
        <f>setrules!B728</f>
        <v>IPOOH_OTP</v>
      </c>
    </row>
    <row r="678" spans="1:6" x14ac:dyDescent="0.25">
      <c r="A678" t="str">
        <f>setrules!D729&amp;IF(setrules!E729="","",",-"&amp;setrules!E729)</f>
        <v/>
      </c>
      <c r="B678" t="str">
        <f>setrules!F729&amp;IF(setrules!G729="","",",-"&amp;setrules!G729)&amp;IF(setrules!P729="","",",-"&amp;setrules!P729)</f>
        <v>IPOEOHTPTC</v>
      </c>
      <c r="C678" t="str">
        <f>setrules!H729&amp;IF(setrules!I729="","",",-"&amp;setrules!I729)</f>
        <v/>
      </c>
      <c r="D678" t="str">
        <f>setrules!J729&amp;IF(setrules!K729="","",",-"&amp;setrules!K729)</f>
        <v/>
      </c>
      <c r="E678" t="str">
        <f>setrules!L729&amp;IF(setrules!M729="","",",-"&amp;setrules!M729)</f>
        <v/>
      </c>
      <c r="F678" t="str">
        <f>setrules!B729</f>
        <v>IPOOH_PTC</v>
      </c>
    </row>
    <row r="679" spans="1:6" x14ac:dyDescent="0.25">
      <c r="A679" t="str">
        <f>setrules!D730&amp;IF(setrules!E730="","",",-"&amp;setrules!E730)</f>
        <v/>
      </c>
      <c r="B679" t="str">
        <f>setrules!F730&amp;IF(setrules!G730="","",",-"&amp;setrules!G730)&amp;IF(setrules!P730="","",",-"&amp;setrules!P730)</f>
        <v>IPLEBSARFL,IPLNCHLRFL</v>
      </c>
      <c r="C679" t="str">
        <f>setrules!H730&amp;IF(setrules!I730="","",",-"&amp;setrules!I730)</f>
        <v/>
      </c>
      <c r="D679" t="str">
        <f>setrules!J730&amp;IF(setrules!K730="","",",-"&amp;setrules!K730)</f>
        <v/>
      </c>
      <c r="E679" t="str">
        <f>setrules!L730&amp;IF(setrules!M730="","",",-"&amp;setrules!M730)</f>
        <v/>
      </c>
      <c r="F679" t="str">
        <f>setrules!B730</f>
        <v>IPLST_RFL</v>
      </c>
    </row>
    <row r="680" spans="1:6" x14ac:dyDescent="0.25">
      <c r="A680" t="str">
        <f>setrules!D731&amp;IF(setrules!E731="","",",-"&amp;setrules!E731)</f>
        <v/>
      </c>
      <c r="B680" t="str">
        <f>setrules!F731&amp;IF(setrules!G731="","",",-"&amp;setrules!G731)&amp;IF(setrules!P731="","",",-"&amp;setrules!P731)</f>
        <v>IPOEPRHDST</v>
      </c>
      <c r="C680" t="str">
        <f>setrules!H731&amp;IF(setrules!I731="","",",-"&amp;setrules!I731)</f>
        <v/>
      </c>
      <c r="D680" t="str">
        <f>setrules!J731&amp;IF(setrules!K731="","",",-"&amp;setrules!K731)</f>
        <v/>
      </c>
      <c r="E680" t="str">
        <f>setrules!L731&amp;IF(setrules!M731="","",",-"&amp;setrules!M731)</f>
        <v/>
      </c>
      <c r="F680" t="str">
        <f>setrules!B731</f>
        <v>IPOPH_DST</v>
      </c>
    </row>
    <row r="681" spans="1:6" x14ac:dyDescent="0.25">
      <c r="A681" t="str">
        <f>setrules!D732&amp;IF(setrules!E732="","",",-"&amp;setrules!E732)</f>
        <v/>
      </c>
      <c r="B681" t="str">
        <f>setrules!F732&amp;IF(setrules!G732="","",",-"&amp;setrules!G732)&amp;IF(setrules!P732="","",",-"&amp;setrules!P732)</f>
        <v>IPOEMDRELC</v>
      </c>
      <c r="C681" t="str">
        <f>setrules!H732&amp;IF(setrules!I732="","",",-"&amp;setrules!I732)</f>
        <v/>
      </c>
      <c r="D681" t="str">
        <f>setrules!J732&amp;IF(setrules!K732="","",",-"&amp;setrules!K732)</f>
        <v/>
      </c>
      <c r="E681" t="str">
        <f>setrules!L732&amp;IF(setrules!M732="","",",-"&amp;setrules!M732)</f>
        <v/>
      </c>
      <c r="F681" t="str">
        <f>setrules!B732</f>
        <v>IPOMD_ELC</v>
      </c>
    </row>
    <row r="682" spans="1:6" x14ac:dyDescent="0.25">
      <c r="A682" t="str">
        <f>setrules!D733&amp;IF(setrules!E733="","",",-"&amp;setrules!E733)</f>
        <v/>
      </c>
      <c r="B682" t="str">
        <f>setrules!F733&amp;IF(setrules!G733="","",",-"&amp;setrules!G733)&amp;IF(setrules!P733="","",",-"&amp;setrules!P733)</f>
        <v>IPOEPRHNGA</v>
      </c>
      <c r="C682" t="str">
        <f>setrules!H733&amp;IF(setrules!I733="","",",-"&amp;setrules!I733)</f>
        <v/>
      </c>
      <c r="D682" t="str">
        <f>setrules!J733&amp;IF(setrules!K733="","",",-"&amp;setrules!K733)</f>
        <v/>
      </c>
      <c r="E682" t="str">
        <f>setrules!L733&amp;IF(setrules!M733="","",",-"&amp;setrules!M733)</f>
        <v/>
      </c>
      <c r="F682" t="str">
        <f>setrules!B733</f>
        <v>IPOPH_NGA</v>
      </c>
    </row>
    <row r="683" spans="1:6" x14ac:dyDescent="0.25">
      <c r="A683" t="str">
        <f>setrules!D734&amp;IF(setrules!E734="","",",-"&amp;setrules!E734)</f>
        <v/>
      </c>
      <c r="B683" t="str">
        <f>setrules!F734&amp;IF(setrules!G734="","",",-"&amp;setrules!G734)&amp;IF(setrules!P734="","",",-"&amp;setrules!P734)</f>
        <v>IPO*B*,-IPO*B*BIO,-IPO*B*WOD,-IPO*B*TOM,-IPO*BST*,-IPO*BSA*</v>
      </c>
      <c r="C683" t="str">
        <f>setrules!H734&amp;IF(setrules!I734="","",",-"&amp;setrules!I734)</f>
        <v/>
      </c>
      <c r="D683" t="str">
        <f>setrules!J734&amp;IF(setrules!K734="","",",-"&amp;setrules!K734)</f>
        <v/>
      </c>
      <c r="E683" t="str">
        <f>setrules!L734&amp;IF(setrules!M734="","",",-"&amp;setrules!M734)</f>
        <v/>
      </c>
      <c r="F683" t="str">
        <f>setrules!B734</f>
        <v>IPOST_ALL</v>
      </c>
    </row>
    <row r="684" spans="1:6" x14ac:dyDescent="0.25">
      <c r="A684" t="str">
        <f>setrules!D735&amp;IF(setrules!E735="","",",-"&amp;setrules!E735)</f>
        <v/>
      </c>
      <c r="B684" t="str">
        <f>setrules!F735&amp;IF(setrules!G735="","",",-"&amp;setrules!G735)&amp;IF(setrules!P735="","",",-"&amp;setrules!P735)</f>
        <v>IPOBOLFSTM</v>
      </c>
      <c r="C684" t="str">
        <f>setrules!H735&amp;IF(setrules!I735="","",",-"&amp;setrules!I735)</f>
        <v/>
      </c>
      <c r="D684" t="str">
        <f>setrules!J735&amp;IF(setrules!K735="","",",-"&amp;setrules!K735)</f>
        <v/>
      </c>
      <c r="E684" t="str">
        <f>setrules!L735&amp;IF(setrules!M735="","",",-"&amp;setrules!M735)</f>
        <v/>
      </c>
      <c r="F684" t="str">
        <f>setrules!B735</f>
        <v>IPOST_CHP</v>
      </c>
    </row>
    <row r="685" spans="1:6" x14ac:dyDescent="0.25">
      <c r="A685" t="str">
        <f>setrules!D736&amp;IF(setrules!E736="","",",-"&amp;setrules!E736)</f>
        <v/>
      </c>
      <c r="B685" t="str">
        <f>setrules!F736&amp;IF(setrules!G736="","",",-"&amp;setrules!G736)&amp;IF(setrules!P736="","",",-"&amp;setrules!P736)</f>
        <v>IPO*COA</v>
      </c>
      <c r="C685" t="str">
        <f>setrules!H736&amp;IF(setrules!I736="","",",-"&amp;setrules!I736)</f>
        <v/>
      </c>
      <c r="D685" t="str">
        <f>setrules!J736&amp;IF(setrules!K736="","",",-"&amp;setrules!K736)</f>
        <v/>
      </c>
      <c r="E685" t="str">
        <f>setrules!L736&amp;IF(setrules!M736="","",",-"&amp;setrules!M736)</f>
        <v/>
      </c>
      <c r="F685" t="str">
        <f>setrules!B736</f>
        <v>IPOST_COA</v>
      </c>
    </row>
    <row r="686" spans="1:6" x14ac:dyDescent="0.25">
      <c r="A686" t="str">
        <f>setrules!D737&amp;IF(setrules!E737="","",",-"&amp;setrules!E737)</f>
        <v/>
      </c>
      <c r="B686" t="str">
        <f>setrules!F737&amp;IF(setrules!G737="","",",-"&amp;setrules!G737)&amp;IF(setrules!P737="","",",-"&amp;setrules!P737)</f>
        <v>IPOEBOLDST,IPOEBLLDST</v>
      </c>
      <c r="C686" t="str">
        <f>setrules!H737&amp;IF(setrules!I737="","",",-"&amp;setrules!I737)</f>
        <v/>
      </c>
      <c r="D686" t="str">
        <f>setrules!J737&amp;IF(setrules!K737="","",",-"&amp;setrules!K737)</f>
        <v/>
      </c>
      <c r="E686" t="str">
        <f>setrules!L737&amp;IF(setrules!M737="","",",-"&amp;setrules!M737)</f>
        <v/>
      </c>
      <c r="F686" t="str">
        <f>setrules!B737</f>
        <v>IPOST_DST</v>
      </c>
    </row>
    <row r="687" spans="1:6" x14ac:dyDescent="0.25">
      <c r="A687" t="str">
        <f>setrules!D738&amp;IF(setrules!E738="","",",-"&amp;setrules!E738)</f>
        <v/>
      </c>
      <c r="B687" t="str">
        <f>setrules!F738&amp;IF(setrules!G738="","",",-"&amp;setrules!G738)&amp;IF(setrules!P738="","",",-"&amp;setrules!P738)</f>
        <v>IPO*B*ELC</v>
      </c>
      <c r="C687" t="str">
        <f>setrules!H738&amp;IF(setrules!I738="","",",-"&amp;setrules!I738)</f>
        <v/>
      </c>
      <c r="D687" t="str">
        <f>setrules!J738&amp;IF(setrules!K738="","",",-"&amp;setrules!K738)</f>
        <v/>
      </c>
      <c r="E687" t="str">
        <f>setrules!L738&amp;IF(setrules!M738="","",",-"&amp;setrules!M738)</f>
        <v/>
      </c>
      <c r="F687" t="str">
        <f>setrules!B738</f>
        <v>IPOST_ELC</v>
      </c>
    </row>
    <row r="688" spans="1:6" x14ac:dyDescent="0.25">
      <c r="A688" t="str">
        <f>setrules!D739&amp;IF(setrules!E739="","",",-"&amp;setrules!E739)</f>
        <v/>
      </c>
      <c r="B688" t="str">
        <f>setrules!F739&amp;IF(setrules!G739="","",",-"&amp;setrules!G739)&amp;IF(setrules!P739="","",",-"&amp;setrules!P739)</f>
        <v>TL*</v>
      </c>
      <c r="C688" t="str">
        <f>setrules!H739&amp;IF(setrules!I739="","",",-"&amp;setrules!I739)</f>
        <v>*.DHEV.*</v>
      </c>
      <c r="D688" t="str">
        <f>setrules!J739&amp;IF(setrules!K739="","",",-"&amp;setrules!K739)</f>
        <v/>
      </c>
      <c r="E688" t="str">
        <f>setrules!L739&amp;IF(setrules!M739="","",",-"&amp;setrules!M739)</f>
        <v/>
      </c>
      <c r="F688" t="str">
        <f>setrules!B739</f>
        <v>LDHEVDC</v>
      </c>
    </row>
    <row r="689" spans="1:6" x14ac:dyDescent="0.25">
      <c r="A689" t="str">
        <f>setrules!D740&amp;IF(setrules!E740="","",",-"&amp;setrules!E740)</f>
        <v/>
      </c>
      <c r="B689" t="str">
        <f>setrules!F740&amp;IF(setrules!G740="","",",-"&amp;setrules!G740)&amp;IF(setrules!P740="","",",-"&amp;setrules!P740)</f>
        <v>IPOEPRH*</v>
      </c>
      <c r="C689" t="str">
        <f>setrules!H740&amp;IF(setrules!I740="","",",-"&amp;setrules!I740)</f>
        <v/>
      </c>
      <c r="D689" t="str">
        <f>setrules!J740&amp;IF(setrules!K740="","",",-"&amp;setrules!K740)</f>
        <v/>
      </c>
      <c r="E689" t="str">
        <f>setrules!L740&amp;IF(setrules!M740="","",",-"&amp;setrules!M740)</f>
        <v/>
      </c>
      <c r="F689" t="str">
        <f>setrules!B740</f>
        <v>IPOPH_ALL</v>
      </c>
    </row>
    <row r="690" spans="1:6" x14ac:dyDescent="0.25">
      <c r="A690" t="str">
        <f>setrules!D741&amp;IF(setrules!E741="","",",-"&amp;setrules!E741)</f>
        <v/>
      </c>
      <c r="B690" t="str">
        <f>setrules!F741&amp;IF(setrules!G741="","",",-"&amp;setrules!G741)&amp;IF(setrules!P741="","",",-"&amp;setrules!P741)</f>
        <v>IPO*</v>
      </c>
      <c r="C690" t="str">
        <f>setrules!H741&amp;IF(setrules!I741="","",",-"&amp;setrules!I741)</f>
        <v/>
      </c>
      <c r="D690" t="str">
        <f>setrules!J741&amp;IF(setrules!K741="","",",-"&amp;setrules!K741)</f>
        <v>IPBIO</v>
      </c>
      <c r="E690" t="str">
        <f>setrules!L741&amp;IF(setrules!M741="","",",-"&amp;setrules!M741)</f>
        <v/>
      </c>
      <c r="F690" t="str">
        <f>setrules!B741</f>
        <v>IPOH_BIO</v>
      </c>
    </row>
    <row r="691" spans="1:6" x14ac:dyDescent="0.25">
      <c r="A691" t="str">
        <f>setrules!D742&amp;IF(setrules!E742="","",",-"&amp;setrules!E742)</f>
        <v/>
      </c>
      <c r="B691" t="str">
        <f>setrules!F742&amp;IF(setrules!G742="","",",-"&amp;setrules!G742)&amp;IF(setrules!P742="","",",-"&amp;setrules!P742)</f>
        <v>IPO*B*RFL,-IPO*BSTRFL,-IPO*BSARFL</v>
      </c>
      <c r="C691" t="str">
        <f>setrules!H742&amp;IF(setrules!I742="","",",-"&amp;setrules!I742)</f>
        <v/>
      </c>
      <c r="D691" t="str">
        <f>setrules!J742&amp;IF(setrules!K742="","",",-"&amp;setrules!K742)</f>
        <v/>
      </c>
      <c r="E691" t="str">
        <f>setrules!L742&amp;IF(setrules!M742="","",",-"&amp;setrules!M742)</f>
        <v/>
      </c>
      <c r="F691" t="str">
        <f>setrules!B742</f>
        <v>IPOST_RFL</v>
      </c>
    </row>
    <row r="692" spans="1:6" x14ac:dyDescent="0.25">
      <c r="A692" t="str">
        <f>setrules!D743&amp;IF(setrules!E743="","",",-"&amp;setrules!E743)</f>
        <v/>
      </c>
      <c r="B692" t="str">
        <f>setrules!F743&amp;IF(setrules!G743="","",",-"&amp;setrules!G743)&amp;IF(setrules!P743="","",",-"&amp;setrules!P743)</f>
        <v>IPM*ELC*</v>
      </c>
      <c r="C692" t="str">
        <f>setrules!H743&amp;IF(setrules!I743="","",",-"&amp;setrules!I743)</f>
        <v/>
      </c>
      <c r="D692" t="str">
        <f>setrules!J743&amp;IF(setrules!K743="","",",-"&amp;setrules!K743)</f>
        <v/>
      </c>
      <c r="E692" t="str">
        <f>setrules!L743&amp;IF(setrules!M743="","",",-"&amp;setrules!M743)</f>
        <v/>
      </c>
      <c r="F692" t="str">
        <f>setrules!B743</f>
        <v>IPM_ELC</v>
      </c>
    </row>
    <row r="693" spans="1:6" x14ac:dyDescent="0.25">
      <c r="A693" t="str">
        <f>setrules!D744&amp;IF(setrules!E744="","",",-"&amp;setrules!E744)</f>
        <v/>
      </c>
      <c r="B693" t="str">
        <f>setrules!F744&amp;IF(setrules!G744="","",",-"&amp;setrules!G744)&amp;IF(setrules!P744="","",",-"&amp;setrules!P744)</f>
        <v>IPM*NGA*</v>
      </c>
      <c r="C693" t="str">
        <f>setrules!H744&amp;IF(setrules!I744="","",",-"&amp;setrules!I744)</f>
        <v/>
      </c>
      <c r="D693" t="str">
        <f>setrules!J744&amp;IF(setrules!K744="","",",-"&amp;setrules!K744)</f>
        <v/>
      </c>
      <c r="E693" t="str">
        <f>setrules!L744&amp;IF(setrules!M744="","",",-"&amp;setrules!M744)</f>
        <v/>
      </c>
      <c r="F693" t="str">
        <f>setrules!B744</f>
        <v>IPM_NGA</v>
      </c>
    </row>
    <row r="694" spans="1:6" x14ac:dyDescent="0.25">
      <c r="A694" t="str">
        <f>setrules!D745&amp;IF(setrules!E745="","",",-"&amp;setrules!E745)</f>
        <v/>
      </c>
      <c r="B694" t="str">
        <f>setrules!F745&amp;IF(setrules!G745="","",",-"&amp;setrules!G745)&amp;IF(setrules!P745="","",",-"&amp;setrules!P745)</f>
        <v>IPM*RFL*</v>
      </c>
      <c r="C694" t="str">
        <f>setrules!H745&amp;IF(setrules!I745="","",",-"&amp;setrules!I745)</f>
        <v/>
      </c>
      <c r="D694" t="str">
        <f>setrules!J745&amp;IF(setrules!K745="","",",-"&amp;setrules!K745)</f>
        <v/>
      </c>
      <c r="E694" t="str">
        <f>setrules!L745&amp;IF(setrules!M745="","",",-"&amp;setrules!M745)</f>
        <v/>
      </c>
      <c r="F694" t="str">
        <f>setrules!B745</f>
        <v>IPM_RFL</v>
      </c>
    </row>
    <row r="695" spans="1:6" x14ac:dyDescent="0.25">
      <c r="A695" t="str">
        <f>setrules!D746&amp;IF(setrules!E746="","",",-"&amp;setrules!E746)</f>
        <v/>
      </c>
      <c r="B695" t="str">
        <f>setrules!F746&amp;IF(setrules!G746="","",",-"&amp;setrules!G746)&amp;IF(setrules!P746="","",",-"&amp;setrules!P746)</f>
        <v>IPOEFAC*</v>
      </c>
      <c r="C695" t="str">
        <f>setrules!H746&amp;IF(setrules!I746="","",",-"&amp;setrules!I746)</f>
        <v/>
      </c>
      <c r="D695" t="str">
        <f>setrules!J746&amp;IF(setrules!K746="","",",-"&amp;setrules!K746)</f>
        <v/>
      </c>
      <c r="E695" t="str">
        <f>setrules!L746&amp;IF(setrules!M746="","",",-"&amp;setrules!M746)</f>
        <v/>
      </c>
      <c r="F695" t="str">
        <f>setrules!B746</f>
        <v>IPOFA_ALL</v>
      </c>
    </row>
    <row r="696" spans="1:6" x14ac:dyDescent="0.25">
      <c r="A696" t="str">
        <f>setrules!D747&amp;IF(setrules!E747="","",",-"&amp;setrules!E747)</f>
        <v/>
      </c>
      <c r="B696" t="str">
        <f>setrules!F747&amp;IF(setrules!G747="","",",-"&amp;setrules!G747)&amp;IF(setrules!P747="","",",-"&amp;setrules!P747)</f>
        <v>IPOEFACELC</v>
      </c>
      <c r="C696" t="str">
        <f>setrules!H747&amp;IF(setrules!I747="","",",-"&amp;setrules!I747)</f>
        <v/>
      </c>
      <c r="D696" t="str">
        <f>setrules!J747&amp;IF(setrules!K747="","",",-"&amp;setrules!K747)</f>
        <v/>
      </c>
      <c r="E696" t="str">
        <f>setrules!L747&amp;IF(setrules!M747="","",",-"&amp;setrules!M747)</f>
        <v/>
      </c>
      <c r="F696" t="str">
        <f>setrules!B747</f>
        <v>IPOFA_ELC</v>
      </c>
    </row>
    <row r="697" spans="1:6" x14ac:dyDescent="0.25">
      <c r="A697" t="str">
        <f>setrules!D748&amp;IF(setrules!E748="","",",-"&amp;setrules!E748)</f>
        <v/>
      </c>
      <c r="B697" t="str">
        <f>setrules!F748&amp;IF(setrules!G748="","",",-"&amp;setrules!G748)&amp;IF(setrules!P748="","",",-"&amp;setrules!P748)</f>
        <v>IPOEFACLPG</v>
      </c>
      <c r="C697" t="str">
        <f>setrules!H748&amp;IF(setrules!I748="","",",-"&amp;setrules!I748)</f>
        <v/>
      </c>
      <c r="D697" t="str">
        <f>setrules!J748&amp;IF(setrules!K748="","",",-"&amp;setrules!K748)</f>
        <v/>
      </c>
      <c r="E697" t="str">
        <f>setrules!L748&amp;IF(setrules!M748="","",",-"&amp;setrules!M748)</f>
        <v/>
      </c>
      <c r="F697" t="str">
        <f>setrules!B748</f>
        <v>IPOFA_LPG</v>
      </c>
    </row>
    <row r="698" spans="1:6" x14ac:dyDescent="0.25">
      <c r="A698" t="str">
        <f>setrules!D749&amp;IF(setrules!E749="","",",-"&amp;setrules!E749)</f>
        <v/>
      </c>
      <c r="B698" t="str">
        <f>setrules!F749&amp;IF(setrules!G749="","",",-"&amp;setrules!G749)&amp;IF(setrules!P749="","",",-"&amp;setrules!P749)</f>
        <v>IPO*B*BIO,IPO*B*WOD,IPO*B*TOM,IPOEOHT*,IPOOHTOSTM,-IPO*BST*</v>
      </c>
      <c r="C698" t="str">
        <f>setrules!H749&amp;IF(setrules!I749="","",",-"&amp;setrules!I749)</f>
        <v/>
      </c>
      <c r="D698" t="str">
        <f>setrules!J749&amp;IF(setrules!K749="","",",-"&amp;setrules!K749)</f>
        <v/>
      </c>
      <c r="E698" t="str">
        <f>setrules!L749&amp;IF(setrules!M749="","",",-"&amp;setrules!M749)</f>
        <v/>
      </c>
      <c r="F698" t="str">
        <f>setrules!B749</f>
        <v>IPOOH_ALL</v>
      </c>
    </row>
    <row r="699" spans="1:6" x14ac:dyDescent="0.25">
      <c r="A699" t="str">
        <f>setrules!D750&amp;IF(setrules!E750="","",",-"&amp;setrules!E750)</f>
        <v/>
      </c>
      <c r="B699" t="str">
        <f>setrules!F750&amp;IF(setrules!G750="","",",-"&amp;setrules!G750)&amp;IF(setrules!P750="","",",-"&amp;setrules!P750)</f>
        <v>IPOH*</v>
      </c>
      <c r="C699" t="str">
        <f>setrules!H750&amp;IF(setrules!I750="","",",-"&amp;setrules!I750)</f>
        <v/>
      </c>
      <c r="D699" t="str">
        <f>setrules!J750&amp;IF(setrules!K750="","",",-"&amp;setrules!K750)</f>
        <v/>
      </c>
      <c r="E699" t="str">
        <f>setrules!L750&amp;IF(setrules!M750="","",",-"&amp;setrules!M750)</f>
        <v/>
      </c>
      <c r="F699" t="str">
        <f>setrules!B750</f>
        <v>IPOH_ALL</v>
      </c>
    </row>
    <row r="700" spans="1:6" x14ac:dyDescent="0.25">
      <c r="A700" t="str">
        <f>setrules!D751&amp;IF(setrules!E751="","",",-"&amp;setrules!E751)</f>
        <v/>
      </c>
      <c r="B700" t="str">
        <f>setrules!F751&amp;IF(setrules!G751="","",",-"&amp;setrules!G751)&amp;IF(setrules!P751="","",",-"&amp;setrules!P751)</f>
        <v>IPOEMDRNGA</v>
      </c>
      <c r="C700" t="str">
        <f>setrules!H751&amp;IF(setrules!I751="","",",-"&amp;setrules!I751)</f>
        <v/>
      </c>
      <c r="D700" t="str">
        <f>setrules!J751&amp;IF(setrules!K751="","",",-"&amp;setrules!K751)</f>
        <v/>
      </c>
      <c r="E700" t="str">
        <f>setrules!L751&amp;IF(setrules!M751="","",",-"&amp;setrules!M751)</f>
        <v/>
      </c>
      <c r="F700" t="str">
        <f>setrules!B751</f>
        <v>IPOMD_NGA</v>
      </c>
    </row>
    <row r="701" spans="1:6" x14ac:dyDescent="0.25">
      <c r="A701" t="str">
        <f>setrules!D752&amp;IF(setrules!E752="","",",-"&amp;setrules!E752)</f>
        <v/>
      </c>
      <c r="B701" t="str">
        <f>setrules!F752&amp;IF(setrules!G752="","",",-"&amp;setrules!G752)&amp;IF(setrules!P752="","",",-"&amp;setrules!P752)</f>
        <v>IPOHELC*</v>
      </c>
      <c r="C701" t="str">
        <f>setrules!H752&amp;IF(setrules!I752="","",",-"&amp;setrules!I752)</f>
        <v/>
      </c>
      <c r="D701" t="str">
        <f>setrules!J752&amp;IF(setrules!K752="","",",-"&amp;setrules!K752)</f>
        <v/>
      </c>
      <c r="E701" t="str">
        <f>setrules!L752&amp;IF(setrules!M752="","",",-"&amp;setrules!M752)</f>
        <v/>
      </c>
      <c r="F701" t="str">
        <f>setrules!B752</f>
        <v>IPOH_ELC</v>
      </c>
    </row>
    <row r="702" spans="1:6" x14ac:dyDescent="0.25">
      <c r="A702" t="str">
        <f>setrules!D753&amp;IF(setrules!E753="","",",-"&amp;setrules!E753)</f>
        <v/>
      </c>
      <c r="B702" t="str">
        <f>setrules!F753&amp;IF(setrules!G753="","",",-"&amp;setrules!G753)&amp;IF(setrules!P753="","",",-"&amp;setrules!P753)</f>
        <v>IPOHLPG*</v>
      </c>
      <c r="C702" t="str">
        <f>setrules!H753&amp;IF(setrules!I753="","",",-"&amp;setrules!I753)</f>
        <v/>
      </c>
      <c r="D702" t="str">
        <f>setrules!J753&amp;IF(setrules!K753="","",",-"&amp;setrules!K753)</f>
        <v/>
      </c>
      <c r="E702" t="str">
        <f>setrules!L753&amp;IF(setrules!M753="","",",-"&amp;setrules!M753)</f>
        <v/>
      </c>
      <c r="F702" t="str">
        <f>setrules!B753</f>
        <v>IPOH_LPG</v>
      </c>
    </row>
    <row r="703" spans="1:6" x14ac:dyDescent="0.25">
      <c r="A703" t="str">
        <f>setrules!D754&amp;IF(setrules!E754="","",",-"&amp;setrules!E754)</f>
        <v/>
      </c>
      <c r="B703" t="str">
        <f>setrules!F754&amp;IF(setrules!G754="","",",-"&amp;setrules!G754)&amp;IF(setrules!P754="","",",-"&amp;setrules!P754)</f>
        <v>IPOHNGA*</v>
      </c>
      <c r="C703" t="str">
        <f>setrules!H754&amp;IF(setrules!I754="","",",-"&amp;setrules!I754)</f>
        <v/>
      </c>
      <c r="D703" t="str">
        <f>setrules!J754&amp;IF(setrules!K754="","",",-"&amp;setrules!K754)</f>
        <v/>
      </c>
      <c r="E703" t="str">
        <f>setrules!L754&amp;IF(setrules!M754="","",",-"&amp;setrules!M754)</f>
        <v/>
      </c>
      <c r="F703" t="str">
        <f>setrules!B754</f>
        <v>IPOH_NGA</v>
      </c>
    </row>
    <row r="704" spans="1:6" x14ac:dyDescent="0.25">
      <c r="A704" t="str">
        <f>setrules!D755&amp;IF(setrules!E755="","",",-"&amp;setrules!E755)</f>
        <v/>
      </c>
      <c r="B704" t="str">
        <f>setrules!F755&amp;IF(setrules!G755="","",",-"&amp;setrules!G755)&amp;IF(setrules!P755="","",",-"&amp;setrules!P755)</f>
        <v>IPOHRFL*</v>
      </c>
      <c r="C704" t="str">
        <f>setrules!H755&amp;IF(setrules!I755="","",",-"&amp;setrules!I755)</f>
        <v/>
      </c>
      <c r="D704" t="str">
        <f>setrules!J755&amp;IF(setrules!K755="","",",-"&amp;setrules!K755)</f>
        <v/>
      </c>
      <c r="E704" t="str">
        <f>setrules!L755&amp;IF(setrules!M755="","",",-"&amp;setrules!M755)</f>
        <v/>
      </c>
      <c r="F704" t="str">
        <f>setrules!B755</f>
        <v>IPOH_RFL</v>
      </c>
    </row>
    <row r="705" spans="1:6" x14ac:dyDescent="0.25">
      <c r="A705" t="str">
        <f>setrules!D756&amp;IF(setrules!E756="","",",-"&amp;setrules!E756)</f>
        <v/>
      </c>
      <c r="B705" t="str">
        <f>setrules!F756&amp;IF(setrules!G756="","",",-"&amp;setrules!G756)&amp;IF(setrules!P756="","",",-"&amp;setrules!P756)</f>
        <v>*IPOHRSTM*</v>
      </c>
      <c r="C705" t="str">
        <f>setrules!H756&amp;IF(setrules!I756="","",",-"&amp;setrules!I756)</f>
        <v/>
      </c>
      <c r="D705" t="str">
        <f>setrules!J756&amp;IF(setrules!K756="","",",-"&amp;setrules!K756)</f>
        <v/>
      </c>
      <c r="E705" t="str">
        <f>setrules!L756&amp;IF(setrules!M756="","",",-"&amp;setrules!M756)</f>
        <v/>
      </c>
      <c r="F705" t="str">
        <f>setrules!B756</f>
        <v>IPOH_RSTM</v>
      </c>
    </row>
    <row r="706" spans="1:6" x14ac:dyDescent="0.25">
      <c r="A706" t="str">
        <f>setrules!D757&amp;IF(setrules!E757="","",",-"&amp;setrules!E757)</f>
        <v/>
      </c>
      <c r="B706" t="str">
        <f>setrules!F757&amp;IF(setrules!G757="","",",-"&amp;setrules!G757)&amp;IF(setrules!P757="","",",-"&amp;setrules!P757)</f>
        <v>IPOEMDR*</v>
      </c>
      <c r="C706" t="str">
        <f>setrules!H757&amp;IF(setrules!I757="","",",-"&amp;setrules!I757)</f>
        <v/>
      </c>
      <c r="D706" t="str">
        <f>setrules!J757&amp;IF(setrules!K757="","",",-"&amp;setrules!K757)</f>
        <v/>
      </c>
      <c r="E706" t="str">
        <f>setrules!L757&amp;IF(setrules!M757="","",",-"&amp;setrules!M757)</f>
        <v/>
      </c>
      <c r="F706" t="str">
        <f>setrules!B757</f>
        <v>IPOMD_ALL</v>
      </c>
    </row>
    <row r="707" spans="1:6" x14ac:dyDescent="0.25">
      <c r="A707" t="str">
        <f>setrules!D758&amp;IF(setrules!E758="","",",-"&amp;setrules!E758)</f>
        <v/>
      </c>
      <c r="B707" t="str">
        <f>setrules!F758&amp;IF(setrules!G758="","",",-"&amp;setrules!G758)&amp;IF(setrules!P758="","",",-"&amp;setrules!P758)</f>
        <v>IPM*</v>
      </c>
      <c r="C707" t="str">
        <f>setrules!H758&amp;IF(setrules!I758="","",",-"&amp;setrules!I758)</f>
        <v/>
      </c>
      <c r="D707" t="str">
        <f>setrules!J758&amp;IF(setrules!K758="","",",-"&amp;setrules!K758)</f>
        <v/>
      </c>
      <c r="E707" t="str">
        <f>setrules!L758&amp;IF(setrules!M758="","",",-"&amp;setrules!M758)</f>
        <v/>
      </c>
      <c r="F707" t="str">
        <f>setrules!B758</f>
        <v>IPM_ALL</v>
      </c>
    </row>
    <row r="708" spans="1:6" x14ac:dyDescent="0.25">
      <c r="A708" t="str">
        <f>setrules!D759&amp;IF(setrules!E759="","",",-"&amp;setrules!E759)</f>
        <v/>
      </c>
      <c r="B708" t="str">
        <f>setrules!F759&amp;IF(setrules!G759="","",",-"&amp;setrules!G759)&amp;IF(setrules!P759="","",",-"&amp;setrules!P759)</f>
        <v>IPOEFACNGA</v>
      </c>
      <c r="C708" t="str">
        <f>setrules!H759&amp;IF(setrules!I759="","",",-"&amp;setrules!I759)</f>
        <v/>
      </c>
      <c r="D708" t="str">
        <f>setrules!J759&amp;IF(setrules!K759="","",",-"&amp;setrules!K759)</f>
        <v/>
      </c>
      <c r="E708" t="str">
        <f>setrules!L759&amp;IF(setrules!M759="","",",-"&amp;setrules!M759)</f>
        <v/>
      </c>
      <c r="F708" t="str">
        <f>setrules!B759</f>
        <v>IPOFA_NGA</v>
      </c>
    </row>
    <row r="709" spans="1:6" x14ac:dyDescent="0.25">
      <c r="A709" t="str">
        <f>setrules!D760&amp;IF(setrules!E760="","",",-"&amp;setrules!E760)</f>
        <v/>
      </c>
      <c r="B709" t="str">
        <f>setrules!F760&amp;IF(setrules!G760="","",",-"&amp;setrules!G760)&amp;IF(setrules!P760="","",",-"&amp;setrules!P760)</f>
        <v>RWH*</v>
      </c>
      <c r="C709" t="str">
        <f>setrules!H760&amp;IF(setrules!I760="","",",-"&amp;setrules!I760)</f>
        <v/>
      </c>
      <c r="D709" t="str">
        <f>setrules!J760&amp;IF(setrules!K760="","",",-"&amp;setrules!K760)</f>
        <v>ELC</v>
      </c>
      <c r="E709" t="str">
        <f>setrules!L760&amp;IF(setrules!M760="","",",-"&amp;setrules!M760)</f>
        <v/>
      </c>
      <c r="F709" t="str">
        <f>setrules!B760</f>
        <v>RWH-ELC</v>
      </c>
    </row>
    <row r="710" spans="1:6" x14ac:dyDescent="0.25">
      <c r="A710" t="str">
        <f>setrules!D761&amp;IF(setrules!E761="","",",-"&amp;setrules!E761)</f>
        <v>IRE</v>
      </c>
      <c r="B710" t="str">
        <f>setrules!F761&amp;IF(setrules!G761="","",",-"&amp;setrules!G761)&amp;IF(setrules!P761="","",",-"&amp;setrules!P761)</f>
        <v>IMPB*</v>
      </c>
      <c r="C710" t="str">
        <f>setrules!H761&amp;IF(setrules!I761="","",",-"&amp;setrules!I761)</f>
        <v/>
      </c>
      <c r="D710" t="str">
        <f>setrules!J761&amp;IF(setrules!K761="","",",-"&amp;setrules!K761)</f>
        <v/>
      </c>
      <c r="E710" t="str">
        <f>setrules!L761&amp;IF(setrules!M761="","",",-"&amp;setrules!M761)</f>
        <v/>
      </c>
      <c r="F710" t="str">
        <f>setrules!B761</f>
        <v>SUP_IMP-BIOD</v>
      </c>
    </row>
    <row r="711" spans="1:6" x14ac:dyDescent="0.25">
      <c r="A711" t="str">
        <f>setrules!D762&amp;IF(setrules!E762="","",",-"&amp;setrules!E762)</f>
        <v/>
      </c>
      <c r="B711" t="str">
        <f>setrules!F762&amp;IF(setrules!G762="","",",-"&amp;setrules!G762)&amp;IF(setrules!P762="","",",-"&amp;setrules!P762)</f>
        <v>RSH*HP*</v>
      </c>
      <c r="C711" t="str">
        <f>setrules!H762&amp;IF(setrules!I762="","",",-"&amp;setrules!I762)</f>
        <v/>
      </c>
      <c r="D711" t="str">
        <f>setrules!J762&amp;IF(setrules!K762="","",",-"&amp;setrules!K762)</f>
        <v/>
      </c>
      <c r="E711" t="str">
        <f>setrules!L762&amp;IF(setrules!M762="","",",-"&amp;setrules!M762)</f>
        <v/>
      </c>
      <c r="F711" t="str">
        <f>setrules!B762</f>
        <v>RSH-HP</v>
      </c>
    </row>
    <row r="712" spans="1:6" x14ac:dyDescent="0.25">
      <c r="A712" t="str">
        <f>setrules!D763&amp;IF(setrules!E763="","",",-"&amp;setrules!E763)</f>
        <v/>
      </c>
      <c r="B712" t="str">
        <f>setrules!F763&amp;IF(setrules!G763="","",",-"&amp;setrules!G763)&amp;IF(setrules!P763="","",",-"&amp;setrules!P763)</f>
        <v>RSH*</v>
      </c>
      <c r="C712" t="str">
        <f>setrules!H763&amp;IF(setrules!I763="","",",-"&amp;setrules!I763)</f>
        <v/>
      </c>
      <c r="D712" t="str">
        <f>setrules!J763&amp;IF(setrules!K763="","",",-"&amp;setrules!K763)</f>
        <v>RESKER</v>
      </c>
      <c r="E712" t="str">
        <f>setrules!L763&amp;IF(setrules!M763="","",",-"&amp;setrules!M763)</f>
        <v/>
      </c>
      <c r="F712" t="str">
        <f>setrules!B763</f>
        <v>RSH-KER</v>
      </c>
    </row>
    <row r="713" spans="1:6" x14ac:dyDescent="0.25">
      <c r="A713" t="str">
        <f>setrules!D764&amp;IF(setrules!E764="","",",-"&amp;setrules!E764)</f>
        <v/>
      </c>
      <c r="B713" t="str">
        <f>setrules!F764&amp;IF(setrules!G764="","",",-"&amp;setrules!G764)&amp;IF(setrules!P764="","",",-"&amp;setrules!P764)</f>
        <v>RSH*</v>
      </c>
      <c r="C713" t="str">
        <f>setrules!H764&amp;IF(setrules!I764="","",",-"&amp;setrules!I764)</f>
        <v/>
      </c>
      <c r="D713" t="str">
        <f>setrules!J764&amp;IF(setrules!K764="","",",-"&amp;setrules!K764)</f>
        <v>RESLPG</v>
      </c>
      <c r="E713" t="str">
        <f>setrules!L764&amp;IF(setrules!M764="","",",-"&amp;setrules!M764)</f>
        <v/>
      </c>
      <c r="F713" t="str">
        <f>setrules!B764</f>
        <v>RSH-LPG</v>
      </c>
    </row>
    <row r="714" spans="1:6" x14ac:dyDescent="0.25">
      <c r="A714" t="str">
        <f>setrules!D765&amp;IF(setrules!E765="","",",-"&amp;setrules!E765)</f>
        <v/>
      </c>
      <c r="B714" t="str">
        <f>setrules!F765&amp;IF(setrules!G765="","",",-"&amp;setrules!G765)&amp;IF(setrules!P765="","",",-"&amp;setrules!P765)</f>
        <v>RSH*</v>
      </c>
      <c r="C714" t="str">
        <f>setrules!H765&amp;IF(setrules!I765="","",",-"&amp;setrules!I765)</f>
        <v/>
      </c>
      <c r="D714" t="str">
        <f>setrules!J765&amp;IF(setrules!K765="","",",-"&amp;setrules!K765)</f>
        <v>RESNGA</v>
      </c>
      <c r="E714" t="str">
        <f>setrules!L765&amp;IF(setrules!M765="","",",-"&amp;setrules!M765)</f>
        <v/>
      </c>
      <c r="F714" t="str">
        <f>setrules!B765</f>
        <v>RSH-NG</v>
      </c>
    </row>
    <row r="715" spans="1:6" x14ac:dyDescent="0.25">
      <c r="A715" t="str">
        <f>setrules!D766&amp;IF(setrules!E766="","",",-"&amp;setrules!E766)</f>
        <v/>
      </c>
      <c r="B715" t="str">
        <f>setrules!F766&amp;IF(setrules!G766="","",",-"&amp;setrules!G766)&amp;IF(setrules!P766="","",",-"&amp;setrules!P766)</f>
        <v>RSH*RD*</v>
      </c>
      <c r="C715" t="str">
        <f>setrules!H766&amp;IF(setrules!I766="","",",-"&amp;setrules!I766)</f>
        <v/>
      </c>
      <c r="D715" t="str">
        <f>setrules!J766&amp;IF(setrules!K766="","",",-"&amp;setrules!K766)</f>
        <v/>
      </c>
      <c r="E715" t="str">
        <f>setrules!L766&amp;IF(setrules!M766="","",",-"&amp;setrules!M766)</f>
        <v/>
      </c>
      <c r="F715" t="str">
        <f>setrules!B766</f>
        <v>RSH-RD</v>
      </c>
    </row>
    <row r="716" spans="1:6" x14ac:dyDescent="0.25">
      <c r="A716" t="str">
        <f>setrules!D767&amp;IF(setrules!E767="","",",-"&amp;setrules!E767)</f>
        <v/>
      </c>
      <c r="B716" t="str">
        <f>setrules!F767&amp;IF(setrules!G767="","",",-"&amp;setrules!G767)&amp;IF(setrules!P767="","",",-"&amp;setrules!P767)</f>
        <v>RSH*</v>
      </c>
      <c r="C716" t="str">
        <f>setrules!H767&amp;IF(setrules!I767="","",",-"&amp;setrules!I767)</f>
        <v/>
      </c>
      <c r="D716" t="str">
        <f>setrules!J767&amp;IF(setrules!K767="","",",-"&amp;setrules!K767)</f>
        <v>ELC</v>
      </c>
      <c r="E716" t="str">
        <f>setrules!L767&amp;IF(setrules!M767="","",",-"&amp;setrules!M767)</f>
        <v/>
      </c>
      <c r="F716" t="str">
        <f>setrules!B767</f>
        <v>RSH-ELC</v>
      </c>
    </row>
    <row r="717" spans="1:6" x14ac:dyDescent="0.25">
      <c r="A717" t="str">
        <f>setrules!D768&amp;IF(setrules!E768="","",",-"&amp;setrules!E768)</f>
        <v/>
      </c>
      <c r="B717" t="str">
        <f>setrules!F768&amp;IF(setrules!G768="","",",-"&amp;setrules!G768)&amp;IF(setrules!P768="","",",-"&amp;setrules!P768)</f>
        <v>RWH*</v>
      </c>
      <c r="C717" t="str">
        <f>setrules!H768&amp;IF(setrules!I768="","",",-"&amp;setrules!I768)</f>
        <v/>
      </c>
      <c r="D717" t="str">
        <f>setrules!J768&amp;IF(setrules!K768="","",",-"&amp;setrules!K768)</f>
        <v>RESDSL</v>
      </c>
      <c r="E717" t="str">
        <f>setrules!L768&amp;IF(setrules!M768="","",",-"&amp;setrules!M768)</f>
        <v/>
      </c>
      <c r="F717" t="str">
        <f>setrules!B768</f>
        <v>RWH-DSL</v>
      </c>
    </row>
    <row r="718" spans="1:6" x14ac:dyDescent="0.25">
      <c r="A718" t="str">
        <f>setrules!D769&amp;IF(setrules!E769="","",",-"&amp;setrules!E769)</f>
        <v/>
      </c>
      <c r="B718" t="str">
        <f>setrules!F769&amp;IF(setrules!G769="","",",-"&amp;setrules!G769)&amp;IF(setrules!P769="","",",-"&amp;setrules!P769)</f>
        <v>RSH*</v>
      </c>
      <c r="C718" t="str">
        <f>setrules!H769&amp;IF(setrules!I769="","",",-"&amp;setrules!I769)</f>
        <v/>
      </c>
      <c r="D718" t="str">
        <f>setrules!J769&amp;IF(setrules!K769="","",",-"&amp;setrules!K769)</f>
        <v>RESDSL</v>
      </c>
      <c r="E718" t="str">
        <f>setrules!L769&amp;IF(setrules!M769="","",",-"&amp;setrules!M769)</f>
        <v/>
      </c>
      <c r="F718" t="str">
        <f>setrules!B769</f>
        <v>RSH-DSL</v>
      </c>
    </row>
    <row r="719" spans="1:6" x14ac:dyDescent="0.25">
      <c r="A719" t="str">
        <f>setrules!D770&amp;IF(setrules!E770="","",",-"&amp;setrules!E770)</f>
        <v/>
      </c>
      <c r="B719" t="str">
        <f>setrules!F770&amp;IF(setrules!G770="","",",-"&amp;setrules!G770)&amp;IF(setrules!P770="","",",-"&amp;setrules!P770)</f>
        <v>RWHEWHV4*</v>
      </c>
      <c r="C719" t="str">
        <f>setrules!H770&amp;IF(setrules!I770="","",",-"&amp;setrules!I770)</f>
        <v/>
      </c>
      <c r="D719" t="str">
        <f>setrules!J770&amp;IF(setrules!K770="","",",-"&amp;setrules!K770)</f>
        <v/>
      </c>
      <c r="E719" t="str">
        <f>setrules!L770&amp;IF(setrules!M770="","",",-"&amp;setrules!M770)</f>
        <v/>
      </c>
      <c r="F719" t="str">
        <f>setrules!B770</f>
        <v>RWH-INST</v>
      </c>
    </row>
    <row r="720" spans="1:6" x14ac:dyDescent="0.25">
      <c r="A720" t="str">
        <f>setrules!D771&amp;IF(setrules!E771="","",",-"&amp;setrules!E771)</f>
        <v/>
      </c>
      <c r="B720" t="str">
        <f>setrules!F771&amp;IF(setrules!G771="","",",-"&amp;setrules!G771)&amp;IF(setrules!P771="","",",-"&amp;setrules!P771)</f>
        <v>RWH*</v>
      </c>
      <c r="C720" t="str">
        <f>setrules!H771&amp;IF(setrules!I771="","",",-"&amp;setrules!I771)</f>
        <v/>
      </c>
      <c r="D720" t="str">
        <f>setrules!J771&amp;IF(setrules!K771="","",",-"&amp;setrules!K771)</f>
        <v>RESLPG</v>
      </c>
      <c r="E720" t="str">
        <f>setrules!L771&amp;IF(setrules!M771="","",",-"&amp;setrules!M771)</f>
        <v/>
      </c>
      <c r="F720" t="str">
        <f>setrules!B771</f>
        <v>RWH-LPG</v>
      </c>
    </row>
    <row r="721" spans="1:6" x14ac:dyDescent="0.25">
      <c r="A721" t="str">
        <f>setrules!D772&amp;IF(setrules!E772="","",",-"&amp;setrules!E772)</f>
        <v/>
      </c>
      <c r="B721" t="str">
        <f>setrules!F772&amp;IF(setrules!G772="","",",-"&amp;setrules!G772)&amp;IF(setrules!P772="","",",-"&amp;setrules!P772)</f>
        <v>RWH*</v>
      </c>
      <c r="C721" t="str">
        <f>setrules!H772&amp;IF(setrules!I772="","",",-"&amp;setrules!I772)</f>
        <v/>
      </c>
      <c r="D721" t="str">
        <f>setrules!J772&amp;IF(setrules!K772="","",",-"&amp;setrules!K772)</f>
        <v>RESNGA</v>
      </c>
      <c r="E721" t="str">
        <f>setrules!L772&amp;IF(setrules!M772="","",",-"&amp;setrules!M772)</f>
        <v/>
      </c>
      <c r="F721" t="str">
        <f>setrules!B772</f>
        <v>RWH-NG</v>
      </c>
    </row>
    <row r="722" spans="1:6" x14ac:dyDescent="0.25">
      <c r="A722" t="str">
        <f>setrules!D773&amp;IF(setrules!E773="","",",-"&amp;setrules!E773)</f>
        <v/>
      </c>
      <c r="B722" t="str">
        <f>setrules!F773&amp;IF(setrules!G773="","",",-"&amp;setrules!G773)&amp;IF(setrules!P773="","",",-"&amp;setrules!P773)</f>
        <v>RWH*</v>
      </c>
      <c r="C722" t="str">
        <f>setrules!H773&amp;IF(setrules!I773="","",",-"&amp;setrules!I773)</f>
        <v/>
      </c>
      <c r="D722" t="str">
        <f>setrules!J773&amp;IF(setrules!K773="","",",-"&amp;setrules!K773)</f>
        <v>SOL</v>
      </c>
      <c r="E722" t="str">
        <f>setrules!L773&amp;IF(setrules!M773="","",",-"&amp;setrules!M773)</f>
        <v/>
      </c>
      <c r="F722" t="str">
        <f>setrules!B773</f>
        <v>RWH-SOL</v>
      </c>
    </row>
    <row r="723" spans="1:6" x14ac:dyDescent="0.25">
      <c r="A723" t="str">
        <f>setrules!D774&amp;IF(setrules!E774="","",",-"&amp;setrules!E774)</f>
        <v/>
      </c>
      <c r="B723" t="str">
        <f>setrules!F774&amp;IF(setrules!G774="","",",-"&amp;setrules!G774)&amp;IF(setrules!P774="","",",-"&amp;setrules!P774)</f>
        <v/>
      </c>
      <c r="C723" t="str">
        <f>setrules!H774&amp;IF(setrules!I774="","",",-"&amp;setrules!I774)</f>
        <v>FGD*</v>
      </c>
      <c r="D723" t="str">
        <f>setrules!J774&amp;IF(setrules!K774="","",",-"&amp;setrules!K774)</f>
        <v/>
      </c>
      <c r="E723" t="str">
        <f>setrules!L774&amp;IF(setrules!M774="","",",-"&amp;setrules!M774)</f>
        <v/>
      </c>
      <c r="F723" t="str">
        <f>setrules!B774</f>
        <v>SOX RETROFITS</v>
      </c>
    </row>
    <row r="724" spans="1:6" x14ac:dyDescent="0.25">
      <c r="A724" t="str">
        <f>setrules!D775&amp;IF(setrules!E775="","",",-"&amp;setrules!E775)</f>
        <v>IRE</v>
      </c>
      <c r="B724" t="str">
        <f>setrules!F775&amp;IF(setrules!G775="","",",-"&amp;setrules!G775)&amp;IF(setrules!P775="","",",-"&amp;setrules!P775)</f>
        <v>EXP*</v>
      </c>
      <c r="C724" t="str">
        <f>setrules!H775&amp;IF(setrules!I775="","",",-"&amp;setrules!I775)</f>
        <v/>
      </c>
      <c r="D724" t="str">
        <f>setrules!J775&amp;IF(setrules!K775="","",",-"&amp;setrules!K775)</f>
        <v/>
      </c>
      <c r="E724" t="str">
        <f>setrules!L775&amp;IF(setrules!M775="","",",-"&amp;setrules!M775)</f>
        <v/>
      </c>
      <c r="F724" t="str">
        <f>setrules!B775</f>
        <v>SUP_EXP</v>
      </c>
    </row>
    <row r="725" spans="1:6" x14ac:dyDescent="0.25">
      <c r="A725" t="str">
        <f>setrules!D776&amp;IF(setrules!E776="","",",-"&amp;setrules!E776)</f>
        <v/>
      </c>
      <c r="B725" t="str">
        <f>setrules!F776&amp;IF(setrules!G776="","",",-"&amp;setrules!G776)&amp;IF(setrules!P776="","",",-"&amp;setrules!P776)</f>
        <v>TL*</v>
      </c>
      <c r="C725" t="str">
        <f>setrules!H776&amp;IF(setrules!I776="","",",-"&amp;setrules!I776)</f>
        <v>*.FCH.*</v>
      </c>
      <c r="D725" t="str">
        <f>setrules!J776&amp;IF(setrules!K776="","",",-"&amp;setrules!K776)</f>
        <v/>
      </c>
      <c r="E725" t="str">
        <f>setrules!L776&amp;IF(setrules!M776="","",",-"&amp;setrules!M776)</f>
        <v/>
      </c>
      <c r="F725" t="str">
        <f>setrules!B776</f>
        <v>LDFCHC</v>
      </c>
    </row>
    <row r="726" spans="1:6" x14ac:dyDescent="0.25">
      <c r="A726" t="str">
        <f>setrules!D777&amp;IF(setrules!E777="","",",-"&amp;setrules!E777)</f>
        <v/>
      </c>
      <c r="B726" t="str">
        <f>setrules!F777&amp;IF(setrules!G777="","",",-"&amp;setrules!G777)&amp;IF(setrules!P777="","",",-"&amp;setrules!P777)</f>
        <v>RWH*</v>
      </c>
      <c r="C726" t="str">
        <f>setrules!H777&amp;IF(setrules!I777="","",",-"&amp;setrules!I777)</f>
        <v/>
      </c>
      <c r="D726" t="str">
        <f>setrules!J777&amp;IF(setrules!K777="","",",-"&amp;setrules!K777)</f>
        <v/>
      </c>
      <c r="E726" t="str">
        <f>setrules!L777&amp;IF(setrules!M777="","",",-"&amp;setrules!M777)</f>
        <v/>
      </c>
      <c r="F726" t="str">
        <f>setrules!B777</f>
        <v>RWH-ALL</v>
      </c>
    </row>
    <row r="727" spans="1:6" x14ac:dyDescent="0.25">
      <c r="A727" t="str">
        <f>setrules!D778&amp;IF(setrules!E778="","",",-"&amp;setrules!E778)</f>
        <v/>
      </c>
      <c r="B727" t="str">
        <f>setrules!F778&amp;IF(setrules!G778="","",",-"&amp;setrules!G778)&amp;IF(setrules!P778="","",",-"&amp;setrules!P778)</f>
        <v>RRF*</v>
      </c>
      <c r="C727" t="str">
        <f>setrules!H778&amp;IF(setrules!I778="","",",-"&amp;setrules!I778)</f>
        <v/>
      </c>
      <c r="D727" t="str">
        <f>setrules!J778&amp;IF(setrules!K778="","",",-"&amp;setrules!K778)</f>
        <v/>
      </c>
      <c r="E727" t="str">
        <f>setrules!L778&amp;IF(setrules!M778="","",",-"&amp;setrules!M778)</f>
        <v/>
      </c>
      <c r="F727" t="str">
        <f>setrules!B778</f>
        <v>RRF</v>
      </c>
    </row>
    <row r="728" spans="1:6" x14ac:dyDescent="0.25">
      <c r="A728" t="str">
        <f>setrules!D779&amp;IF(setrules!E779="","",",-"&amp;setrules!E779)</f>
        <v>ELC-WND</v>
      </c>
      <c r="B728" t="str">
        <f>setrules!F779&amp;IF(setrules!G779="","",",-"&amp;setrules!G779)&amp;IF(setrules!P779="","",",-"&amp;setrules!P779)</f>
        <v>*</v>
      </c>
      <c r="C728" t="str">
        <f>setrules!H779&amp;IF(setrules!I779="","",",-"&amp;setrules!I779)</f>
        <v/>
      </c>
      <c r="D728" t="str">
        <f>setrules!J779&amp;IF(setrules!K779="","",",-"&amp;setrules!K779)</f>
        <v/>
      </c>
      <c r="E728" t="str">
        <f>setrules!L779&amp;IF(setrules!M779="","",",-"&amp;setrules!M779)</f>
        <v/>
      </c>
      <c r="F728" t="str">
        <f>setrules!B779</f>
        <v>RPS_R4_T1</v>
      </c>
    </row>
    <row r="729" spans="1:6" x14ac:dyDescent="0.25">
      <c r="A729" t="str">
        <f>setrules!D780&amp;IF(setrules!E780="","",",-"&amp;setrules!E780)</f>
        <v>ELC-SOL</v>
      </c>
      <c r="B729" t="str">
        <f>setrules!F780&amp;IF(setrules!G780="","",",-"&amp;setrules!G780)&amp;IF(setrules!P780="","",",-"&amp;setrules!P780)</f>
        <v>*</v>
      </c>
      <c r="C729" t="str">
        <f>setrules!H780&amp;IF(setrules!I780="","",",-"&amp;setrules!I780)</f>
        <v/>
      </c>
      <c r="D729" t="str">
        <f>setrules!J780&amp;IF(setrules!K780="","",",-"&amp;setrules!K780)</f>
        <v/>
      </c>
      <c r="E729" t="str">
        <f>setrules!L780&amp;IF(setrules!M780="","",",-"&amp;setrules!M780)</f>
        <v/>
      </c>
      <c r="F729" t="str">
        <f>setrules!B780</f>
        <v>RPS_R4_T2</v>
      </c>
    </row>
    <row r="730" spans="1:6" x14ac:dyDescent="0.25">
      <c r="A730" t="str">
        <f>setrules!D781&amp;IF(setrules!E781="","",",-"&amp;setrules!E781)</f>
        <v>ELC-BIO,ELC-LFG,ELC-MSW,ELC-SOL,ELC-WND</v>
      </c>
      <c r="B730" t="str">
        <f>setrules!F781&amp;IF(setrules!G781="","",",-"&amp;setrules!G781)&amp;IF(setrules!P781="","",",-"&amp;setrules!P781)</f>
        <v>*</v>
      </c>
      <c r="C730" t="str">
        <f>setrules!H781&amp;IF(setrules!I781="","",",-"&amp;setrules!I781)</f>
        <v/>
      </c>
      <c r="D730" t="str">
        <f>setrules!J781&amp;IF(setrules!K781="","",",-"&amp;setrules!K781)</f>
        <v/>
      </c>
      <c r="E730" t="str">
        <f>setrules!L781&amp;IF(setrules!M781="","",",-"&amp;setrules!M781)</f>
        <v/>
      </c>
      <c r="F730" t="str">
        <f>setrules!B781</f>
        <v>RPS_R4_T3</v>
      </c>
    </row>
    <row r="731" spans="1:6" x14ac:dyDescent="0.25">
      <c r="A731" t="str">
        <f>setrules!D782&amp;IF(setrules!E782="","",",-"&amp;setrules!E782)</f>
        <v>ELC-BIO,ELC-GEO,ELC-LFG,ELC-SOL,ELC-WND</v>
      </c>
      <c r="B731" t="str">
        <f>setrules!F782&amp;IF(setrules!G782="","",",-"&amp;setrules!G782)&amp;IF(setrules!P782="","",",-"&amp;setrules!P782)</f>
        <v>*</v>
      </c>
      <c r="C731" t="str">
        <f>setrules!H782&amp;IF(setrules!I782="","",",-"&amp;setrules!I782)</f>
        <v/>
      </c>
      <c r="D731" t="str">
        <f>setrules!J782&amp;IF(setrules!K782="","",",-"&amp;setrules!K782)</f>
        <v/>
      </c>
      <c r="E731" t="str">
        <f>setrules!L782&amp;IF(setrules!M782="","",",-"&amp;setrules!M782)</f>
        <v/>
      </c>
      <c r="F731" t="str">
        <f>setrules!B782</f>
        <v>RPS_R5_T1</v>
      </c>
    </row>
    <row r="732" spans="1:6" x14ac:dyDescent="0.25">
      <c r="A732" t="str">
        <f>setrules!D783&amp;IF(setrules!E783="","",",-"&amp;setrules!E783)</f>
        <v>ELC-BIO,ELC-GEO,ELC-LFG,ELC-NGA,ELC-SOL,ELC-WND</v>
      </c>
      <c r="B732" t="str">
        <f>setrules!F783&amp;IF(setrules!G783="","",",-"&amp;setrules!G783)&amp;IF(setrules!P783="","",",-"&amp;setrules!P783)</f>
        <v>ECOALIGCCS,-,-ECOALIGCCS,-</v>
      </c>
      <c r="C732" t="str">
        <f>setrules!H783&amp;IF(setrules!I783="","",",-"&amp;setrules!I783)</f>
        <v/>
      </c>
      <c r="D732" t="str">
        <f>setrules!J783&amp;IF(setrules!K783="","",",-"&amp;setrules!K783)</f>
        <v/>
      </c>
      <c r="E732" t="str">
        <f>setrules!L783&amp;IF(setrules!M783="","",",-"&amp;setrules!M783)</f>
        <v/>
      </c>
      <c r="F732" t="str">
        <f>setrules!B783</f>
        <v>RPS_R5_T2</v>
      </c>
    </row>
    <row r="733" spans="1:6" x14ac:dyDescent="0.25">
      <c r="A733" t="str">
        <f>setrules!D784&amp;IF(setrules!E784="","",",-"&amp;setrules!E784)</f>
        <v>ELC-BIO,ELC-GEO,ELC-LFG,ELC-MSW,ELC-SOL,ELC-WND</v>
      </c>
      <c r="B733" t="str">
        <f>setrules!F784&amp;IF(setrules!G784="","",",-"&amp;setrules!G784)&amp;IF(setrules!P784="","",",-"&amp;setrules!P784)</f>
        <v>*</v>
      </c>
      <c r="C733" t="str">
        <f>setrules!H784&amp;IF(setrules!I784="","",",-"&amp;setrules!I784)</f>
        <v/>
      </c>
      <c r="D733" t="str">
        <f>setrules!J784&amp;IF(setrules!K784="","",",-"&amp;setrules!K784)</f>
        <v/>
      </c>
      <c r="E733" t="str">
        <f>setrules!L784&amp;IF(setrules!M784="","",",-"&amp;setrules!M784)</f>
        <v/>
      </c>
      <c r="F733" t="str">
        <f>setrules!B784</f>
        <v>RPS_R7_T1</v>
      </c>
    </row>
    <row r="734" spans="1:6" x14ac:dyDescent="0.25">
      <c r="A734" t="str">
        <f>setrules!D785&amp;IF(setrules!E785="","",",-"&amp;setrules!E785)</f>
        <v/>
      </c>
      <c r="B734" t="str">
        <f>setrules!F785&amp;IF(setrules!G785="","",",-"&amp;setrules!G785)&amp;IF(setrules!P785="","",",-"&amp;setrules!P785)</f>
        <v>RSH*FR*</v>
      </c>
      <c r="C734" t="str">
        <f>setrules!H785&amp;IF(setrules!I785="","",",-"&amp;setrules!I785)</f>
        <v/>
      </c>
      <c r="D734" t="str">
        <f>setrules!J785&amp;IF(setrules!K785="","",",-"&amp;setrules!K785)</f>
        <v/>
      </c>
      <c r="E734" t="str">
        <f>setrules!L785&amp;IF(setrules!M785="","",",-"&amp;setrules!M785)</f>
        <v/>
      </c>
      <c r="F734" t="str">
        <f>setrules!B785</f>
        <v>RSH-FUR</v>
      </c>
    </row>
    <row r="735" spans="1:6" x14ac:dyDescent="0.25">
      <c r="A735" t="str">
        <f>setrules!D786&amp;IF(setrules!E786="","",",-"&amp;setrules!E786)</f>
        <v>ELC-BIO,ELC-GEO,ELC-LFG,ELC-MSW,ELC-SOL,ELC-WND</v>
      </c>
      <c r="B735" t="str">
        <f>setrules!F786&amp;IF(setrules!G786="","",",-"&amp;setrules!G786)&amp;IF(setrules!P786="","",",-"&amp;setrules!P786)</f>
        <v>*</v>
      </c>
      <c r="C735" t="str">
        <f>setrules!H786&amp;IF(setrules!I786="","",",-"&amp;setrules!I786)</f>
        <v/>
      </c>
      <c r="D735" t="str">
        <f>setrules!J786&amp;IF(setrules!K786="","",",-"&amp;setrules!K786)</f>
        <v/>
      </c>
      <c r="E735" t="str">
        <f>setrules!L786&amp;IF(setrules!M786="","",",-"&amp;setrules!M786)</f>
        <v/>
      </c>
      <c r="F735" t="str">
        <f>setrules!B786</f>
        <v>RPS_R9_T1</v>
      </c>
    </row>
    <row r="736" spans="1:6" x14ac:dyDescent="0.25">
      <c r="A736" t="str">
        <f>setrules!D787&amp;IF(setrules!E787="","",",-"&amp;setrules!E787)</f>
        <v>IRE</v>
      </c>
      <c r="B736" t="str">
        <f>setrules!F787&amp;IF(setrules!G787="","",",-"&amp;setrules!G787)&amp;IF(setrules!P787="","",",-"&amp;setrules!P787)</f>
        <v>IMPC*,-IMPCOK*</v>
      </c>
      <c r="C736" t="str">
        <f>setrules!H787&amp;IF(setrules!I787="","",",-"&amp;setrules!I787)</f>
        <v/>
      </c>
      <c r="D736" t="str">
        <f>setrules!J787&amp;IF(setrules!K787="","",",-"&amp;setrules!K787)</f>
        <v/>
      </c>
      <c r="E736" t="str">
        <f>setrules!L787&amp;IF(setrules!M787="","",",-"&amp;setrules!M787)</f>
        <v/>
      </c>
      <c r="F736" t="str">
        <f>setrules!B787</f>
        <v>SUP_IMP-COAL</v>
      </c>
    </row>
    <row r="737" spans="1:6" x14ac:dyDescent="0.25">
      <c r="A737" t="str">
        <f>setrules!D788&amp;IF(setrules!E788="","",",-"&amp;setrules!E788)</f>
        <v/>
      </c>
      <c r="B737" t="str">
        <f>setrules!F788&amp;IF(setrules!G788="","",",-"&amp;setrules!G788)&amp;IF(setrules!P788="","",",-"&amp;setrules!P788)</f>
        <v>RSC*</v>
      </c>
      <c r="C737" t="str">
        <f>setrules!H788&amp;IF(setrules!I788="","",",-"&amp;setrules!I788)</f>
        <v/>
      </c>
      <c r="D737" t="str">
        <f>setrules!J788&amp;IF(setrules!K788="","",",-"&amp;setrules!K788)</f>
        <v/>
      </c>
      <c r="E737" t="str">
        <f>setrules!L788&amp;IF(setrules!M788="","",",-"&amp;setrules!M788)</f>
        <v/>
      </c>
      <c r="F737" t="str">
        <f>setrules!B788</f>
        <v>RSC-ALL</v>
      </c>
    </row>
    <row r="738" spans="1:6" x14ac:dyDescent="0.25">
      <c r="A738" t="str">
        <f>setrules!D789&amp;IF(setrules!E789="","",",-"&amp;setrules!E789)</f>
        <v/>
      </c>
      <c r="B738" t="str">
        <f>setrules!F789&amp;IF(setrules!G789="","",",-"&amp;setrules!G789)&amp;IF(setrules!P789="","",",-"&amp;setrules!P789)</f>
        <v>RSC*</v>
      </c>
      <c r="C738" t="str">
        <f>setrules!H789&amp;IF(setrules!I789="","",",-"&amp;setrules!I789)</f>
        <v>*CAC*</v>
      </c>
      <c r="D738" t="str">
        <f>setrules!J789&amp;IF(setrules!K789="","",",-"&amp;setrules!K789)</f>
        <v/>
      </c>
      <c r="E738" t="str">
        <f>setrules!L789&amp;IF(setrules!M789="","",",-"&amp;setrules!M789)</f>
        <v/>
      </c>
      <c r="F738" t="str">
        <f>setrules!B789</f>
        <v>RSC-CEN</v>
      </c>
    </row>
    <row r="739" spans="1:6" x14ac:dyDescent="0.25">
      <c r="A739" t="str">
        <f>setrules!D790&amp;IF(setrules!E790="","",",-"&amp;setrules!E790)</f>
        <v/>
      </c>
      <c r="B739" t="str">
        <f>setrules!F790&amp;IF(setrules!G790="","",",-"&amp;setrules!G790)&amp;IF(setrules!P790="","",",-"&amp;setrules!P790)</f>
        <v>RSC*HP*</v>
      </c>
      <c r="C739" t="str">
        <f>setrules!H790&amp;IF(setrules!I790="","",",-"&amp;setrules!I790)</f>
        <v/>
      </c>
      <c r="D739" t="str">
        <f>setrules!J790&amp;IF(setrules!K790="","",",-"&amp;setrules!K790)</f>
        <v/>
      </c>
      <c r="E739" t="str">
        <f>setrules!L790&amp;IF(setrules!M790="","",",-"&amp;setrules!M790)</f>
        <v/>
      </c>
      <c r="F739" t="str">
        <f>setrules!B790</f>
        <v>RSC-HP</v>
      </c>
    </row>
    <row r="740" spans="1:6" x14ac:dyDescent="0.25">
      <c r="A740" t="str">
        <f>setrules!D791&amp;IF(setrules!E791="","",",-"&amp;setrules!E791)</f>
        <v/>
      </c>
      <c r="B740" t="str">
        <f>setrules!F791&amp;IF(setrules!G791="","",",-"&amp;setrules!G791)&amp;IF(setrules!P791="","",",-"&amp;setrules!P791)</f>
        <v>RSC*</v>
      </c>
      <c r="C740" t="str">
        <f>setrules!H791&amp;IF(setrules!I791="","",",-"&amp;setrules!I791)</f>
        <v>*NGA*</v>
      </c>
      <c r="D740" t="str">
        <f>setrules!J791&amp;IF(setrules!K791="","",",-"&amp;setrules!K791)</f>
        <v/>
      </c>
      <c r="E740" t="str">
        <f>setrules!L791&amp;IF(setrules!M791="","",",-"&amp;setrules!M791)</f>
        <v/>
      </c>
      <c r="F740" t="str">
        <f>setrules!B791</f>
        <v>RSC-NG</v>
      </c>
    </row>
    <row r="741" spans="1:6" x14ac:dyDescent="0.25">
      <c r="A741" t="str">
        <f>setrules!D792&amp;IF(setrules!E792="","",",-"&amp;setrules!E792)</f>
        <v/>
      </c>
      <c r="B741" t="str">
        <f>setrules!F792&amp;IF(setrules!G792="","",",-"&amp;setrules!G792)&amp;IF(setrules!P792="","",",-"&amp;setrules!P792)</f>
        <v>RSCRAC*</v>
      </c>
      <c r="C741" t="str">
        <f>setrules!H792&amp;IF(setrules!I792="","",",-"&amp;setrules!I792)</f>
        <v/>
      </c>
      <c r="D741" t="str">
        <f>setrules!J792&amp;IF(setrules!K792="","",",-"&amp;setrules!K792)</f>
        <v/>
      </c>
      <c r="E741" t="str">
        <f>setrules!L792&amp;IF(setrules!M792="","",",-"&amp;setrules!M792)</f>
        <v/>
      </c>
      <c r="F741" t="str">
        <f>setrules!B792</f>
        <v>RSC-RAC</v>
      </c>
    </row>
    <row r="742" spans="1:6" x14ac:dyDescent="0.25">
      <c r="A742" t="str">
        <f>setrules!D793&amp;IF(setrules!E793="","",",-"&amp;setrules!E793)</f>
        <v/>
      </c>
      <c r="B742" t="str">
        <f>setrules!F793&amp;IF(setrules!G793="","",",-"&amp;setrules!G793)&amp;IF(setrules!P793="","",",-"&amp;setrules!P793)</f>
        <v>RSH*</v>
      </c>
      <c r="C742" t="str">
        <f>setrules!H793&amp;IF(setrules!I793="","",",-"&amp;setrules!I793)</f>
        <v/>
      </c>
      <c r="D742" t="str">
        <f>setrules!J793&amp;IF(setrules!K793="","",",-"&amp;setrules!K793)</f>
        <v/>
      </c>
      <c r="E742" t="str">
        <f>setrules!L793&amp;IF(setrules!M793="","",",-"&amp;setrules!M793)</f>
        <v/>
      </c>
      <c r="F742" t="str">
        <f>setrules!B793</f>
        <v>RSH-ALL</v>
      </c>
    </row>
    <row r="743" spans="1:6" x14ac:dyDescent="0.25">
      <c r="A743" t="str">
        <f>setrules!D794&amp;IF(setrules!E794="","",",-"&amp;setrules!E794)</f>
        <v/>
      </c>
      <c r="B743" t="str">
        <f>setrules!F794&amp;IF(setrules!G794="","",",-"&amp;setrules!G794)&amp;IF(setrules!P794="","",",-"&amp;setrules!P794)</f>
        <v>RSH*</v>
      </c>
      <c r="C743" t="str">
        <f>setrules!H794&amp;IF(setrules!I794="","",",-"&amp;setrules!I794)</f>
        <v/>
      </c>
      <c r="D743" t="str">
        <f>setrules!J794&amp;IF(setrules!K794="","",",-"&amp;setrules!K794)</f>
        <v>RESBIO</v>
      </c>
      <c r="E743" t="str">
        <f>setrules!L794&amp;IF(setrules!M794="","",",-"&amp;setrules!M794)</f>
        <v/>
      </c>
      <c r="F743" t="str">
        <f>setrules!B794</f>
        <v>RSH-BIO</v>
      </c>
    </row>
    <row r="744" spans="1:6" x14ac:dyDescent="0.25">
      <c r="A744" t="str">
        <f>setrules!D795&amp;IF(setrules!E795="","",",-"&amp;setrules!E795)</f>
        <v>ELC-BIO,ELC-GEO,ELC-LFG,ELC-MSW,ELC-SOL,ELC-WND</v>
      </c>
      <c r="B744" t="str">
        <f>setrules!F795&amp;IF(setrules!G795="","",",-"&amp;setrules!G795)&amp;IF(setrules!P795="","",",-"&amp;setrules!P795)</f>
        <v>*</v>
      </c>
      <c r="C744" t="str">
        <f>setrules!H795&amp;IF(setrules!I795="","",",-"&amp;setrules!I795)</f>
        <v/>
      </c>
      <c r="D744" t="str">
        <f>setrules!J795&amp;IF(setrules!K795="","",",-"&amp;setrules!K795)</f>
        <v/>
      </c>
      <c r="E744" t="str">
        <f>setrules!L795&amp;IF(setrules!M795="","",",-"&amp;setrules!M795)</f>
        <v/>
      </c>
      <c r="F744" t="str">
        <f>setrules!B795</f>
        <v>RPS_R8_T1</v>
      </c>
    </row>
    <row r="745" spans="1:6" x14ac:dyDescent="0.25">
      <c r="A745" t="str">
        <f>setrules!D796&amp;IF(setrules!E796="","",",-"&amp;setrules!E796)</f>
        <v/>
      </c>
      <c r="B745" t="str">
        <f>setrules!F796&amp;IF(setrules!G796="","",",-"&amp;setrules!G796)&amp;IF(setrules!P796="","",",-"&amp;setrules!P796)</f>
        <v>TC*</v>
      </c>
      <c r="C745" t="str">
        <f>setrules!H796&amp;IF(setrules!I796="","",",-"&amp;setrules!I796)</f>
        <v/>
      </c>
      <c r="D745" t="str">
        <f>setrules!J796&amp;IF(setrules!K796="","",",-"&amp;setrules!K796)</f>
        <v/>
      </c>
      <c r="E745" t="str">
        <f>setrules!L796&amp;IF(setrules!M796="","",",-"&amp;setrules!M796)</f>
        <v/>
      </c>
      <c r="F745" t="str">
        <f>setrules!B796</f>
        <v>TC-ALL</v>
      </c>
    </row>
    <row r="746" spans="1:6" x14ac:dyDescent="0.25">
      <c r="A746" t="str">
        <f>setrules!D797&amp;IF(setrules!E797="","",",-"&amp;setrules!E797)</f>
        <v>IRE</v>
      </c>
      <c r="B746" t="str">
        <f>setrules!F797&amp;IF(setrules!G797="","",",-"&amp;setrules!G797)&amp;IF(setrules!P797="","",",-"&amp;setrules!P797)</f>
        <v>IMP*</v>
      </c>
      <c r="C746" t="str">
        <f>setrules!H797&amp;IF(setrules!I797="","",",-"&amp;setrules!I797)</f>
        <v/>
      </c>
      <c r="D746" t="str">
        <f>setrules!J797&amp;IF(setrules!K797="","",",-"&amp;setrules!K797)</f>
        <v/>
      </c>
      <c r="E746" t="str">
        <f>setrules!L797&amp;IF(setrules!M797="","",",-"&amp;setrules!M797)</f>
        <v/>
      </c>
      <c r="F746" t="str">
        <f>setrules!B797</f>
        <v>SUP_IMP</v>
      </c>
    </row>
    <row r="747" spans="1:6" x14ac:dyDescent="0.25">
      <c r="A747" t="str">
        <f>setrules!D798&amp;IF(setrules!E798="","",",-"&amp;setrules!E798)</f>
        <v/>
      </c>
      <c r="B747" t="str">
        <f>setrules!F798&amp;IF(setrules!G798="","",",-"&amp;setrules!G798)&amp;IF(setrules!P798="","",",-"&amp;setrules!P798)</f>
        <v>TB*</v>
      </c>
      <c r="C747" t="str">
        <f>setrules!H798&amp;IF(setrules!I798="","",",-"&amp;setrules!I798)</f>
        <v/>
      </c>
      <c r="D747" t="str">
        <f>setrules!J798&amp;IF(setrules!K798="","",",-"&amp;setrules!K798)</f>
        <v/>
      </c>
      <c r="E747" t="str">
        <f>setrules!L798&amp;IF(setrules!M798="","",",-"&amp;setrules!M798)</f>
        <v/>
      </c>
      <c r="F747" t="str">
        <f>setrules!B798</f>
        <v>TB-ALL</v>
      </c>
    </row>
    <row r="748" spans="1:6" x14ac:dyDescent="0.25">
      <c r="A748" t="str">
        <f>setrules!D799&amp;IF(setrules!E799="","",",-"&amp;setrules!E799)</f>
        <v/>
      </c>
      <c r="B748" t="str">
        <f>setrules!F799&amp;IF(setrules!G799="","",",-"&amp;setrules!G799)&amp;IF(setrules!P799="","",",-"&amp;setrules!P799)</f>
        <v/>
      </c>
      <c r="C748" t="str">
        <f>setrules!H799&amp;IF(setrules!I799="","",",-"&amp;setrules!I799)</f>
        <v/>
      </c>
      <c r="D748" t="str">
        <f>setrules!J799&amp;IF(setrules!K799="","",",-"&amp;setrules!K799)</f>
        <v>TBB20X</v>
      </c>
      <c r="E748" t="str">
        <f>setrules!L799&amp;IF(setrules!M799="","",",-"&amp;setrules!M799)</f>
        <v/>
      </c>
      <c r="F748" t="str">
        <f>setrules!B799</f>
        <v>TB-B20X</v>
      </c>
    </row>
    <row r="749" spans="1:6" x14ac:dyDescent="0.25">
      <c r="B749" t="s">
        <v>2668</v>
      </c>
      <c r="F749" t="s">
        <v>1592</v>
      </c>
    </row>
    <row r="750" spans="1:6" x14ac:dyDescent="0.25">
      <c r="B750" t="s">
        <v>2674</v>
      </c>
      <c r="F750" t="s">
        <v>1594</v>
      </c>
    </row>
    <row r="751" spans="1:6" x14ac:dyDescent="0.25">
      <c r="B751" t="s">
        <v>2669</v>
      </c>
      <c r="F751" t="s">
        <v>1596</v>
      </c>
    </row>
    <row r="752" spans="1:6" x14ac:dyDescent="0.25">
      <c r="A752" t="str">
        <f>setrules!D803&amp;IF(setrules!E803="","",",-"&amp;setrules!E803)</f>
        <v/>
      </c>
      <c r="B752" t="str">
        <f>setrules!F803&amp;IF(setrules!G803="","",",-"&amp;setrules!G803)&amp;IF(setrules!P803="","",",-"&amp;setrules!P803)</f>
        <v>TAJ*</v>
      </c>
      <c r="C752" t="str">
        <f>setrules!H803&amp;IF(setrules!I803="","",",-"&amp;setrules!I803)</f>
        <v/>
      </c>
      <c r="D752" t="str">
        <f>setrules!J803&amp;IF(setrules!K803="","",",-"&amp;setrules!K803)</f>
        <v/>
      </c>
      <c r="E752" t="str">
        <f>setrules!L803&amp;IF(setrules!M803="","",",-"&amp;setrules!M803)</f>
        <v/>
      </c>
      <c r="F752" t="str">
        <f>setrules!B803</f>
        <v>TA-JTF</v>
      </c>
    </row>
    <row r="753" spans="1:6" x14ac:dyDescent="0.25">
      <c r="A753" t="str">
        <f>setrules!D804&amp;IF(setrules!E804="","",",-"&amp;setrules!E804)</f>
        <v/>
      </c>
      <c r="B753" t="str">
        <f>setrules!F804&amp;IF(setrules!G804="","",",-"&amp;setrules!G804)&amp;IF(setrules!P804="","",",-"&amp;setrules!P804)</f>
        <v>TBD*</v>
      </c>
      <c r="C753" t="str">
        <f>setrules!H804&amp;IF(setrules!I804="","",",-"&amp;setrules!I804)</f>
        <v/>
      </c>
      <c r="D753" t="str">
        <f>setrules!J804&amp;IF(setrules!K804="","",",-"&amp;setrules!K804)</f>
        <v/>
      </c>
      <c r="E753" t="str">
        <f>setrules!L804&amp;IF(setrules!M804="","",",-"&amp;setrules!M804)</f>
        <v/>
      </c>
      <c r="F753" t="str">
        <f>setrules!B804</f>
        <v>TBR-DSL</v>
      </c>
    </row>
    <row r="754" spans="1:6" x14ac:dyDescent="0.25">
      <c r="A754" t="str">
        <f>setrules!D805&amp;IF(setrules!E805="","",",-"&amp;setrules!E805)</f>
        <v/>
      </c>
      <c r="B754" t="str">
        <f>setrules!F805&amp;IF(setrules!G805="","",",-"&amp;setrules!G805)&amp;IF(setrules!P805="","",",-"&amp;setrules!P805)</f>
        <v>TAP*</v>
      </c>
      <c r="C754" t="str">
        <f>setrules!H805&amp;IF(setrules!I805="","",",-"&amp;setrules!I805)</f>
        <v/>
      </c>
      <c r="D754" t="str">
        <f>setrules!J805&amp;IF(setrules!K805="","",",-"&amp;setrules!K805)</f>
        <v/>
      </c>
      <c r="E754" t="str">
        <f>setrules!L805&amp;IF(setrules!M805="","",",-"&amp;setrules!M805)</f>
        <v/>
      </c>
      <c r="F754" t="str">
        <f>setrules!B805</f>
        <v>TA-GSL</v>
      </c>
    </row>
    <row r="755" spans="1:6" x14ac:dyDescent="0.25">
      <c r="A755" t="str">
        <f>setrules!D806&amp;IF(setrules!E806="","",",-"&amp;setrules!E806)</f>
        <v/>
      </c>
      <c r="B755" t="str">
        <f>setrules!F806&amp;IF(setrules!G806="","",",-"&amp;setrules!G806)&amp;IF(setrules!P806="","",",-"&amp;setrules!P806)</f>
        <v/>
      </c>
      <c r="C755" t="str">
        <f>setrules!H806&amp;IF(setrules!I806="","",",-"&amp;setrules!I806)</f>
        <v/>
      </c>
      <c r="D755" t="str">
        <f>setrules!J806&amp;IF(setrules!K806="","",",-"&amp;setrules!K806)</f>
        <v>TCB20X</v>
      </c>
      <c r="E755" t="str">
        <f>setrules!L806&amp;IF(setrules!M806="","",",-"&amp;setrules!M806)</f>
        <v/>
      </c>
      <c r="F755" t="str">
        <f>setrules!B806</f>
        <v>TC-B20X</v>
      </c>
    </row>
    <row r="756" spans="1:6" x14ac:dyDescent="0.25">
      <c r="A756" t="str">
        <f>setrules!D807&amp;IF(setrules!E807="","",",-"&amp;setrules!E807)</f>
        <v/>
      </c>
      <c r="B756" t="str">
        <f>setrules!F807&amp;IF(setrules!G807="","",",-"&amp;setrules!G807)&amp;IF(setrules!P807="","",",-"&amp;setrules!P807)</f>
        <v/>
      </c>
      <c r="C756" t="str">
        <f>setrules!H807&amp;IF(setrules!I807="","",",-"&amp;setrules!I807)</f>
        <v/>
      </c>
      <c r="D756" t="str">
        <f>setrules!J807&amp;IF(setrules!K807="","",",-"&amp;setrules!K807)</f>
        <v>TCCNG</v>
      </c>
      <c r="E756" t="str">
        <f>setrules!L807&amp;IF(setrules!M807="","",",-"&amp;setrules!M807)</f>
        <v/>
      </c>
      <c r="F756" t="str">
        <f>setrules!B807</f>
        <v>TC-CNG</v>
      </c>
    </row>
    <row r="757" spans="1:6" x14ac:dyDescent="0.25">
      <c r="A757" t="str">
        <f>setrules!D808&amp;IF(setrules!E808="","",",-"&amp;setrules!E808)</f>
        <v/>
      </c>
      <c r="B757" t="str">
        <f>setrules!F808&amp;IF(setrules!G808="","",",-"&amp;setrules!G808)&amp;IF(setrules!P808="","",",-"&amp;setrules!P808)</f>
        <v>TCD*</v>
      </c>
      <c r="C757" t="str">
        <f>setrules!H808&amp;IF(setrules!I808="","",",-"&amp;setrules!I808)</f>
        <v/>
      </c>
      <c r="D757" t="str">
        <f>setrules!J808&amp;IF(setrules!K808="","",",-"&amp;setrules!K808)</f>
        <v/>
      </c>
      <c r="E757" t="str">
        <f>setrules!L808&amp;IF(setrules!M808="","",",-"&amp;setrules!M808)</f>
        <v/>
      </c>
      <c r="F757" t="str">
        <f>setrules!B808</f>
        <v>TC-DSL</v>
      </c>
    </row>
    <row r="758" spans="1:6" x14ac:dyDescent="0.25">
      <c r="A758" t="str">
        <f>setrules!D809&amp;IF(setrules!E809="","",",-"&amp;setrules!E809)</f>
        <v/>
      </c>
      <c r="B758" t="str">
        <f>setrules!F809&amp;IF(setrules!G809="","",",-"&amp;setrules!G809)&amp;IF(setrules!P809="","",",-"&amp;setrules!P809)</f>
        <v/>
      </c>
      <c r="C758" t="str">
        <f>setrules!H809&amp;IF(setrules!I809="","",",-"&amp;setrules!I809)</f>
        <v/>
      </c>
      <c r="D758" t="str">
        <f>setrules!J809&amp;IF(setrules!K809="","",",-"&amp;setrules!K809)</f>
        <v>TCE85X</v>
      </c>
      <c r="E758" t="str">
        <f>setrules!L809&amp;IF(setrules!M809="","",",-"&amp;setrules!M809)</f>
        <v/>
      </c>
      <c r="F758" t="str">
        <f>setrules!B809</f>
        <v>TC-E85X</v>
      </c>
    </row>
    <row r="759" spans="1:6" x14ac:dyDescent="0.25">
      <c r="A759" t="str">
        <f>setrules!D810&amp;IF(setrules!E810="","",",-"&amp;setrules!E810)</f>
        <v/>
      </c>
      <c r="B759" t="str">
        <f>setrules!F810&amp;IF(setrules!G810="","",",-"&amp;setrules!G810)&amp;IF(setrules!P810="","",",-"&amp;setrules!P810)</f>
        <v>TCG*</v>
      </c>
      <c r="C759" t="str">
        <f>setrules!H810&amp;IF(setrules!I810="","",",-"&amp;setrules!I810)</f>
        <v/>
      </c>
      <c r="D759" t="str">
        <f>setrules!J810&amp;IF(setrules!K810="","",",-"&amp;setrules!K810)</f>
        <v/>
      </c>
      <c r="E759" t="str">
        <f>setrules!L810&amp;IF(setrules!M810="","",",-"&amp;setrules!M810)</f>
        <v/>
      </c>
      <c r="F759" t="str">
        <f>setrules!B810</f>
        <v>TC-GSL</v>
      </c>
    </row>
    <row r="760" spans="1:6" x14ac:dyDescent="0.25">
      <c r="B760" t="s">
        <v>2679</v>
      </c>
      <c r="F760" t="s">
        <v>1674</v>
      </c>
    </row>
    <row r="761" spans="1:6" x14ac:dyDescent="0.25">
      <c r="A761" t="str">
        <f>setrules!D812&amp;IF(setrules!E812="","",",-"&amp;setrules!E812)</f>
        <v/>
      </c>
      <c r="B761" t="str">
        <f>setrules!F812&amp;IF(setrules!G812="","",",-"&amp;setrules!G812)&amp;IF(setrules!P812="","",",-"&amp;setrules!P812)</f>
        <v/>
      </c>
      <c r="C761" t="str">
        <f>setrules!H812&amp;IF(setrules!I812="","",",-"&amp;setrules!I812)</f>
        <v/>
      </c>
      <c r="D761" t="str">
        <f>setrules!J812&amp;IF(setrules!K812="","",",-"&amp;setrules!K812)</f>
        <v>T*CNG</v>
      </c>
      <c r="E761" t="str">
        <f>setrules!L812&amp;IF(setrules!M812="","",",-"&amp;setrules!M812)</f>
        <v/>
      </c>
      <c r="F761" t="str">
        <f>setrules!B812</f>
        <v>TCNG_ALL</v>
      </c>
    </row>
    <row r="762" spans="1:6" x14ac:dyDescent="0.25">
      <c r="A762" t="str">
        <f>setrules!D813&amp;IF(setrules!E813="","",",-"&amp;setrules!E813)</f>
        <v/>
      </c>
      <c r="B762" t="str">
        <f>setrules!F813&amp;IF(setrules!G813="","",",-"&amp;setrules!G813)&amp;IF(setrules!P813="","",",-"&amp;setrules!P813)</f>
        <v>TB*</v>
      </c>
      <c r="C762" t="str">
        <f>setrules!H813&amp;IF(setrules!I813="","",",-"&amp;setrules!I813)</f>
        <v/>
      </c>
      <c r="D762" t="str">
        <f>setrules!J813&amp;IF(setrules!K813="","",",-"&amp;setrules!K813)</f>
        <v>TRNH2</v>
      </c>
      <c r="E762" t="str">
        <f>setrules!L813&amp;IF(setrules!M813="","",",-"&amp;setrules!M813)</f>
        <v/>
      </c>
      <c r="F762" t="str">
        <f>setrules!B813</f>
        <v>TB-H2</v>
      </c>
    </row>
    <row r="763" spans="1:6" x14ac:dyDescent="0.25">
      <c r="A763" t="str">
        <f>setrules!D814&amp;IF(setrules!E814="","",",-"&amp;setrules!E814)</f>
        <v>IRE</v>
      </c>
      <c r="B763" t="str">
        <f>setrules!F814&amp;IF(setrules!G814="","",",-"&amp;setrules!G814)&amp;IF(setrules!P814="","",",-"&amp;setrules!P814)</f>
        <v>IMPLPG*</v>
      </c>
      <c r="C763" t="str">
        <f>setrules!H814&amp;IF(setrules!I814="","",",-"&amp;setrules!I814)</f>
        <v/>
      </c>
      <c r="D763" t="str">
        <f>setrules!J814&amp;IF(setrules!K814="","",",-"&amp;setrules!K814)</f>
        <v/>
      </c>
      <c r="E763" t="str">
        <f>setrules!L814&amp;IF(setrules!M814="","",",-"&amp;setrules!M814)</f>
        <v/>
      </c>
      <c r="F763" t="str">
        <f>setrules!B814</f>
        <v>SUP_IMP-LPG</v>
      </c>
    </row>
    <row r="764" spans="1:6" x14ac:dyDescent="0.25">
      <c r="A764" t="str">
        <f>setrules!D815&amp;IF(setrules!E815="","",",-"&amp;setrules!E815)</f>
        <v>IRE</v>
      </c>
      <c r="B764" t="str">
        <f>setrules!F815&amp;IF(setrules!G815="","",",-"&amp;setrules!G815)&amp;IF(setrules!P815="","",",-"&amp;setrules!P815)</f>
        <v>IMPDSL*,IMPDSU*</v>
      </c>
      <c r="C764" t="str">
        <f>setrules!H815&amp;IF(setrules!I815="","",",-"&amp;setrules!I815)</f>
        <v/>
      </c>
      <c r="D764" t="str">
        <f>setrules!J815&amp;IF(setrules!K815="","",",-"&amp;setrules!K815)</f>
        <v/>
      </c>
      <c r="E764" t="str">
        <f>setrules!L815&amp;IF(setrules!M815="","",",-"&amp;setrules!M815)</f>
        <v/>
      </c>
      <c r="F764" t="str">
        <f>setrules!B815</f>
        <v>SUP_IMP-DSLU</v>
      </c>
    </row>
    <row r="765" spans="1:6" x14ac:dyDescent="0.25">
      <c r="A765" t="str">
        <f>setrules!D816&amp;IF(setrules!E816="","",",-"&amp;setrules!E816)</f>
        <v>IRE</v>
      </c>
      <c r="B765" t="str">
        <f>setrules!F816&amp;IF(setrules!G816="","",",-"&amp;setrules!G816)&amp;IF(setrules!P816="","",",-"&amp;setrules!P816)</f>
        <v>IMPDSH*</v>
      </c>
      <c r="C765" t="str">
        <f>setrules!H816&amp;IF(setrules!I816="","",",-"&amp;setrules!I816)</f>
        <v/>
      </c>
      <c r="D765" t="str">
        <f>setrules!J816&amp;IF(setrules!K816="","",",-"&amp;setrules!K816)</f>
        <v/>
      </c>
      <c r="E765" t="str">
        <f>setrules!L816&amp;IF(setrules!M816="","",",-"&amp;setrules!M816)</f>
        <v/>
      </c>
      <c r="F765" t="str">
        <f>setrules!B816</f>
        <v>SUP_IMP-DST</v>
      </c>
    </row>
    <row r="766" spans="1:6" x14ac:dyDescent="0.25">
      <c r="A766" t="str">
        <f>setrules!D817&amp;IF(setrules!E817="","",",-"&amp;setrules!E817)</f>
        <v>IRE</v>
      </c>
      <c r="B766" t="str">
        <f>setrules!F817&amp;IF(setrules!G817="","",",-"&amp;setrules!G817)&amp;IF(setrules!P817="","",",-"&amp;setrules!P817)</f>
        <v>IMPELC*</v>
      </c>
      <c r="C766" t="str">
        <f>setrules!H817&amp;IF(setrules!I817="","",",-"&amp;setrules!I817)</f>
        <v/>
      </c>
      <c r="D766" t="str">
        <f>setrules!J817&amp;IF(setrules!K817="","",",-"&amp;setrules!K817)</f>
        <v/>
      </c>
      <c r="E766" t="str">
        <f>setrules!L817&amp;IF(setrules!M817="","",",-"&amp;setrules!M817)</f>
        <v/>
      </c>
      <c r="F766" t="str">
        <f>setrules!B817</f>
        <v>SUP_IMP-ELC</v>
      </c>
    </row>
    <row r="767" spans="1:6" x14ac:dyDescent="0.25">
      <c r="A767" t="str">
        <f>setrules!D818&amp;IF(setrules!E818="","",",-"&amp;setrules!E818)</f>
        <v>IRE</v>
      </c>
      <c r="B767" t="str">
        <f>setrules!F818&amp;IF(setrules!G818="","",",-"&amp;setrules!G818)&amp;IF(setrules!P818="","",",-"&amp;setrules!P818)</f>
        <v>IMPETH*</v>
      </c>
      <c r="C767" t="str">
        <f>setrules!H818&amp;IF(setrules!I818="","",",-"&amp;setrules!I818)</f>
        <v/>
      </c>
      <c r="D767" t="str">
        <f>setrules!J818&amp;IF(setrules!K818="","",",-"&amp;setrules!K818)</f>
        <v/>
      </c>
      <c r="E767" t="str">
        <f>setrules!L818&amp;IF(setrules!M818="","",",-"&amp;setrules!M818)</f>
        <v/>
      </c>
      <c r="F767" t="str">
        <f>setrules!B818</f>
        <v>SUP_IMP-ETH</v>
      </c>
    </row>
    <row r="768" spans="1:6" x14ac:dyDescent="0.25">
      <c r="A768" t="str">
        <f>setrules!D819&amp;IF(setrules!E819="","",",-"&amp;setrules!E819)</f>
        <v>IRE</v>
      </c>
      <c r="B768" t="str">
        <f>setrules!F819&amp;IF(setrules!G819="","",",-"&amp;setrules!G819)&amp;IF(setrules!P819="","",",-"&amp;setrules!P819)</f>
        <v>IMPG*</v>
      </c>
      <c r="C768" t="str">
        <f>setrules!H819&amp;IF(setrules!I819="","",",-"&amp;setrules!I819)</f>
        <v/>
      </c>
      <c r="D768" t="str">
        <f>setrules!J819&amp;IF(setrules!K819="","",",-"&amp;setrules!K819)</f>
        <v/>
      </c>
      <c r="E768" t="str">
        <f>setrules!L819&amp;IF(setrules!M819="","",",-"&amp;setrules!M819)</f>
        <v/>
      </c>
      <c r="F768" t="str">
        <f>setrules!B819</f>
        <v>SUP_IMP-GSL</v>
      </c>
    </row>
    <row r="769" spans="1:6" x14ac:dyDescent="0.25">
      <c r="A769" t="str">
        <f>setrules!D820&amp;IF(setrules!E820="","",",-"&amp;setrules!E820)</f>
        <v>IRE</v>
      </c>
      <c r="B769" t="str">
        <f>setrules!F820&amp;IF(setrules!G820="","",",-"&amp;setrules!G820)&amp;IF(setrules!P820="","",",-"&amp;setrules!P820)</f>
        <v>IMPH*</v>
      </c>
      <c r="C769" t="str">
        <f>setrules!H820&amp;IF(setrules!I820="","",",-"&amp;setrules!I820)</f>
        <v/>
      </c>
      <c r="D769" t="str">
        <f>setrules!J820&amp;IF(setrules!K820="","",",-"&amp;setrules!K820)</f>
        <v/>
      </c>
      <c r="E769" t="str">
        <f>setrules!L820&amp;IF(setrules!M820="","",",-"&amp;setrules!M820)</f>
        <v/>
      </c>
      <c r="F769" t="str">
        <f>setrules!B820</f>
        <v>SUP_IMP-H2</v>
      </c>
    </row>
    <row r="770" spans="1:6" x14ac:dyDescent="0.25">
      <c r="A770" t="str">
        <f>setrules!D821&amp;IF(setrules!E821="","",",-"&amp;setrules!E821)</f>
        <v/>
      </c>
      <c r="B770" t="str">
        <f>setrules!F821&amp;IF(setrules!G821="","",",-"&amp;setrules!G821)&amp;IF(setrules!P821="","",",-"&amp;setrules!P821)</f>
        <v/>
      </c>
      <c r="C770" t="str">
        <f>setrules!H821&amp;IF(setrules!I821="","",",-"&amp;setrules!I821)</f>
        <v/>
      </c>
      <c r="D770" t="str">
        <f>setrules!J821&amp;IF(setrules!K821="","",",-"&amp;setrules!K821)</f>
        <v>T*B20X</v>
      </c>
      <c r="E770" t="str">
        <f>setrules!L821&amp;IF(setrules!M821="","",",-"&amp;setrules!M821)</f>
        <v/>
      </c>
      <c r="F770" t="str">
        <f>setrules!B821</f>
        <v>TB20X_ALL</v>
      </c>
    </row>
    <row r="771" spans="1:6" x14ac:dyDescent="0.25">
      <c r="A771" t="str">
        <f>setrules!D822&amp;IF(setrules!E822="","",",-"&amp;setrules!E822)</f>
        <v>IRE</v>
      </c>
      <c r="B771" t="str">
        <f>setrules!F822&amp;IF(setrules!G822="","",",-"&amp;setrules!G822)&amp;IF(setrules!P822="","",",-"&amp;setrules!P822)</f>
        <v>IMPKER*</v>
      </c>
      <c r="C771" t="str">
        <f>setrules!H822&amp;IF(setrules!I822="","",",-"&amp;setrules!I822)</f>
        <v/>
      </c>
      <c r="D771" t="str">
        <f>setrules!J822&amp;IF(setrules!K822="","",",-"&amp;setrules!K822)</f>
        <v/>
      </c>
      <c r="E771" t="str">
        <f>setrules!L822&amp;IF(setrules!M822="","",",-"&amp;setrules!M822)</f>
        <v/>
      </c>
      <c r="F771" t="str">
        <f>setrules!B822</f>
        <v>SUP_IMP-KER</v>
      </c>
    </row>
    <row r="772" spans="1:6" x14ac:dyDescent="0.25">
      <c r="A772" t="str">
        <f>setrules!D823&amp;IF(setrules!E823="","",",-"&amp;setrules!E823)</f>
        <v>ELC-SOL</v>
      </c>
      <c r="B772" t="str">
        <f>setrules!F823&amp;IF(setrules!G823="","",",-"&amp;setrules!G823)&amp;IF(setrules!P823="","",",-"&amp;setrules!P823)</f>
        <v>*</v>
      </c>
      <c r="C772" t="str">
        <f>setrules!H823&amp;IF(setrules!I823="","",",-"&amp;setrules!I823)</f>
        <v/>
      </c>
      <c r="D772" t="str">
        <f>setrules!J823&amp;IF(setrules!K823="","",",-"&amp;setrules!K823)</f>
        <v/>
      </c>
      <c r="E772" t="str">
        <f>setrules!L823&amp;IF(setrules!M823="","",",-"&amp;setrules!M823)</f>
        <v/>
      </c>
      <c r="F772" t="str">
        <f>setrules!B823</f>
        <v>RPS_R3_T1</v>
      </c>
    </row>
    <row r="773" spans="1:6" x14ac:dyDescent="0.25">
      <c r="A773" t="str">
        <f>setrules!D824&amp;IF(setrules!E824="","",",-"&amp;setrules!E824)</f>
        <v>IRE,-SUP_IMP-BIOD,-SUP_IMP-COAL,-SUP_IMP-DSLU,-SUP_IMP-DST,-SUP_IMP-ELC,-SUP_IMP-ETH,-SUP_IMP-GSL,-SUP_IMP-H2,-SUP_IMP-JET,-SUP_IMP-KER,-SUP_IMP-LPG,-SUP_IMP-MTH,-SUP_IMP-NGA,-SUP_IMP-OIL,-SUP_IMP-RFL,-SUP_IMP-URN</v>
      </c>
      <c r="B773" t="str">
        <f>setrules!F824&amp;IF(setrules!G824="","",",-"&amp;setrules!G824)&amp;IF(setrules!P824="","",",-"&amp;setrules!P824)</f>
        <v>IMP*,-*ASP*,-*COK*,-*Z,-*OIL*,-*PFS*</v>
      </c>
      <c r="C773" t="str">
        <f>setrules!H824&amp;IF(setrules!I824="","",",-"&amp;setrules!I824)</f>
        <v/>
      </c>
      <c r="D773" t="str">
        <f>setrules!J824&amp;IF(setrules!K824="","",",-"&amp;setrules!K824)</f>
        <v/>
      </c>
      <c r="E773" t="str">
        <f>setrules!L824&amp;IF(setrules!M824="","",",-"&amp;setrules!M824)</f>
        <v/>
      </c>
      <c r="F773" t="str">
        <f>setrules!B824</f>
        <v>SUP_IMP-MISS</v>
      </c>
    </row>
    <row r="774" spans="1:6" x14ac:dyDescent="0.25">
      <c r="A774" t="str">
        <f>setrules!D825&amp;IF(setrules!E825="","",",-"&amp;setrules!E825)</f>
        <v>IRE</v>
      </c>
      <c r="B774" t="str">
        <f>setrules!F825&amp;IF(setrules!G825="","",",-"&amp;setrules!G825)&amp;IF(setrules!P825="","",",-"&amp;setrules!P825)</f>
        <v>IMPMTH*</v>
      </c>
      <c r="C774" t="str">
        <f>setrules!H825&amp;IF(setrules!I825="","",",-"&amp;setrules!I825)</f>
        <v/>
      </c>
      <c r="D774" t="str">
        <f>setrules!J825&amp;IF(setrules!K825="","",",-"&amp;setrules!K825)</f>
        <v/>
      </c>
      <c r="E774" t="str">
        <f>setrules!L825&amp;IF(setrules!M825="","",",-"&amp;setrules!M825)</f>
        <v/>
      </c>
      <c r="F774" t="str">
        <f>setrules!B825</f>
        <v>SUP_IMP-MTH</v>
      </c>
    </row>
    <row r="775" spans="1:6" x14ac:dyDescent="0.25">
      <c r="A775" t="str">
        <f>setrules!D826&amp;IF(setrules!E826="","",",-"&amp;setrules!E826)</f>
        <v>IRE</v>
      </c>
      <c r="B775" t="str">
        <f>setrules!F826&amp;IF(setrules!G826="","",",-"&amp;setrules!G826)&amp;IF(setrules!P826="","",",-"&amp;setrules!P826)</f>
        <v>IMPNGA*</v>
      </c>
      <c r="C775" t="str">
        <f>setrules!H826&amp;IF(setrules!I826="","",",-"&amp;setrules!I826)</f>
        <v/>
      </c>
      <c r="D775" t="str">
        <f>setrules!J826&amp;IF(setrules!K826="","",",-"&amp;setrules!K826)</f>
        <v/>
      </c>
      <c r="E775" t="str">
        <f>setrules!L826&amp;IF(setrules!M826="","",",-"&amp;setrules!M826)</f>
        <v/>
      </c>
      <c r="F775" t="str">
        <f>setrules!B826</f>
        <v>SUP_IMP-NGA</v>
      </c>
    </row>
    <row r="776" spans="1:6" x14ac:dyDescent="0.25">
      <c r="A776" t="str">
        <f>setrules!D827&amp;IF(setrules!E827="","",",-"&amp;setrules!E827)</f>
        <v>IRE</v>
      </c>
      <c r="B776" t="str">
        <f>setrules!F827&amp;IF(setrules!G827="","",",-"&amp;setrules!G827)&amp;IF(setrules!P827="","",",-"&amp;setrules!P827)</f>
        <v>IMPOIL*</v>
      </c>
      <c r="C776" t="str">
        <f>setrules!H827&amp;IF(setrules!I827="","",",-"&amp;setrules!I827)</f>
        <v/>
      </c>
      <c r="D776" t="str">
        <f>setrules!J827&amp;IF(setrules!K827="","",",-"&amp;setrules!K827)</f>
        <v/>
      </c>
      <c r="E776" t="str">
        <f>setrules!L827&amp;IF(setrules!M827="","",",-"&amp;setrules!M827)</f>
        <v/>
      </c>
      <c r="F776" t="str">
        <f>setrules!B827</f>
        <v>SUP_IMP-OIL</v>
      </c>
    </row>
    <row r="777" spans="1:6" x14ac:dyDescent="0.25">
      <c r="A777" t="str">
        <f>setrules!D828&amp;IF(setrules!E828="","",",-"&amp;setrules!E828)</f>
        <v>IRE</v>
      </c>
      <c r="B777" t="str">
        <f>setrules!F828&amp;IF(setrules!G828="","",",-"&amp;setrules!G828)&amp;IF(setrules!P828="","",",-"&amp;setrules!P828)</f>
        <v>IMPRF*</v>
      </c>
      <c r="C777" t="str">
        <f>setrules!H828&amp;IF(setrules!I828="","",",-"&amp;setrules!I828)</f>
        <v/>
      </c>
      <c r="D777" t="str">
        <f>setrules!J828&amp;IF(setrules!K828="","",",-"&amp;setrules!K828)</f>
        <v/>
      </c>
      <c r="E777" t="str">
        <f>setrules!L828&amp;IF(setrules!M828="","",",-"&amp;setrules!M828)</f>
        <v/>
      </c>
      <c r="F777" t="str">
        <f>setrules!B828</f>
        <v>SUP_IMP-RFL</v>
      </c>
    </row>
    <row r="778" spans="1:6" x14ac:dyDescent="0.25">
      <c r="A778" t="str">
        <f>setrules!D829&amp;IF(setrules!E829="","",",-"&amp;setrules!E829)</f>
        <v>IRE</v>
      </c>
      <c r="B778" t="str">
        <f>setrules!F829&amp;IF(setrules!G829="","",",-"&amp;setrules!G829)&amp;IF(setrules!P829="","",",-"&amp;setrules!P829)</f>
        <v>IMPUR*,IMPNU*</v>
      </c>
      <c r="C778" t="str">
        <f>setrules!H829&amp;IF(setrules!I829="","",",-"&amp;setrules!I829)</f>
        <v/>
      </c>
      <c r="D778" t="str">
        <f>setrules!J829&amp;IF(setrules!K829="","",",-"&amp;setrules!K829)</f>
        <v/>
      </c>
      <c r="E778" t="str">
        <f>setrules!L829&amp;IF(setrules!M829="","",",-"&amp;setrules!M829)</f>
        <v/>
      </c>
      <c r="F778" t="str">
        <f>setrules!B829</f>
        <v>SUP_IMP-URN</v>
      </c>
    </row>
    <row r="779" spans="1:6" x14ac:dyDescent="0.25">
      <c r="A779" t="str">
        <f>setrules!D830&amp;IF(setrules!E830="","",",-"&amp;setrules!E830)</f>
        <v/>
      </c>
      <c r="B779" t="str">
        <f>setrules!F830&amp;IF(setrules!G830="","",",-"&amp;setrules!G830)&amp;IF(setrules!P830="","",",-"&amp;setrules!P830)</f>
        <v>TA*</v>
      </c>
      <c r="C779" t="str">
        <f>setrules!H830&amp;IF(setrules!I830="","",",-"&amp;setrules!I830)</f>
        <v/>
      </c>
      <c r="D779" t="str">
        <f>setrules!J830&amp;IF(setrules!K830="","",",-"&amp;setrules!K830)</f>
        <v/>
      </c>
      <c r="E779" t="str">
        <f>setrules!L830&amp;IF(setrules!M830="","",",-"&amp;setrules!M830)</f>
        <v/>
      </c>
      <c r="F779" t="str">
        <f>setrules!B830</f>
        <v>TA-ALL</v>
      </c>
    </row>
    <row r="780" spans="1:6" x14ac:dyDescent="0.25">
      <c r="A780" t="str">
        <f>setrules!D831&amp;IF(setrules!E831="","",",-"&amp;setrules!E831)</f>
        <v>IRE</v>
      </c>
      <c r="B780" t="str">
        <f>setrules!F831&amp;IF(setrules!G831="","",",-"&amp;setrules!G831)&amp;IF(setrules!P831="","",",-"&amp;setrules!P831)</f>
        <v>IMPJ*</v>
      </c>
      <c r="C780" t="str">
        <f>setrules!H831&amp;IF(setrules!I831="","",",-"&amp;setrules!I831)</f>
        <v/>
      </c>
      <c r="D780" t="str">
        <f>setrules!J831&amp;IF(setrules!K831="","",",-"&amp;setrules!K831)</f>
        <v/>
      </c>
      <c r="E780" t="str">
        <f>setrules!L831&amp;IF(setrules!M831="","",",-"&amp;setrules!M831)</f>
        <v/>
      </c>
      <c r="F780" t="str">
        <f>setrules!B831</f>
        <v>SUP_IMP-JET</v>
      </c>
    </row>
    <row r="781" spans="1:6" x14ac:dyDescent="0.25">
      <c r="A781" t="str">
        <f>setrules!D832&amp;IF(setrules!E832="","",",-"&amp;setrules!E832)</f>
        <v>CON</v>
      </c>
      <c r="B781" t="str">
        <f>setrules!F832&amp;IF(setrules!G832="","",",-"&amp;setrules!G832)&amp;IF(setrules!P832="","",",-"&amp;setrules!P832)</f>
        <v>EU*</v>
      </c>
      <c r="C781" t="str">
        <f>setrules!H832&amp;IF(setrules!I832="","",",-"&amp;setrules!I832)</f>
        <v/>
      </c>
      <c r="D781" t="str">
        <f>setrules!J832&amp;IF(setrules!K832="","",",-"&amp;setrules!K832)</f>
        <v/>
      </c>
      <c r="E781" t="str">
        <f>setrules!L832&amp;IF(setrules!M832="","",",-"&amp;setrules!M832)</f>
        <v/>
      </c>
      <c r="F781" t="str">
        <f>setrules!B832</f>
        <v>NUC_ALL</v>
      </c>
    </row>
    <row r="782" spans="1:6" x14ac:dyDescent="0.25">
      <c r="A782" t="str">
        <f>setrules!D833&amp;IF(setrules!E833="","",",-"&amp;setrules!E833)</f>
        <v>ELC-BIO,ELC-GEO,ELC-LFG,ELC-MSW,ELC-NUK,ELC-SOL,ELC-WND</v>
      </c>
      <c r="B782" t="str">
        <f>setrules!F833&amp;IF(setrules!G833="","",",-"&amp;setrules!G833)&amp;IF(setrules!P833="","",",-"&amp;setrules!P833)</f>
        <v>ECOALIGCCS,-,-ECOALIGCCS,-</v>
      </c>
      <c r="C782" t="str">
        <f>setrules!H833&amp;IF(setrules!I833="","",",-"&amp;setrules!I833)</f>
        <v/>
      </c>
      <c r="D782" t="str">
        <f>setrules!J833&amp;IF(setrules!K833="","",",-"&amp;setrules!K833)</f>
        <v/>
      </c>
      <c r="E782" t="str">
        <f>setrules!L833&amp;IF(setrules!M833="","",",-"&amp;setrules!M833)</f>
        <v/>
      </c>
      <c r="F782" t="str">
        <f>setrules!B833</f>
        <v>RPS_R3_T3</v>
      </c>
    </row>
    <row r="783" spans="1:6" x14ac:dyDescent="0.25">
      <c r="A783" t="str">
        <f>setrules!D834&amp;IF(setrules!E834="","",",-"&amp;setrules!E834)</f>
        <v/>
      </c>
      <c r="B783" t="str">
        <f>setrules!F834&amp;IF(setrules!G834="","",",-"&amp;setrules!G834)&amp;IF(setrules!P834="","",",-"&amp;setrules!P834)</f>
        <v>MINC*</v>
      </c>
      <c r="C783" t="str">
        <f>setrules!H834&amp;IF(setrules!I834="","",",-"&amp;setrules!I834)</f>
        <v/>
      </c>
      <c r="D783" t="str">
        <f>setrules!J834&amp;IF(setrules!K834="","",",-"&amp;setrules!K834)</f>
        <v/>
      </c>
      <c r="E783" t="str">
        <f>setrules!L834&amp;IF(setrules!M834="","",",-"&amp;setrules!M834)</f>
        <v/>
      </c>
      <c r="F783" t="str">
        <f>setrules!B834</f>
        <v>MINCOAL</v>
      </c>
    </row>
    <row r="784" spans="1:6" x14ac:dyDescent="0.25">
      <c r="A784" t="str">
        <f>setrules!D835&amp;IF(setrules!E835="","",",-"&amp;setrules!E835)</f>
        <v/>
      </c>
      <c r="B784" t="str">
        <f>setrules!F835&amp;IF(setrules!G835="","",",-"&amp;setrules!G835)&amp;IF(setrules!P835="","",",-"&amp;setrules!P835)</f>
        <v>MINNG*</v>
      </c>
      <c r="C784" t="str">
        <f>setrules!H835&amp;IF(setrules!I835="","",",-"&amp;setrules!I835)</f>
        <v/>
      </c>
      <c r="D784" t="str">
        <f>setrules!J835&amp;IF(setrules!K835="","",",-"&amp;setrules!K835)</f>
        <v/>
      </c>
      <c r="E784" t="str">
        <f>setrules!L835&amp;IF(setrules!M835="","",",-"&amp;setrules!M835)</f>
        <v/>
      </c>
      <c r="F784" t="str">
        <f>setrules!B835</f>
        <v>MINNGA</v>
      </c>
    </row>
    <row r="785" spans="1:6" x14ac:dyDescent="0.25">
      <c r="A785" t="str">
        <f>setrules!D836&amp;IF(setrules!E836="","",",-"&amp;setrules!E836)</f>
        <v>CON</v>
      </c>
      <c r="B785" t="str">
        <f>setrules!F836&amp;IF(setrules!G836="","",",-"&amp;setrules!G836)&amp;IF(setrules!P836="","",",-"&amp;setrules!P836)</f>
        <v>EN*</v>
      </c>
      <c r="C785" t="str">
        <f>setrules!H836&amp;IF(setrules!I836="","",",-"&amp;setrules!I836)</f>
        <v/>
      </c>
      <c r="D785" t="str">
        <f>setrules!J836&amp;IF(setrules!K836="","",",-"&amp;setrules!K836)</f>
        <v/>
      </c>
      <c r="E785" t="str">
        <f>setrules!L836&amp;IF(setrules!M836="","",",-"&amp;setrules!M836)</f>
        <v/>
      </c>
      <c r="F785" t="str">
        <f>setrules!B836</f>
        <v>NGA_ALL</v>
      </c>
    </row>
    <row r="786" spans="1:6" x14ac:dyDescent="0.25">
      <c r="A786" t="str">
        <f>setrules!D837&amp;IF(setrules!E837="","",",-"&amp;setrules!E837)</f>
        <v>PRC</v>
      </c>
      <c r="B786" t="str">
        <f>setrules!F837&amp;IF(setrules!G837="","",",-"&amp;setrules!G837)&amp;IF(setrules!P837="","",",-"&amp;setrules!P837)</f>
        <v>SEN*</v>
      </c>
      <c r="C786" t="str">
        <f>setrules!H837&amp;IF(setrules!I837="","",",-"&amp;setrules!I837)</f>
        <v/>
      </c>
      <c r="D786" t="str">
        <f>setrules!J837&amp;IF(setrules!K837="","",",-"&amp;setrules!K837)</f>
        <v/>
      </c>
      <c r="E786" t="str">
        <f>setrules!L837&amp;IF(setrules!M837="","",",-"&amp;setrules!M837)</f>
        <v/>
      </c>
      <c r="F786" t="str">
        <f>setrules!B837</f>
        <v>NGA_CO2</v>
      </c>
    </row>
    <row r="787" spans="1:6" x14ac:dyDescent="0.25">
      <c r="A787" t="str">
        <f>setrules!D838&amp;IF(setrules!E838="","",",-"&amp;setrules!E838)</f>
        <v/>
      </c>
      <c r="B787" t="str">
        <f>setrules!F838&amp;IF(setrules!G838="","",",-"&amp;setrules!G838)&amp;IF(setrules!P838="","",",-"&amp;setrules!P838)</f>
        <v>MINNGAD*</v>
      </c>
      <c r="C787" t="str">
        <f>setrules!H838&amp;IF(setrules!I838="","",",-"&amp;setrules!I838)</f>
        <v/>
      </c>
      <c r="D787" t="str">
        <f>setrules!J838&amp;IF(setrules!K838="","",",-"&amp;setrules!K838)</f>
        <v/>
      </c>
      <c r="E787" t="str">
        <f>setrules!L838&amp;IF(setrules!M838="","",",-"&amp;setrules!M838)</f>
        <v/>
      </c>
      <c r="F787" t="str">
        <f>setrules!B838</f>
        <v>NGAD-ALL</v>
      </c>
    </row>
    <row r="788" spans="1:6" x14ac:dyDescent="0.25">
      <c r="A788" t="str">
        <f>setrules!D839&amp;IF(setrules!E839="","",",-"&amp;setrules!E839)</f>
        <v/>
      </c>
      <c r="B788" t="str">
        <f>setrules!F839&amp;IF(setrules!G839="","",",-"&amp;setrules!G839)&amp;IF(setrules!P839="","",",-"&amp;setrules!P839)</f>
        <v>TL*</v>
      </c>
      <c r="C788" t="str">
        <f>setrules!H839&amp;IF(setrules!I839="","",",-"&amp;setrules!I839)</f>
        <v>*.PHVG.*</v>
      </c>
      <c r="D788" t="str">
        <f>setrules!J839&amp;IF(setrules!K839="","",",-"&amp;setrules!K839)</f>
        <v/>
      </c>
      <c r="E788" t="str">
        <f>setrules!L839&amp;IF(setrules!M839="","",",-"&amp;setrules!M839)</f>
        <v/>
      </c>
      <c r="F788" t="str">
        <f>setrules!B839</f>
        <v>LDP40GC</v>
      </c>
    </row>
    <row r="789" spans="1:6" x14ac:dyDescent="0.25">
      <c r="A789" t="str">
        <f>setrules!D840&amp;IF(setrules!E840="","",",-"&amp;setrules!E840)</f>
        <v/>
      </c>
      <c r="B789" t="str">
        <f>setrules!F840&amp;IF(setrules!G840="","",",-"&amp;setrules!G840)&amp;IF(setrules!P840="","",",-"&amp;setrules!P840)</f>
        <v>SEC*2*,-,-SECSTBLN2O,-SECSTBLN2U,-SECSTBLS2O,-SECSTBLS2U,-SECSTLLN2O,-SECSTLLN2U,-SECSTLLS2O,-SECSTLLS2U,-SECSTSLN2O,-SECSTSLN2U,-SECSTSLS2O,-SECSTSLS2U,-</v>
      </c>
      <c r="C789" t="str">
        <f>setrules!H840&amp;IF(setrules!I840="","",",-"&amp;setrules!I840)</f>
        <v/>
      </c>
      <c r="D789" t="str">
        <f>setrules!J840&amp;IF(setrules!K840="","",",-"&amp;setrules!K840)</f>
        <v/>
      </c>
      <c r="E789" t="str">
        <f>setrules!L840&amp;IF(setrules!M840="","",",-"&amp;setrules!M840)</f>
        <v/>
      </c>
      <c r="F789" t="str">
        <f>setrules!B840</f>
        <v>NOX RETROFITS 2</v>
      </c>
    </row>
    <row r="790" spans="1:6" x14ac:dyDescent="0.25">
      <c r="A790" t="str">
        <f>setrules!D841&amp;IF(setrules!E841="","",",-"&amp;setrules!E841)</f>
        <v/>
      </c>
      <c r="B790" t="str">
        <f>setrules!F841&amp;IF(setrules!G841="","",",-"&amp;setrules!G841)&amp;IF(setrules!P841="","",",-"&amp;setrules!P841)</f>
        <v>TL*</v>
      </c>
      <c r="C790" t="str">
        <f>setrules!H841&amp;IF(setrules!I841="","",",-"&amp;setrules!I841)</f>
        <v>*.PHVE.*</v>
      </c>
      <c r="D790" t="str">
        <f>setrules!J841&amp;IF(setrules!K841="","",",-"&amp;setrules!K841)</f>
        <v/>
      </c>
      <c r="E790" t="str">
        <f>setrules!L841&amp;IF(setrules!M841="","",",-"&amp;setrules!M841)</f>
        <v/>
      </c>
      <c r="F790" t="str">
        <f>setrules!B841</f>
        <v>LDP40ET</v>
      </c>
    </row>
    <row r="791" spans="1:6" x14ac:dyDescent="0.25">
      <c r="A791" t="str">
        <f>setrules!D842&amp;IF(setrules!E842="","",",-"&amp;setrules!E842)</f>
        <v>CON</v>
      </c>
      <c r="B791" t="str">
        <f>setrules!F842&amp;IF(setrules!G842="","",",-"&amp;setrules!G842)&amp;IF(setrules!P842="","",",-"&amp;setrules!P842)</f>
        <v>ED*</v>
      </c>
      <c r="C791" t="str">
        <f>setrules!H842&amp;IF(setrules!I842="","",",-"&amp;setrules!I842)</f>
        <v/>
      </c>
      <c r="D791" t="str">
        <f>setrules!J842&amp;IF(setrules!K842="","",",-"&amp;setrules!K842)</f>
        <v/>
      </c>
      <c r="E791" t="str">
        <f>setrules!L842&amp;IF(setrules!M842="","",",-"&amp;setrules!M842)</f>
        <v/>
      </c>
      <c r="F791" t="str">
        <f>setrules!B842</f>
        <v>OIL_ALL</v>
      </c>
    </row>
    <row r="792" spans="1:6" x14ac:dyDescent="0.25">
      <c r="A792" t="str">
        <f>setrules!D843&amp;IF(setrules!E843="","",",-"&amp;setrules!E843)</f>
        <v/>
      </c>
      <c r="B792" t="str">
        <f>setrules!F843&amp;IF(setrules!G843="","",",-"&amp;setrules!G843)&amp;IF(setrules!P843="","",",-"&amp;setrules!P843)</f>
        <v>MINOILD*</v>
      </c>
      <c r="C792" t="str">
        <f>setrules!H843&amp;IF(setrules!I843="","",",-"&amp;setrules!I843)</f>
        <v/>
      </c>
      <c r="D792" t="str">
        <f>setrules!J843&amp;IF(setrules!K843="","",",-"&amp;setrules!K843)</f>
        <v/>
      </c>
      <c r="E792" t="str">
        <f>setrules!L843&amp;IF(setrules!M843="","",",-"&amp;setrules!M843)</f>
        <v/>
      </c>
      <c r="F792" t="str">
        <f>setrules!B843</f>
        <v>OILD-ALL</v>
      </c>
    </row>
    <row r="793" spans="1:6" x14ac:dyDescent="0.25">
      <c r="A793" t="str">
        <f>setrules!D844&amp;IF(setrules!E844="","",",-"&amp;setrules!E844)</f>
        <v>IRE</v>
      </c>
      <c r="B793" t="str">
        <f>setrules!F844&amp;IF(setrules!G844="","",",-"&amp;setrules!G844)&amp;IF(setrules!P844="","",",-"&amp;setrules!P844)</f>
        <v>MIN*,RNW*</v>
      </c>
      <c r="C793" t="str">
        <f>setrules!H844&amp;IF(setrules!I844="","",",-"&amp;setrules!I844)</f>
        <v/>
      </c>
      <c r="D793" t="str">
        <f>setrules!J844&amp;IF(setrules!K844="","",",-"&amp;setrules!K844)</f>
        <v/>
      </c>
      <c r="E793" t="str">
        <f>setrules!L844&amp;IF(setrules!M844="","",",-"&amp;setrules!M844)</f>
        <v/>
      </c>
      <c r="F793" t="str">
        <f>setrules!B844</f>
        <v>PRI_MIN</v>
      </c>
    </row>
    <row r="794" spans="1:6" x14ac:dyDescent="0.25">
      <c r="A794" t="str">
        <f>setrules!D845&amp;IF(setrules!E845="","",",-"&amp;setrules!E845)</f>
        <v/>
      </c>
      <c r="B794" t="str">
        <f>setrules!F845&amp;IF(setrules!G845="","",",-"&amp;setrules!G845)&amp;IF(setrules!P845="","",",-"&amp;setrules!P845)</f>
        <v/>
      </c>
      <c r="C794" t="str">
        <f>setrules!H845&amp;IF(setrules!I845="","",",-"&amp;setrules!I845)</f>
        <v>*FROM REF*</v>
      </c>
      <c r="D794" t="str">
        <f>setrules!J845&amp;IF(setrules!K845="","",",-"&amp;setrules!K845)</f>
        <v/>
      </c>
      <c r="E794" t="str">
        <f>setrules!L845&amp;IF(setrules!M845="","",",-"&amp;setrules!M845)</f>
        <v/>
      </c>
      <c r="F794" t="str">
        <f>setrules!B845</f>
        <v>REF_COLLECTORS</v>
      </c>
    </row>
    <row r="795" spans="1:6" x14ac:dyDescent="0.25">
      <c r="A795" t="str">
        <f>setrules!D846&amp;IF(setrules!E846="","",",-"&amp;setrules!E846)</f>
        <v/>
      </c>
      <c r="B795" t="str">
        <f>setrules!F846&amp;IF(setrules!G846="","",",-"&amp;setrules!G846)&amp;IF(setrules!P846="","",",-"&amp;setrules!P846)</f>
        <v>PREF*</v>
      </c>
      <c r="C795" t="str">
        <f>setrules!H846&amp;IF(setrules!I846="","",",-"&amp;setrules!I846)</f>
        <v/>
      </c>
      <c r="D795" t="str">
        <f>setrules!J846&amp;IF(setrules!K846="","",",-"&amp;setrules!K846)</f>
        <v/>
      </c>
      <c r="E795" t="str">
        <f>setrules!L846&amp;IF(setrules!M846="","",",-"&amp;setrules!M846)</f>
        <v/>
      </c>
      <c r="F795" t="str">
        <f>setrules!B846</f>
        <v>REFINERIES</v>
      </c>
    </row>
    <row r="796" spans="1:6" x14ac:dyDescent="0.25">
      <c r="A796" t="str">
        <f>setrules!D847&amp;IF(setrules!E847="","",",-"&amp;setrules!E847)</f>
        <v/>
      </c>
      <c r="B796" t="str">
        <f>setrules!F847&amp;IF(setrules!G847="","",",-"&amp;setrules!G847)&amp;IF(setrules!P847="","",",-"&amp;setrules!P847)</f>
        <v>*ASP_E</v>
      </c>
      <c r="C796" t="str">
        <f>setrules!H847&amp;IF(setrules!I847="","",",-"&amp;setrules!I847)</f>
        <v/>
      </c>
      <c r="D796" t="str">
        <f>setrules!J847&amp;IF(setrules!K847="","",",-"&amp;setrules!K847)</f>
        <v/>
      </c>
      <c r="E796" t="str">
        <f>setrules!L847&amp;IF(setrules!M847="","",",-"&amp;setrules!M847)</f>
        <v/>
      </c>
      <c r="F796" t="str">
        <f>setrules!B847</f>
        <v>REFOUT-ASP</v>
      </c>
    </row>
    <row r="797" spans="1:6" x14ac:dyDescent="0.25">
      <c r="A797" t="str">
        <f>setrules!D848&amp;IF(setrules!E848="","",",-"&amp;setrules!E848)</f>
        <v/>
      </c>
      <c r="B797" t="str">
        <f>setrules!F848&amp;IF(setrules!G848="","",",-"&amp;setrules!G848)&amp;IF(setrules!P848="","",",-"&amp;setrules!P848)</f>
        <v>*JTF_E</v>
      </c>
      <c r="C797" t="str">
        <f>setrules!H848&amp;IF(setrules!I848="","",",-"&amp;setrules!I848)</f>
        <v/>
      </c>
      <c r="D797" t="str">
        <f>setrules!J848&amp;IF(setrules!K848="","",",-"&amp;setrules!K848)</f>
        <v/>
      </c>
      <c r="E797" t="str">
        <f>setrules!L848&amp;IF(setrules!M848="","",",-"&amp;setrules!M848)</f>
        <v/>
      </c>
      <c r="F797" t="str">
        <f>setrules!B848</f>
        <v>REFOUT-JTF</v>
      </c>
    </row>
    <row r="798" spans="1:6" x14ac:dyDescent="0.25">
      <c r="A798" t="str">
        <f>setrules!D849&amp;IF(setrules!E849="","",",-"&amp;setrules!E849)</f>
        <v/>
      </c>
      <c r="B798" t="str">
        <f>setrules!F849&amp;IF(setrules!G849="","",",-"&amp;setrules!G849)&amp;IF(setrules!P849="","",",-"&amp;setrules!P849)</f>
        <v/>
      </c>
      <c r="C798" t="str">
        <f>setrules!H849&amp;IF(setrules!I849="","",",-"&amp;setrules!I849)</f>
        <v>*LNB*</v>
      </c>
      <c r="D798" t="str">
        <f>setrules!J849&amp;IF(setrules!K849="","",",-"&amp;setrules!K849)</f>
        <v/>
      </c>
      <c r="E798" t="str">
        <f>setrules!L849&amp;IF(setrules!M849="","",",-"&amp;setrules!M849)</f>
        <v/>
      </c>
      <c r="F798" t="str">
        <f>setrules!B849</f>
        <v>NOX RETROFITS 1</v>
      </c>
    </row>
    <row r="799" spans="1:6" x14ac:dyDescent="0.25">
      <c r="A799" t="str">
        <f>setrules!D850&amp;IF(setrules!E850="","",",-"&amp;setrules!E850)</f>
        <v/>
      </c>
      <c r="B799" t="str">
        <f>setrules!F850&amp;IF(setrules!G850="","",",-"&amp;setrules!G850)&amp;IF(setrules!P850="","",",-"&amp;setrules!P850)</f>
        <v>TL*</v>
      </c>
      <c r="C799" t="str">
        <f>setrules!H850&amp;IF(setrules!I850="","",",-"&amp;setrules!I850)</f>
        <v>*.ME85.*</v>
      </c>
      <c r="D799" t="str">
        <f>setrules!J850&amp;IF(setrules!K850="","",",-"&amp;setrules!K850)</f>
        <v/>
      </c>
      <c r="E799" t="str">
        <f>setrules!L850&amp;IF(setrules!M850="","",",-"&amp;setrules!M850)</f>
        <v/>
      </c>
      <c r="F799" t="str">
        <f>setrules!B850</f>
        <v>LDMODET</v>
      </c>
    </row>
    <row r="800" spans="1:6" x14ac:dyDescent="0.25">
      <c r="A800" t="str">
        <f>setrules!D851&amp;IF(setrules!E851="","",",-"&amp;setrules!E851)</f>
        <v/>
      </c>
      <c r="B800" t="str">
        <f>setrules!F851&amp;IF(setrules!G851="","",",-"&amp;setrules!G851)&amp;IF(setrules!P851="","",",-"&amp;setrules!P851)</f>
        <v>TL*</v>
      </c>
      <c r="C800" t="str">
        <f>setrules!H851&amp;IF(setrules!I851="","",",-"&amp;setrules!I851)</f>
        <v>*.DHEV.*</v>
      </c>
      <c r="D800" t="str">
        <f>setrules!J851&amp;IF(setrules!K851="","",",-"&amp;setrules!K851)</f>
        <v/>
      </c>
      <c r="E800" t="str">
        <f>setrules!L851&amp;IF(setrules!M851="","",",-"&amp;setrules!M851)</f>
        <v/>
      </c>
      <c r="F800" t="str">
        <f>setrules!B851</f>
        <v>LDHEVDT</v>
      </c>
    </row>
    <row r="801" spans="1:6" x14ac:dyDescent="0.25">
      <c r="A801" t="str">
        <f>setrules!D852&amp;IF(setrules!E852="","",",-"&amp;setrules!E852)</f>
        <v/>
      </c>
      <c r="B801" t="str">
        <f>setrules!F852&amp;IF(setrules!G852="","",",-"&amp;setrules!G852)&amp;IF(setrules!P852="","",",-"&amp;setrules!P852)</f>
        <v>TL*</v>
      </c>
      <c r="C801" t="str">
        <f>setrules!H852&amp;IF(setrules!I852="","",",-"&amp;setrules!I852)</f>
        <v>*.HE85.*</v>
      </c>
      <c r="D801" t="str">
        <f>setrules!J852&amp;IF(setrules!K852="","",",-"&amp;setrules!K852)</f>
        <v/>
      </c>
      <c r="E801" t="str">
        <f>setrules!L852&amp;IF(setrules!M852="","",",-"&amp;setrules!M852)</f>
        <v/>
      </c>
      <c r="F801" t="str">
        <f>setrules!B852</f>
        <v>LDHEVEC</v>
      </c>
    </row>
    <row r="802" spans="1:6" x14ac:dyDescent="0.25">
      <c r="A802" t="str">
        <f>setrules!D853&amp;IF(setrules!E853="","",",-"&amp;setrules!E853)</f>
        <v/>
      </c>
      <c r="B802" t="str">
        <f>setrules!F853&amp;IF(setrules!G853="","",",-"&amp;setrules!G853)&amp;IF(setrules!P853="","",",-"&amp;setrules!P853)</f>
        <v>TL*</v>
      </c>
      <c r="C802" t="str">
        <f>setrules!H853&amp;IF(setrules!I853="","",",-"&amp;setrules!I853)</f>
        <v>*.HE85.*</v>
      </c>
      <c r="D802" t="str">
        <f>setrules!J853&amp;IF(setrules!K853="","",",-"&amp;setrules!K853)</f>
        <v/>
      </c>
      <c r="E802" t="str">
        <f>setrules!L853&amp;IF(setrules!M853="","",",-"&amp;setrules!M853)</f>
        <v/>
      </c>
      <c r="F802" t="str">
        <f>setrules!B853</f>
        <v>LDHEVET</v>
      </c>
    </row>
    <row r="803" spans="1:6" x14ac:dyDescent="0.25">
      <c r="A803" t="str">
        <f>setrules!D854&amp;IF(setrules!E854="","",",-"&amp;setrules!E854)</f>
        <v/>
      </c>
      <c r="B803" t="str">
        <f>setrules!F854&amp;IF(setrules!G854="","",",-"&amp;setrules!G854)&amp;IF(setrules!P854="","",",-"&amp;setrules!P854)</f>
        <v>TL*</v>
      </c>
      <c r="C803" t="str">
        <f>setrules!H854&amp;IF(setrules!I854="","",",-"&amp;setrules!I854)</f>
        <v>*.HEV.*</v>
      </c>
      <c r="D803" t="str">
        <f>setrules!J854&amp;IF(setrules!K854="","",",-"&amp;setrules!K854)</f>
        <v/>
      </c>
      <c r="E803" t="str">
        <f>setrules!L854&amp;IF(setrules!M854="","",",-"&amp;setrules!M854)</f>
        <v/>
      </c>
      <c r="F803" t="str">
        <f>setrules!B854</f>
        <v>LDHEVGC</v>
      </c>
    </row>
    <row r="804" spans="1:6" x14ac:dyDescent="0.25">
      <c r="A804" t="str">
        <f>setrules!D855&amp;IF(setrules!E855="","",",-"&amp;setrules!E855)</f>
        <v/>
      </c>
      <c r="B804" t="str">
        <f>setrules!F855&amp;IF(setrules!G855="","",",-"&amp;setrules!G855)&amp;IF(setrules!P855="","",",-"&amp;setrules!P855)</f>
        <v>TL*</v>
      </c>
      <c r="C804" t="str">
        <f>setrules!H855&amp;IF(setrules!I855="","",",-"&amp;setrules!I855)</f>
        <v>*.HEV.*</v>
      </c>
      <c r="D804" t="str">
        <f>setrules!J855&amp;IF(setrules!K855="","",",-"&amp;setrules!K855)</f>
        <v/>
      </c>
      <c r="E804" t="str">
        <f>setrules!L855&amp;IF(setrules!M855="","",",-"&amp;setrules!M855)</f>
        <v/>
      </c>
      <c r="F804" t="str">
        <f>setrules!B855</f>
        <v>LDHEVGT</v>
      </c>
    </row>
    <row r="805" spans="1:6" x14ac:dyDescent="0.25">
      <c r="A805" t="str">
        <f>setrules!D856&amp;IF(setrules!E856="","",",-"&amp;setrules!E856)</f>
        <v/>
      </c>
      <c r="B805" t="str">
        <f>setrules!F856&amp;IF(setrules!G856="","",",-"&amp;setrules!G856)&amp;IF(setrules!P856="","",",-"&amp;setrules!P856)</f>
        <v>TL*</v>
      </c>
      <c r="C805" t="str">
        <f>setrules!H856&amp;IF(setrules!I856="","",",-"&amp;setrules!I856)</f>
        <v>*.LPG.*</v>
      </c>
      <c r="D805" t="str">
        <f>setrules!J856&amp;IF(setrules!K856="","",",-"&amp;setrules!K856)</f>
        <v/>
      </c>
      <c r="E805" t="str">
        <f>setrules!L856&amp;IF(setrules!M856="","",",-"&amp;setrules!M856)</f>
        <v/>
      </c>
      <c r="F805" t="str">
        <f>setrules!B856</f>
        <v>LDLPGC</v>
      </c>
    </row>
    <row r="806" spans="1:6" x14ac:dyDescent="0.25">
      <c r="A806" t="str">
        <f>setrules!D857&amp;IF(setrules!E857="","",",-"&amp;setrules!E857)</f>
        <v/>
      </c>
      <c r="B806" t="str">
        <f>setrules!F857&amp;IF(setrules!G857="","",",-"&amp;setrules!G857)&amp;IF(setrules!P857="","",",-"&amp;setrules!P857)</f>
        <v>TL*</v>
      </c>
      <c r="C806" t="str">
        <f>setrules!H857&amp;IF(setrules!I857="","",",-"&amp;setrules!I857)</f>
        <v>*.PHVG.*</v>
      </c>
      <c r="D806" t="str">
        <f>setrules!J857&amp;IF(setrules!K857="","",",-"&amp;setrules!K857)</f>
        <v/>
      </c>
      <c r="E806" t="str">
        <f>setrules!L857&amp;IF(setrules!M857="","",",-"&amp;setrules!M857)</f>
        <v/>
      </c>
      <c r="F806" t="str">
        <f>setrules!B857</f>
        <v>LDP40GT</v>
      </c>
    </row>
    <row r="807" spans="1:6" x14ac:dyDescent="0.25">
      <c r="A807" t="str">
        <f>setrules!D858&amp;IF(setrules!E858="","",",-"&amp;setrules!E858)</f>
        <v/>
      </c>
      <c r="B807" t="str">
        <f>setrules!F858&amp;IF(setrules!G858="","",",-"&amp;setrules!G858)&amp;IF(setrules!P858="","",",-"&amp;setrules!P858)</f>
        <v>TL*</v>
      </c>
      <c r="C807" t="str">
        <f>setrules!H858&amp;IF(setrules!I858="","",",-"&amp;setrules!I858)</f>
        <v>*.ME85.*</v>
      </c>
      <c r="D807" t="str">
        <f>setrules!J858&amp;IF(setrules!K858="","",",-"&amp;setrules!K858)</f>
        <v/>
      </c>
      <c r="E807" t="str">
        <f>setrules!L858&amp;IF(setrules!M858="","",",-"&amp;setrules!M858)</f>
        <v/>
      </c>
      <c r="F807" t="str">
        <f>setrules!B858</f>
        <v>LDMODEC</v>
      </c>
    </row>
    <row r="808" spans="1:6" x14ac:dyDescent="0.25">
      <c r="A808" t="str">
        <f>setrules!D859&amp;IF(setrules!E859="","",",-"&amp;setrules!E859)</f>
        <v/>
      </c>
      <c r="B808" t="str">
        <f>setrules!F859&amp;IF(setrules!G859="","",",-"&amp;setrules!G859)&amp;IF(setrules!P859="","",",-"&amp;setrules!P859)</f>
        <v>*PTC_E</v>
      </c>
      <c r="C808" t="str">
        <f>setrules!H859&amp;IF(setrules!I859="","",",-"&amp;setrules!I859)</f>
        <v/>
      </c>
      <c r="D808" t="str">
        <f>setrules!J859&amp;IF(setrules!K859="","",",-"&amp;setrules!K859)</f>
        <v/>
      </c>
      <c r="E808" t="str">
        <f>setrules!L859&amp;IF(setrules!M859="","",",-"&amp;setrules!M859)</f>
        <v/>
      </c>
      <c r="F808" t="str">
        <f>setrules!B859</f>
        <v>REFOUT-PTC</v>
      </c>
    </row>
    <row r="809" spans="1:6" x14ac:dyDescent="0.25">
      <c r="A809" t="str">
        <f>setrules!D860&amp;IF(setrules!E860="","",",-"&amp;setrules!E860)</f>
        <v/>
      </c>
      <c r="B809" t="str">
        <f>setrules!F860&amp;IF(setrules!G860="","",",-"&amp;setrules!G860)&amp;IF(setrules!P860="","",",-"&amp;setrules!P860)</f>
        <v>TL*</v>
      </c>
      <c r="C809" t="str">
        <f>setrules!H860&amp;IF(setrules!I860="","",",-"&amp;setrules!I860)</f>
        <v>*.MGSL.*</v>
      </c>
      <c r="D809" t="str">
        <f>setrules!J860&amp;IF(setrules!K860="","",",-"&amp;setrules!K860)</f>
        <v/>
      </c>
      <c r="E809" t="str">
        <f>setrules!L860&amp;IF(setrules!M860="","",",-"&amp;setrules!M860)</f>
        <v/>
      </c>
      <c r="F809" t="str">
        <f>setrules!B860</f>
        <v>LDMODGC</v>
      </c>
    </row>
    <row r="810" spans="1:6" x14ac:dyDescent="0.25">
      <c r="A810" t="str">
        <f>setrules!D861&amp;IF(setrules!E861="","",",-"&amp;setrules!E861)</f>
        <v/>
      </c>
      <c r="B810" t="str">
        <f>setrules!F861&amp;IF(setrules!G861="","",",-"&amp;setrules!G861)&amp;IF(setrules!P861="","",",-"&amp;setrules!P861)</f>
        <v>TL*</v>
      </c>
      <c r="C810" t="str">
        <f>setrules!H861&amp;IF(setrules!I861="","",",-"&amp;setrules!I861)</f>
        <v>*.MGSL.*</v>
      </c>
      <c r="D810" t="str">
        <f>setrules!J861&amp;IF(setrules!K861="","",",-"&amp;setrules!K861)</f>
        <v/>
      </c>
      <c r="E810" t="str">
        <f>setrules!L861&amp;IF(setrules!M861="","",",-"&amp;setrules!M861)</f>
        <v/>
      </c>
      <c r="F810" t="str">
        <f>setrules!B861</f>
        <v>LDMODGT</v>
      </c>
    </row>
    <row r="811" spans="1:6" x14ac:dyDescent="0.25">
      <c r="A811" t="str">
        <f>setrules!D862&amp;IF(setrules!E862="","",",-"&amp;setrules!E862)</f>
        <v/>
      </c>
      <c r="B811" t="str">
        <f>setrules!F862&amp;IF(setrules!G862="","",",-"&amp;setrules!G862)&amp;IF(setrules!P862="","",",-"&amp;setrules!P862)</f>
        <v>TL*</v>
      </c>
      <c r="C811" t="str">
        <f>setrules!H862&amp;IF(setrules!I862="","",",-"&amp;setrules!I862)</f>
        <v>*.P20E.*</v>
      </c>
      <c r="D811" t="str">
        <f>setrules!J862&amp;IF(setrules!K862="","",",-"&amp;setrules!K862)</f>
        <v/>
      </c>
      <c r="E811" t="str">
        <f>setrules!L862&amp;IF(setrules!M862="","",",-"&amp;setrules!M862)</f>
        <v/>
      </c>
      <c r="F811" t="str">
        <f>setrules!B862</f>
        <v>LDP20EC</v>
      </c>
    </row>
    <row r="812" spans="1:6" x14ac:dyDescent="0.25">
      <c r="A812" t="str">
        <f>setrules!D863&amp;IF(setrules!E863="","",",-"&amp;setrules!E863)</f>
        <v/>
      </c>
      <c r="B812" t="str">
        <f>setrules!F863&amp;IF(setrules!G863="","",",-"&amp;setrules!G863)&amp;IF(setrules!P863="","",",-"&amp;setrules!P863)</f>
        <v>TL*</v>
      </c>
      <c r="C812" t="str">
        <f>setrules!H863&amp;IF(setrules!I863="","",",-"&amp;setrules!I863)</f>
        <v>*.P20E.*</v>
      </c>
      <c r="D812" t="str">
        <f>setrules!J863&amp;IF(setrules!K863="","",",-"&amp;setrules!K863)</f>
        <v/>
      </c>
      <c r="E812" t="str">
        <f>setrules!L863&amp;IF(setrules!M863="","",",-"&amp;setrules!M863)</f>
        <v/>
      </c>
      <c r="F812" t="str">
        <f>setrules!B863</f>
        <v>LDP20ET</v>
      </c>
    </row>
    <row r="813" spans="1:6" x14ac:dyDescent="0.25">
      <c r="A813" t="str">
        <f>setrules!D864&amp;IF(setrules!E864="","",",-"&amp;setrules!E864)</f>
        <v/>
      </c>
      <c r="B813" t="str">
        <f>setrules!F864&amp;IF(setrules!G864="","",",-"&amp;setrules!G864)&amp;IF(setrules!P864="","",",-"&amp;setrules!P864)</f>
        <v>TL*</v>
      </c>
      <c r="C813" t="str">
        <f>setrules!H864&amp;IF(setrules!I864="","",",-"&amp;setrules!I864)</f>
        <v>*.P20G.*</v>
      </c>
      <c r="D813" t="str">
        <f>setrules!J864&amp;IF(setrules!K864="","",",-"&amp;setrules!K864)</f>
        <v/>
      </c>
      <c r="E813" t="str">
        <f>setrules!L864&amp;IF(setrules!M864="","",",-"&amp;setrules!M864)</f>
        <v/>
      </c>
      <c r="F813" t="str">
        <f>setrules!B864</f>
        <v>LDP20GC</v>
      </c>
    </row>
    <row r="814" spans="1:6" x14ac:dyDescent="0.25">
      <c r="A814" t="str">
        <f>setrules!D865&amp;IF(setrules!E865="","",",-"&amp;setrules!E865)</f>
        <v/>
      </c>
      <c r="B814" t="str">
        <f>setrules!F865&amp;IF(setrules!G865="","",",-"&amp;setrules!G865)&amp;IF(setrules!P865="","",",-"&amp;setrules!P865)</f>
        <v>TL*</v>
      </c>
      <c r="C814" t="str">
        <f>setrules!H865&amp;IF(setrules!I865="","",",-"&amp;setrules!I865)</f>
        <v>*.P20G.*</v>
      </c>
      <c r="D814" t="str">
        <f>setrules!J865&amp;IF(setrules!K865="","",",-"&amp;setrules!K865)</f>
        <v/>
      </c>
      <c r="E814" t="str">
        <f>setrules!L865&amp;IF(setrules!M865="","",",-"&amp;setrules!M865)</f>
        <v/>
      </c>
      <c r="F814" t="str">
        <f>setrules!B865</f>
        <v>LDP20GT</v>
      </c>
    </row>
    <row r="815" spans="1:6" x14ac:dyDescent="0.25">
      <c r="A815" t="str">
        <f>setrules!D866&amp;IF(setrules!E866="","",",-"&amp;setrules!E866)</f>
        <v/>
      </c>
      <c r="B815" t="str">
        <f>setrules!F866&amp;IF(setrules!G866="","",",-"&amp;setrules!G866)&amp;IF(setrules!P866="","",",-"&amp;setrules!P866)</f>
        <v>TL*</v>
      </c>
      <c r="C815" t="str">
        <f>setrules!H866&amp;IF(setrules!I866="","",",-"&amp;setrules!I866)</f>
        <v>*.PHVE.*</v>
      </c>
      <c r="D815" t="str">
        <f>setrules!J866&amp;IF(setrules!K866="","",",-"&amp;setrules!K866)</f>
        <v/>
      </c>
      <c r="E815" t="str">
        <f>setrules!L866&amp;IF(setrules!M866="","",",-"&amp;setrules!M866)</f>
        <v/>
      </c>
      <c r="F815" t="str">
        <f>setrules!B866</f>
        <v>LDP40EC</v>
      </c>
    </row>
    <row r="816" spans="1:6" x14ac:dyDescent="0.25">
      <c r="A816" t="str">
        <f>setrules!D867&amp;IF(setrules!E867="","",",-"&amp;setrules!E867)</f>
        <v/>
      </c>
      <c r="B816" t="str">
        <f>setrules!F867&amp;IF(setrules!G867="","",",-"&amp;setrules!G867)&amp;IF(setrules!P867="","",",-"&amp;setrules!P867)</f>
        <v>TL*</v>
      </c>
      <c r="C816" t="str">
        <f>setrules!H867&amp;IF(setrules!I867="","",",-"&amp;setrules!I867)</f>
        <v>*.LPG.*</v>
      </c>
      <c r="D816" t="str">
        <f>setrules!J867&amp;IF(setrules!K867="","",",-"&amp;setrules!K867)</f>
        <v/>
      </c>
      <c r="E816" t="str">
        <f>setrules!L867&amp;IF(setrules!M867="","",",-"&amp;setrules!M867)</f>
        <v/>
      </c>
      <c r="F816" t="str">
        <f>setrules!B867</f>
        <v>LDLPGT</v>
      </c>
    </row>
    <row r="817" spans="1:6" x14ac:dyDescent="0.25">
      <c r="A817" t="str">
        <f>setrules!D868&amp;IF(setrules!E868="","",",-"&amp;setrules!E868)</f>
        <v/>
      </c>
      <c r="B817" t="str">
        <f>setrules!F868&amp;IF(setrules!G868="","",",-"&amp;setrules!G868)&amp;IF(setrules!P868="","",",-"&amp;setrules!P868)</f>
        <v>RO*</v>
      </c>
      <c r="C817" t="str">
        <f>setrules!H868&amp;IF(setrules!I868="","",",-"&amp;setrules!I868)</f>
        <v/>
      </c>
      <c r="D817" t="str">
        <f>setrules!J868&amp;IF(setrules!K868="","",",-"&amp;setrules!K868)</f>
        <v/>
      </c>
      <c r="E817" t="str">
        <f>setrules!L868&amp;IF(setrules!M868="","",",-"&amp;setrules!M868)</f>
        <v/>
      </c>
      <c r="F817" t="str">
        <f>setrules!B868</f>
        <v>ROTH</v>
      </c>
    </row>
    <row r="818" spans="1:6" x14ac:dyDescent="0.25">
      <c r="A818" t="str">
        <f>setrules!D869&amp;IF(setrules!E869="","",",-"&amp;setrules!E869)</f>
        <v/>
      </c>
      <c r="B818" t="str">
        <f>setrules!F869&amp;IF(setrules!G869="","",",-"&amp;setrules!G869)&amp;IF(setrules!P869="","",",-"&amp;setrules!P869)</f>
        <v>RLTGLED*</v>
      </c>
      <c r="C818" t="str">
        <f>setrules!H869&amp;IF(setrules!I869="","",",-"&amp;setrules!I869)</f>
        <v/>
      </c>
      <c r="D818" t="str">
        <f>setrules!J869&amp;IF(setrules!K869="","",",-"&amp;setrules!K869)</f>
        <v/>
      </c>
      <c r="E818" t="str">
        <f>setrules!L869&amp;IF(setrules!M869="","",",-"&amp;setrules!M869)</f>
        <v/>
      </c>
      <c r="F818" t="str">
        <f>setrules!B869</f>
        <v>RLT-LED</v>
      </c>
    </row>
    <row r="819" spans="1:6" x14ac:dyDescent="0.25">
      <c r="A819" t="str">
        <f>setrules!D870&amp;IF(setrules!E870="","",",-"&amp;setrules!E870)</f>
        <v/>
      </c>
      <c r="B819" t="str">
        <f>setrules!F870&amp;IF(setrules!G870="","",",-"&amp;setrules!G870)&amp;IF(setrules!P870="","",",-"&amp;setrules!P870)</f>
        <v>RLTL*</v>
      </c>
      <c r="C819" t="str">
        <f>setrules!H870&amp;IF(setrules!I870="","",",-"&amp;setrules!I870)</f>
        <v/>
      </c>
      <c r="D819" t="str">
        <f>setrules!J870&amp;IF(setrules!K870="","",",-"&amp;setrules!K870)</f>
        <v/>
      </c>
      <c r="E819" t="str">
        <f>setrules!L870&amp;IF(setrules!M870="","",",-"&amp;setrules!M870)</f>
        <v/>
      </c>
      <c r="F819" t="str">
        <f>setrules!B870</f>
        <v>RLT-LFL</v>
      </c>
    </row>
    <row r="820" spans="1:6" x14ac:dyDescent="0.25">
      <c r="A820" t="str">
        <f>setrules!D871&amp;IF(setrules!E871="","",",-"&amp;setrules!E871)</f>
        <v/>
      </c>
      <c r="B820" t="str">
        <f>setrules!F871&amp;IF(setrules!G871="","",",-"&amp;setrules!G871)&amp;IF(setrules!P871="","",",-"&amp;setrules!P871)</f>
        <v>RLTRCFL*</v>
      </c>
      <c r="C820" t="str">
        <f>setrules!H871&amp;IF(setrules!I871="","",",-"&amp;setrules!I871)</f>
        <v/>
      </c>
      <c r="D820" t="str">
        <f>setrules!J871&amp;IF(setrules!K871="","",",-"&amp;setrules!K871)</f>
        <v/>
      </c>
      <c r="E820" t="str">
        <f>setrules!L871&amp;IF(setrules!M871="","",",-"&amp;setrules!M871)</f>
        <v/>
      </c>
      <c r="F820" t="str">
        <f>setrules!B871</f>
        <v>RLT-RCFL</v>
      </c>
    </row>
    <row r="821" spans="1:6" x14ac:dyDescent="0.25">
      <c r="A821" t="str">
        <f>setrules!D872&amp;IF(setrules!E872="","",",-"&amp;setrules!E872)</f>
        <v/>
      </c>
      <c r="B821" t="str">
        <f>setrules!F872&amp;IF(setrules!G872="","",",-"&amp;setrules!G872)&amp;IF(setrules!P872="","",",-"&amp;setrules!P872)</f>
        <v>RLTR*</v>
      </c>
      <c r="C821" t="str">
        <f>setrules!H872&amp;IF(setrules!I872="","",",-"&amp;setrules!I872)</f>
        <v/>
      </c>
      <c r="D821" t="str">
        <f>setrules!J872&amp;IF(setrules!K872="","",",-"&amp;setrules!K872)</f>
        <v/>
      </c>
      <c r="E821" t="str">
        <f>setrules!L872&amp;IF(setrules!M872="","",",-"&amp;setrules!M872)</f>
        <v/>
      </c>
      <c r="F821" t="str">
        <f>setrules!B872</f>
        <v>RLT-REF</v>
      </c>
    </row>
    <row r="822" spans="1:6" x14ac:dyDescent="0.25">
      <c r="A822" t="str">
        <f>setrules!D873&amp;IF(setrules!E873="","",",-"&amp;setrules!E873)</f>
        <v/>
      </c>
      <c r="B822" t="str">
        <f>setrules!F873&amp;IF(setrules!G873="","",",-"&amp;setrules!G873)&amp;IF(setrules!P873="","",",-"&amp;setrules!P873)</f>
        <v>RLTRHAL*</v>
      </c>
      <c r="C822" t="str">
        <f>setrules!H873&amp;IF(setrules!I873="","",",-"&amp;setrules!I873)</f>
        <v/>
      </c>
      <c r="D822" t="str">
        <f>setrules!J873&amp;IF(setrules!K873="","",",-"&amp;setrules!K873)</f>
        <v/>
      </c>
      <c r="E822" t="str">
        <f>setrules!L873&amp;IF(setrules!M873="","",",-"&amp;setrules!M873)</f>
        <v/>
      </c>
      <c r="F822" t="str">
        <f>setrules!B873</f>
        <v>RLT-RHAL</v>
      </c>
    </row>
    <row r="823" spans="1:6" x14ac:dyDescent="0.25">
      <c r="A823" t="str">
        <f>setrules!D874&amp;IF(setrules!E874="","",",-"&amp;setrules!E874)</f>
        <v/>
      </c>
      <c r="B823" t="str">
        <f>setrules!F874&amp;IF(setrules!G874="","",",-"&amp;setrules!G874)&amp;IF(setrules!P874="","",",-"&amp;setrules!P874)</f>
        <v>RLTRINC*</v>
      </c>
      <c r="C823" t="str">
        <f>setrules!H874&amp;IF(setrules!I874="","",",-"&amp;setrules!I874)</f>
        <v/>
      </c>
      <c r="D823" t="str">
        <f>setrules!J874&amp;IF(setrules!K874="","",",-"&amp;setrules!K874)</f>
        <v/>
      </c>
      <c r="E823" t="str">
        <f>setrules!L874&amp;IF(setrules!M874="","",",-"&amp;setrules!M874)</f>
        <v/>
      </c>
      <c r="F823" t="str">
        <f>setrules!B874</f>
        <v>RLT-RINC</v>
      </c>
    </row>
    <row r="824" spans="1:6" x14ac:dyDescent="0.25">
      <c r="A824" t="str">
        <f>setrules!D875&amp;IF(setrules!E875="","",",-"&amp;setrules!E875)</f>
        <v/>
      </c>
      <c r="B824" t="str">
        <f>setrules!F875&amp;IF(setrules!G875="","",",-"&amp;setrules!G875)&amp;IF(setrules!P875="","",",-"&amp;setrules!P875)</f>
        <v>*LPG_E</v>
      </c>
      <c r="C824" t="str">
        <f>setrules!H875&amp;IF(setrules!I875="","",",-"&amp;setrules!I875)</f>
        <v/>
      </c>
      <c r="D824" t="str">
        <f>setrules!J875&amp;IF(setrules!K875="","",",-"&amp;setrules!K875)</f>
        <v/>
      </c>
      <c r="E824" t="str">
        <f>setrules!L875&amp;IF(setrules!M875="","",",-"&amp;setrules!M875)</f>
        <v/>
      </c>
      <c r="F824" t="str">
        <f>setrules!B875</f>
        <v>REFOUT-LPG</v>
      </c>
    </row>
    <row r="825" spans="1:6" x14ac:dyDescent="0.25">
      <c r="A825" t="str">
        <f>setrules!D876&amp;IF(setrules!E876="","",",-"&amp;setrules!E876)</f>
        <v/>
      </c>
      <c r="B825" t="str">
        <f>setrules!F876&amp;IF(setrules!G876="","",",-"&amp;setrules!G876)&amp;IF(setrules!P876="","",",-"&amp;setrules!P876)</f>
        <v>EB*,ESOL*,EWND*,ELFG*,EMSW*,ECHPB*,EHY*</v>
      </c>
      <c r="C825" t="str">
        <f>setrules!H876&amp;IF(setrules!I876="","",",-"&amp;setrules!I876)</f>
        <v/>
      </c>
      <c r="D825" t="str">
        <f>setrules!J876&amp;IF(setrules!K876="","",",-"&amp;setrules!K876)</f>
        <v/>
      </c>
      <c r="E825" t="str">
        <f>setrules!L876&amp;IF(setrules!M876="","",",-"&amp;setrules!M876)</f>
        <v/>
      </c>
      <c r="F825" t="str">
        <f>setrules!B876</f>
        <v>RNW_ALL</v>
      </c>
    </row>
    <row r="826" spans="1:6" x14ac:dyDescent="0.25">
      <c r="A826" t="str">
        <f>setrules!D877&amp;IF(setrules!E877="","",",-"&amp;setrules!E877)</f>
        <v/>
      </c>
      <c r="B826" t="str">
        <f>setrules!F877&amp;IF(setrules!G877="","",",-"&amp;setrules!G877)&amp;IF(setrules!P877="","",",-"&amp;setrules!P877)</f>
        <v>RLTE*</v>
      </c>
      <c r="C826" t="str">
        <f>setrules!H877&amp;IF(setrules!I877="","",",-"&amp;setrules!I877)</f>
        <v/>
      </c>
      <c r="D826" t="str">
        <f>setrules!J877&amp;IF(setrules!K877="","",",-"&amp;setrules!K877)</f>
        <v/>
      </c>
      <c r="E826" t="str">
        <f>setrules!L877&amp;IF(setrules!M877="","",",-"&amp;setrules!M877)</f>
        <v/>
      </c>
      <c r="F826" t="str">
        <f>setrules!B877</f>
        <v>RLT-EXT</v>
      </c>
    </row>
    <row r="827" spans="1:6" x14ac:dyDescent="0.25">
      <c r="A827" t="str">
        <f>setrules!D878&amp;IF(setrules!E878="","",",-"&amp;setrules!E878)</f>
        <v>ELC-BIO,ELC-GEO,ELC-LFG,ELC-MSW,ELC-SOL,ELC-WND</v>
      </c>
      <c r="B827" t="str">
        <f>setrules!F878&amp;IF(setrules!G878="","",",-"&amp;setrules!G878)&amp;IF(setrules!P878="","",",-"&amp;setrules!P878)</f>
        <v>*</v>
      </c>
      <c r="C827" t="str">
        <f>setrules!H878&amp;IF(setrules!I878="","",",-"&amp;setrules!I878)</f>
        <v/>
      </c>
      <c r="D827" t="str">
        <f>setrules!J878&amp;IF(setrules!K878="","",",-"&amp;setrules!K878)</f>
        <v/>
      </c>
      <c r="E827" t="str">
        <f>setrules!L878&amp;IF(setrules!M878="","",",-"&amp;setrules!M878)</f>
        <v/>
      </c>
      <c r="F827" t="str">
        <f>setrules!B878</f>
        <v>RPS_ALL</v>
      </c>
    </row>
    <row r="828" spans="1:6" x14ac:dyDescent="0.25">
      <c r="A828" t="str">
        <f>setrules!D879&amp;IF(setrules!E879="","",",-"&amp;setrules!E879)</f>
        <v>ELC-SOL,ELC-WND</v>
      </c>
      <c r="B828" t="str">
        <f>setrules!F879&amp;IF(setrules!G879="","",",-"&amp;setrules!G879)&amp;IF(setrules!P879="","",",-"&amp;setrules!P879)</f>
        <v>*</v>
      </c>
      <c r="C828" t="str">
        <f>setrules!H879&amp;IF(setrules!I879="","",",-"&amp;setrules!I879)</f>
        <v/>
      </c>
      <c r="D828" t="str">
        <f>setrules!J879&amp;IF(setrules!K879="","",",-"&amp;setrules!K879)</f>
        <v/>
      </c>
      <c r="E828" t="str">
        <f>setrules!L879&amp;IF(setrules!M879="","",",-"&amp;setrules!M879)</f>
        <v/>
      </c>
      <c r="F828" t="str">
        <f>setrules!B879</f>
        <v>RPS_R1_T1</v>
      </c>
    </row>
    <row r="829" spans="1:6" x14ac:dyDescent="0.25">
      <c r="A829" t="str">
        <f>setrules!D880&amp;IF(setrules!E880="","",",-"&amp;setrules!E880)</f>
        <v>ELC-BIO,ELC-GEO,ELC-LFG,ELC-MSW,ELC-SOL,ELC-WND</v>
      </c>
      <c r="B829" t="str">
        <f>setrules!F880&amp;IF(setrules!G880="","",",-"&amp;setrules!G880)&amp;IF(setrules!P880="","",",-"&amp;setrules!P880)</f>
        <v>*</v>
      </c>
      <c r="C829" t="str">
        <f>setrules!H880&amp;IF(setrules!I880="","",",-"&amp;setrules!I880)</f>
        <v/>
      </c>
      <c r="D829" t="str">
        <f>setrules!J880&amp;IF(setrules!K880="","",",-"&amp;setrules!K880)</f>
        <v/>
      </c>
      <c r="E829" t="str">
        <f>setrules!L880&amp;IF(setrules!M880="","",",-"&amp;setrules!M880)</f>
        <v/>
      </c>
      <c r="F829" t="str">
        <f>setrules!B880</f>
        <v>RPS_R1_T2</v>
      </c>
    </row>
    <row r="830" spans="1:6" x14ac:dyDescent="0.25">
      <c r="A830" t="str">
        <f>setrules!D881&amp;IF(setrules!E881="","",",-"&amp;setrules!E881)</f>
        <v>ELC-GEO,ELC-SOL,ELC-WND</v>
      </c>
      <c r="B830" t="str">
        <f>setrules!F881&amp;IF(setrules!G881="","",",-"&amp;setrules!G881)&amp;IF(setrules!P881="","",",-"&amp;setrules!P881)</f>
        <v>*</v>
      </c>
      <c r="C830" t="str">
        <f>setrules!H881&amp;IF(setrules!I881="","",",-"&amp;setrules!I881)</f>
        <v/>
      </c>
      <c r="D830" t="str">
        <f>setrules!J881&amp;IF(setrules!K881="","",",-"&amp;setrules!K881)</f>
        <v/>
      </c>
      <c r="E830" t="str">
        <f>setrules!L881&amp;IF(setrules!M881="","",",-"&amp;setrules!M881)</f>
        <v/>
      </c>
      <c r="F830" t="str">
        <f>setrules!B881</f>
        <v>RPS_R2_T1</v>
      </c>
    </row>
    <row r="831" spans="1:6" x14ac:dyDescent="0.25">
      <c r="A831" t="str">
        <f>setrules!D882&amp;IF(setrules!E882="","",",-"&amp;setrules!E882)</f>
        <v>ELC-BIO,ELC-GEO,ELC-SOL,ELC-WND</v>
      </c>
      <c r="B831" t="str">
        <f>setrules!F882&amp;IF(setrules!G882="","",",-"&amp;setrules!G882)&amp;IF(setrules!P882="","",",-"&amp;setrules!P882)</f>
        <v>*</v>
      </c>
      <c r="C831" t="str">
        <f>setrules!H882&amp;IF(setrules!I882="","",",-"&amp;setrules!I882)</f>
        <v/>
      </c>
      <c r="D831" t="str">
        <f>setrules!J882&amp;IF(setrules!K882="","",",-"&amp;setrules!K882)</f>
        <v/>
      </c>
      <c r="E831" t="str">
        <f>setrules!L882&amp;IF(setrules!M882="","",",-"&amp;setrules!M882)</f>
        <v/>
      </c>
      <c r="F831" t="str">
        <f>setrules!B882</f>
        <v>RPS_R2_T2</v>
      </c>
    </row>
    <row r="832" spans="1:6" x14ac:dyDescent="0.25">
      <c r="A832" t="str">
        <f>setrules!D883&amp;IF(setrules!E883="","",",-"&amp;setrules!E883)</f>
        <v>ELC-BIO,ELC-GEO,ELC-MSW,ELC-SOL,ELC-WND</v>
      </c>
      <c r="B832" t="str">
        <f>setrules!F883&amp;IF(setrules!G883="","",",-"&amp;setrules!G883)&amp;IF(setrules!P883="","",",-"&amp;setrules!P883)</f>
        <v>*</v>
      </c>
      <c r="C832" t="str">
        <f>setrules!H883&amp;IF(setrules!I883="","",",-"&amp;setrules!I883)</f>
        <v/>
      </c>
      <c r="D832" t="str">
        <f>setrules!J883&amp;IF(setrules!K883="","",",-"&amp;setrules!K883)</f>
        <v/>
      </c>
      <c r="E832" t="str">
        <f>setrules!L883&amp;IF(setrules!M883="","",",-"&amp;setrules!M883)</f>
        <v/>
      </c>
      <c r="F832" t="str">
        <f>setrules!B883</f>
        <v>RPS_R2_T3</v>
      </c>
    </row>
    <row r="833" spans="1:6" x14ac:dyDescent="0.25">
      <c r="A833" t="str">
        <f>setrules!D884&amp;IF(setrules!E884="","",",-"&amp;setrules!E884)</f>
        <v/>
      </c>
      <c r="B833" t="str">
        <f>setrules!F884&amp;IF(setrules!G884="","",",-"&amp;setrules!G884)&amp;IF(setrules!P884="","",",-"&amp;setrules!P884)</f>
        <v>IPBEOHTNGA</v>
      </c>
      <c r="C833" t="str">
        <f>setrules!H884&amp;IF(setrules!I884="","",",-"&amp;setrules!I884)</f>
        <v/>
      </c>
      <c r="D833" t="str">
        <f>setrules!J884&amp;IF(setrules!K884="","",",-"&amp;setrules!K884)</f>
        <v/>
      </c>
      <c r="E833" t="str">
        <f>setrules!L884&amp;IF(setrules!M884="","",",-"&amp;setrules!M884)</f>
        <v/>
      </c>
      <c r="F833" t="str">
        <f>setrules!B884</f>
        <v>IPBOH_NGA</v>
      </c>
    </row>
    <row r="834" spans="1:6" x14ac:dyDescent="0.25">
      <c r="A834" t="str">
        <f>setrules!D885&amp;IF(setrules!E885="","",",-"&amp;setrules!E885)</f>
        <v/>
      </c>
      <c r="B834" t="str">
        <f>setrules!F885&amp;IF(setrules!G885="","",",-"&amp;setrules!G885)&amp;IF(setrules!P885="","",",-"&amp;setrules!P885)</f>
        <v>ROTH*</v>
      </c>
      <c r="C834" t="str">
        <f>setrules!H885&amp;IF(setrules!I885="","",",-"&amp;setrules!I885)</f>
        <v/>
      </c>
      <c r="D834" t="str">
        <f>setrules!J885&amp;IF(setrules!K885="","",",-"&amp;setrules!K885)</f>
        <v/>
      </c>
      <c r="E834" t="str">
        <f>setrules!L885&amp;IF(setrules!M885="","",",-"&amp;setrules!M885)</f>
        <v/>
      </c>
      <c r="F834" t="str">
        <f>setrules!B885</f>
        <v>RMISC</v>
      </c>
    </row>
    <row r="835" spans="1:6" x14ac:dyDescent="0.25">
      <c r="A835" t="str">
        <f>setrules!D886&amp;IF(setrules!E886="","",",-"&amp;setrules!E886)</f>
        <v/>
      </c>
      <c r="B835" t="str">
        <f>setrules!F886&amp;IF(setrules!G886="","",",-"&amp;setrules!G886)&amp;IF(setrules!P886="","",",-"&amp;setrules!P886)</f>
        <v>SEC*</v>
      </c>
      <c r="C835" t="str">
        <f>setrules!H886&amp;IF(setrules!I886="","",",-"&amp;setrules!I886)</f>
        <v/>
      </c>
      <c r="D835" t="str">
        <f>setrules!J886&amp;IF(setrules!K886="","",",-"&amp;setrules!K886)</f>
        <v>CSTM*</v>
      </c>
      <c r="E835" t="str">
        <f>setrules!L886&amp;IF(setrules!M886="","",",-"&amp;setrules!M886)</f>
        <v/>
      </c>
      <c r="F835" t="str">
        <f>setrules!B886</f>
        <v>RETROFITS_ALL</v>
      </c>
    </row>
    <row r="836" spans="1:6" x14ac:dyDescent="0.25">
      <c r="A836" t="str">
        <f>setrules!D887&amp;IF(setrules!E887="","",",-"&amp;setrules!E887)</f>
        <v>ELC-WND</v>
      </c>
      <c r="B836" t="str">
        <f>setrules!F887&amp;IF(setrules!G887="","",",-"&amp;setrules!G887)&amp;IF(setrules!P887="","",",-"&amp;setrules!P887)</f>
        <v>*</v>
      </c>
      <c r="C836" t="str">
        <f>setrules!H887&amp;IF(setrules!I887="","",",-"&amp;setrules!I887)</f>
        <v/>
      </c>
      <c r="D836" t="str">
        <f>setrules!J887&amp;IF(setrules!K887="","",",-"&amp;setrules!K887)</f>
        <v/>
      </c>
      <c r="E836" t="str">
        <f>setrules!L887&amp;IF(setrules!M887="","",",-"&amp;setrules!M887)</f>
        <v/>
      </c>
      <c r="F836" t="str">
        <f>setrules!B887</f>
        <v>RPS_R3_T2</v>
      </c>
    </row>
    <row r="837" spans="1:6" x14ac:dyDescent="0.25">
      <c r="A837" t="str">
        <f>setrules!D888&amp;IF(setrules!E888="","",",-"&amp;setrules!E888)</f>
        <v/>
      </c>
      <c r="B837" t="str">
        <f>setrules!F888&amp;IF(setrules!G888="","",",-"&amp;setrules!G888)&amp;IF(setrules!P888="","",",-"&amp;setrules!P888)</f>
        <v>*RFL_E</v>
      </c>
      <c r="C837" t="str">
        <f>setrules!H888&amp;IF(setrules!I888="","",",-"&amp;setrules!I888)</f>
        <v/>
      </c>
      <c r="D837" t="str">
        <f>setrules!J888&amp;IF(setrules!K888="","",",-"&amp;setrules!K888)</f>
        <v/>
      </c>
      <c r="E837" t="str">
        <f>setrules!L888&amp;IF(setrules!M888="","",",-"&amp;setrules!M888)</f>
        <v/>
      </c>
      <c r="F837" t="str">
        <f>setrules!B888</f>
        <v>REFOUT-RFL</v>
      </c>
    </row>
    <row r="838" spans="1:6" x14ac:dyDescent="0.25">
      <c r="A838" t="str">
        <f>setrules!D889&amp;IF(setrules!E889="","",",-"&amp;setrules!E889)</f>
        <v/>
      </c>
      <c r="B838" t="str">
        <f>setrules!F889&amp;IF(setrules!G889="","",",-"&amp;setrules!G889)&amp;IF(setrules!P889="","",",-"&amp;setrules!P889)</f>
        <v>R*,-RNW*</v>
      </c>
      <c r="C838" t="str">
        <f>setrules!H889&amp;IF(setrules!I889="","",",-"&amp;setrules!I889)</f>
        <v/>
      </c>
      <c r="D838" t="str">
        <f>setrules!J889&amp;IF(setrules!K889="","",",-"&amp;setrules!K889)</f>
        <v/>
      </c>
      <c r="E838" t="str">
        <f>setrules!L889&amp;IF(setrules!M889="","",",-"&amp;setrules!M889)</f>
        <v/>
      </c>
      <c r="F838" t="str">
        <f>setrules!B889</f>
        <v>RES</v>
      </c>
    </row>
    <row r="839" spans="1:6" x14ac:dyDescent="0.25">
      <c r="A839" t="str">
        <f>setrules!D890&amp;IF(setrules!E890="","",",-"&amp;setrules!E890)</f>
        <v/>
      </c>
      <c r="B839" t="str">
        <f>setrules!F890&amp;IF(setrules!G890="","",",-"&amp;setrules!G890)&amp;IF(setrules!P890="","",",-"&amp;setrules!P890)</f>
        <v>RLT*,RSC*,RSH*,RWH*</v>
      </c>
      <c r="C839" t="str">
        <f>setrules!H890&amp;IF(setrules!I890="","",",-"&amp;setrules!I890)</f>
        <v/>
      </c>
      <c r="D839" t="str">
        <f>setrules!J890&amp;IF(setrules!K890="","",",-"&amp;setrules!K890)</f>
        <v/>
      </c>
      <c r="E839" t="str">
        <f>setrules!L890&amp;IF(setrules!M890="","",",-"&amp;setrules!M890)</f>
        <v/>
      </c>
      <c r="F839" t="str">
        <f>setrules!B890</f>
        <v>RES_TECHS</v>
      </c>
    </row>
    <row r="840" spans="1:6" x14ac:dyDescent="0.25">
      <c r="A840" t="str">
        <f>setrules!D891&amp;IF(setrules!E891="","",",-"&amp;setrules!E891)</f>
        <v/>
      </c>
      <c r="B840" t="str">
        <f>setrules!F891&amp;IF(setrules!G891="","",",-"&amp;setrules!G891)&amp;IF(setrules!P891="","",",-"&amp;setrules!P891)</f>
        <v>R*</v>
      </c>
      <c r="C840" t="str">
        <f>setrules!H891&amp;IF(setrules!I891="","",",-"&amp;setrules!I891)</f>
        <v/>
      </c>
      <c r="D840" t="str">
        <f>setrules!J891&amp;IF(setrules!K891="","",",-"&amp;setrules!K891)</f>
        <v>ELC</v>
      </c>
      <c r="E840" t="str">
        <f>setrules!L891&amp;IF(setrules!M891="","",",-"&amp;setrules!M891)</f>
        <v/>
      </c>
      <c r="F840" t="str">
        <f>setrules!B891</f>
        <v>RES-ELC</v>
      </c>
    </row>
    <row r="841" spans="1:6" x14ac:dyDescent="0.25">
      <c r="A841" t="str">
        <f>setrules!D892&amp;IF(setrules!E892="","",",-"&amp;setrules!E892)</f>
        <v/>
      </c>
      <c r="B841" t="str">
        <f>setrules!F892&amp;IF(setrules!G892="","",",-"&amp;setrules!G892)&amp;IF(setrules!P892="","",",-"&amp;setrules!P892)</f>
        <v>*R</v>
      </c>
      <c r="C841" t="str">
        <f>setrules!H892&amp;IF(setrules!I892="","",",-"&amp;setrules!I892)</f>
        <v/>
      </c>
      <c r="D841" t="str">
        <f>setrules!J892&amp;IF(setrules!K892="","",",-"&amp;setrules!K892)</f>
        <v/>
      </c>
      <c r="E841" t="str">
        <f>setrules!L892&amp;IF(setrules!M892="","",",-"&amp;setrules!M892)</f>
        <v/>
      </c>
      <c r="F841" t="str">
        <f>setrules!B892</f>
        <v>RESID CHECK</v>
      </c>
    </row>
    <row r="842" spans="1:6" x14ac:dyDescent="0.25">
      <c r="A842" t="str">
        <f>setrules!D893&amp;IF(setrules!E893="","",",-"&amp;setrules!E893)</f>
        <v/>
      </c>
      <c r="B842" t="str">
        <f>setrules!F893&amp;IF(setrules!G893="","",",-"&amp;setrules!G893)&amp;IF(setrules!P893="","",",-"&amp;setrules!P893)</f>
        <v>R*</v>
      </c>
      <c r="C842" t="str">
        <f>setrules!H893&amp;IF(setrules!I893="","",",-"&amp;setrules!I893)</f>
        <v/>
      </c>
      <c r="D842" t="str">
        <f>setrules!J893&amp;IF(setrules!K893="","",",-"&amp;setrules!K893)</f>
        <v>RESLPG,RESKER,RESDSL</v>
      </c>
      <c r="E842" t="str">
        <f>setrules!L893&amp;IF(setrules!M893="","",",-"&amp;setrules!M893)</f>
        <v/>
      </c>
      <c r="F842" t="str">
        <f>setrules!B893</f>
        <v>RES-LIQ</v>
      </c>
    </row>
    <row r="843" spans="1:6" x14ac:dyDescent="0.25">
      <c r="A843" t="str">
        <f>setrules!D894&amp;IF(setrules!E894="","",",-"&amp;setrules!E894)</f>
        <v/>
      </c>
      <c r="B843" t="str">
        <f>setrules!F894&amp;IF(setrules!G894="","",",-"&amp;setrules!G894)&amp;IF(setrules!P894="","",",-"&amp;setrules!P894)</f>
        <v>RLTGINC*</v>
      </c>
      <c r="C843" t="str">
        <f>setrules!H894&amp;IF(setrules!I894="","",",-"&amp;setrules!I894)</f>
        <v/>
      </c>
      <c r="D843" t="str">
        <f>setrules!J894&amp;IF(setrules!K894="","",",-"&amp;setrules!K894)</f>
        <v/>
      </c>
      <c r="E843" t="str">
        <f>setrules!L894&amp;IF(setrules!M894="","",",-"&amp;setrules!M894)</f>
        <v/>
      </c>
      <c r="F843" t="str">
        <f>setrules!B894</f>
        <v>RLT-INC</v>
      </c>
    </row>
    <row r="844" spans="1:6" x14ac:dyDescent="0.25">
      <c r="A844" t="str">
        <f>setrules!D895&amp;IF(setrules!E895="","",",-"&amp;setrules!E895)</f>
        <v/>
      </c>
      <c r="B844" t="str">
        <f>setrules!F895&amp;IF(setrules!G895="","",",-"&amp;setrules!G895)&amp;IF(setrules!P895="","",",-"&amp;setrules!P895)</f>
        <v>ESOLPVRES</v>
      </c>
      <c r="C844" t="str">
        <f>setrules!H895&amp;IF(setrules!I895="","",",-"&amp;setrules!I895)</f>
        <v/>
      </c>
      <c r="D844" t="str">
        <f>setrules!J895&amp;IF(setrules!K895="","",",-"&amp;setrules!K895)</f>
        <v/>
      </c>
      <c r="E844" t="str">
        <f>setrules!L895&amp;IF(setrules!M895="","",",-"&amp;setrules!M895)</f>
        <v/>
      </c>
      <c r="F844" t="str">
        <f>setrules!B895</f>
        <v>RES-PV</v>
      </c>
    </row>
    <row r="845" spans="1:6" x14ac:dyDescent="0.25">
      <c r="A845" t="str">
        <f>setrules!D896&amp;IF(setrules!E896="","",",-"&amp;setrules!E896)</f>
        <v/>
      </c>
      <c r="B845" t="str">
        <f>setrules!F896&amp;IF(setrules!G896="","",",-"&amp;setrules!G896)&amp;IF(setrules!P896="","",",-"&amp;setrules!P896)</f>
        <v>RLT*</v>
      </c>
      <c r="C845" t="str">
        <f>setrules!H896&amp;IF(setrules!I896="","",",-"&amp;setrules!I896)</f>
        <v>*GSL*</v>
      </c>
      <c r="D845" t="str">
        <f>setrules!J896&amp;IF(setrules!K896="","",",-"&amp;setrules!K896)</f>
        <v/>
      </c>
      <c r="E845" t="str">
        <f>setrules!L896&amp;IF(setrules!M896="","",",-"&amp;setrules!M896)</f>
        <v/>
      </c>
      <c r="F845" t="str">
        <f>setrules!B896</f>
        <v>RLT-GSL</v>
      </c>
    </row>
    <row r="846" spans="1:6" x14ac:dyDescent="0.25">
      <c r="A846" t="str">
        <f>setrules!D897&amp;IF(setrules!E897="","",",-"&amp;setrules!E897)</f>
        <v/>
      </c>
      <c r="B846" t="str">
        <f>setrules!F897&amp;IF(setrules!G897="","",",-"&amp;setrules!G897)&amp;IF(setrules!P897="","",",-"&amp;setrules!P897)</f>
        <v>RFZ*</v>
      </c>
      <c r="C846" t="str">
        <f>setrules!H897&amp;IF(setrules!I897="","",",-"&amp;setrules!I897)</f>
        <v/>
      </c>
      <c r="D846" t="str">
        <f>setrules!J897&amp;IF(setrules!K897="","",",-"&amp;setrules!K897)</f>
        <v/>
      </c>
      <c r="E846" t="str">
        <f>setrules!L897&amp;IF(setrules!M897="","",",-"&amp;setrules!M897)</f>
        <v/>
      </c>
      <c r="F846" t="str">
        <f>setrules!B897</f>
        <v>RFZ</v>
      </c>
    </row>
    <row r="847" spans="1:6" x14ac:dyDescent="0.25">
      <c r="A847" t="str">
        <f>setrules!D898&amp;IF(setrules!E898="","",",-"&amp;setrules!E898)</f>
        <v/>
      </c>
      <c r="B847" t="str">
        <f>setrules!F898&amp;IF(setrules!G898="","",",-"&amp;setrules!G898)&amp;IF(setrules!P898="","",",-"&amp;setrules!P898)</f>
        <v>RLT*</v>
      </c>
      <c r="C847" t="str">
        <f>setrules!H898&amp;IF(setrules!I898="","",",-"&amp;setrules!I898)</f>
        <v/>
      </c>
      <c r="D847" t="str">
        <f>setrules!J898&amp;IF(setrules!K898="","",",-"&amp;setrules!K898)</f>
        <v/>
      </c>
      <c r="E847" t="str">
        <f>setrules!L898&amp;IF(setrules!M898="","",",-"&amp;setrules!M898)</f>
        <v/>
      </c>
      <c r="F847" t="str">
        <f>setrules!B898</f>
        <v>RLT-ALL</v>
      </c>
    </row>
    <row r="848" spans="1:6" x14ac:dyDescent="0.25">
      <c r="A848" t="str">
        <f>setrules!D899&amp;IF(setrules!E899="","",",-"&amp;setrules!E899)</f>
        <v/>
      </c>
      <c r="B848" t="str">
        <f>setrules!F899&amp;IF(setrules!G899="","",",-"&amp;setrules!G899)&amp;IF(setrules!P899="","",",-"&amp;setrules!P899)</f>
        <v>RLT*CFL*</v>
      </c>
      <c r="C848" t="str">
        <f>setrules!H899&amp;IF(setrules!I899="","",",-"&amp;setrules!I899)</f>
        <v/>
      </c>
      <c r="D848" t="str">
        <f>setrules!J899&amp;IF(setrules!K899="","",",-"&amp;setrules!K899)</f>
        <v/>
      </c>
      <c r="E848" t="str">
        <f>setrules!L899&amp;IF(setrules!M899="","",",-"&amp;setrules!M899)</f>
        <v/>
      </c>
      <c r="F848" t="str">
        <f>setrules!B899</f>
        <v>RLT-CFL</v>
      </c>
    </row>
    <row r="849" spans="1:6" x14ac:dyDescent="0.25">
      <c r="A849" t="str">
        <f>setrules!D900&amp;IF(setrules!E900="","",",-"&amp;setrules!E900)</f>
        <v/>
      </c>
      <c r="B849" t="str">
        <f>setrules!F900&amp;IF(setrules!G900="","",",-"&amp;setrules!G900)&amp;IF(setrules!P900="","",",-"&amp;setrules!P900)</f>
        <v>RLTECFL*</v>
      </c>
      <c r="C849" t="str">
        <f>setrules!H900&amp;IF(setrules!I900="","",",-"&amp;setrules!I900)</f>
        <v/>
      </c>
      <c r="D849" t="str">
        <f>setrules!J900&amp;IF(setrules!K900="","",",-"&amp;setrules!K900)</f>
        <v/>
      </c>
      <c r="E849" t="str">
        <f>setrules!L900&amp;IF(setrules!M900="","",",-"&amp;setrules!M900)</f>
        <v/>
      </c>
      <c r="F849" t="str">
        <f>setrules!B900</f>
        <v>RLT-ECFL</v>
      </c>
    </row>
    <row r="850" spans="1:6" x14ac:dyDescent="0.25">
      <c r="A850" t="str">
        <f>setrules!D901&amp;IF(setrules!E901="","",",-"&amp;setrules!E901)</f>
        <v/>
      </c>
      <c r="B850" t="str">
        <f>setrules!F901&amp;IF(setrules!G901="","",",-"&amp;setrules!G901)&amp;IF(setrules!P901="","",",-"&amp;setrules!P901)</f>
        <v>RLTEHPS*</v>
      </c>
      <c r="C850" t="str">
        <f>setrules!H901&amp;IF(setrules!I901="","",",-"&amp;setrules!I901)</f>
        <v/>
      </c>
      <c r="D850" t="str">
        <f>setrules!J901&amp;IF(setrules!K901="","",",-"&amp;setrules!K901)</f>
        <v/>
      </c>
      <c r="E850" t="str">
        <f>setrules!L901&amp;IF(setrules!M901="","",",-"&amp;setrules!M901)</f>
        <v/>
      </c>
      <c r="F850" t="str">
        <f>setrules!B901</f>
        <v>RLT-EHAL</v>
      </c>
    </row>
    <row r="851" spans="1:6" x14ac:dyDescent="0.25">
      <c r="A851" t="str">
        <f>setrules!D902&amp;IF(setrules!E902="","",",-"&amp;setrules!E902)</f>
        <v/>
      </c>
      <c r="B851" t="str">
        <f>setrules!F902&amp;IF(setrules!G902="","",",-"&amp;setrules!G902)&amp;IF(setrules!P902="","",",-"&amp;setrules!P902)</f>
        <v>RLTEINC*</v>
      </c>
      <c r="C851" t="str">
        <f>setrules!H902&amp;IF(setrules!I902="","",",-"&amp;setrules!I902)</f>
        <v/>
      </c>
      <c r="D851" t="str">
        <f>setrules!J902&amp;IF(setrules!K902="","",",-"&amp;setrules!K902)</f>
        <v/>
      </c>
      <c r="E851" t="str">
        <f>setrules!L902&amp;IF(setrules!M902="","",",-"&amp;setrules!M902)</f>
        <v/>
      </c>
      <c r="F851" t="str">
        <f>setrules!B902</f>
        <v>RLT-EINC</v>
      </c>
    </row>
    <row r="852" spans="1:6" x14ac:dyDescent="0.25">
      <c r="A852" t="str">
        <f>setrules!D903&amp;IF(setrules!E903="","",",-"&amp;setrules!E903)</f>
        <v/>
      </c>
      <c r="B852" t="str">
        <f>setrules!F903&amp;IF(setrules!G903="","",",-"&amp;setrules!G903)&amp;IF(setrules!P903="","",",-"&amp;setrules!P903)</f>
        <v>*PFS_E</v>
      </c>
      <c r="C852" t="str">
        <f>setrules!H903&amp;IF(setrules!I903="","",",-"&amp;setrules!I903)</f>
        <v/>
      </c>
      <c r="D852" t="str">
        <f>setrules!J903&amp;IF(setrules!K903="","",",-"&amp;setrules!K903)</f>
        <v/>
      </c>
      <c r="E852" t="str">
        <f>setrules!L903&amp;IF(setrules!M903="","",",-"&amp;setrules!M903)</f>
        <v/>
      </c>
      <c r="F852" t="str">
        <f>setrules!B903</f>
        <v>REFOUT-PFS</v>
      </c>
    </row>
    <row r="853" spans="1:6" x14ac:dyDescent="0.25">
      <c r="A853" t="str">
        <f>setrules!D904&amp;IF(setrules!E904="","",",-"&amp;setrules!E904)</f>
        <v/>
      </c>
      <c r="B853" t="str">
        <f>setrules!F904&amp;IF(setrules!G904="","",",-"&amp;setrules!G904)&amp;IF(setrules!P904="","",",-"&amp;setrules!P904)</f>
        <v>R*</v>
      </c>
      <c r="C853" t="str">
        <f>setrules!H904&amp;IF(setrules!I904="","",",-"&amp;setrules!I904)</f>
        <v/>
      </c>
      <c r="D853" t="str">
        <f>setrules!J904&amp;IF(setrules!K904="","",",-"&amp;setrules!K904)</f>
        <v>RESNGA</v>
      </c>
      <c r="E853" t="str">
        <f>setrules!L904&amp;IF(setrules!M904="","",",-"&amp;setrules!M904)</f>
        <v/>
      </c>
      <c r="F853" t="str">
        <f>setrules!B904</f>
        <v>RES-NG</v>
      </c>
    </row>
    <row r="854" spans="1:6" x14ac:dyDescent="0.25">
      <c r="A854" t="str">
        <f>setrules!D905&amp;IF(setrules!E905="","",",-"&amp;setrules!E905)</f>
        <v/>
      </c>
      <c r="B854" t="str">
        <f>setrules!F905&amp;IF(setrules!G905="","",",-"&amp;setrules!G905)&amp;IF(setrules!P905="","",",-"&amp;setrules!P905)</f>
        <v>INGEPRHNGA</v>
      </c>
      <c r="C854" t="str">
        <f>setrules!H905&amp;IF(setrules!I905="","",",-"&amp;setrules!I905)</f>
        <v/>
      </c>
      <c r="D854" t="str">
        <f>setrules!J905&amp;IF(setrules!K905="","",",-"&amp;setrules!K905)</f>
        <v/>
      </c>
      <c r="E854" t="str">
        <f>setrules!L905&amp;IF(setrules!M905="","",",-"&amp;setrules!M905)</f>
        <v/>
      </c>
      <c r="F854" t="str">
        <f>setrules!B905</f>
        <v>INGPH_NGA</v>
      </c>
    </row>
    <row r="855" spans="1:6" x14ac:dyDescent="0.25">
      <c r="A855" t="str">
        <f>setrules!D906&amp;IF(setrules!E906="","",",-"&amp;setrules!E906)</f>
        <v/>
      </c>
      <c r="B855" t="str">
        <f>setrules!F906&amp;IF(setrules!G906="","",",-"&amp;setrules!G906)&amp;IF(setrules!P906="","",",-"&amp;setrules!P906)</f>
        <v>INOEFAC*</v>
      </c>
      <c r="C855" t="str">
        <f>setrules!H906&amp;IF(setrules!I906="","",",-"&amp;setrules!I906)</f>
        <v/>
      </c>
      <c r="D855" t="str">
        <f>setrules!J906&amp;IF(setrules!K906="","",",-"&amp;setrules!K906)</f>
        <v/>
      </c>
      <c r="E855" t="str">
        <f>setrules!L906&amp;IF(setrules!M906="","",",-"&amp;setrules!M906)</f>
        <v/>
      </c>
      <c r="F855" t="str">
        <f>setrules!B906</f>
        <v>INOFA_ALL</v>
      </c>
    </row>
    <row r="856" spans="1:6" x14ac:dyDescent="0.25">
      <c r="A856" t="str">
        <f>setrules!D907&amp;IF(setrules!E907="","",",-"&amp;setrules!E907)</f>
        <v/>
      </c>
      <c r="B856" t="str">
        <f>setrules!F907&amp;IF(setrules!G907="","",",-"&amp;setrules!G907)&amp;IF(setrules!P907="","",",-"&amp;setrules!P907)</f>
        <v>INGEOHTCOA</v>
      </c>
      <c r="C856" t="str">
        <f>setrules!H907&amp;IF(setrules!I907="","",",-"&amp;setrules!I907)</f>
        <v/>
      </c>
      <c r="D856" t="str">
        <f>setrules!J907&amp;IF(setrules!K907="","",",-"&amp;setrules!K907)</f>
        <v/>
      </c>
      <c r="E856" t="str">
        <f>setrules!L907&amp;IF(setrules!M907="","",",-"&amp;setrules!M907)</f>
        <v/>
      </c>
      <c r="F856" t="str">
        <f>setrules!B907</f>
        <v>INGOH_COA</v>
      </c>
    </row>
    <row r="857" spans="1:6" x14ac:dyDescent="0.25">
      <c r="A857" t="str">
        <f>setrules!D908&amp;IF(setrules!E908="","",",-"&amp;setrules!E908)</f>
        <v/>
      </c>
      <c r="B857" t="str">
        <f>setrules!F908&amp;IF(setrules!G908="","",",-"&amp;setrules!G908)&amp;IF(setrules!P908="","",",-"&amp;setrules!P908)</f>
        <v>INGEOHTDST</v>
      </c>
      <c r="C857" t="str">
        <f>setrules!H908&amp;IF(setrules!I908="","",",-"&amp;setrules!I908)</f>
        <v/>
      </c>
      <c r="D857" t="str">
        <f>setrules!J908&amp;IF(setrules!K908="","",",-"&amp;setrules!K908)</f>
        <v/>
      </c>
      <c r="E857" t="str">
        <f>setrules!L908&amp;IF(setrules!M908="","",",-"&amp;setrules!M908)</f>
        <v/>
      </c>
      <c r="F857" t="str">
        <f>setrules!B908</f>
        <v>INGOH_DST</v>
      </c>
    </row>
    <row r="858" spans="1:6" x14ac:dyDescent="0.25">
      <c r="A858" t="str">
        <f>setrules!D909&amp;IF(setrules!E909="","",",-"&amp;setrules!E909)</f>
        <v/>
      </c>
      <c r="B858" t="str">
        <f>setrules!F909&amp;IF(setrules!G909="","",",-"&amp;setrules!G909)&amp;IF(setrules!P909="","",",-"&amp;setrules!P909)</f>
        <v>INGEOHTLPG</v>
      </c>
      <c r="C858" t="str">
        <f>setrules!H909&amp;IF(setrules!I909="","",",-"&amp;setrules!I909)</f>
        <v/>
      </c>
      <c r="D858" t="str">
        <f>setrules!J909&amp;IF(setrules!K909="","",",-"&amp;setrules!K909)</f>
        <v/>
      </c>
      <c r="E858" t="str">
        <f>setrules!L909&amp;IF(setrules!M909="","",",-"&amp;setrules!M909)</f>
        <v/>
      </c>
      <c r="F858" t="str">
        <f>setrules!B909</f>
        <v>INGOH_LPG</v>
      </c>
    </row>
    <row r="859" spans="1:6" x14ac:dyDescent="0.25">
      <c r="A859" t="str">
        <f>setrules!D910&amp;IF(setrules!E910="","",",-"&amp;setrules!E910)</f>
        <v/>
      </c>
      <c r="B859" t="str">
        <f>setrules!F910&amp;IF(setrules!G910="","",",-"&amp;setrules!G910)&amp;IF(setrules!P910="","",",-"&amp;setrules!P910)</f>
        <v>INGEOHTNGA,INGNREGNGA</v>
      </c>
      <c r="C859" t="str">
        <f>setrules!H910&amp;IF(setrules!I910="","",",-"&amp;setrules!I910)</f>
        <v/>
      </c>
      <c r="D859" t="str">
        <f>setrules!J910&amp;IF(setrules!K910="","",",-"&amp;setrules!K910)</f>
        <v/>
      </c>
      <c r="E859" t="str">
        <f>setrules!L910&amp;IF(setrules!M910="","",",-"&amp;setrules!M910)</f>
        <v/>
      </c>
      <c r="F859" t="str">
        <f>setrules!B910</f>
        <v>INGOH_NGA</v>
      </c>
    </row>
    <row r="860" spans="1:6" x14ac:dyDescent="0.25">
      <c r="A860" t="str">
        <f>setrules!D911&amp;IF(setrules!E911="","",",-"&amp;setrules!E911)</f>
        <v/>
      </c>
      <c r="B860" t="str">
        <f>setrules!F911&amp;IF(setrules!G911="","",",-"&amp;setrules!G911)&amp;IF(setrules!P911="","",",-"&amp;setrules!P911)</f>
        <v>INGEOHTRFL</v>
      </c>
      <c r="C860" t="str">
        <f>setrules!H911&amp;IF(setrules!I911="","",",-"&amp;setrules!I911)</f>
        <v/>
      </c>
      <c r="D860" t="str">
        <f>setrules!J911&amp;IF(setrules!K911="","",",-"&amp;setrules!K911)</f>
        <v/>
      </c>
      <c r="E860" t="str">
        <f>setrules!L911&amp;IF(setrules!M911="","",",-"&amp;setrules!M911)</f>
        <v/>
      </c>
      <c r="F860" t="str">
        <f>setrules!B911</f>
        <v>INGOH_RFL</v>
      </c>
    </row>
    <row r="861" spans="1:6" x14ac:dyDescent="0.25">
      <c r="A861" t="str">
        <f>setrules!D912&amp;IF(setrules!E912="","",",-"&amp;setrules!E912)</f>
        <v/>
      </c>
      <c r="B861" t="str">
        <f>setrules!F912&amp;IF(setrules!G912="","",",-"&amp;setrules!G912)&amp;IF(setrules!P912="","",",-"&amp;setrules!P912)</f>
        <v>INGEFACNGA</v>
      </c>
      <c r="C861" t="str">
        <f>setrules!H912&amp;IF(setrules!I912="","",",-"&amp;setrules!I912)</f>
        <v/>
      </c>
      <c r="D861" t="str">
        <f>setrules!J912&amp;IF(setrules!K912="","",",-"&amp;setrules!K912)</f>
        <v/>
      </c>
      <c r="E861" t="str">
        <f>setrules!L912&amp;IF(setrules!M912="","",",-"&amp;setrules!M912)</f>
        <v/>
      </c>
      <c r="F861" t="str">
        <f>setrules!B912</f>
        <v>INGFA_NGA</v>
      </c>
    </row>
    <row r="862" spans="1:6" x14ac:dyDescent="0.25">
      <c r="A862" t="str">
        <f>setrules!D913&amp;IF(setrules!E913="","",",-"&amp;setrules!E913)</f>
        <v/>
      </c>
      <c r="B862" t="str">
        <f>setrules!F913&amp;IF(setrules!G913="","",",-"&amp;setrules!G913)&amp;IF(setrules!P913="","",",-"&amp;setrules!P913)</f>
        <v>INGEPRHELC</v>
      </c>
      <c r="C862" t="str">
        <f>setrules!H913&amp;IF(setrules!I913="","",",-"&amp;setrules!I913)</f>
        <v/>
      </c>
      <c r="D862" t="str">
        <f>setrules!J913&amp;IF(setrules!K913="","",",-"&amp;setrules!K913)</f>
        <v/>
      </c>
      <c r="E862" t="str">
        <f>setrules!L913&amp;IF(setrules!M913="","",",-"&amp;setrules!M913)</f>
        <v/>
      </c>
      <c r="F862" t="str">
        <f>setrules!B913</f>
        <v>INGPH_ELC</v>
      </c>
    </row>
    <row r="863" spans="1:6" x14ac:dyDescent="0.25">
      <c r="A863" t="str">
        <f>setrules!D914&amp;IF(setrules!E914="","",",-"&amp;setrules!E914)</f>
        <v/>
      </c>
      <c r="B863" t="str">
        <f>setrules!F914&amp;IF(setrules!G914="","",",-"&amp;setrules!G914)&amp;IF(setrules!P914="","",",-"&amp;setrules!P914)</f>
        <v>INGEFACELC</v>
      </c>
      <c r="C863" t="str">
        <f>setrules!H914&amp;IF(setrules!I914="","",",-"&amp;setrules!I914)</f>
        <v/>
      </c>
      <c r="D863" t="str">
        <f>setrules!J914&amp;IF(setrules!K914="","",",-"&amp;setrules!K914)</f>
        <v/>
      </c>
      <c r="E863" t="str">
        <f>setrules!L914&amp;IF(setrules!M914="","",",-"&amp;setrules!M914)</f>
        <v/>
      </c>
      <c r="F863" t="str">
        <f>setrules!B914</f>
        <v>INGFA_ELC</v>
      </c>
    </row>
    <row r="864" spans="1:6" x14ac:dyDescent="0.25">
      <c r="A864" t="str">
        <f>setrules!D915&amp;IF(setrules!E915="","",",-"&amp;setrules!E915)</f>
        <v/>
      </c>
      <c r="B864" t="str">
        <f>setrules!F915&amp;IF(setrules!G915="","",",-"&amp;setrules!G915)&amp;IF(setrules!P915="","",",-"&amp;setrules!P915)</f>
        <v>ING*B*,-ING*B*BIO,-ING*B*WOD,-ING*B*TOM,-ING*BST*,-ING*BSA*</v>
      </c>
      <c r="C864" t="str">
        <f>setrules!H915&amp;IF(setrules!I915="","",",-"&amp;setrules!I915)</f>
        <v/>
      </c>
      <c r="D864" t="str">
        <f>setrules!J915&amp;IF(setrules!K915="","",",-"&amp;setrules!K915)</f>
        <v/>
      </c>
      <c r="E864" t="str">
        <f>setrules!L915&amp;IF(setrules!M915="","",",-"&amp;setrules!M915)</f>
        <v/>
      </c>
      <c r="F864" t="str">
        <f>setrules!B915</f>
        <v>INGST_ALL</v>
      </c>
    </row>
    <row r="865" spans="1:6" x14ac:dyDescent="0.25">
      <c r="A865" t="str">
        <f>setrules!D916&amp;IF(setrules!E916="","",",-"&amp;setrules!E916)</f>
        <v/>
      </c>
      <c r="B865" t="str">
        <f>setrules!F916&amp;IF(setrules!G916="","",",-"&amp;setrules!G916)&amp;IF(setrules!P916="","",",-"&amp;setrules!P916)</f>
        <v>INGBOLFSTM</v>
      </c>
      <c r="C865" t="str">
        <f>setrules!H916&amp;IF(setrules!I916="","",",-"&amp;setrules!I916)</f>
        <v/>
      </c>
      <c r="D865" t="str">
        <f>setrules!J916&amp;IF(setrules!K916="","",",-"&amp;setrules!K916)</f>
        <v/>
      </c>
      <c r="E865" t="str">
        <f>setrules!L916&amp;IF(setrules!M916="","",",-"&amp;setrules!M916)</f>
        <v/>
      </c>
      <c r="F865" t="str">
        <f>setrules!B916</f>
        <v>INGST_CHP</v>
      </c>
    </row>
    <row r="866" spans="1:6" x14ac:dyDescent="0.25">
      <c r="A866" t="str">
        <f>setrules!D917&amp;IF(setrules!E917="","",",-"&amp;setrules!E917)</f>
        <v/>
      </c>
      <c r="B866" t="str">
        <f>setrules!F917&amp;IF(setrules!G917="","",",-"&amp;setrules!G917)&amp;IF(setrules!P917="","",",-"&amp;setrules!P917)</f>
        <v>ING*B*NGA</v>
      </c>
      <c r="C866" t="str">
        <f>setrules!H917&amp;IF(setrules!I917="","",",-"&amp;setrules!I917)</f>
        <v/>
      </c>
      <c r="D866" t="str">
        <f>setrules!J917&amp;IF(setrules!K917="","",",-"&amp;setrules!K917)</f>
        <v/>
      </c>
      <c r="E866" t="str">
        <f>setrules!L917&amp;IF(setrules!M917="","",",-"&amp;setrules!M917)</f>
        <v/>
      </c>
      <c r="F866" t="str">
        <f>setrules!B917</f>
        <v>INGST_NGA</v>
      </c>
    </row>
    <row r="867" spans="1:6" x14ac:dyDescent="0.25">
      <c r="A867" t="str">
        <f>setrules!D918&amp;IF(setrules!E918="","",",-"&amp;setrules!E918)</f>
        <v/>
      </c>
      <c r="B867" t="str">
        <f>setrules!F918&amp;IF(setrules!G918="","",",-"&amp;setrules!G918)&amp;IF(setrules!P918="","",",-"&amp;setrules!P918)</f>
        <v>INMD*</v>
      </c>
      <c r="C867" t="str">
        <f>setrules!H918&amp;IF(setrules!I918="","",",-"&amp;setrules!I918)</f>
        <v/>
      </c>
      <c r="D867" t="str">
        <f>setrules!J918&amp;IF(setrules!K918="","",",-"&amp;setrules!K918)</f>
        <v/>
      </c>
      <c r="E867" t="str">
        <f>setrules!L918&amp;IF(setrules!M918="","",",-"&amp;setrules!M918)</f>
        <v/>
      </c>
      <c r="F867" t="str">
        <f>setrules!B918</f>
        <v>INM_ALL</v>
      </c>
    </row>
    <row r="868" spans="1:6" x14ac:dyDescent="0.25">
      <c r="A868" t="str">
        <f>setrules!D919&amp;IF(setrules!E919="","",",-"&amp;setrules!E919)</f>
        <v/>
      </c>
      <c r="B868" t="str">
        <f>setrules!F919&amp;IF(setrules!G919="","",",-"&amp;setrules!G919)&amp;IF(setrules!P919="","",",-"&amp;setrules!P919)</f>
        <v>INM*DST*</v>
      </c>
      <c r="C868" t="str">
        <f>setrules!H919&amp;IF(setrules!I919="","",",-"&amp;setrules!I919)</f>
        <v/>
      </c>
      <c r="D868" t="str">
        <f>setrules!J919&amp;IF(setrules!K919="","",",-"&amp;setrules!K919)</f>
        <v/>
      </c>
      <c r="E868" t="str">
        <f>setrules!L919&amp;IF(setrules!M919="","",",-"&amp;setrules!M919)</f>
        <v/>
      </c>
      <c r="F868" t="str">
        <f>setrules!B919</f>
        <v>INM_DST</v>
      </c>
    </row>
    <row r="869" spans="1:6" x14ac:dyDescent="0.25">
      <c r="A869" t="str">
        <f>setrules!D920&amp;IF(setrules!E920="","",",-"&amp;setrules!E920)</f>
        <v/>
      </c>
      <c r="B869" t="str">
        <f>setrules!F920&amp;IF(setrules!G920="","",",-"&amp;setrules!G920)&amp;IF(setrules!P920="","",",-"&amp;setrules!P920)</f>
        <v>INM*ELC*</v>
      </c>
      <c r="C869" t="str">
        <f>setrules!H920&amp;IF(setrules!I920="","",",-"&amp;setrules!I920)</f>
        <v/>
      </c>
      <c r="D869" t="str">
        <f>setrules!J920&amp;IF(setrules!K920="","",",-"&amp;setrules!K920)</f>
        <v/>
      </c>
      <c r="E869" t="str">
        <f>setrules!L920&amp;IF(setrules!M920="","",",-"&amp;setrules!M920)</f>
        <v/>
      </c>
      <c r="F869" t="str">
        <f>setrules!B920</f>
        <v>INM_ELC</v>
      </c>
    </row>
    <row r="870" spans="1:6" x14ac:dyDescent="0.25">
      <c r="A870" t="str">
        <f>setrules!D921&amp;IF(setrules!E921="","",",-"&amp;setrules!E921)</f>
        <v/>
      </c>
      <c r="B870" t="str">
        <f>setrules!F921&amp;IF(setrules!G921="","",",-"&amp;setrules!G921)&amp;IF(setrules!P921="","",",-"&amp;setrules!P921)</f>
        <v>INP*DST*</v>
      </c>
      <c r="C870" t="str">
        <f>setrules!H921&amp;IF(setrules!I921="","",",-"&amp;setrules!I921)</f>
        <v/>
      </c>
      <c r="D870" t="str">
        <f>setrules!J921&amp;IF(setrules!K921="","",",-"&amp;setrules!K921)</f>
        <v/>
      </c>
      <c r="E870" t="str">
        <f>setrules!L921&amp;IF(setrules!M921="","",",-"&amp;setrules!M921)</f>
        <v/>
      </c>
      <c r="F870" t="str">
        <f>setrules!B921</f>
        <v>INP_DST</v>
      </c>
    </row>
    <row r="871" spans="1:6" x14ac:dyDescent="0.25">
      <c r="A871" t="str">
        <f>setrules!D922&amp;IF(setrules!E922="","",",-"&amp;setrules!E922)</f>
        <v/>
      </c>
      <c r="B871" t="str">
        <f>setrules!F922&amp;IF(setrules!G922="","",",-"&amp;setrules!G922)&amp;IF(setrules!P922="","",",-"&amp;setrules!P922)</f>
        <v>INGEPRH*</v>
      </c>
      <c r="C871" t="str">
        <f>setrules!H922&amp;IF(setrules!I922="","",",-"&amp;setrules!I922)</f>
        <v/>
      </c>
      <c r="D871" t="str">
        <f>setrules!J922&amp;IF(setrules!K922="","",",-"&amp;setrules!K922)</f>
        <v/>
      </c>
      <c r="E871" t="str">
        <f>setrules!L922&amp;IF(setrules!M922="","",",-"&amp;setrules!M922)</f>
        <v/>
      </c>
      <c r="F871" t="str">
        <f>setrules!B922</f>
        <v>INGPH_ALL</v>
      </c>
    </row>
    <row r="872" spans="1:6" x14ac:dyDescent="0.25">
      <c r="A872" t="str">
        <f>setrules!D923&amp;IF(setrules!E923="","",",-"&amp;setrules!E923)</f>
        <v/>
      </c>
      <c r="B872" t="str">
        <f>setrules!F923&amp;IF(setrules!G923="","",",-"&amp;setrules!G923)&amp;IF(setrules!P923="","",",-"&amp;setrules!P923)</f>
        <v>INFS*NGA*</v>
      </c>
      <c r="C872" t="str">
        <f>setrules!H923&amp;IF(setrules!I923="","",",-"&amp;setrules!I923)</f>
        <v/>
      </c>
      <c r="D872" t="str">
        <f>setrules!J923&amp;IF(setrules!K923="","",",-"&amp;setrules!K923)</f>
        <v/>
      </c>
      <c r="E872" t="str">
        <f>setrules!L923&amp;IF(setrules!M923="","",",-"&amp;setrules!M923)</f>
        <v/>
      </c>
      <c r="F872" t="str">
        <f>setrules!B923</f>
        <v>INF_NGA</v>
      </c>
    </row>
    <row r="873" spans="1:6" x14ac:dyDescent="0.25">
      <c r="A873" t="str">
        <f>setrules!D924&amp;IF(setrules!E924="","",",-"&amp;setrules!E924)</f>
        <v/>
      </c>
      <c r="B873" t="str">
        <f>setrules!F924&amp;IF(setrules!G924="","",",-"&amp;setrules!G924)&amp;IF(setrules!P924="","",",-"&amp;setrules!P924)</f>
        <v>IMO*</v>
      </c>
      <c r="C873" t="str">
        <f>setrules!H924&amp;IF(setrules!I924="","",",-"&amp;setrules!I924)</f>
        <v/>
      </c>
      <c r="D873" t="str">
        <f>setrules!J924&amp;IF(setrules!K924="","",",-"&amp;setrules!K924)</f>
        <v/>
      </c>
      <c r="E873" t="str">
        <f>setrules!L924&amp;IF(setrules!M924="","",",-"&amp;setrules!M924)</f>
        <v/>
      </c>
      <c r="F873" t="str">
        <f>setrules!B924</f>
        <v>IND_OTHMETALS</v>
      </c>
    </row>
    <row r="874" spans="1:6" x14ac:dyDescent="0.25">
      <c r="A874" t="str">
        <f>setrules!D925&amp;IF(setrules!E925="","",",-"&amp;setrules!E925)</f>
        <v/>
      </c>
      <c r="B874" t="str">
        <f>setrules!F925&amp;IF(setrules!G925="","",",-"&amp;setrules!G925)&amp;IF(setrules!P925="","",",-"&amp;setrules!P925)</f>
        <v>IP*</v>
      </c>
      <c r="C874" t="str">
        <f>setrules!H925&amp;IF(setrules!I925="","",",-"&amp;setrules!I925)</f>
        <v/>
      </c>
      <c r="D874" t="str">
        <f>setrules!J925&amp;IF(setrules!K925="","",",-"&amp;setrules!K925)</f>
        <v/>
      </c>
      <c r="E874" t="str">
        <f>setrules!L925&amp;IF(setrules!M925="","",",-"&amp;setrules!M925)</f>
        <v/>
      </c>
      <c r="F874" t="str">
        <f>setrules!B925</f>
        <v>IND_PAPER</v>
      </c>
    </row>
    <row r="875" spans="1:6" x14ac:dyDescent="0.25">
      <c r="A875" t="str">
        <f>setrules!D926&amp;IF(setrules!E926="","",",-"&amp;setrules!E926)</f>
        <v/>
      </c>
      <c r="B875" t="str">
        <f>setrules!F926&amp;IF(setrules!G926="","",",-"&amp;setrules!G926)&amp;IF(setrules!P926="","",",-"&amp;setrules!P926)</f>
        <v/>
      </c>
      <c r="C875" t="str">
        <f>setrules!H926&amp;IF(setrules!I926="","",",-"&amp;setrules!I926)</f>
        <v>*STEEL*</v>
      </c>
      <c r="D875" t="str">
        <f>setrules!J926&amp;IF(setrules!K926="","",",-"&amp;setrules!K926)</f>
        <v/>
      </c>
      <c r="E875" t="str">
        <f>setrules!L926&amp;IF(setrules!M926="","",",-"&amp;setrules!M926)</f>
        <v/>
      </c>
      <c r="F875" t="str">
        <f>setrules!B926</f>
        <v>IND_STEEL</v>
      </c>
    </row>
    <row r="876" spans="1:6" x14ac:dyDescent="0.25">
      <c r="A876" t="str">
        <f>setrules!D927&amp;IF(setrules!E927="","",",-"&amp;setrules!E927)</f>
        <v/>
      </c>
      <c r="B876" t="str">
        <f>setrules!F927&amp;IF(setrules!G927="","",",-"&amp;setrules!G927)&amp;IF(setrules!P927="","",",-"&amp;setrules!P927)</f>
        <v>I*TECHEXT</v>
      </c>
      <c r="C876" t="str">
        <f>setrules!H927&amp;IF(setrules!I927="","",",-"&amp;setrules!I927)</f>
        <v/>
      </c>
      <c r="D876" t="str">
        <f>setrules!J927&amp;IF(setrules!K927="","",",-"&amp;setrules!K927)</f>
        <v/>
      </c>
      <c r="E876" t="str">
        <f>setrules!L927&amp;IF(setrules!M927="","",",-"&amp;setrules!M927)</f>
        <v/>
      </c>
      <c r="F876" t="str">
        <f>setrules!B927</f>
        <v>IND_TECHEXT</v>
      </c>
    </row>
    <row r="877" spans="1:6" x14ac:dyDescent="0.25">
      <c r="A877" t="str">
        <f>setrules!D928&amp;IF(setrules!E928="","",",-"&amp;setrules!E928)</f>
        <v/>
      </c>
      <c r="B877" t="str">
        <f>setrules!F928&amp;IF(setrules!G928="","",",-"&amp;setrules!G928)&amp;IF(setrules!P928="","",",-"&amp;setrules!P928)</f>
        <v>IXNON*</v>
      </c>
      <c r="C877" t="str">
        <f>setrules!H928&amp;IF(setrules!I928="","",",-"&amp;setrules!I928)</f>
        <v/>
      </c>
      <c r="D877" t="str">
        <f>setrules!J928&amp;IF(setrules!K928="","",",-"&amp;setrules!K928)</f>
        <v/>
      </c>
      <c r="E877" t="str">
        <f>setrules!L928&amp;IF(setrules!M928="","",",-"&amp;setrules!M928)</f>
        <v/>
      </c>
      <c r="F877" t="str">
        <f>setrules!B928</f>
        <v>INDUSTRIAL PROC - IX</v>
      </c>
    </row>
    <row r="878" spans="1:6" x14ac:dyDescent="0.25">
      <c r="A878" t="str">
        <f>setrules!D929&amp;IF(setrules!E929="","",",-"&amp;setrules!E929)</f>
        <v/>
      </c>
      <c r="B878" t="str">
        <f>setrules!F929&amp;IF(setrules!G929="","",",-"&amp;setrules!G929)&amp;IF(setrules!P929="","",",-"&amp;setrules!P929)</f>
        <v>*TECHEXT</v>
      </c>
      <c r="C878" t="str">
        <f>setrules!H929&amp;IF(setrules!I929="","",",-"&amp;setrules!I929)</f>
        <v/>
      </c>
      <c r="D878" t="str">
        <f>setrules!J929&amp;IF(setrules!K929="","",",-"&amp;setrules!K929)</f>
        <v/>
      </c>
      <c r="E878" t="str">
        <f>setrules!L929&amp;IF(setrules!M929="","",",-"&amp;setrules!M929)</f>
        <v/>
      </c>
      <c r="F878" t="str">
        <f>setrules!B929</f>
        <v>INDUSTRIAL PROCESSES</v>
      </c>
    </row>
    <row r="879" spans="1:6" x14ac:dyDescent="0.25">
      <c r="A879" t="str">
        <f>setrules!D930&amp;IF(setrules!E930="","",",-"&amp;setrules!E930)</f>
        <v/>
      </c>
      <c r="B879" t="str">
        <f>setrules!F930&amp;IF(setrules!G930="","",",-"&amp;setrules!G930)&amp;IF(setrules!P930="","",",-"&amp;setrules!P930)</f>
        <v>ING*B*BIO,ING*B*WOD,ING*B*TOM,INGEOHT*,INGOHTOSTM,-ING*BST*</v>
      </c>
      <c r="C879" t="str">
        <f>setrules!H930&amp;IF(setrules!I930="","",",-"&amp;setrules!I930)</f>
        <v/>
      </c>
      <c r="D879" t="str">
        <f>setrules!J930&amp;IF(setrules!K930="","",",-"&amp;setrules!K930)</f>
        <v/>
      </c>
      <c r="E879" t="str">
        <f>setrules!L930&amp;IF(setrules!M930="","",",-"&amp;setrules!M930)</f>
        <v/>
      </c>
      <c r="F879" t="str">
        <f>setrules!B930</f>
        <v>INGOH_ALL</v>
      </c>
    </row>
    <row r="880" spans="1:6" x14ac:dyDescent="0.25">
      <c r="A880" t="str">
        <f>setrules!D931&amp;IF(setrules!E931="","",",-"&amp;setrules!E931)</f>
        <v/>
      </c>
      <c r="B880" t="str">
        <f>setrules!F931&amp;IF(setrules!G931="","",",-"&amp;setrules!G931)&amp;IF(setrules!P931="","",",-"&amp;setrules!P931)</f>
        <v>INFS*DST*</v>
      </c>
      <c r="C880" t="str">
        <f>setrules!H931&amp;IF(setrules!I931="","",",-"&amp;setrules!I931)</f>
        <v/>
      </c>
      <c r="D880" t="str">
        <f>setrules!J931&amp;IF(setrules!K931="","",",-"&amp;setrules!K931)</f>
        <v/>
      </c>
      <c r="E880" t="str">
        <f>setrules!L931&amp;IF(setrules!M931="","",",-"&amp;setrules!M931)</f>
        <v/>
      </c>
      <c r="F880" t="str">
        <f>setrules!B931</f>
        <v>INF_DST</v>
      </c>
    </row>
    <row r="881" spans="1:6" x14ac:dyDescent="0.25">
      <c r="A881" t="str">
        <f>setrules!D932&amp;IF(setrules!E932="","",",-"&amp;setrules!E932)</f>
        <v/>
      </c>
      <c r="B881" t="str">
        <f>setrules!F932&amp;IF(setrules!G932="","",",-"&amp;setrules!G932)&amp;IF(setrules!P932="","",",-"&amp;setrules!P932)</f>
        <v>INOEFACDST</v>
      </c>
      <c r="C881" t="str">
        <f>setrules!H932&amp;IF(setrules!I932="","",",-"&amp;setrules!I932)</f>
        <v/>
      </c>
      <c r="D881" t="str">
        <f>setrules!J932&amp;IF(setrules!K932="","",",-"&amp;setrules!K932)</f>
        <v/>
      </c>
      <c r="E881" t="str">
        <f>setrules!L932&amp;IF(setrules!M932="","",",-"&amp;setrules!M932)</f>
        <v/>
      </c>
      <c r="F881" t="str">
        <f>setrules!B932</f>
        <v>INOFA_DST</v>
      </c>
    </row>
    <row r="882" spans="1:6" x14ac:dyDescent="0.25">
      <c r="A882" t="str">
        <f>setrules!D933&amp;IF(setrules!E933="","",",-"&amp;setrules!E933)</f>
        <v/>
      </c>
      <c r="B882" t="str">
        <f>setrules!F933&amp;IF(setrules!G933="","",",-"&amp;setrules!G933)&amp;IF(setrules!P933="","",",-"&amp;setrules!P933)</f>
        <v>INFS*OTH*</v>
      </c>
      <c r="C882" t="str">
        <f>setrules!H933&amp;IF(setrules!I933="","",",-"&amp;setrules!I933)</f>
        <v/>
      </c>
      <c r="D882" t="str">
        <f>setrules!J933&amp;IF(setrules!K933="","",",-"&amp;setrules!K933)</f>
        <v/>
      </c>
      <c r="E882" t="str">
        <f>setrules!L933&amp;IF(setrules!M933="","",",-"&amp;setrules!M933)</f>
        <v/>
      </c>
      <c r="F882" t="str">
        <f>setrules!B933</f>
        <v>INF_OTH</v>
      </c>
    </row>
    <row r="883" spans="1:6" x14ac:dyDescent="0.25">
      <c r="A883" t="str">
        <f>setrules!D934&amp;IF(setrules!E934="","",",-"&amp;setrules!E934)</f>
        <v/>
      </c>
      <c r="B883" t="str">
        <f>setrules!F934&amp;IF(setrules!G934="","",",-"&amp;setrules!G934)&amp;IF(setrules!P934="","",",-"&amp;setrules!P934)</f>
        <v>INFAC*</v>
      </c>
      <c r="C883" t="str">
        <f>setrules!H934&amp;IF(setrules!I934="","",",-"&amp;setrules!I934)</f>
        <v/>
      </c>
      <c r="D883" t="str">
        <f>setrules!J934&amp;IF(setrules!K934="","",",-"&amp;setrules!K934)</f>
        <v/>
      </c>
      <c r="E883" t="str">
        <f>setrules!L934&amp;IF(setrules!M934="","",",-"&amp;setrules!M934)</f>
        <v/>
      </c>
      <c r="F883" t="str">
        <f>setrules!B934</f>
        <v>INFA_ALL</v>
      </c>
    </row>
    <row r="884" spans="1:6" x14ac:dyDescent="0.25">
      <c r="A884" t="str">
        <f>setrules!D935&amp;IF(setrules!E935="","",",-"&amp;setrules!E935)</f>
        <v/>
      </c>
      <c r="B884" t="str">
        <f>setrules!F935&amp;IF(setrules!G935="","",",-"&amp;setrules!G935)&amp;IF(setrules!P935="","",",-"&amp;setrules!P935)</f>
        <v>INFACDST*</v>
      </c>
      <c r="C884" t="str">
        <f>setrules!H935&amp;IF(setrules!I935="","",",-"&amp;setrules!I935)</f>
        <v/>
      </c>
      <c r="D884" t="str">
        <f>setrules!J935&amp;IF(setrules!K935="","",",-"&amp;setrules!K935)</f>
        <v/>
      </c>
      <c r="E884" t="str">
        <f>setrules!L935&amp;IF(setrules!M935="","",",-"&amp;setrules!M935)</f>
        <v/>
      </c>
      <c r="F884" t="str">
        <f>setrules!B935</f>
        <v>INFA_DST</v>
      </c>
    </row>
    <row r="885" spans="1:6" x14ac:dyDescent="0.25">
      <c r="A885" t="str">
        <f>setrules!D936&amp;IF(setrules!E936="","",",-"&amp;setrules!E936)</f>
        <v/>
      </c>
      <c r="B885" t="str">
        <f>setrules!F936&amp;IF(setrules!G936="","",",-"&amp;setrules!G936)&amp;IF(setrules!P936="","",",-"&amp;setrules!P936)</f>
        <v>INFACELC*</v>
      </c>
      <c r="C885" t="str">
        <f>setrules!H936&amp;IF(setrules!I936="","",",-"&amp;setrules!I936)</f>
        <v/>
      </c>
      <c r="D885" t="str">
        <f>setrules!J936&amp;IF(setrules!K936="","",",-"&amp;setrules!K936)</f>
        <v/>
      </c>
      <c r="E885" t="str">
        <f>setrules!L936&amp;IF(setrules!M936="","",",-"&amp;setrules!M936)</f>
        <v/>
      </c>
      <c r="F885" t="str">
        <f>setrules!B936</f>
        <v>INFA_ELC</v>
      </c>
    </row>
    <row r="886" spans="1:6" x14ac:dyDescent="0.25">
      <c r="A886" t="str">
        <f>setrules!D937&amp;IF(setrules!E937="","",",-"&amp;setrules!E937)</f>
        <v/>
      </c>
      <c r="B886" t="str">
        <f>setrules!F937&amp;IF(setrules!G937="","",",-"&amp;setrules!G937)&amp;IF(setrules!P937="","",",-"&amp;setrules!P937)</f>
        <v>INFACELC*</v>
      </c>
      <c r="C886" t="str">
        <f>setrules!H937&amp;IF(setrules!I937="","",",-"&amp;setrules!I937)</f>
        <v/>
      </c>
      <c r="D886" t="str">
        <f>setrules!J937&amp;IF(setrules!K937="","",",-"&amp;setrules!K937)</f>
        <v/>
      </c>
      <c r="E886" t="str">
        <f>setrules!L937&amp;IF(setrules!M937="","",",-"&amp;setrules!M937)</f>
        <v/>
      </c>
      <c r="F886" t="str">
        <f>setrules!B937</f>
        <v>INFA_LPG</v>
      </c>
    </row>
    <row r="887" spans="1:6" x14ac:dyDescent="0.25">
      <c r="A887" t="str">
        <f>setrules!D938&amp;IF(setrules!E938="","",",-"&amp;setrules!E938)</f>
        <v/>
      </c>
      <c r="B887" t="str">
        <f>setrules!F938&amp;IF(setrules!G938="","",",-"&amp;setrules!G938)&amp;IF(setrules!P938="","",",-"&amp;setrules!P938)</f>
        <v>INFACNGA*</v>
      </c>
      <c r="C887" t="str">
        <f>setrules!H938&amp;IF(setrules!I938="","",",-"&amp;setrules!I938)</f>
        <v/>
      </c>
      <c r="D887" t="str">
        <f>setrules!J938&amp;IF(setrules!K938="","",",-"&amp;setrules!K938)</f>
        <v/>
      </c>
      <c r="E887" t="str">
        <f>setrules!L938&amp;IF(setrules!M938="","",",-"&amp;setrules!M938)</f>
        <v/>
      </c>
      <c r="F887" t="str">
        <f>setrules!B938</f>
        <v>INFA_NGA</v>
      </c>
    </row>
    <row r="888" spans="1:6" x14ac:dyDescent="0.25">
      <c r="A888" t="str">
        <f>setrules!D939&amp;IF(setrules!E939="","",",-"&amp;setrules!E939)</f>
        <v/>
      </c>
      <c r="B888" t="str">
        <f>setrules!F939&amp;IF(setrules!G939="","",",-"&amp;setrules!G939)&amp;IF(setrules!P939="","",",-"&amp;setrules!P939)</f>
        <v>INGEFAC*</v>
      </c>
      <c r="C888" t="str">
        <f>setrules!H939&amp;IF(setrules!I939="","",",-"&amp;setrules!I939)</f>
        <v/>
      </c>
      <c r="D888" t="str">
        <f>setrules!J939&amp;IF(setrules!K939="","",",-"&amp;setrules!K939)</f>
        <v/>
      </c>
      <c r="E888" t="str">
        <f>setrules!L939&amp;IF(setrules!M939="","",",-"&amp;setrules!M939)</f>
        <v/>
      </c>
      <c r="F888" t="str">
        <f>setrules!B939</f>
        <v>INGFA_ALL</v>
      </c>
    </row>
    <row r="889" spans="1:6" x14ac:dyDescent="0.25">
      <c r="A889" t="str">
        <f>setrules!D940&amp;IF(setrules!E940="","",",-"&amp;setrules!E940)</f>
        <v/>
      </c>
      <c r="B889" t="str">
        <f>setrules!F940&amp;IF(setrules!G940="","",",-"&amp;setrules!G940)&amp;IF(setrules!P940="","",",-"&amp;setrules!P940)</f>
        <v>INFS*</v>
      </c>
      <c r="C889" t="str">
        <f>setrules!H940&amp;IF(setrules!I940="","",",-"&amp;setrules!I940)</f>
        <v/>
      </c>
      <c r="D889" t="str">
        <f>setrules!J940&amp;IF(setrules!K940="","",",-"&amp;setrules!K940)</f>
        <v/>
      </c>
      <c r="E889" t="str">
        <f>setrules!L940&amp;IF(setrules!M940="","",",-"&amp;setrules!M940)</f>
        <v/>
      </c>
      <c r="F889" t="str">
        <f>setrules!B940</f>
        <v>INF_ALL</v>
      </c>
    </row>
    <row r="890" spans="1:6" x14ac:dyDescent="0.25">
      <c r="A890" t="str">
        <f>setrules!D941&amp;IF(setrules!E941="","",",-"&amp;setrules!E941)</f>
        <v/>
      </c>
      <c r="B890" t="str">
        <f>setrules!F941&amp;IF(setrules!G941="","",",-"&amp;setrules!G941)&amp;IF(setrules!P941="","",",-"&amp;setrules!P941)</f>
        <v>INOEPRHLPG</v>
      </c>
      <c r="C890" t="str">
        <f>setrules!H941&amp;IF(setrules!I941="","",",-"&amp;setrules!I941)</f>
        <v/>
      </c>
      <c r="D890" t="str">
        <f>setrules!J941&amp;IF(setrules!K941="","",",-"&amp;setrules!K941)</f>
        <v/>
      </c>
      <c r="E890" t="str">
        <f>setrules!L941&amp;IF(setrules!M941="","",",-"&amp;setrules!M941)</f>
        <v/>
      </c>
      <c r="F890" t="str">
        <f>setrules!B941</f>
        <v>INOPH_LPG</v>
      </c>
    </row>
    <row r="891" spans="1:6" x14ac:dyDescent="0.25">
      <c r="A891" t="str">
        <f>setrules!D942&amp;IF(setrules!E942="","",",-"&amp;setrules!E942)</f>
        <v/>
      </c>
      <c r="B891" t="str">
        <f>setrules!F942&amp;IF(setrules!G942="","",",-"&amp;setrules!G942)&amp;IF(setrules!P942="","",",-"&amp;setrules!P942)</f>
        <v>INM*NGA*</v>
      </c>
      <c r="C891" t="str">
        <f>setrules!H942&amp;IF(setrules!I942="","",",-"&amp;setrules!I942)</f>
        <v/>
      </c>
      <c r="D891" t="str">
        <f>setrules!J942&amp;IF(setrules!K942="","",",-"&amp;setrules!K942)</f>
        <v/>
      </c>
      <c r="E891" t="str">
        <f>setrules!L942&amp;IF(setrules!M942="","",",-"&amp;setrules!M942)</f>
        <v/>
      </c>
      <c r="F891" t="str">
        <f>setrules!B942</f>
        <v>INM_NGA</v>
      </c>
    </row>
    <row r="892" spans="1:6" x14ac:dyDescent="0.25">
      <c r="A892" t="str">
        <f>setrules!D943&amp;IF(setrules!E943="","",",-"&amp;setrules!E943)</f>
        <v/>
      </c>
      <c r="B892" t="str">
        <f>setrules!F943&amp;IF(setrules!G943="","",",-"&amp;setrules!G943)&amp;IF(setrules!P943="","",",-"&amp;setrules!P943)</f>
        <v>INOEOHTOTP</v>
      </c>
      <c r="C892" t="str">
        <f>setrules!H943&amp;IF(setrules!I943="","",",-"&amp;setrules!I943)</f>
        <v/>
      </c>
      <c r="D892" t="str">
        <f>setrules!J943&amp;IF(setrules!K943="","",",-"&amp;setrules!K943)</f>
        <v/>
      </c>
      <c r="E892" t="str">
        <f>setrules!L943&amp;IF(setrules!M943="","",",-"&amp;setrules!M943)</f>
        <v/>
      </c>
      <c r="F892" t="str">
        <f>setrules!B943</f>
        <v>INOOH_OTP</v>
      </c>
    </row>
    <row r="893" spans="1:6" x14ac:dyDescent="0.25">
      <c r="A893" t="str">
        <f>setrules!D944&amp;IF(setrules!E944="","",",-"&amp;setrules!E944)</f>
        <v/>
      </c>
      <c r="B893" t="str">
        <f>setrules!F944&amp;IF(setrules!G944="","",",-"&amp;setrules!G944)&amp;IF(setrules!P944="","",",-"&amp;setrules!P944)</f>
        <v>INOEOHTPTC</v>
      </c>
      <c r="C893" t="str">
        <f>setrules!H944&amp;IF(setrules!I944="","",",-"&amp;setrules!I944)</f>
        <v/>
      </c>
      <c r="D893" t="str">
        <f>setrules!J944&amp;IF(setrules!K944="","",",-"&amp;setrules!K944)</f>
        <v/>
      </c>
      <c r="E893" t="str">
        <f>setrules!L944&amp;IF(setrules!M944="","",",-"&amp;setrules!M944)</f>
        <v/>
      </c>
      <c r="F893" t="str">
        <f>setrules!B944</f>
        <v>INOOH_PTC</v>
      </c>
    </row>
    <row r="894" spans="1:6" x14ac:dyDescent="0.25">
      <c r="A894" t="str">
        <f>setrules!D945&amp;IF(setrules!E945="","",",-"&amp;setrules!E945)</f>
        <v/>
      </c>
      <c r="B894" t="str">
        <f>setrules!F945&amp;IF(setrules!G945="","",",-"&amp;setrules!G945)&amp;IF(setrules!P945="","",",-"&amp;setrules!P945)</f>
        <v>INOEOHTRFL</v>
      </c>
      <c r="C894" t="str">
        <f>setrules!H945&amp;IF(setrules!I945="","",",-"&amp;setrules!I945)</f>
        <v/>
      </c>
      <c r="D894" t="str">
        <f>setrules!J945&amp;IF(setrules!K945="","",",-"&amp;setrules!K945)</f>
        <v/>
      </c>
      <c r="E894" t="str">
        <f>setrules!L945&amp;IF(setrules!M945="","",",-"&amp;setrules!M945)</f>
        <v/>
      </c>
      <c r="F894" t="str">
        <f>setrules!B945</f>
        <v>INOOH_RFL</v>
      </c>
    </row>
    <row r="895" spans="1:6" x14ac:dyDescent="0.25">
      <c r="A895" t="str">
        <f>setrules!D946&amp;IF(setrules!E946="","",",-"&amp;setrules!E946)</f>
        <v/>
      </c>
      <c r="B895" t="str">
        <f>setrules!F946&amp;IF(setrules!G946="","",",-"&amp;setrules!G946)&amp;IF(setrules!P946="","",",-"&amp;setrules!P946)</f>
        <v>INOEPRH*</v>
      </c>
      <c r="C895" t="str">
        <f>setrules!H946&amp;IF(setrules!I946="","",",-"&amp;setrules!I946)</f>
        <v/>
      </c>
      <c r="D895" t="str">
        <f>setrules!J946&amp;IF(setrules!K946="","",",-"&amp;setrules!K946)</f>
        <v/>
      </c>
      <c r="E895" t="str">
        <f>setrules!L946&amp;IF(setrules!M946="","",",-"&amp;setrules!M946)</f>
        <v/>
      </c>
      <c r="F895" t="str">
        <f>setrules!B946</f>
        <v>INOPH_ALL</v>
      </c>
    </row>
    <row r="896" spans="1:6" x14ac:dyDescent="0.25">
      <c r="A896" t="str">
        <f>setrules!D947&amp;IF(setrules!E947="","",",-"&amp;setrules!E947)</f>
        <v/>
      </c>
      <c r="B896" t="str">
        <f>setrules!F947&amp;IF(setrules!G947="","",",-"&amp;setrules!G947)&amp;IF(setrules!P947="","",",-"&amp;setrules!P947)</f>
        <v>INOEPRHCOA</v>
      </c>
      <c r="C896" t="str">
        <f>setrules!H947&amp;IF(setrules!I947="","",",-"&amp;setrules!I947)</f>
        <v/>
      </c>
      <c r="D896" t="str">
        <f>setrules!J947&amp;IF(setrules!K947="","",",-"&amp;setrules!K947)</f>
        <v/>
      </c>
      <c r="E896" t="str">
        <f>setrules!L947&amp;IF(setrules!M947="","",",-"&amp;setrules!M947)</f>
        <v/>
      </c>
      <c r="F896" t="str">
        <f>setrules!B947</f>
        <v>INOPH_COA</v>
      </c>
    </row>
    <row r="897" spans="1:6" x14ac:dyDescent="0.25">
      <c r="A897" t="str">
        <f>setrules!D948&amp;IF(setrules!E948="","",",-"&amp;setrules!E948)</f>
        <v/>
      </c>
      <c r="B897" t="str">
        <f>setrules!F948&amp;IF(setrules!G948="","",",-"&amp;setrules!G948)&amp;IF(setrules!P948="","",",-"&amp;setrules!P948)</f>
        <v>INOEOHTELC</v>
      </c>
      <c r="C897" t="str">
        <f>setrules!H948&amp;IF(setrules!I948="","",",-"&amp;setrules!I948)</f>
        <v/>
      </c>
      <c r="D897" t="str">
        <f>setrules!J948&amp;IF(setrules!K948="","",",-"&amp;setrules!K948)</f>
        <v/>
      </c>
      <c r="E897" t="str">
        <f>setrules!L948&amp;IF(setrules!M948="","",",-"&amp;setrules!M948)</f>
        <v/>
      </c>
      <c r="F897" t="str">
        <f>setrules!B948</f>
        <v>INOOH_ELC</v>
      </c>
    </row>
    <row r="898" spans="1:6" x14ac:dyDescent="0.25">
      <c r="A898" t="str">
        <f>setrules!D949&amp;IF(setrules!E949="","",",-"&amp;setrules!E949)</f>
        <v/>
      </c>
      <c r="B898" t="str">
        <f>setrules!F949&amp;IF(setrules!G949="","",",-"&amp;setrules!G949)&amp;IF(setrules!P949="","",",-"&amp;setrules!P949)</f>
        <v>INOEPRHELC</v>
      </c>
      <c r="C898" t="str">
        <f>setrules!H949&amp;IF(setrules!I949="","",",-"&amp;setrules!I949)</f>
        <v/>
      </c>
      <c r="D898" t="str">
        <f>setrules!J949&amp;IF(setrules!K949="","",",-"&amp;setrules!K949)</f>
        <v/>
      </c>
      <c r="E898" t="str">
        <f>setrules!L949&amp;IF(setrules!M949="","",",-"&amp;setrules!M949)</f>
        <v/>
      </c>
      <c r="F898" t="str">
        <f>setrules!B949</f>
        <v>INOPH_ELC</v>
      </c>
    </row>
    <row r="899" spans="1:6" x14ac:dyDescent="0.25">
      <c r="A899" t="str">
        <f>setrules!D950&amp;IF(setrules!E950="","",",-"&amp;setrules!E950)</f>
        <v/>
      </c>
      <c r="B899" t="str">
        <f>setrules!F950&amp;IF(setrules!G950="","",",-"&amp;setrules!G950)&amp;IF(setrules!P950="","",",-"&amp;setrules!P950)</f>
        <v>INO*B*BIO,INO*B*WOD,INO*B*TOM,INOEOHTBIO,-INO*BST*BIO,-INO*BSTWOD,-INO*BSTTOM</v>
      </c>
      <c r="C899" t="str">
        <f>setrules!H950&amp;IF(setrules!I950="","",",-"&amp;setrules!I950)</f>
        <v/>
      </c>
      <c r="D899" t="str">
        <f>setrules!J950&amp;IF(setrules!K950="","",",-"&amp;setrules!K950)</f>
        <v/>
      </c>
      <c r="E899" t="str">
        <f>setrules!L950&amp;IF(setrules!M950="","",",-"&amp;setrules!M950)</f>
        <v/>
      </c>
      <c r="F899" t="str">
        <f>setrules!B950</f>
        <v>INOOH_BIO</v>
      </c>
    </row>
    <row r="900" spans="1:6" x14ac:dyDescent="0.25">
      <c r="A900" t="str">
        <f>setrules!D951&amp;IF(setrules!E951="","",",-"&amp;setrules!E951)</f>
        <v/>
      </c>
      <c r="B900" t="str">
        <f>setrules!F951&amp;IF(setrules!G951="","",",-"&amp;setrules!G951)&amp;IF(setrules!P951="","",",-"&amp;setrules!P951)</f>
        <v>INOEPRHNGA</v>
      </c>
      <c r="C900" t="str">
        <f>setrules!H951&amp;IF(setrules!I951="","",",-"&amp;setrules!I951)</f>
        <v/>
      </c>
      <c r="D900" t="str">
        <f>setrules!J951&amp;IF(setrules!K951="","",",-"&amp;setrules!K951)</f>
        <v/>
      </c>
      <c r="E900" t="str">
        <f>setrules!L951&amp;IF(setrules!M951="","",",-"&amp;setrules!M951)</f>
        <v/>
      </c>
      <c r="F900" t="str">
        <f>setrules!B951</f>
        <v>INOPH_NGA</v>
      </c>
    </row>
    <row r="901" spans="1:6" x14ac:dyDescent="0.25">
      <c r="A901" t="str">
        <f>setrules!D952&amp;IF(setrules!E952="","",",-"&amp;setrules!E952)</f>
        <v/>
      </c>
      <c r="B901" t="str">
        <f>setrules!F952&amp;IF(setrules!G952="","",",-"&amp;setrules!G952)&amp;IF(setrules!P952="","",",-"&amp;setrules!P952)</f>
        <v>INO*B*,-INO*B*BIO,-INO*B*WOD,-INO*B*TOM,-INO*BST*,-INO*BSA*</v>
      </c>
      <c r="C901" t="str">
        <f>setrules!H952&amp;IF(setrules!I952="","",",-"&amp;setrules!I952)</f>
        <v/>
      </c>
      <c r="D901" t="str">
        <f>setrules!J952&amp;IF(setrules!K952="","",",-"&amp;setrules!K952)</f>
        <v/>
      </c>
      <c r="E901" t="str">
        <f>setrules!L952&amp;IF(setrules!M952="","",",-"&amp;setrules!M952)</f>
        <v/>
      </c>
      <c r="F901" t="str">
        <f>setrules!B952</f>
        <v>INOST_ALL</v>
      </c>
    </row>
    <row r="902" spans="1:6" x14ac:dyDescent="0.25">
      <c r="A902" t="str">
        <f>setrules!D953&amp;IF(setrules!E953="","",",-"&amp;setrules!E953)</f>
        <v/>
      </c>
      <c r="B902" t="str">
        <f>setrules!F953&amp;IF(setrules!G953="","",",-"&amp;setrules!G953)&amp;IF(setrules!P953="","",",-"&amp;setrules!P953)</f>
        <v>INOBOLFSTM</v>
      </c>
      <c r="C902" t="str">
        <f>setrules!H953&amp;IF(setrules!I953="","",",-"&amp;setrules!I953)</f>
        <v/>
      </c>
      <c r="D902" t="str">
        <f>setrules!J953&amp;IF(setrules!K953="","",",-"&amp;setrules!K953)</f>
        <v/>
      </c>
      <c r="E902" t="str">
        <f>setrules!L953&amp;IF(setrules!M953="","",",-"&amp;setrules!M953)</f>
        <v/>
      </c>
      <c r="F902" t="str">
        <f>setrules!B953</f>
        <v>INOST_CHP</v>
      </c>
    </row>
    <row r="903" spans="1:6" x14ac:dyDescent="0.25">
      <c r="A903" t="str">
        <f>setrules!D954&amp;IF(setrules!E954="","",",-"&amp;setrules!E954)</f>
        <v/>
      </c>
      <c r="B903" t="str">
        <f>setrules!F954&amp;IF(setrules!G954="","",",-"&amp;setrules!G954)&amp;IF(setrules!P954="","",",-"&amp;setrules!P954)</f>
        <v>INOEBSTCOA</v>
      </c>
      <c r="C903" t="str">
        <f>setrules!H954&amp;IF(setrules!I954="","",",-"&amp;setrules!I954)</f>
        <v/>
      </c>
      <c r="D903" t="str">
        <f>setrules!J954&amp;IF(setrules!K954="","",",-"&amp;setrules!K954)</f>
        <v/>
      </c>
      <c r="E903" t="str">
        <f>setrules!L954&amp;IF(setrules!M954="","",",-"&amp;setrules!M954)</f>
        <v/>
      </c>
      <c r="F903" t="str">
        <f>setrules!B954</f>
        <v>INOST_COA</v>
      </c>
    </row>
    <row r="904" spans="1:6" x14ac:dyDescent="0.25">
      <c r="A904" t="str">
        <f>setrules!D955&amp;IF(setrules!E955="","",",-"&amp;setrules!E955)</f>
        <v/>
      </c>
      <c r="B904" t="str">
        <f>setrules!F955&amp;IF(setrules!G955="","",",-"&amp;setrules!G955)&amp;IF(setrules!P955="","",",-"&amp;setrules!P955)</f>
        <v>INO*NGA,-,-INOEFACNGA,-INOEMDRNGA,-INOEOHTNGA,-INOEPRHNGA,-INONREGNGA,-</v>
      </c>
      <c r="C904" t="str">
        <f>setrules!H955&amp;IF(setrules!I955="","",",-"&amp;setrules!I955)</f>
        <v/>
      </c>
      <c r="D904" t="str">
        <f>setrules!J955&amp;IF(setrules!K955="","",",-"&amp;setrules!K955)</f>
        <v/>
      </c>
      <c r="E904" t="str">
        <f>setrules!L955&amp;IF(setrules!M955="","",",-"&amp;setrules!M955)</f>
        <v/>
      </c>
      <c r="F904" t="str">
        <f>setrules!B955</f>
        <v>INOST_NGA</v>
      </c>
    </row>
    <row r="905" spans="1:6" x14ac:dyDescent="0.25">
      <c r="A905" t="str">
        <f>setrules!D956&amp;IF(setrules!E956="","",",-"&amp;setrules!E956)</f>
        <v/>
      </c>
      <c r="B905" t="str">
        <f>setrules!F956&amp;IF(setrules!G956="","",",-"&amp;setrules!G956)&amp;IF(setrules!P956="","",",-"&amp;setrules!P956)</f>
        <v>INP*</v>
      </c>
      <c r="C905" t="str">
        <f>setrules!H956&amp;IF(setrules!I956="","",",-"&amp;setrules!I956)</f>
        <v/>
      </c>
      <c r="D905" t="str">
        <f>setrules!J956&amp;IF(setrules!K956="","",",-"&amp;setrules!K956)</f>
        <v/>
      </c>
      <c r="E905" t="str">
        <f>setrules!L956&amp;IF(setrules!M956="","",",-"&amp;setrules!M956)</f>
        <v/>
      </c>
      <c r="F905" t="str">
        <f>setrules!B956</f>
        <v>INP_ALL</v>
      </c>
    </row>
    <row r="906" spans="1:6" x14ac:dyDescent="0.25">
      <c r="A906" t="str">
        <f>setrules!D957&amp;IF(setrules!E957="","",",-"&amp;setrules!E957)</f>
        <v/>
      </c>
      <c r="B906" t="str">
        <f>setrules!F957&amp;IF(setrules!G957="","",",-"&amp;setrules!G957)&amp;IF(setrules!P957="","",",-"&amp;setrules!P957)</f>
        <v>IPBEOHTPTC</v>
      </c>
      <c r="C906" t="str">
        <f>setrules!H957&amp;IF(setrules!I957="","",",-"&amp;setrules!I957)</f>
        <v/>
      </c>
      <c r="D906" t="str">
        <f>setrules!J957&amp;IF(setrules!K957="","",",-"&amp;setrules!K957)</f>
        <v/>
      </c>
      <c r="E906" t="str">
        <f>setrules!L957&amp;IF(setrules!M957="","",",-"&amp;setrules!M957)</f>
        <v/>
      </c>
      <c r="F906" t="str">
        <f>setrules!B957</f>
        <v>IPBOH_PTC</v>
      </c>
    </row>
    <row r="907" spans="1:6" x14ac:dyDescent="0.25">
      <c r="A907" t="str">
        <f>setrules!D958&amp;IF(setrules!E958="","",",-"&amp;setrules!E958)</f>
        <v/>
      </c>
      <c r="B907" t="str">
        <f>setrules!F958&amp;IF(setrules!G958="","",",-"&amp;setrules!G958)&amp;IF(setrules!P958="","",",-"&amp;setrules!P958)</f>
        <v>INOEPRHDST</v>
      </c>
      <c r="C907" t="str">
        <f>setrules!H958&amp;IF(setrules!I958="","",",-"&amp;setrules!I958)</f>
        <v/>
      </c>
      <c r="D907" t="str">
        <f>setrules!J958&amp;IF(setrules!K958="","",",-"&amp;setrules!K958)</f>
        <v/>
      </c>
      <c r="E907" t="str">
        <f>setrules!L958&amp;IF(setrules!M958="","",",-"&amp;setrules!M958)</f>
        <v/>
      </c>
      <c r="F907" t="str">
        <f>setrules!B958</f>
        <v>INOPH_DST</v>
      </c>
    </row>
    <row r="908" spans="1:6" x14ac:dyDescent="0.25">
      <c r="A908" t="str">
        <f>setrules!D959&amp;IF(setrules!E959="","",",-"&amp;setrules!E959)</f>
        <v/>
      </c>
      <c r="B908" t="str">
        <f>setrules!F959&amp;IF(setrules!G959="","",",-"&amp;setrules!G959)&amp;IF(setrules!P959="","",",-"&amp;setrules!P959)</f>
        <v>INOH*OTH*</v>
      </c>
      <c r="C908" t="str">
        <f>setrules!H959&amp;IF(setrules!I959="","",",-"&amp;setrules!I959)</f>
        <v/>
      </c>
      <c r="D908" t="str">
        <f>setrules!J959&amp;IF(setrules!K959="","",",-"&amp;setrules!K959)</f>
        <v/>
      </c>
      <c r="E908" t="str">
        <f>setrules!L959&amp;IF(setrules!M959="","",",-"&amp;setrules!M959)</f>
        <v/>
      </c>
      <c r="F908" t="str">
        <f>setrules!B959</f>
        <v>INOH_OTH</v>
      </c>
    </row>
    <row r="909" spans="1:6" x14ac:dyDescent="0.25">
      <c r="A909" t="str">
        <f>setrules!D960&amp;IF(setrules!E960="","",",-"&amp;setrules!E960)</f>
        <v/>
      </c>
      <c r="B909" t="str">
        <f>setrules!F960&amp;IF(setrules!G960="","",",-"&amp;setrules!G960)&amp;IF(setrules!P960="","",",-"&amp;setrules!P960)</f>
        <v>INOEFACELC</v>
      </c>
      <c r="C909" t="str">
        <f>setrules!H960&amp;IF(setrules!I960="","",",-"&amp;setrules!I960)</f>
        <v/>
      </c>
      <c r="D909" t="str">
        <f>setrules!J960&amp;IF(setrules!K960="","",",-"&amp;setrules!K960)</f>
        <v/>
      </c>
      <c r="E909" t="str">
        <f>setrules!L960&amp;IF(setrules!M960="","",",-"&amp;setrules!M960)</f>
        <v/>
      </c>
      <c r="F909" t="str">
        <f>setrules!B960</f>
        <v>INOFA_ELC</v>
      </c>
    </row>
    <row r="910" spans="1:6" x14ac:dyDescent="0.25">
      <c r="A910" t="str">
        <f>setrules!D961&amp;IF(setrules!E961="","",",-"&amp;setrules!E961)</f>
        <v/>
      </c>
      <c r="B910" t="str">
        <f>setrules!F961&amp;IF(setrules!G961="","",",-"&amp;setrules!G961)&amp;IF(setrules!P961="","",",-"&amp;setrules!P961)</f>
        <v>INOEFACLPG</v>
      </c>
      <c r="C910" t="str">
        <f>setrules!H961&amp;IF(setrules!I961="","",",-"&amp;setrules!I961)</f>
        <v/>
      </c>
      <c r="D910" t="str">
        <f>setrules!J961&amp;IF(setrules!K961="","",",-"&amp;setrules!K961)</f>
        <v/>
      </c>
      <c r="E910" t="str">
        <f>setrules!L961&amp;IF(setrules!M961="","",",-"&amp;setrules!M961)</f>
        <v/>
      </c>
      <c r="F910" t="str">
        <f>setrules!B961</f>
        <v>INOFA_LPG</v>
      </c>
    </row>
    <row r="911" spans="1:6" x14ac:dyDescent="0.25">
      <c r="A911" t="str">
        <f>setrules!D962&amp;IF(setrules!E962="","",",-"&amp;setrules!E962)</f>
        <v/>
      </c>
      <c r="B911" t="str">
        <f>setrules!F962&amp;IF(setrules!G962="","",",-"&amp;setrules!G962)&amp;IF(setrules!P962="","",",-"&amp;setrules!P962)</f>
        <v>INOEFACNGA</v>
      </c>
      <c r="C911" t="str">
        <f>setrules!H962&amp;IF(setrules!I962="","",",-"&amp;setrules!I962)</f>
        <v/>
      </c>
      <c r="D911" t="str">
        <f>setrules!J962&amp;IF(setrules!K962="","",",-"&amp;setrules!K962)</f>
        <v/>
      </c>
      <c r="E911" t="str">
        <f>setrules!L962&amp;IF(setrules!M962="","",",-"&amp;setrules!M962)</f>
        <v/>
      </c>
      <c r="F911" t="str">
        <f>setrules!B962</f>
        <v>INOFA_NGA</v>
      </c>
    </row>
    <row r="912" spans="1:6" x14ac:dyDescent="0.25">
      <c r="A912" t="str">
        <f>setrules!D963&amp;IF(setrules!E963="","",",-"&amp;setrules!E963)</f>
        <v/>
      </c>
      <c r="B912" t="str">
        <f>setrules!F963&amp;IF(setrules!G963="","",",-"&amp;setrules!G963)&amp;IF(setrules!P963="","",",-"&amp;setrules!P963)</f>
        <v>INOH*</v>
      </c>
      <c r="C912" t="str">
        <f>setrules!H963&amp;IF(setrules!I963="","",",-"&amp;setrules!I963)</f>
        <v/>
      </c>
      <c r="D912" t="str">
        <f>setrules!J963&amp;IF(setrules!K963="","",",-"&amp;setrules!K963)</f>
        <v/>
      </c>
      <c r="E912" t="str">
        <f>setrules!L963&amp;IF(setrules!M963="","",",-"&amp;setrules!M963)</f>
        <v/>
      </c>
      <c r="F912" t="str">
        <f>setrules!B963</f>
        <v>INOH_ALL</v>
      </c>
    </row>
    <row r="913" spans="1:6" x14ac:dyDescent="0.25">
      <c r="A913" t="str">
        <f>setrules!D964&amp;IF(setrules!E964="","",",-"&amp;setrules!E964)</f>
        <v/>
      </c>
      <c r="B913" t="str">
        <f>setrules!F964&amp;IF(setrules!G964="","",",-"&amp;setrules!G964)&amp;IF(setrules!P964="","",",-"&amp;setrules!P964)</f>
        <v>INOH*COA*</v>
      </c>
      <c r="C913" t="str">
        <f>setrules!H964&amp;IF(setrules!I964="","",",-"&amp;setrules!I964)</f>
        <v/>
      </c>
      <c r="D913" t="str">
        <f>setrules!J964&amp;IF(setrules!K964="","",",-"&amp;setrules!K964)</f>
        <v/>
      </c>
      <c r="E913" t="str">
        <f>setrules!L964&amp;IF(setrules!M964="","",",-"&amp;setrules!M964)</f>
        <v/>
      </c>
      <c r="F913" t="str">
        <f>setrules!B964</f>
        <v>INOH_COA</v>
      </c>
    </row>
    <row r="914" spans="1:6" x14ac:dyDescent="0.25">
      <c r="A914" t="str">
        <f>setrules!D965&amp;IF(setrules!E965="","",",-"&amp;setrules!E965)</f>
        <v/>
      </c>
      <c r="B914" t="str">
        <f>setrules!F965&amp;IF(setrules!G965="","",",-"&amp;setrules!G965)&amp;IF(setrules!P965="","",",-"&amp;setrules!P965)</f>
        <v>INOH*DST*</v>
      </c>
      <c r="C914" t="str">
        <f>setrules!H965&amp;IF(setrules!I965="","",",-"&amp;setrules!I965)</f>
        <v/>
      </c>
      <c r="D914" t="str">
        <f>setrules!J965&amp;IF(setrules!K965="","",",-"&amp;setrules!K965)</f>
        <v/>
      </c>
      <c r="E914" t="str">
        <f>setrules!L965&amp;IF(setrules!M965="","",",-"&amp;setrules!M965)</f>
        <v/>
      </c>
      <c r="F914" t="str">
        <f>setrules!B965</f>
        <v>INOH_DST</v>
      </c>
    </row>
    <row r="915" spans="1:6" x14ac:dyDescent="0.25">
      <c r="A915" t="str">
        <f>setrules!D966&amp;IF(setrules!E966="","",",-"&amp;setrules!E966)</f>
        <v/>
      </c>
      <c r="B915" t="str">
        <f>setrules!F966&amp;IF(setrules!G966="","",",-"&amp;setrules!G966)&amp;IF(setrules!P966="","",",-"&amp;setrules!P966)</f>
        <v>INOEOHTNGA,INONREGNGA</v>
      </c>
      <c r="C915" t="str">
        <f>setrules!H966&amp;IF(setrules!I966="","",",-"&amp;setrules!I966)</f>
        <v/>
      </c>
      <c r="D915" t="str">
        <f>setrules!J966&amp;IF(setrules!K966="","",",-"&amp;setrules!K966)</f>
        <v/>
      </c>
      <c r="E915" t="str">
        <f>setrules!L966&amp;IF(setrules!M966="","",",-"&amp;setrules!M966)</f>
        <v/>
      </c>
      <c r="F915" t="str">
        <f>setrules!B966</f>
        <v>INOOH_NGA</v>
      </c>
    </row>
    <row r="916" spans="1:6" x14ac:dyDescent="0.25">
      <c r="A916" t="str">
        <f>setrules!D967&amp;IF(setrules!E967="","",",-"&amp;setrules!E967)</f>
        <v/>
      </c>
      <c r="B916" t="str">
        <f>setrules!F967&amp;IF(setrules!G967="","",",-"&amp;setrules!G967)&amp;IF(setrules!P967="","",",-"&amp;setrules!P967)</f>
        <v>INOH*NGA*</v>
      </c>
      <c r="C916" t="str">
        <f>setrules!H967&amp;IF(setrules!I967="","",",-"&amp;setrules!I967)</f>
        <v/>
      </c>
      <c r="D916" t="str">
        <f>setrules!J967&amp;IF(setrules!K967="","",",-"&amp;setrules!K967)</f>
        <v/>
      </c>
      <c r="E916" t="str">
        <f>setrules!L967&amp;IF(setrules!M967="","",",-"&amp;setrules!M967)</f>
        <v/>
      </c>
      <c r="F916" t="str">
        <f>setrules!B967</f>
        <v>INOH_NGA</v>
      </c>
    </row>
    <row r="917" spans="1:6" x14ac:dyDescent="0.25">
      <c r="A917" t="str">
        <f>setrules!D968&amp;IF(setrules!E968="","",",-"&amp;setrules!E968)</f>
        <v/>
      </c>
      <c r="B917" t="str">
        <f>setrules!F968&amp;IF(setrules!G968="","",",-"&amp;setrules!G968)&amp;IF(setrules!P968="","",",-"&amp;setrules!P968)</f>
        <v/>
      </c>
      <c r="C917" t="str">
        <f>setrules!H968&amp;IF(setrules!I968="","",",-"&amp;setrules!I968)</f>
        <v>*GLASS*</v>
      </c>
      <c r="D917" t="str">
        <f>setrules!J968&amp;IF(setrules!K968="","",",-"&amp;setrules!K968)</f>
        <v/>
      </c>
      <c r="E917" t="str">
        <f>setrules!L968&amp;IF(setrules!M968="","",",-"&amp;setrules!M968)</f>
        <v/>
      </c>
      <c r="F917" t="str">
        <f>setrules!B968</f>
        <v>IND_GLASS</v>
      </c>
    </row>
    <row r="918" spans="1:6" x14ac:dyDescent="0.25">
      <c r="A918" t="str">
        <f>setrules!D969&amp;IF(setrules!E969="","",",-"&amp;setrules!E969)</f>
        <v/>
      </c>
      <c r="B918" t="str">
        <f>setrules!F969&amp;IF(setrules!G969="","",",-"&amp;setrules!G969)&amp;IF(setrules!P969="","",",-"&amp;setrules!P969)</f>
        <v>INOH*PTC*</v>
      </c>
      <c r="C918" t="str">
        <f>setrules!H969&amp;IF(setrules!I969="","",",-"&amp;setrules!I969)</f>
        <v/>
      </c>
      <c r="D918" t="str">
        <f>setrules!J969&amp;IF(setrules!K969="","",",-"&amp;setrules!K969)</f>
        <v/>
      </c>
      <c r="E918" t="str">
        <f>setrules!L969&amp;IF(setrules!M969="","",",-"&amp;setrules!M969)</f>
        <v/>
      </c>
      <c r="F918" t="str">
        <f>setrules!B969</f>
        <v>INOH_PTC</v>
      </c>
    </row>
    <row r="919" spans="1:6" x14ac:dyDescent="0.25">
      <c r="A919" t="str">
        <f>setrules!D970&amp;IF(setrules!E970="","",",-"&amp;setrules!E970)</f>
        <v/>
      </c>
      <c r="B919" t="str">
        <f>setrules!F970&amp;IF(setrules!G970="","",",-"&amp;setrules!G970)&amp;IF(setrules!P970="","",",-"&amp;setrules!P970)</f>
        <v>INOH*RFL*</v>
      </c>
      <c r="C919" t="str">
        <f>setrules!H970&amp;IF(setrules!I970="","",",-"&amp;setrules!I970)</f>
        <v/>
      </c>
      <c r="D919" t="str">
        <f>setrules!J970&amp;IF(setrules!K970="","",",-"&amp;setrules!K970)</f>
        <v/>
      </c>
      <c r="E919" t="str">
        <f>setrules!L970&amp;IF(setrules!M970="","",",-"&amp;setrules!M970)</f>
        <v/>
      </c>
      <c r="F919" t="str">
        <f>setrules!B970</f>
        <v>INOH_RFL</v>
      </c>
    </row>
    <row r="920" spans="1:6" x14ac:dyDescent="0.25">
      <c r="A920" t="str">
        <f>setrules!D971&amp;IF(setrules!E971="","",",-"&amp;setrules!E971)</f>
        <v/>
      </c>
      <c r="B920" t="str">
        <f>setrules!F971&amp;IF(setrules!G971="","",",-"&amp;setrules!G971)&amp;IF(setrules!P971="","",",-"&amp;setrules!P971)</f>
        <v>INOEMDR*</v>
      </c>
      <c r="C920" t="str">
        <f>setrules!H971&amp;IF(setrules!I971="","",",-"&amp;setrules!I971)</f>
        <v/>
      </c>
      <c r="D920" t="str">
        <f>setrules!J971&amp;IF(setrules!K971="","",",-"&amp;setrules!K971)</f>
        <v/>
      </c>
      <c r="E920" t="str">
        <f>setrules!L971&amp;IF(setrules!M971="","",",-"&amp;setrules!M971)</f>
        <v/>
      </c>
      <c r="F920" t="str">
        <f>setrules!B971</f>
        <v>INOMD_ALL</v>
      </c>
    </row>
    <row r="921" spans="1:6" x14ac:dyDescent="0.25">
      <c r="A921" t="str">
        <f>setrules!D972&amp;IF(setrules!E972="","",",-"&amp;setrules!E972)</f>
        <v/>
      </c>
      <c r="B921" t="str">
        <f>setrules!F972&amp;IF(setrules!G972="","",",-"&amp;setrules!G972)&amp;IF(setrules!P972="","",",-"&amp;setrules!P972)</f>
        <v>INOEMDRDST</v>
      </c>
      <c r="C921" t="str">
        <f>setrules!H972&amp;IF(setrules!I972="","",",-"&amp;setrules!I972)</f>
        <v/>
      </c>
      <c r="D921" t="str">
        <f>setrules!J972&amp;IF(setrules!K972="","",",-"&amp;setrules!K972)</f>
        <v/>
      </c>
      <c r="E921" t="str">
        <f>setrules!L972&amp;IF(setrules!M972="","",",-"&amp;setrules!M972)</f>
        <v/>
      </c>
      <c r="F921" t="str">
        <f>setrules!B972</f>
        <v>INOMD_DST</v>
      </c>
    </row>
    <row r="922" spans="1:6" x14ac:dyDescent="0.25">
      <c r="A922" t="str">
        <f>setrules!D973&amp;IF(setrules!E973="","",",-"&amp;setrules!E973)</f>
        <v/>
      </c>
      <c r="B922" t="str">
        <f>setrules!F973&amp;IF(setrules!G973="","",",-"&amp;setrules!G973)&amp;IF(setrules!P973="","",",-"&amp;setrules!P973)</f>
        <v>INOEMDRELC</v>
      </c>
      <c r="C922" t="str">
        <f>setrules!H973&amp;IF(setrules!I973="","",",-"&amp;setrules!I973)</f>
        <v/>
      </c>
      <c r="D922" t="str">
        <f>setrules!J973&amp;IF(setrules!K973="","",",-"&amp;setrules!K973)</f>
        <v/>
      </c>
      <c r="E922" t="str">
        <f>setrules!L973&amp;IF(setrules!M973="","",",-"&amp;setrules!M973)</f>
        <v/>
      </c>
      <c r="F922" t="str">
        <f>setrules!B973</f>
        <v>INOMD_ELC</v>
      </c>
    </row>
    <row r="923" spans="1:6" x14ac:dyDescent="0.25">
      <c r="A923" t="str">
        <f>setrules!D974&amp;IF(setrules!E974="","",",-"&amp;setrules!E974)</f>
        <v/>
      </c>
      <c r="B923" t="str">
        <f>setrules!F974&amp;IF(setrules!G974="","",",-"&amp;setrules!G974)&amp;IF(setrules!P974="","",",-"&amp;setrules!P974)</f>
        <v>INOEMDRNGA</v>
      </c>
      <c r="C923" t="str">
        <f>setrules!H974&amp;IF(setrules!I974="","",",-"&amp;setrules!I974)</f>
        <v/>
      </c>
      <c r="D923" t="str">
        <f>setrules!J974&amp;IF(setrules!K974="","",",-"&amp;setrules!K974)</f>
        <v/>
      </c>
      <c r="E923" t="str">
        <f>setrules!L974&amp;IF(setrules!M974="","",",-"&amp;setrules!M974)</f>
        <v/>
      </c>
      <c r="F923" t="str">
        <f>setrules!B974</f>
        <v>INOMD_NGA</v>
      </c>
    </row>
    <row r="924" spans="1:6" x14ac:dyDescent="0.25">
      <c r="A924" t="str">
        <f>setrules!D975&amp;IF(setrules!E975="","",",-"&amp;setrules!E975)</f>
        <v/>
      </c>
      <c r="B924" t="str">
        <f>setrules!F975&amp;IF(setrules!G975="","",",-"&amp;setrules!G975)&amp;IF(setrules!P975="","",",-"&amp;setrules!P975)</f>
        <v>INO*B*BIO,INO*B*WOD,INO*B*TOM,INOEOHT*,INOOHTOSTM,-INO*BST*</v>
      </c>
      <c r="C924" t="str">
        <f>setrules!H975&amp;IF(setrules!I975="","",",-"&amp;setrules!I975)</f>
        <v/>
      </c>
      <c r="D924" t="str">
        <f>setrules!J975&amp;IF(setrules!K975="","",",-"&amp;setrules!K975)</f>
        <v/>
      </c>
      <c r="E924" t="str">
        <f>setrules!L975&amp;IF(setrules!M975="","",",-"&amp;setrules!M975)</f>
        <v/>
      </c>
      <c r="F924" t="str">
        <f>setrules!B975</f>
        <v>INOOH_ALL</v>
      </c>
    </row>
    <row r="925" spans="1:6" x14ac:dyDescent="0.25">
      <c r="A925" t="str">
        <f>setrules!D976&amp;IF(setrules!E976="","",",-"&amp;setrules!E976)</f>
        <v/>
      </c>
      <c r="B925" t="str">
        <f>setrules!F976&amp;IF(setrules!G976="","",",-"&amp;setrules!G976)&amp;IF(setrules!P976="","",",-"&amp;setrules!P976)</f>
        <v>INOH*ELC*</v>
      </c>
      <c r="C925" t="str">
        <f>setrules!H976&amp;IF(setrules!I976="","",",-"&amp;setrules!I976)</f>
        <v/>
      </c>
      <c r="D925" t="str">
        <f>setrules!J976&amp;IF(setrules!K976="","",",-"&amp;setrules!K976)</f>
        <v/>
      </c>
      <c r="E925" t="str">
        <f>setrules!L976&amp;IF(setrules!M976="","",",-"&amp;setrules!M976)</f>
        <v/>
      </c>
      <c r="F925" t="str">
        <f>setrules!B976</f>
        <v>INOH_ELC</v>
      </c>
    </row>
    <row r="926" spans="1:6" x14ac:dyDescent="0.25">
      <c r="A926" t="str">
        <f>setrules!D977&amp;IF(setrules!E977="","",",-"&amp;setrules!E977)</f>
        <v/>
      </c>
      <c r="B926" t="str">
        <f>setrules!F977&amp;IF(setrules!G977="","",",-"&amp;setrules!G977)&amp;IF(setrules!P977="","",",-"&amp;setrules!P977)</f>
        <v>IMTEFED*</v>
      </c>
      <c r="C926" t="str">
        <f>setrules!H977&amp;IF(setrules!I977="","",",-"&amp;setrules!I977)</f>
        <v/>
      </c>
      <c r="D926" t="str">
        <f>setrules!J977&amp;IF(setrules!K977="","",",-"&amp;setrules!K977)</f>
        <v/>
      </c>
      <c r="E926" t="str">
        <f>setrules!L977&amp;IF(setrules!M977="","",",-"&amp;setrules!M977)</f>
        <v/>
      </c>
      <c r="F926" t="str">
        <f>setrules!B977</f>
        <v>IMTFS_ALL</v>
      </c>
    </row>
    <row r="927" spans="1:6" x14ac:dyDescent="0.25">
      <c r="A927" t="str">
        <f>setrules!D978&amp;IF(setrules!E978="","",",-"&amp;setrules!E978)</f>
        <v/>
      </c>
      <c r="B927" t="str">
        <f>setrules!F978&amp;IF(setrules!G978="","",",-"&amp;setrules!G978)&amp;IF(setrules!P978="","",",-"&amp;setrules!P978)</f>
        <v>IOT*</v>
      </c>
      <c r="C927" t="str">
        <f>setrules!H978&amp;IF(setrules!I978="","",",-"&amp;setrules!I978)</f>
        <v/>
      </c>
      <c r="D927" t="str">
        <f>setrules!J978&amp;IF(setrules!K978="","",",-"&amp;setrules!K978)</f>
        <v/>
      </c>
      <c r="E927" t="str">
        <f>setrules!L978&amp;IF(setrules!M978="","",",-"&amp;setrules!M978)</f>
        <v/>
      </c>
      <c r="F927" t="str">
        <f>setrules!B978</f>
        <v>IND_OTHER</v>
      </c>
    </row>
    <row r="928" spans="1:6" x14ac:dyDescent="0.25">
      <c r="A928" t="str">
        <f>setrules!D979&amp;IF(setrules!E979="","",",-"&amp;setrules!E979)</f>
        <v/>
      </c>
      <c r="B928" t="str">
        <f>setrules!F979&amp;IF(setrules!G979="","",",-"&amp;setrules!G979)&amp;IF(setrules!P979="","",",-"&amp;setrules!P979)</f>
        <v>IMS*NGA,-,-IMSEFACNGA,-IMSEFEDNGA,-IMSEMDRNGA,-IMSEPRHNGA,-IMSNREGNGA,-</v>
      </c>
      <c r="C928" t="str">
        <f>setrules!H979&amp;IF(setrules!I979="","",",-"&amp;setrules!I979)</f>
        <v/>
      </c>
      <c r="D928" t="str">
        <f>setrules!J979&amp;IF(setrules!K979="","",",-"&amp;setrules!K979)</f>
        <v/>
      </c>
      <c r="E928" t="str">
        <f>setrules!L979&amp;IF(setrules!M979="","",",-"&amp;setrules!M979)</f>
        <v/>
      </c>
      <c r="F928" t="str">
        <f>setrules!B979</f>
        <v>IMSST_NGA</v>
      </c>
    </row>
    <row r="929" spans="1:6" x14ac:dyDescent="0.25">
      <c r="A929" t="str">
        <f>setrules!D980&amp;IF(setrules!E980="","",",-"&amp;setrules!E980)</f>
        <v/>
      </c>
      <c r="B929" t="str">
        <f>setrules!F980&amp;IF(setrules!G980="","",",-"&amp;setrules!G980)&amp;IF(setrules!P980="","",",-"&amp;setrules!P980)</f>
        <v>IMSE*RFL,-,-IMSEOHTRFL,-</v>
      </c>
      <c r="C929" t="str">
        <f>setrules!H980&amp;IF(setrules!I980="","",",-"&amp;setrules!I980)</f>
        <v/>
      </c>
      <c r="D929" t="str">
        <f>setrules!J980&amp;IF(setrules!K980="","",",-"&amp;setrules!K980)</f>
        <v/>
      </c>
      <c r="E929" t="str">
        <f>setrules!L980&amp;IF(setrules!M980="","",",-"&amp;setrules!M980)</f>
        <v/>
      </c>
      <c r="F929" t="str">
        <f>setrules!B980</f>
        <v>IMSST_RFL</v>
      </c>
    </row>
    <row r="930" spans="1:6" x14ac:dyDescent="0.25">
      <c r="A930" t="str">
        <f>setrules!D981&amp;IF(setrules!E981="","",",-"&amp;setrules!E981)</f>
        <v/>
      </c>
      <c r="B930" t="str">
        <f>setrules!F981&amp;IF(setrules!G981="","",",-"&amp;setrules!G981)&amp;IF(setrules!P981="","",",-"&amp;setrules!P981)</f>
        <v>IMTEFAC*</v>
      </c>
      <c r="C930" t="str">
        <f>setrules!H981&amp;IF(setrules!I981="","",",-"&amp;setrules!I981)</f>
        <v/>
      </c>
      <c r="D930" t="str">
        <f>setrules!J981&amp;IF(setrules!K981="","",",-"&amp;setrules!K981)</f>
        <v/>
      </c>
      <c r="E930" t="str">
        <f>setrules!L981&amp;IF(setrules!M981="","",",-"&amp;setrules!M981)</f>
        <v/>
      </c>
      <c r="F930" t="str">
        <f>setrules!B981</f>
        <v>IMTFA_ALL</v>
      </c>
    </row>
    <row r="931" spans="1:6" x14ac:dyDescent="0.25">
      <c r="A931" t="str">
        <f>setrules!D982&amp;IF(setrules!E982="","",",-"&amp;setrules!E982)</f>
        <v/>
      </c>
      <c r="B931" t="str">
        <f>setrules!F982&amp;IF(setrules!G982="","",",-"&amp;setrules!G982)&amp;IF(setrules!P982="","",",-"&amp;setrules!P982)</f>
        <v>IMTEFACCOA</v>
      </c>
      <c r="C931" t="str">
        <f>setrules!H982&amp;IF(setrules!I982="","",",-"&amp;setrules!I982)</f>
        <v/>
      </c>
      <c r="D931" t="str">
        <f>setrules!J982&amp;IF(setrules!K982="","",",-"&amp;setrules!K982)</f>
        <v/>
      </c>
      <c r="E931" t="str">
        <f>setrules!L982&amp;IF(setrules!M982="","",",-"&amp;setrules!M982)</f>
        <v/>
      </c>
      <c r="F931" t="str">
        <f>setrules!B982</f>
        <v>IMTFA_COA</v>
      </c>
    </row>
    <row r="932" spans="1:6" x14ac:dyDescent="0.25">
      <c r="A932" t="str">
        <f>setrules!D983&amp;IF(setrules!E983="","",",-"&amp;setrules!E983)</f>
        <v/>
      </c>
      <c r="B932" t="str">
        <f>setrules!F983&amp;IF(setrules!G983="","",",-"&amp;setrules!G983)&amp;IF(setrules!P983="","",",-"&amp;setrules!P983)</f>
        <v>IMTEFACDST</v>
      </c>
      <c r="C932" t="str">
        <f>setrules!H983&amp;IF(setrules!I983="","",",-"&amp;setrules!I983)</f>
        <v/>
      </c>
      <c r="D932" t="str">
        <f>setrules!J983&amp;IF(setrules!K983="","",",-"&amp;setrules!K983)</f>
        <v/>
      </c>
      <c r="E932" t="str">
        <f>setrules!L983&amp;IF(setrules!M983="","",",-"&amp;setrules!M983)</f>
        <v/>
      </c>
      <c r="F932" t="str">
        <f>setrules!B983</f>
        <v>IMTFA_DST</v>
      </c>
    </row>
    <row r="933" spans="1:6" x14ac:dyDescent="0.25">
      <c r="A933" t="str">
        <f>setrules!D984&amp;IF(setrules!E984="","",",-"&amp;setrules!E984)</f>
        <v/>
      </c>
      <c r="B933" t="str">
        <f>setrules!F984&amp;IF(setrules!G984="","",",-"&amp;setrules!G984)&amp;IF(setrules!P984="","",",-"&amp;setrules!P984)</f>
        <v>IMSEBPVCOA</v>
      </c>
      <c r="C933" t="str">
        <f>setrules!H984&amp;IF(setrules!I984="","",",-"&amp;setrules!I984)</f>
        <v/>
      </c>
      <c r="D933" t="str">
        <f>setrules!J984&amp;IF(setrules!K984="","",",-"&amp;setrules!K984)</f>
        <v/>
      </c>
      <c r="E933" t="str">
        <f>setrules!L984&amp;IF(setrules!M984="","",",-"&amp;setrules!M984)</f>
        <v/>
      </c>
      <c r="F933" t="str">
        <f>setrules!B984</f>
        <v>IMSST_COA</v>
      </c>
    </row>
    <row r="934" spans="1:6" x14ac:dyDescent="0.25">
      <c r="A934" t="str">
        <f>setrules!D985&amp;IF(setrules!E985="","",",-"&amp;setrules!E985)</f>
        <v/>
      </c>
      <c r="B934" t="str">
        <f>setrules!F985&amp;IF(setrules!G985="","",",-"&amp;setrules!G985)&amp;IF(setrules!P985="","",",-"&amp;setrules!P985)</f>
        <v>IMTEFACNGA</v>
      </c>
      <c r="C934" t="str">
        <f>setrules!H985&amp;IF(setrules!I985="","",",-"&amp;setrules!I985)</f>
        <v/>
      </c>
      <c r="D934" t="str">
        <f>setrules!J985&amp;IF(setrules!K985="","",",-"&amp;setrules!K985)</f>
        <v/>
      </c>
      <c r="E934" t="str">
        <f>setrules!L985&amp;IF(setrules!M985="","",",-"&amp;setrules!M985)</f>
        <v/>
      </c>
      <c r="F934" t="str">
        <f>setrules!B985</f>
        <v>IMTFA_NGA</v>
      </c>
    </row>
    <row r="935" spans="1:6" x14ac:dyDescent="0.25">
      <c r="A935" t="str">
        <f>setrules!D986&amp;IF(setrules!E986="","",",-"&amp;setrules!E986)</f>
        <v/>
      </c>
      <c r="B935" t="str">
        <f>setrules!F986&amp;IF(setrules!G986="","",",-"&amp;setrules!G986)&amp;IF(setrules!P986="","",",-"&amp;setrules!P986)</f>
        <v>IMSBOLFSTM</v>
      </c>
      <c r="C935" t="str">
        <f>setrules!H986&amp;IF(setrules!I986="","",",-"&amp;setrules!I986)</f>
        <v/>
      </c>
      <c r="D935" t="str">
        <f>setrules!J986&amp;IF(setrules!K986="","",",-"&amp;setrules!K986)</f>
        <v/>
      </c>
      <c r="E935" t="str">
        <f>setrules!L986&amp;IF(setrules!M986="","",",-"&amp;setrules!M986)</f>
        <v/>
      </c>
      <c r="F935" t="str">
        <f>setrules!B986</f>
        <v>IMSST_CHP</v>
      </c>
    </row>
    <row r="936" spans="1:6" x14ac:dyDescent="0.25">
      <c r="A936" t="str">
        <f>setrules!D987&amp;IF(setrules!E987="","",",-"&amp;setrules!E987)</f>
        <v/>
      </c>
      <c r="B936" t="str">
        <f>setrules!F987&amp;IF(setrules!G987="","",",-"&amp;setrules!G987)&amp;IF(setrules!P987="","",",-"&amp;setrules!P987)</f>
        <v>IMTEFEDBIO</v>
      </c>
      <c r="C936" t="str">
        <f>setrules!H987&amp;IF(setrules!I987="","",",-"&amp;setrules!I987)</f>
        <v/>
      </c>
      <c r="D936" t="str">
        <f>setrules!J987&amp;IF(setrules!K987="","",",-"&amp;setrules!K987)</f>
        <v/>
      </c>
      <c r="E936" t="str">
        <f>setrules!L987&amp;IF(setrules!M987="","",",-"&amp;setrules!M987)</f>
        <v/>
      </c>
      <c r="F936" t="str">
        <f>setrules!B987</f>
        <v>IMTFS_BIO</v>
      </c>
    </row>
    <row r="937" spans="1:6" x14ac:dyDescent="0.25">
      <c r="A937" t="str">
        <f>setrules!D988&amp;IF(setrules!E988="","",",-"&amp;setrules!E988)</f>
        <v/>
      </c>
      <c r="B937" t="str">
        <f>setrules!F988&amp;IF(setrules!G988="","",",-"&amp;setrules!G988)&amp;IF(setrules!P988="","",",-"&amp;setrules!P988)</f>
        <v>IMTEFEDCOK</v>
      </c>
      <c r="C937" t="str">
        <f>setrules!H988&amp;IF(setrules!I988="","",",-"&amp;setrules!I988)</f>
        <v/>
      </c>
      <c r="D937" t="str">
        <f>setrules!J988&amp;IF(setrules!K988="","",",-"&amp;setrules!K988)</f>
        <v/>
      </c>
      <c r="E937" t="str">
        <f>setrules!L988&amp;IF(setrules!M988="","",",-"&amp;setrules!M988)</f>
        <v/>
      </c>
      <c r="F937" t="str">
        <f>setrules!B988</f>
        <v>IMTFS_COK</v>
      </c>
    </row>
    <row r="938" spans="1:6" x14ac:dyDescent="0.25">
      <c r="A938" t="str">
        <f>setrules!D989&amp;IF(setrules!E989="","",",-"&amp;setrules!E989)</f>
        <v/>
      </c>
      <c r="B938" t="str">
        <f>setrules!F989&amp;IF(setrules!G989="","",",-"&amp;setrules!G989)&amp;IF(setrules!P989="","",",-"&amp;setrules!P989)</f>
        <v>IMTEFEDNGA</v>
      </c>
      <c r="C938" t="str">
        <f>setrules!H989&amp;IF(setrules!I989="","",",-"&amp;setrules!I989)</f>
        <v/>
      </c>
      <c r="D938" t="str">
        <f>setrules!J989&amp;IF(setrules!K989="","",",-"&amp;setrules!K989)</f>
        <v/>
      </c>
      <c r="E938" t="str">
        <f>setrules!L989&amp;IF(setrules!M989="","",",-"&amp;setrules!M989)</f>
        <v/>
      </c>
      <c r="F938" t="str">
        <f>setrules!B989</f>
        <v>IMTFS_NGA</v>
      </c>
    </row>
    <row r="939" spans="1:6" x14ac:dyDescent="0.25">
      <c r="A939" t="str">
        <f>setrules!D990&amp;IF(setrules!E990="","",",-"&amp;setrules!E990)</f>
        <v/>
      </c>
      <c r="B939" t="str">
        <f>setrules!F990&amp;IF(setrules!G990="","",",-"&amp;setrules!G990)&amp;IF(setrules!P990="","",",-"&amp;setrules!P990)</f>
        <v>IMTEFEDPTC</v>
      </c>
      <c r="C939" t="str">
        <f>setrules!H990&amp;IF(setrules!I990="","",",-"&amp;setrules!I990)</f>
        <v/>
      </c>
      <c r="D939" t="str">
        <f>setrules!J990&amp;IF(setrules!K990="","",",-"&amp;setrules!K990)</f>
        <v/>
      </c>
      <c r="E939" t="str">
        <f>setrules!L990&amp;IF(setrules!M990="","",",-"&amp;setrules!M990)</f>
        <v/>
      </c>
      <c r="F939" t="str">
        <f>setrules!B990</f>
        <v>IMTFS_PTC</v>
      </c>
    </row>
    <row r="940" spans="1:6" x14ac:dyDescent="0.25">
      <c r="A940" t="str">
        <f>setrules!D991&amp;IF(setrules!E991="","",",-"&amp;setrules!E991)</f>
        <v/>
      </c>
      <c r="B940" t="str">
        <f>setrules!F991&amp;IF(setrules!G991="","",",-"&amp;setrules!G991)&amp;IF(setrules!P991="","",",-"&amp;setrules!P991)</f>
        <v>IMTEMDR*</v>
      </c>
      <c r="C940" t="str">
        <f>setrules!H991&amp;IF(setrules!I991="","",",-"&amp;setrules!I991)</f>
        <v/>
      </c>
      <c r="D940" t="str">
        <f>setrules!J991&amp;IF(setrules!K991="","",",-"&amp;setrules!K991)</f>
        <v/>
      </c>
      <c r="E940" t="str">
        <f>setrules!L991&amp;IF(setrules!M991="","",",-"&amp;setrules!M991)</f>
        <v/>
      </c>
      <c r="F940" t="str">
        <f>setrules!B991</f>
        <v>IMTMD_ALL</v>
      </c>
    </row>
    <row r="941" spans="1:6" x14ac:dyDescent="0.25">
      <c r="A941" t="str">
        <f>setrules!D992&amp;IF(setrules!E992="","",",-"&amp;setrules!E992)</f>
        <v/>
      </c>
      <c r="B941" t="str">
        <f>setrules!F992&amp;IF(setrules!G992="","",",-"&amp;setrules!G992)&amp;IF(setrules!P992="","",",-"&amp;setrules!P992)</f>
        <v>IMTEMDRELC</v>
      </c>
      <c r="C941" t="str">
        <f>setrules!H992&amp;IF(setrules!I992="","",",-"&amp;setrules!I992)</f>
        <v/>
      </c>
      <c r="D941" t="str">
        <f>setrules!J992&amp;IF(setrules!K992="","",",-"&amp;setrules!K992)</f>
        <v/>
      </c>
      <c r="E941" t="str">
        <f>setrules!L992&amp;IF(setrules!M992="","",",-"&amp;setrules!M992)</f>
        <v/>
      </c>
      <c r="F941" t="str">
        <f>setrules!B992</f>
        <v>IMTMD_ELC</v>
      </c>
    </row>
    <row r="942" spans="1:6" x14ac:dyDescent="0.25">
      <c r="A942" t="str">
        <f>setrules!D993&amp;IF(setrules!E993="","",",-"&amp;setrules!E993)</f>
        <v/>
      </c>
      <c r="B942" t="str">
        <f>setrules!F993&amp;IF(setrules!G993="","",",-"&amp;setrules!G993)&amp;IF(setrules!P993="","",",-"&amp;setrules!P993)</f>
        <v>IMTEMDRNGA</v>
      </c>
      <c r="C942" t="str">
        <f>setrules!H993&amp;IF(setrules!I993="","",",-"&amp;setrules!I993)</f>
        <v/>
      </c>
      <c r="D942" t="str">
        <f>setrules!J993&amp;IF(setrules!K993="","",",-"&amp;setrules!K993)</f>
        <v/>
      </c>
      <c r="E942" t="str">
        <f>setrules!L993&amp;IF(setrules!M993="","",",-"&amp;setrules!M993)</f>
        <v/>
      </c>
      <c r="F942" t="str">
        <f>setrules!B993</f>
        <v>IMTMD_NGA</v>
      </c>
    </row>
    <row r="943" spans="1:6" x14ac:dyDescent="0.25">
      <c r="A943" t="str">
        <f>setrules!D994&amp;IF(setrules!E994="","",",-"&amp;setrules!E994)</f>
        <v/>
      </c>
      <c r="B943" t="str">
        <f>setrules!F994&amp;IF(setrules!G994="","",",-"&amp;setrules!G994)&amp;IF(setrules!P994="","",",-"&amp;setrules!P994)</f>
        <v>IMTEFACELC</v>
      </c>
      <c r="C943" t="str">
        <f>setrules!H994&amp;IF(setrules!I994="","",",-"&amp;setrules!I994)</f>
        <v/>
      </c>
      <c r="D943" t="str">
        <f>setrules!J994&amp;IF(setrules!K994="","",",-"&amp;setrules!K994)</f>
        <v/>
      </c>
      <c r="E943" t="str">
        <f>setrules!L994&amp;IF(setrules!M994="","",",-"&amp;setrules!M994)</f>
        <v/>
      </c>
      <c r="F943" t="str">
        <f>setrules!B994</f>
        <v>IMTFA_ELC</v>
      </c>
    </row>
    <row r="944" spans="1:6" x14ac:dyDescent="0.25">
      <c r="A944" t="str">
        <f>setrules!D995&amp;IF(setrules!E995="","",",-"&amp;setrules!E995)</f>
        <v/>
      </c>
      <c r="B944" t="str">
        <f>setrules!F995&amp;IF(setrules!G995="","",",-"&amp;setrules!G995)&amp;IF(setrules!P995="","",",-"&amp;setrules!P995)</f>
        <v>IMSNREGNGA</v>
      </c>
      <c r="C944" t="str">
        <f>setrules!H995&amp;IF(setrules!I995="","",",-"&amp;setrules!I995)</f>
        <v/>
      </c>
      <c r="D944" t="str">
        <f>setrules!J995&amp;IF(setrules!K995="","",",-"&amp;setrules!K995)</f>
        <v/>
      </c>
      <c r="E944" t="str">
        <f>setrules!L995&amp;IF(setrules!M995="","",",-"&amp;setrules!M995)</f>
        <v/>
      </c>
      <c r="F944" t="str">
        <f>setrules!B995</f>
        <v>IMSOH_NGA</v>
      </c>
    </row>
    <row r="945" spans="1:6" x14ac:dyDescent="0.25">
      <c r="A945" t="str">
        <f>setrules!D996&amp;IF(setrules!E996="","",",-"&amp;setrules!E996)</f>
        <v/>
      </c>
      <c r="B945" t="str">
        <f>setrules!F996&amp;IF(setrules!G996="","",",-"&amp;setrules!G996)&amp;IF(setrules!P996="","",",-"&amp;setrules!P996)</f>
        <v>IMSEFEDNGA</v>
      </c>
      <c r="C945" t="str">
        <f>setrules!H996&amp;IF(setrules!I996="","",",-"&amp;setrules!I996)</f>
        <v/>
      </c>
      <c r="D945" t="str">
        <f>setrules!J996&amp;IF(setrules!K996="","",",-"&amp;setrules!K996)</f>
        <v/>
      </c>
      <c r="E945" t="str">
        <f>setrules!L996&amp;IF(setrules!M996="","",",-"&amp;setrules!M996)</f>
        <v/>
      </c>
      <c r="F945" t="str">
        <f>setrules!B996</f>
        <v>IMSFS_NGA</v>
      </c>
    </row>
    <row r="946" spans="1:6" x14ac:dyDescent="0.25">
      <c r="A946" t="str">
        <f>setrules!D997&amp;IF(setrules!E997="","",",-"&amp;setrules!E997)</f>
        <v/>
      </c>
      <c r="B946" t="str">
        <f>setrules!F997&amp;IF(setrules!G997="","",",-"&amp;setrules!G997)&amp;IF(setrules!P997="","",",-"&amp;setrules!P997)</f>
        <v>IMSEFEDPTC</v>
      </c>
      <c r="C946" t="str">
        <f>setrules!H997&amp;IF(setrules!I997="","",",-"&amp;setrules!I997)</f>
        <v/>
      </c>
      <c r="D946" t="str">
        <f>setrules!J997&amp;IF(setrules!K997="","",",-"&amp;setrules!K997)</f>
        <v/>
      </c>
      <c r="E946" t="str">
        <f>setrules!L997&amp;IF(setrules!M997="","",",-"&amp;setrules!M997)</f>
        <v/>
      </c>
      <c r="F946" t="str">
        <f>setrules!B997</f>
        <v>IMSFS_PTC</v>
      </c>
    </row>
    <row r="947" spans="1:6" x14ac:dyDescent="0.25">
      <c r="A947" t="str">
        <f>setrules!D998&amp;IF(setrules!E998="","",",-"&amp;setrules!E998)</f>
        <v/>
      </c>
      <c r="B947" t="str">
        <f>setrules!F998&amp;IF(setrules!G998="","",",-"&amp;setrules!G998)&amp;IF(setrules!P998="","",",-"&amp;setrules!P998)</f>
        <v>IMSEMDR*</v>
      </c>
      <c r="C947" t="str">
        <f>setrules!H998&amp;IF(setrules!I998="","",",-"&amp;setrules!I998)</f>
        <v/>
      </c>
      <c r="D947" t="str">
        <f>setrules!J998&amp;IF(setrules!K998="","",",-"&amp;setrules!K998)</f>
        <v/>
      </c>
      <c r="E947" t="str">
        <f>setrules!L998&amp;IF(setrules!M998="","",",-"&amp;setrules!M998)</f>
        <v/>
      </c>
      <c r="F947" t="str">
        <f>setrules!B998</f>
        <v>IMSMD_ALL</v>
      </c>
    </row>
    <row r="948" spans="1:6" x14ac:dyDescent="0.25">
      <c r="A948" t="str">
        <f>setrules!D999&amp;IF(setrules!E999="","",",-"&amp;setrules!E999)</f>
        <v/>
      </c>
      <c r="B948" t="str">
        <f>setrules!F999&amp;IF(setrules!G999="","",",-"&amp;setrules!G999)&amp;IF(setrules!P999="","",",-"&amp;setrules!P999)</f>
        <v>IMSEMDRELC</v>
      </c>
      <c r="C948" t="str">
        <f>setrules!H999&amp;IF(setrules!I999="","",",-"&amp;setrules!I999)</f>
        <v/>
      </c>
      <c r="D948" t="str">
        <f>setrules!J999&amp;IF(setrules!K999="","",",-"&amp;setrules!K999)</f>
        <v/>
      </c>
      <c r="E948" t="str">
        <f>setrules!L999&amp;IF(setrules!M999="","",",-"&amp;setrules!M999)</f>
        <v/>
      </c>
      <c r="F948" t="str">
        <f>setrules!B999</f>
        <v>IMSMD_ELC</v>
      </c>
    </row>
    <row r="949" spans="1:6" x14ac:dyDescent="0.25">
      <c r="A949" t="str">
        <f>setrules!D1000&amp;IF(setrules!E1000="","",",-"&amp;setrules!E1000)</f>
        <v/>
      </c>
      <c r="B949" t="str">
        <f>setrules!F1000&amp;IF(setrules!G1000="","",",-"&amp;setrules!G1000)&amp;IF(setrules!P1000="","",",-"&amp;setrules!P1000)</f>
        <v>IMSEMDRNGA</v>
      </c>
      <c r="C949" t="str">
        <f>setrules!H1000&amp;IF(setrules!I1000="","",",-"&amp;setrules!I1000)</f>
        <v/>
      </c>
      <c r="D949" t="str">
        <f>setrules!J1000&amp;IF(setrules!K1000="","",",-"&amp;setrules!K1000)</f>
        <v/>
      </c>
      <c r="E949" t="str">
        <f>setrules!L1000&amp;IF(setrules!M1000="","",",-"&amp;setrules!M1000)</f>
        <v/>
      </c>
      <c r="F949" t="str">
        <f>setrules!B1000</f>
        <v>IMSMD_NGA</v>
      </c>
    </row>
    <row r="950" spans="1:6" x14ac:dyDescent="0.25">
      <c r="A950" t="str">
        <f>setrules!D1001&amp;IF(setrules!E1001="","",",-"&amp;setrules!E1001)</f>
        <v/>
      </c>
      <c r="B950" t="str">
        <f>setrules!F1001&amp;IF(setrules!G1001="","",",-"&amp;setrules!G1001)&amp;IF(setrules!P1001="","",",-"&amp;setrules!P1001)</f>
        <v>IMS*B*BIO,IMS*B*WOD,IMS*B*TOM,IMSEOHT*,IMSOHTOSTM,-IMS*BST*</v>
      </c>
      <c r="C950" t="str">
        <f>setrules!H1001&amp;IF(setrules!I1001="","",",-"&amp;setrules!I1001)</f>
        <v/>
      </c>
      <c r="D950" t="str">
        <f>setrules!J1001&amp;IF(setrules!K1001="","",",-"&amp;setrules!K1001)</f>
        <v/>
      </c>
      <c r="E950" t="str">
        <f>setrules!L1001&amp;IF(setrules!M1001="","",",-"&amp;setrules!M1001)</f>
        <v/>
      </c>
      <c r="F950" t="str">
        <f>setrules!B1001</f>
        <v>IMSOH_ALL</v>
      </c>
    </row>
    <row r="951" spans="1:6" x14ac:dyDescent="0.25">
      <c r="A951" t="str">
        <f>setrules!D1002&amp;IF(setrules!E1002="","",",-"&amp;setrules!E1002)</f>
        <v/>
      </c>
      <c r="B951" t="str">
        <f>setrules!F1002&amp;IF(setrules!G1002="","",",-"&amp;setrules!G1002)&amp;IF(setrules!P1002="","",",-"&amp;setrules!P1002)</f>
        <v>IMSEBOLDST</v>
      </c>
      <c r="C951" t="str">
        <f>setrules!H1002&amp;IF(setrules!I1002="","",",-"&amp;setrules!I1002)</f>
        <v/>
      </c>
      <c r="D951" t="str">
        <f>setrules!J1002&amp;IF(setrules!K1002="","",",-"&amp;setrules!K1002)</f>
        <v/>
      </c>
      <c r="E951" t="str">
        <f>setrules!L1002&amp;IF(setrules!M1002="","",",-"&amp;setrules!M1002)</f>
        <v/>
      </c>
      <c r="F951" t="str">
        <f>setrules!B1002</f>
        <v>IMSST_DST</v>
      </c>
    </row>
    <row r="952" spans="1:6" x14ac:dyDescent="0.25">
      <c r="A952" t="str">
        <f>setrules!D1003&amp;IF(setrules!E1003="","",",-"&amp;setrules!E1003)</f>
        <v/>
      </c>
      <c r="B952" t="str">
        <f>setrules!F1003&amp;IF(setrules!G1003="","",",-"&amp;setrules!G1003)&amp;IF(setrules!P1003="","",",-"&amp;setrules!P1003)</f>
        <v>IMSEOHTELC</v>
      </c>
      <c r="C952" t="str">
        <f>setrules!H1003&amp;IF(setrules!I1003="","",",-"&amp;setrules!I1003)</f>
        <v/>
      </c>
      <c r="D952" t="str">
        <f>setrules!J1003&amp;IF(setrules!K1003="","",",-"&amp;setrules!K1003)</f>
        <v/>
      </c>
      <c r="E952" t="str">
        <f>setrules!L1003&amp;IF(setrules!M1003="","",",-"&amp;setrules!M1003)</f>
        <v/>
      </c>
      <c r="F952" t="str">
        <f>setrules!B1003</f>
        <v>IMSOH_ELC</v>
      </c>
    </row>
    <row r="953" spans="1:6" x14ac:dyDescent="0.25">
      <c r="A953" t="str">
        <f>setrules!D1004&amp;IF(setrules!E1004="","",",-"&amp;setrules!E1004)</f>
        <v/>
      </c>
      <c r="B953" t="str">
        <f>setrules!F1004&amp;IF(setrules!G1004="","",",-"&amp;setrules!G1004)&amp;IF(setrules!P1004="","",",-"&amp;setrules!P1004)</f>
        <v>IMTEOHTELC</v>
      </c>
      <c r="C953" t="str">
        <f>setrules!H1004&amp;IF(setrules!I1004="","",",-"&amp;setrules!I1004)</f>
        <v/>
      </c>
      <c r="D953" t="str">
        <f>setrules!J1004&amp;IF(setrules!K1004="","",",-"&amp;setrules!K1004)</f>
        <v/>
      </c>
      <c r="E953" t="str">
        <f>setrules!L1004&amp;IF(setrules!M1004="","",",-"&amp;setrules!M1004)</f>
        <v/>
      </c>
      <c r="F953" t="str">
        <f>setrules!B1004</f>
        <v>IMTOH_ELC</v>
      </c>
    </row>
    <row r="954" spans="1:6" x14ac:dyDescent="0.25">
      <c r="A954" t="str">
        <f>setrules!D1005&amp;IF(setrules!E1005="","",",-"&amp;setrules!E1005)</f>
        <v/>
      </c>
      <c r="B954" t="str">
        <f>setrules!F1005&amp;IF(setrules!G1005="","",",-"&amp;setrules!G1005)&amp;IF(setrules!P1005="","",",-"&amp;setrules!P1005)</f>
        <v>IMSEOHTPTC</v>
      </c>
      <c r="C954" t="str">
        <f>setrules!H1005&amp;IF(setrules!I1005="","",",-"&amp;setrules!I1005)</f>
        <v/>
      </c>
      <c r="D954" t="str">
        <f>setrules!J1005&amp;IF(setrules!K1005="","",",-"&amp;setrules!K1005)</f>
        <v/>
      </c>
      <c r="E954" t="str">
        <f>setrules!L1005&amp;IF(setrules!M1005="","",",-"&amp;setrules!M1005)</f>
        <v/>
      </c>
      <c r="F954" t="str">
        <f>setrules!B1005</f>
        <v>IMSOH_PTC</v>
      </c>
    </row>
    <row r="955" spans="1:6" x14ac:dyDescent="0.25">
      <c r="A955" t="str">
        <f>setrules!D1006&amp;IF(setrules!E1006="","",",-"&amp;setrules!E1006)</f>
        <v/>
      </c>
      <c r="B955" t="str">
        <f>setrules!F1006&amp;IF(setrules!G1006="","",",-"&amp;setrules!G1006)&amp;IF(setrules!P1006="","",",-"&amp;setrules!P1006)</f>
        <v>IMSEOHTRFL</v>
      </c>
      <c r="C955" t="str">
        <f>setrules!H1006&amp;IF(setrules!I1006="","",",-"&amp;setrules!I1006)</f>
        <v/>
      </c>
      <c r="D955" t="str">
        <f>setrules!J1006&amp;IF(setrules!K1006="","",",-"&amp;setrules!K1006)</f>
        <v/>
      </c>
      <c r="E955" t="str">
        <f>setrules!L1006&amp;IF(setrules!M1006="","",",-"&amp;setrules!M1006)</f>
        <v/>
      </c>
      <c r="F955" t="str">
        <f>setrules!B1006</f>
        <v>IMSOH_RFL</v>
      </c>
    </row>
    <row r="956" spans="1:6" x14ac:dyDescent="0.25">
      <c r="A956" t="str">
        <f>setrules!D1007&amp;IF(setrules!E1007="","",",-"&amp;setrules!E1007)</f>
        <v/>
      </c>
      <c r="B956" t="str">
        <f>setrules!F1007&amp;IF(setrules!G1007="","",",-"&amp;setrules!G1007)&amp;IF(setrules!P1007="","",",-"&amp;setrules!P1007)</f>
        <v>IMSEPRH*</v>
      </c>
      <c r="C956" t="str">
        <f>setrules!H1007&amp;IF(setrules!I1007="","",",-"&amp;setrules!I1007)</f>
        <v/>
      </c>
      <c r="D956" t="str">
        <f>setrules!J1007&amp;IF(setrules!K1007="","",",-"&amp;setrules!K1007)</f>
        <v/>
      </c>
      <c r="E956" t="str">
        <f>setrules!L1007&amp;IF(setrules!M1007="","",",-"&amp;setrules!M1007)</f>
        <v/>
      </c>
      <c r="F956" t="str">
        <f>setrules!B1007</f>
        <v>IMSPH_ALL</v>
      </c>
    </row>
    <row r="957" spans="1:6" x14ac:dyDescent="0.25">
      <c r="A957" t="str">
        <f>setrules!D1008&amp;IF(setrules!E1008="","",",-"&amp;setrules!E1008)</f>
        <v/>
      </c>
      <c r="B957" t="str">
        <f>setrules!F1008&amp;IF(setrules!G1008="","",",-"&amp;setrules!G1008)&amp;IF(setrules!P1008="","",",-"&amp;setrules!P1008)</f>
        <v>IMSEPRHCOA</v>
      </c>
      <c r="C957" t="str">
        <f>setrules!H1008&amp;IF(setrules!I1008="","",",-"&amp;setrules!I1008)</f>
        <v/>
      </c>
      <c r="D957" t="str">
        <f>setrules!J1008&amp;IF(setrules!K1008="","",",-"&amp;setrules!K1008)</f>
        <v/>
      </c>
      <c r="E957" t="str">
        <f>setrules!L1008&amp;IF(setrules!M1008="","",",-"&amp;setrules!M1008)</f>
        <v/>
      </c>
      <c r="F957" t="str">
        <f>setrules!B1008</f>
        <v>IMSPH_COA</v>
      </c>
    </row>
    <row r="958" spans="1:6" x14ac:dyDescent="0.25">
      <c r="A958" t="str">
        <f>setrules!D1009&amp;IF(setrules!E1009="","",",-"&amp;setrules!E1009)</f>
        <v/>
      </c>
      <c r="B958" t="str">
        <f>setrules!F1009&amp;IF(setrules!G1009="","",",-"&amp;setrules!G1009)&amp;IF(setrules!P1009="","",",-"&amp;setrules!P1009)</f>
        <v>IMSEPRHDST</v>
      </c>
      <c r="C958" t="str">
        <f>setrules!H1009&amp;IF(setrules!I1009="","",",-"&amp;setrules!I1009)</f>
        <v/>
      </c>
      <c r="D958" t="str">
        <f>setrules!J1009&amp;IF(setrules!K1009="","",",-"&amp;setrules!K1009)</f>
        <v/>
      </c>
      <c r="E958" t="str">
        <f>setrules!L1009&amp;IF(setrules!M1009="","",",-"&amp;setrules!M1009)</f>
        <v/>
      </c>
      <c r="F958" t="str">
        <f>setrules!B1009</f>
        <v>IMSPH_DST</v>
      </c>
    </row>
    <row r="959" spans="1:6" x14ac:dyDescent="0.25">
      <c r="A959" t="str">
        <f>setrules!D1010&amp;IF(setrules!E1010="","",",-"&amp;setrules!E1010)</f>
        <v/>
      </c>
      <c r="B959" t="str">
        <f>setrules!F1010&amp;IF(setrules!G1010="","",",-"&amp;setrules!G1010)&amp;IF(setrules!P1010="","",",-"&amp;setrules!P1010)</f>
        <v>IMSEPRHNGA</v>
      </c>
      <c r="C959" t="str">
        <f>setrules!H1010&amp;IF(setrules!I1010="","",",-"&amp;setrules!I1010)</f>
        <v/>
      </c>
      <c r="D959" t="str">
        <f>setrules!J1010&amp;IF(setrules!K1010="","",",-"&amp;setrules!K1010)</f>
        <v/>
      </c>
      <c r="E959" t="str">
        <f>setrules!L1010&amp;IF(setrules!M1010="","",",-"&amp;setrules!M1010)</f>
        <v/>
      </c>
      <c r="F959" t="str">
        <f>setrules!B1010</f>
        <v>IMSPH_NGA</v>
      </c>
    </row>
    <row r="960" spans="1:6" x14ac:dyDescent="0.25">
      <c r="A960" t="str">
        <f>setrules!D1011&amp;IF(setrules!E1011="","",",-"&amp;setrules!E1011)</f>
        <v/>
      </c>
      <c r="B960" t="str">
        <f>setrules!F1011&amp;IF(setrules!G1011="","",",-"&amp;setrules!G1011)&amp;IF(setrules!P1011="","",",-"&amp;setrules!P1011)</f>
        <v>TCC*</v>
      </c>
      <c r="C960" t="str">
        <f>setrules!H1011&amp;IF(setrules!I1011="","",",-"&amp;setrules!I1011)</f>
        <v/>
      </c>
      <c r="D960" t="str">
        <f>setrules!J1011&amp;IF(setrules!K1011="","",",-"&amp;setrules!K1011)</f>
        <v/>
      </c>
      <c r="E960" t="str">
        <f>setrules!L1011&amp;IF(setrules!M1011="","",",-"&amp;setrules!M1011)</f>
        <v/>
      </c>
      <c r="F960" t="str">
        <f>setrules!B1011</f>
        <v>TC-OTF</v>
      </c>
    </row>
    <row r="961" spans="1:6" x14ac:dyDescent="0.25">
      <c r="A961" t="str">
        <f>setrules!D1012&amp;IF(setrules!E1012="","",",-"&amp;setrules!E1012)</f>
        <v/>
      </c>
      <c r="B961" t="str">
        <f>setrules!F1012&amp;IF(setrules!G1012="","",",-"&amp;setrules!G1012)&amp;IF(setrules!P1012="","",",-"&amp;setrules!P1012)</f>
        <v>IMS*B*BIO,IMS*B*WOD,IMS*B*TOM,IMSEOHTBIO,-IMS*BSTBIO,-IMS*BSTWOD,-IMS*BSTTOM,-,-IMSEFEDBIO,-</v>
      </c>
      <c r="C961" t="str">
        <f>setrules!H1012&amp;IF(setrules!I1012="","",",-"&amp;setrules!I1012)</f>
        <v/>
      </c>
      <c r="D961" t="str">
        <f>setrules!J1012&amp;IF(setrules!K1012="","",",-"&amp;setrules!K1012)</f>
        <v/>
      </c>
      <c r="E961" t="str">
        <f>setrules!L1012&amp;IF(setrules!M1012="","",",-"&amp;setrules!M1012)</f>
        <v/>
      </c>
      <c r="F961" t="str">
        <f>setrules!B1012</f>
        <v>IMSOH_BIO</v>
      </c>
    </row>
    <row r="962" spans="1:6" x14ac:dyDescent="0.25">
      <c r="A962" t="str">
        <f>setrules!D1013&amp;IF(setrules!E1013="","",",-"&amp;setrules!E1013)</f>
        <v/>
      </c>
      <c r="B962" t="str">
        <f>setrules!F1013&amp;IF(setrules!G1013="","",",-"&amp;setrules!G1013)&amp;IF(setrules!P1013="","",",-"&amp;setrules!P1013)</f>
        <v>INCEPRHNGA</v>
      </c>
      <c r="C962" t="str">
        <f>setrules!H1013&amp;IF(setrules!I1013="","",",-"&amp;setrules!I1013)</f>
        <v/>
      </c>
      <c r="D962" t="str">
        <f>setrules!J1013&amp;IF(setrules!K1013="","",",-"&amp;setrules!K1013)</f>
        <v/>
      </c>
      <c r="E962" t="str">
        <f>setrules!L1013&amp;IF(setrules!M1013="","",",-"&amp;setrules!M1013)</f>
        <v/>
      </c>
      <c r="F962" t="str">
        <f>setrules!B1013</f>
        <v>INCPH_NGA</v>
      </c>
    </row>
    <row r="963" spans="1:6" x14ac:dyDescent="0.25">
      <c r="A963" t="str">
        <f>setrules!D1014&amp;IF(setrules!E1014="","",",-"&amp;setrules!E1014)</f>
        <v/>
      </c>
      <c r="B963" t="str">
        <f>setrules!F1014&amp;IF(setrules!G1014="","",",-"&amp;setrules!G1014)&amp;IF(setrules!P1014="","",",-"&amp;setrules!P1014)</f>
        <v>INCEFEDOTP</v>
      </c>
      <c r="C963" t="str">
        <f>setrules!H1014&amp;IF(setrules!I1014="","",",-"&amp;setrules!I1014)</f>
        <v/>
      </c>
      <c r="D963" t="str">
        <f>setrules!J1014&amp;IF(setrules!K1014="","",",-"&amp;setrules!K1014)</f>
        <v/>
      </c>
      <c r="E963" t="str">
        <f>setrules!L1014&amp;IF(setrules!M1014="","",",-"&amp;setrules!M1014)</f>
        <v/>
      </c>
      <c r="F963" t="str">
        <f>setrules!B1014</f>
        <v>INCFS_OTP</v>
      </c>
    </row>
    <row r="964" spans="1:6" x14ac:dyDescent="0.25">
      <c r="A964" t="str">
        <f>setrules!D1015&amp;IF(setrules!E1015="","",",-"&amp;setrules!E1015)</f>
        <v/>
      </c>
      <c r="B964" t="str">
        <f>setrules!F1015&amp;IF(setrules!G1015="","",",-"&amp;setrules!G1015)&amp;IF(setrules!P1015="","",",-"&amp;setrules!P1015)</f>
        <v>INCEFEDPTC</v>
      </c>
      <c r="C964" t="str">
        <f>setrules!H1015&amp;IF(setrules!I1015="","",",-"&amp;setrules!I1015)</f>
        <v/>
      </c>
      <c r="D964" t="str">
        <f>setrules!J1015&amp;IF(setrules!K1015="","",",-"&amp;setrules!K1015)</f>
        <v/>
      </c>
      <c r="E964" t="str">
        <f>setrules!L1015&amp;IF(setrules!M1015="","",",-"&amp;setrules!M1015)</f>
        <v/>
      </c>
      <c r="F964" t="str">
        <f>setrules!B1015</f>
        <v>INCFS_PTC</v>
      </c>
    </row>
    <row r="965" spans="1:6" x14ac:dyDescent="0.25">
      <c r="A965" t="str">
        <f>setrules!D1016&amp;IF(setrules!E1016="","",",-"&amp;setrules!E1016)</f>
        <v/>
      </c>
      <c r="B965" t="str">
        <f>setrules!F1016&amp;IF(setrules!G1016="","",",-"&amp;setrules!G1016)&amp;IF(setrules!P1016="","",",-"&amp;setrules!P1016)</f>
        <v>INC*B*BIO,INC*B*WOD,INC*B*TOM,INCEOHT*,INCOHTOSTM,-INC*BST*</v>
      </c>
      <c r="C965" t="str">
        <f>setrules!H1016&amp;IF(setrules!I1016="","",",-"&amp;setrules!I1016)</f>
        <v/>
      </c>
      <c r="D965" t="str">
        <f>setrules!J1016&amp;IF(setrules!K1016="","",",-"&amp;setrules!K1016)</f>
        <v/>
      </c>
      <c r="E965" t="str">
        <f>setrules!L1016&amp;IF(setrules!M1016="","",",-"&amp;setrules!M1016)</f>
        <v/>
      </c>
      <c r="F965" t="str">
        <f>setrules!B1016</f>
        <v>INCOH_ALL</v>
      </c>
    </row>
    <row r="966" spans="1:6" x14ac:dyDescent="0.25">
      <c r="A966" t="str">
        <f>setrules!D1017&amp;IF(setrules!E1017="","",",-"&amp;setrules!E1017)</f>
        <v/>
      </c>
      <c r="B966" t="str">
        <f>setrules!F1017&amp;IF(setrules!G1017="","",",-"&amp;setrules!G1017)&amp;IF(setrules!P1017="","",",-"&amp;setrules!P1017)</f>
        <v>INCEOHTOTP</v>
      </c>
      <c r="C966" t="str">
        <f>setrules!H1017&amp;IF(setrules!I1017="","",",-"&amp;setrules!I1017)</f>
        <v/>
      </c>
      <c r="D966" t="str">
        <f>setrules!J1017&amp;IF(setrules!K1017="","",",-"&amp;setrules!K1017)</f>
        <v/>
      </c>
      <c r="E966" t="str">
        <f>setrules!L1017&amp;IF(setrules!M1017="","",",-"&amp;setrules!M1017)</f>
        <v/>
      </c>
      <c r="F966" t="str">
        <f>setrules!B1017</f>
        <v>INCOH_OTP</v>
      </c>
    </row>
    <row r="967" spans="1:6" x14ac:dyDescent="0.25">
      <c r="A967" t="str">
        <f>setrules!D1018&amp;IF(setrules!E1018="","",",-"&amp;setrules!E1018)</f>
        <v/>
      </c>
      <c r="B967" t="str">
        <f>setrules!F1018&amp;IF(setrules!G1018="","",",-"&amp;setrules!G1018)&amp;IF(setrules!P1018="","",",-"&amp;setrules!P1018)</f>
        <v>INCEOHTPTC</v>
      </c>
      <c r="C967" t="str">
        <f>setrules!H1018&amp;IF(setrules!I1018="","",",-"&amp;setrules!I1018)</f>
        <v/>
      </c>
      <c r="D967" t="str">
        <f>setrules!J1018&amp;IF(setrules!K1018="","",",-"&amp;setrules!K1018)</f>
        <v/>
      </c>
      <c r="E967" t="str">
        <f>setrules!L1018&amp;IF(setrules!M1018="","",",-"&amp;setrules!M1018)</f>
        <v/>
      </c>
      <c r="F967" t="str">
        <f>setrules!B1018</f>
        <v>INCOH_PTC</v>
      </c>
    </row>
    <row r="968" spans="1:6" x14ac:dyDescent="0.25">
      <c r="A968" t="str">
        <f>setrules!D1019&amp;IF(setrules!E1019="","",",-"&amp;setrules!E1019)</f>
        <v/>
      </c>
      <c r="B968" t="str">
        <f>setrules!F1019&amp;IF(setrules!G1019="","",",-"&amp;setrules!G1019)&amp;IF(setrules!P1019="","",",-"&amp;setrules!P1019)</f>
        <v>INCEPRH*</v>
      </c>
      <c r="C968" t="str">
        <f>setrules!H1019&amp;IF(setrules!I1019="","",",-"&amp;setrules!I1019)</f>
        <v/>
      </c>
      <c r="D968" t="str">
        <f>setrules!J1019&amp;IF(setrules!K1019="","",",-"&amp;setrules!K1019)</f>
        <v/>
      </c>
      <c r="E968" t="str">
        <f>setrules!L1019&amp;IF(setrules!M1019="","",",-"&amp;setrules!M1019)</f>
        <v/>
      </c>
      <c r="F968" t="str">
        <f>setrules!B1019</f>
        <v>INCPH_ALL</v>
      </c>
    </row>
    <row r="969" spans="1:6" x14ac:dyDescent="0.25">
      <c r="A969" t="str">
        <f>setrules!D1020&amp;IF(setrules!E1020="","",",-"&amp;setrules!E1020)</f>
        <v/>
      </c>
      <c r="B969" t="str">
        <f>setrules!F1020&amp;IF(setrules!G1020="","",",-"&amp;setrules!G1020)&amp;IF(setrules!P1020="","",",-"&amp;setrules!P1020)</f>
        <v>IMT*B*BIO,IMT*B*WOD,IMT*B*TOM,IMTEOHT*,IMTOHTOSTM,-IMT*BST*</v>
      </c>
      <c r="C969" t="str">
        <f>setrules!H1020&amp;IF(setrules!I1020="","",",-"&amp;setrules!I1020)</f>
        <v/>
      </c>
      <c r="D969" t="str">
        <f>setrules!J1020&amp;IF(setrules!K1020="","",",-"&amp;setrules!K1020)</f>
        <v/>
      </c>
      <c r="E969" t="str">
        <f>setrules!L1020&amp;IF(setrules!M1020="","",",-"&amp;setrules!M1020)</f>
        <v/>
      </c>
      <c r="F969" t="str">
        <f>setrules!B1020</f>
        <v>IMTOH_ALL</v>
      </c>
    </row>
    <row r="970" spans="1:6" x14ac:dyDescent="0.25">
      <c r="A970" t="str">
        <f>setrules!D1021&amp;IF(setrules!E1021="","",",-"&amp;setrules!E1021)</f>
        <v/>
      </c>
      <c r="B970" t="str">
        <f>setrules!F1021&amp;IF(setrules!G1021="","",",-"&amp;setrules!G1021)&amp;IF(setrules!P1021="","",",-"&amp;setrules!P1021)</f>
        <v>INCEPRHELC</v>
      </c>
      <c r="C970" t="str">
        <f>setrules!H1021&amp;IF(setrules!I1021="","",",-"&amp;setrules!I1021)</f>
        <v/>
      </c>
      <c r="D970" t="str">
        <f>setrules!J1021&amp;IF(setrules!K1021="","",",-"&amp;setrules!K1021)</f>
        <v/>
      </c>
      <c r="E970" t="str">
        <f>setrules!L1021&amp;IF(setrules!M1021="","",",-"&amp;setrules!M1021)</f>
        <v/>
      </c>
      <c r="F970" t="str">
        <f>setrules!B1021</f>
        <v>INCPH_ELC</v>
      </c>
    </row>
    <row r="971" spans="1:6" x14ac:dyDescent="0.25">
      <c r="A971" t="str">
        <f>setrules!D1022&amp;IF(setrules!E1022="","",",-"&amp;setrules!E1022)</f>
        <v/>
      </c>
      <c r="B971" t="str">
        <f>setrules!F1022&amp;IF(setrules!G1022="","",",-"&amp;setrules!G1022)&amp;IF(setrules!P1022="","",",-"&amp;setrules!P1022)</f>
        <v>INCEFACDST</v>
      </c>
      <c r="C971" t="str">
        <f>setrules!H1022&amp;IF(setrules!I1022="","",",-"&amp;setrules!I1022)</f>
        <v/>
      </c>
      <c r="D971" t="str">
        <f>setrules!J1022&amp;IF(setrules!K1022="","",",-"&amp;setrules!K1022)</f>
        <v/>
      </c>
      <c r="E971" t="str">
        <f>setrules!L1022&amp;IF(setrules!M1022="","",",-"&amp;setrules!M1022)</f>
        <v/>
      </c>
      <c r="F971" t="str">
        <f>setrules!B1022</f>
        <v>INCFA_DST</v>
      </c>
    </row>
    <row r="972" spans="1:6" x14ac:dyDescent="0.25">
      <c r="A972" t="str">
        <f>setrules!D1023&amp;IF(setrules!E1023="","",",-"&amp;setrules!E1023)</f>
        <v/>
      </c>
      <c r="B972" t="str">
        <f>setrules!F1023&amp;IF(setrules!G1023="","",",-"&amp;setrules!G1023)&amp;IF(setrules!P1023="","",",-"&amp;setrules!P1023)</f>
        <v>INCEBOLDST</v>
      </c>
      <c r="C972" t="str">
        <f>setrules!H1023&amp;IF(setrules!I1023="","",",-"&amp;setrules!I1023)</f>
        <v/>
      </c>
      <c r="D972" t="str">
        <f>setrules!J1023&amp;IF(setrules!K1023="","",",-"&amp;setrules!K1023)</f>
        <v/>
      </c>
      <c r="E972" t="str">
        <f>setrules!L1023&amp;IF(setrules!M1023="","",",-"&amp;setrules!M1023)</f>
        <v/>
      </c>
      <c r="F972" t="str">
        <f>setrules!B1023</f>
        <v>INCST_DST</v>
      </c>
    </row>
    <row r="973" spans="1:6" x14ac:dyDescent="0.25">
      <c r="A973" t="str">
        <f>setrules!D1024&amp;IF(setrules!E1024="","",",-"&amp;setrules!E1024)</f>
        <v/>
      </c>
      <c r="B973" t="str">
        <f>setrules!F1024&amp;IF(setrules!G1024="","",",-"&amp;setrules!G1024)&amp;IF(setrules!P1024="","",",-"&amp;setrules!P1024)</f>
        <v>INCEREGNGA</v>
      </c>
      <c r="C973" t="str">
        <f>setrules!H1024&amp;IF(setrules!I1024="","",",-"&amp;setrules!I1024)</f>
        <v/>
      </c>
      <c r="D973" t="str">
        <f>setrules!J1024&amp;IF(setrules!K1024="","",",-"&amp;setrules!K1024)</f>
        <v/>
      </c>
      <c r="E973" t="str">
        <f>setrules!L1024&amp;IF(setrules!M1024="","",",-"&amp;setrules!M1024)</f>
        <v/>
      </c>
      <c r="F973" t="str">
        <f>setrules!B1024</f>
        <v>INCST_NGA</v>
      </c>
    </row>
    <row r="974" spans="1:6" x14ac:dyDescent="0.25">
      <c r="A974" t="str">
        <f>setrules!D1025&amp;IF(setrules!E1025="","",",-"&amp;setrules!E1025)</f>
        <v/>
      </c>
      <c r="B974" t="str">
        <f>setrules!F1025&amp;IF(setrules!G1025="","",",-"&amp;setrules!G1025)&amp;IF(setrules!P1025="","",",-"&amp;setrules!P1025)</f>
        <v/>
      </c>
      <c r="C974" t="str">
        <f>setrules!H1025&amp;IF(setrules!I1025="","",",-"&amp;setrules!I1025)</f>
        <v>*ALUMINUM*</v>
      </c>
      <c r="D974" t="str">
        <f>setrules!J1025&amp;IF(setrules!K1025="","",",-"&amp;setrules!K1025)</f>
        <v/>
      </c>
      <c r="E974" t="str">
        <f>setrules!L1025&amp;IF(setrules!M1025="","",",-"&amp;setrules!M1025)</f>
        <v/>
      </c>
      <c r="F974" t="str">
        <f>setrules!B1025</f>
        <v>IND_ALUMINUM</v>
      </c>
    </row>
    <row r="975" spans="1:6" x14ac:dyDescent="0.25">
      <c r="A975" t="str">
        <f>setrules!D1026&amp;IF(setrules!E1026="","",",-"&amp;setrules!E1026)</f>
        <v/>
      </c>
      <c r="B975" t="str">
        <f>setrules!F1026&amp;IF(setrules!G1026="","",",-"&amp;setrules!G1026)&amp;IF(setrules!P1026="","",",-"&amp;setrules!P1026)</f>
        <v>IN*,-ING*,-,-INDELC000,-</v>
      </c>
      <c r="C975" t="str">
        <f>setrules!H1026&amp;IF(setrules!I1026="","",",-"&amp;setrules!I1026)</f>
        <v/>
      </c>
      <c r="D975" t="str">
        <f>setrules!J1026&amp;IF(setrules!K1026="","",",-"&amp;setrules!K1026)</f>
        <v/>
      </c>
      <c r="E975" t="str">
        <f>setrules!L1026&amp;IF(setrules!M1026="","",",-"&amp;setrules!M1026)</f>
        <v/>
      </c>
      <c r="F975" t="str">
        <f>setrules!B1026</f>
        <v>IND_CEMENT</v>
      </c>
    </row>
    <row r="976" spans="1:6" x14ac:dyDescent="0.25">
      <c r="A976" t="str">
        <f>setrules!D1027&amp;IF(setrules!E1027="","",",-"&amp;setrules!E1027)</f>
        <v/>
      </c>
      <c r="B976" t="str">
        <f>setrules!F1027&amp;IF(setrules!G1027="","",",-"&amp;setrules!G1027)&amp;IF(setrules!P1027="","",",-"&amp;setrules!P1027)</f>
        <v>IC*</v>
      </c>
      <c r="C976" t="str">
        <f>setrules!H1027&amp;IF(setrules!I1027="","",",-"&amp;setrules!I1027)</f>
        <v/>
      </c>
      <c r="D976" t="str">
        <f>setrules!J1027&amp;IF(setrules!K1027="","",",-"&amp;setrules!K1027)</f>
        <v/>
      </c>
      <c r="E976" t="str">
        <f>setrules!L1027&amp;IF(setrules!M1027="","",",-"&amp;setrules!M1027)</f>
        <v/>
      </c>
      <c r="F976" t="str">
        <f>setrules!B1027</f>
        <v>IND_CHEM</v>
      </c>
    </row>
    <row r="977" spans="1:6" x14ac:dyDescent="0.25">
      <c r="A977" t="str">
        <f>setrules!D1028&amp;IF(setrules!E1028="","",",-"&amp;setrules!E1028)</f>
        <v/>
      </c>
      <c r="B977" t="str">
        <f>setrules!F1028&amp;IF(setrules!G1028="","",",-"&amp;setrules!G1028)&amp;IF(setrules!P1028="","",",-"&amp;setrules!P1028)</f>
        <v>IF*</v>
      </c>
      <c r="C977" t="str">
        <f>setrules!H1028&amp;IF(setrules!I1028="","",",-"&amp;setrules!I1028)</f>
        <v/>
      </c>
      <c r="D977" t="str">
        <f>setrules!J1028&amp;IF(setrules!K1028="","",",-"&amp;setrules!K1028)</f>
        <v>IND*</v>
      </c>
      <c r="E977" t="str">
        <f>setrules!L1028&amp;IF(setrules!M1028="","",",-"&amp;setrules!M1028)</f>
        <v/>
      </c>
      <c r="F977" t="str">
        <f>setrules!B1028</f>
        <v>IND_FOOD</v>
      </c>
    </row>
    <row r="978" spans="1:6" x14ac:dyDescent="0.25">
      <c r="A978" t="str">
        <f>setrules!D1029&amp;IF(setrules!E1029="","",",-"&amp;setrules!E1029)</f>
        <v/>
      </c>
      <c r="B978" t="str">
        <f>setrules!F1029&amp;IF(setrules!G1029="","",",-"&amp;setrules!G1029)&amp;IF(setrules!P1029="","",",-"&amp;setrules!P1029)</f>
        <v>INP*ELC*</v>
      </c>
      <c r="C978" t="str">
        <f>setrules!H1029&amp;IF(setrules!I1029="","",",-"&amp;setrules!I1029)</f>
        <v/>
      </c>
      <c r="D978" t="str">
        <f>setrules!J1029&amp;IF(setrules!K1029="","",",-"&amp;setrules!K1029)</f>
        <v/>
      </c>
      <c r="E978" t="str">
        <f>setrules!L1029&amp;IF(setrules!M1029="","",",-"&amp;setrules!M1029)</f>
        <v/>
      </c>
      <c r="F978" t="str">
        <f>setrules!B1029</f>
        <v>INP_ELC</v>
      </c>
    </row>
    <row r="979" spans="1:6" x14ac:dyDescent="0.25">
      <c r="A979" t="str">
        <f>setrules!D1030&amp;IF(setrules!E1030="","",",-"&amp;setrules!E1030)</f>
        <v/>
      </c>
      <c r="B979" t="str">
        <f>setrules!F1030&amp;IF(setrules!G1030="","",",-"&amp;setrules!G1030)&amp;IF(setrules!P1030="","",",-"&amp;setrules!P1030)</f>
        <v>INCEPRHCOA</v>
      </c>
      <c r="C979" t="str">
        <f>setrules!H1030&amp;IF(setrules!I1030="","",",-"&amp;setrules!I1030)</f>
        <v/>
      </c>
      <c r="D979" t="str">
        <f>setrules!J1030&amp;IF(setrules!K1030="","",",-"&amp;setrules!K1030)</f>
        <v/>
      </c>
      <c r="E979" t="str">
        <f>setrules!L1030&amp;IF(setrules!M1030="","",",-"&amp;setrules!M1030)</f>
        <v/>
      </c>
      <c r="F979" t="str">
        <f>setrules!B1030</f>
        <v>INCPH_COA</v>
      </c>
    </row>
    <row r="980" spans="1:6" x14ac:dyDescent="0.25">
      <c r="A980" t="str">
        <f>setrules!D1031&amp;IF(setrules!E1031="","",",-"&amp;setrules!E1031)</f>
        <v/>
      </c>
      <c r="B980" t="str">
        <f>setrules!F1031&amp;IF(setrules!G1031="","",",-"&amp;setrules!G1031)&amp;IF(setrules!P1031="","",",-"&amp;setrules!P1031)</f>
        <v>IMT*B*,-IMT*B*BIO,-IMT*B*WOD,-IMT*B*TOM,-IMT*BST*,-IMT*BSA*</v>
      </c>
      <c r="C980" t="str">
        <f>setrules!H1031&amp;IF(setrules!I1031="","",",-"&amp;setrules!I1031)</f>
        <v/>
      </c>
      <c r="D980" t="str">
        <f>setrules!J1031&amp;IF(setrules!K1031="","",",-"&amp;setrules!K1031)</f>
        <v/>
      </c>
      <c r="E980" t="str">
        <f>setrules!L1031&amp;IF(setrules!M1031="","",",-"&amp;setrules!M1031)</f>
        <v/>
      </c>
      <c r="F980" t="str">
        <f>setrules!B1031</f>
        <v>IMTST_ALL</v>
      </c>
    </row>
    <row r="981" spans="1:6" x14ac:dyDescent="0.25">
      <c r="A981" t="str">
        <f>setrules!D1032&amp;IF(setrules!E1032="","",",-"&amp;setrules!E1032)</f>
        <v/>
      </c>
      <c r="B981" t="str">
        <f>setrules!F1032&amp;IF(setrules!G1032="","",",-"&amp;setrules!G1032)&amp;IF(setrules!P1032="","",",-"&amp;setrules!P1032)</f>
        <v>IX*</v>
      </c>
      <c r="C981" t="str">
        <f>setrules!H1032&amp;IF(setrules!I1032="","",",-"&amp;setrules!I1032)</f>
        <v/>
      </c>
      <c r="D981" t="str">
        <f>setrules!J1032&amp;IF(setrules!K1032="","",",-"&amp;setrules!K1032)</f>
        <v/>
      </c>
      <c r="E981" t="str">
        <f>setrules!L1032&amp;IF(setrules!M1032="","",",-"&amp;setrules!M1032)</f>
        <v/>
      </c>
      <c r="F981" t="str">
        <f>setrules!B1032</f>
        <v>IND_NONMFG</v>
      </c>
    </row>
    <row r="982" spans="1:6" x14ac:dyDescent="0.25">
      <c r="A982" t="str">
        <f>setrules!D1033&amp;IF(setrules!E1033="","",",-"&amp;setrules!E1033)</f>
        <v/>
      </c>
      <c r="B982" t="str">
        <f>setrules!F1033&amp;IF(setrules!G1033="","",",-"&amp;setrules!G1033)&amp;IF(setrules!P1033="","",",-"&amp;setrules!P1033)</f>
        <v>IMTNREGNGA</v>
      </c>
      <c r="C982" t="str">
        <f>setrules!H1033&amp;IF(setrules!I1033="","",",-"&amp;setrules!I1033)</f>
        <v/>
      </c>
      <c r="D982" t="str">
        <f>setrules!J1033&amp;IF(setrules!K1033="","",",-"&amp;setrules!K1033)</f>
        <v/>
      </c>
      <c r="E982" t="str">
        <f>setrules!L1033&amp;IF(setrules!M1033="","",",-"&amp;setrules!M1033)</f>
        <v/>
      </c>
      <c r="F982" t="str">
        <f>setrules!B1033</f>
        <v>IMTOH_NGA</v>
      </c>
    </row>
    <row r="983" spans="1:6" x14ac:dyDescent="0.25">
      <c r="A983" t="str">
        <f>setrules!D1034&amp;IF(setrules!E1034="","",",-"&amp;setrules!E1034)</f>
        <v/>
      </c>
      <c r="B983" t="str">
        <f>setrules!F1034&amp;IF(setrules!G1034="","",",-"&amp;setrules!G1034)&amp;IF(setrules!P1034="","",",-"&amp;setrules!P1034)</f>
        <v>IMTEOHTPTC</v>
      </c>
      <c r="C983" t="str">
        <f>setrules!H1034&amp;IF(setrules!I1034="","",",-"&amp;setrules!I1034)</f>
        <v/>
      </c>
      <c r="D983" t="str">
        <f>setrules!J1034&amp;IF(setrules!K1034="","",",-"&amp;setrules!K1034)</f>
        <v/>
      </c>
      <c r="E983" t="str">
        <f>setrules!L1034&amp;IF(setrules!M1034="","",",-"&amp;setrules!M1034)</f>
        <v/>
      </c>
      <c r="F983" t="str">
        <f>setrules!B1034</f>
        <v>IMTOH_PTC</v>
      </c>
    </row>
    <row r="984" spans="1:6" x14ac:dyDescent="0.25">
      <c r="A984" t="str">
        <f>setrules!D1035&amp;IF(setrules!E1035="","",",-"&amp;setrules!E1035)</f>
        <v/>
      </c>
      <c r="B984" t="str">
        <f>setrules!F1035&amp;IF(setrules!G1035="","",",-"&amp;setrules!G1035)&amp;IF(setrules!P1035="","",",-"&amp;setrules!P1035)</f>
        <v>IMTEOHTRFL</v>
      </c>
      <c r="C984" t="str">
        <f>setrules!H1035&amp;IF(setrules!I1035="","",",-"&amp;setrules!I1035)</f>
        <v/>
      </c>
      <c r="D984" t="str">
        <f>setrules!J1035&amp;IF(setrules!K1035="","",",-"&amp;setrules!K1035)</f>
        <v/>
      </c>
      <c r="E984" t="str">
        <f>setrules!L1035&amp;IF(setrules!M1035="","",",-"&amp;setrules!M1035)</f>
        <v/>
      </c>
      <c r="F984" t="str">
        <f>setrules!B1035</f>
        <v>IMTOH_RFL</v>
      </c>
    </row>
    <row r="985" spans="1:6" x14ac:dyDescent="0.25">
      <c r="A985" t="str">
        <f>setrules!D1036&amp;IF(setrules!E1036="","",",-"&amp;setrules!E1036)</f>
        <v/>
      </c>
      <c r="B985" t="str">
        <f>setrules!F1036&amp;IF(setrules!G1036="","",",-"&amp;setrules!G1036)&amp;IF(setrules!P1036="","",",-"&amp;setrules!P1036)</f>
        <v>IMTEPRH*</v>
      </c>
      <c r="C985" t="str">
        <f>setrules!H1036&amp;IF(setrules!I1036="","",",-"&amp;setrules!I1036)</f>
        <v/>
      </c>
      <c r="D985" t="str">
        <f>setrules!J1036&amp;IF(setrules!K1036="","",",-"&amp;setrules!K1036)</f>
        <v/>
      </c>
      <c r="E985" t="str">
        <f>setrules!L1036&amp;IF(setrules!M1036="","",",-"&amp;setrules!M1036)</f>
        <v/>
      </c>
      <c r="F985" t="str">
        <f>setrules!B1036</f>
        <v>IMTPH_ALL</v>
      </c>
    </row>
    <row r="986" spans="1:6" x14ac:dyDescent="0.25">
      <c r="A986" t="str">
        <f>setrules!D1037&amp;IF(setrules!E1037="","",",-"&amp;setrules!E1037)</f>
        <v/>
      </c>
      <c r="B986" t="str">
        <f>setrules!F1037&amp;IF(setrules!G1037="","",",-"&amp;setrules!G1037)&amp;IF(setrules!P1037="","",",-"&amp;setrules!P1037)</f>
        <v>IMTEPRHCOA</v>
      </c>
      <c r="C986" t="str">
        <f>setrules!H1037&amp;IF(setrules!I1037="","",",-"&amp;setrules!I1037)</f>
        <v/>
      </c>
      <c r="D986" t="str">
        <f>setrules!J1037&amp;IF(setrules!K1037="","",",-"&amp;setrules!K1037)</f>
        <v/>
      </c>
      <c r="E986" t="str">
        <f>setrules!L1037&amp;IF(setrules!M1037="","",",-"&amp;setrules!M1037)</f>
        <v/>
      </c>
      <c r="F986" t="str">
        <f>setrules!B1037</f>
        <v>IMTPH_COA</v>
      </c>
    </row>
    <row r="987" spans="1:6" x14ac:dyDescent="0.25">
      <c r="A987" t="str">
        <f>setrules!D1038&amp;IF(setrules!E1038="","",",-"&amp;setrules!E1038)</f>
        <v/>
      </c>
      <c r="B987" t="str">
        <f>setrules!F1038&amp;IF(setrules!G1038="","",",-"&amp;setrules!G1038)&amp;IF(setrules!P1038="","",",-"&amp;setrules!P1038)</f>
        <v>IMTEPRHDST</v>
      </c>
      <c r="C987" t="str">
        <f>setrules!H1038&amp;IF(setrules!I1038="","",",-"&amp;setrules!I1038)</f>
        <v/>
      </c>
      <c r="D987" t="str">
        <f>setrules!J1038&amp;IF(setrules!K1038="","",",-"&amp;setrules!K1038)</f>
        <v/>
      </c>
      <c r="E987" t="str">
        <f>setrules!L1038&amp;IF(setrules!M1038="","",",-"&amp;setrules!M1038)</f>
        <v/>
      </c>
      <c r="F987" t="str">
        <f>setrules!B1038</f>
        <v>IMTPH_DST</v>
      </c>
    </row>
    <row r="988" spans="1:6" x14ac:dyDescent="0.25">
      <c r="A988" t="str">
        <f>setrules!D1039&amp;IF(setrules!E1039="","",",-"&amp;setrules!E1039)</f>
        <v/>
      </c>
      <c r="B988" t="str">
        <f>setrules!F1039&amp;IF(setrules!G1039="","",",-"&amp;setrules!G1039)&amp;IF(setrules!P1039="","",",-"&amp;setrules!P1039)</f>
        <v>INCEFED*</v>
      </c>
      <c r="C988" t="str">
        <f>setrules!H1039&amp;IF(setrules!I1039="","",",-"&amp;setrules!I1039)</f>
        <v/>
      </c>
      <c r="D988" t="str">
        <f>setrules!J1039&amp;IF(setrules!K1039="","",",-"&amp;setrules!K1039)</f>
        <v/>
      </c>
      <c r="E988" t="str">
        <f>setrules!L1039&amp;IF(setrules!M1039="","",",-"&amp;setrules!M1039)</f>
        <v/>
      </c>
      <c r="F988" t="str">
        <f>setrules!B1039</f>
        <v>INCFS_ALL</v>
      </c>
    </row>
    <row r="989" spans="1:6" x14ac:dyDescent="0.25">
      <c r="A989" t="str">
        <f>setrules!D1040&amp;IF(setrules!E1040="","",",-"&amp;setrules!E1040)</f>
        <v/>
      </c>
      <c r="B989" t="str">
        <f>setrules!F1040&amp;IF(setrules!G1040="","",",-"&amp;setrules!G1040)&amp;IF(setrules!P1040="","",",-"&amp;setrules!P1040)</f>
        <v>IMTEPRHNGA</v>
      </c>
      <c r="C989" t="str">
        <f>setrules!H1040&amp;IF(setrules!I1040="","",",-"&amp;setrules!I1040)</f>
        <v/>
      </c>
      <c r="D989" t="str">
        <f>setrules!J1040&amp;IF(setrules!K1040="","",",-"&amp;setrules!K1040)</f>
        <v/>
      </c>
      <c r="E989" t="str">
        <f>setrules!L1040&amp;IF(setrules!M1040="","",",-"&amp;setrules!M1040)</f>
        <v/>
      </c>
      <c r="F989" t="str">
        <f>setrules!B1040</f>
        <v>IMTPH_NGA</v>
      </c>
    </row>
    <row r="990" spans="1:6" x14ac:dyDescent="0.25">
      <c r="A990" t="str">
        <f>setrules!D1041&amp;IF(setrules!E1041="","",",-"&amp;setrules!E1041)</f>
        <v/>
      </c>
      <c r="B990" t="str">
        <f>setrules!F1041&amp;IF(setrules!G1041="","",",-"&amp;setrules!G1041)&amp;IF(setrules!P1041="","",",-"&amp;setrules!P1041)</f>
        <v>INCEFACELC</v>
      </c>
      <c r="C990" t="str">
        <f>setrules!H1041&amp;IF(setrules!I1041="","",",-"&amp;setrules!I1041)</f>
        <v/>
      </c>
      <c r="D990" t="str">
        <f>setrules!J1041&amp;IF(setrules!K1041="","",",-"&amp;setrules!K1041)</f>
        <v/>
      </c>
      <c r="E990" t="str">
        <f>setrules!L1041&amp;IF(setrules!M1041="","",",-"&amp;setrules!M1041)</f>
        <v/>
      </c>
      <c r="F990" t="str">
        <f>setrules!B1041</f>
        <v>INCFA_ELC</v>
      </c>
    </row>
    <row r="991" spans="1:6" x14ac:dyDescent="0.25">
      <c r="A991" t="str">
        <f>setrules!D1042&amp;IF(setrules!E1042="","",",-"&amp;setrules!E1042)</f>
        <v/>
      </c>
      <c r="B991" t="str">
        <f>setrules!F1042&amp;IF(setrules!G1042="","",",-"&amp;setrules!G1042)&amp;IF(setrules!P1042="","",",-"&amp;setrules!P1042)</f>
        <v>IMTBOLFSTM</v>
      </c>
      <c r="C991" t="str">
        <f>setrules!H1042&amp;IF(setrules!I1042="","",",-"&amp;setrules!I1042)</f>
        <v/>
      </c>
      <c r="D991" t="str">
        <f>setrules!J1042&amp;IF(setrules!K1042="","",",-"&amp;setrules!K1042)</f>
        <v/>
      </c>
      <c r="E991" t="str">
        <f>setrules!L1042&amp;IF(setrules!M1042="","",",-"&amp;setrules!M1042)</f>
        <v/>
      </c>
      <c r="F991" t="str">
        <f>setrules!B1042</f>
        <v>IMTST_CHP</v>
      </c>
    </row>
    <row r="992" spans="1:6" x14ac:dyDescent="0.25">
      <c r="A992" t="str">
        <f>setrules!D1043&amp;IF(setrules!E1043="","",",-"&amp;setrules!E1043)</f>
        <v/>
      </c>
      <c r="B992" t="str">
        <f>setrules!F1043&amp;IF(setrules!G1043="","",",-"&amp;setrules!G1043)&amp;IF(setrules!P1043="","",",-"&amp;setrules!P1043)</f>
        <v>IMTEBPVCOA</v>
      </c>
      <c r="C992" t="str">
        <f>setrules!H1043&amp;IF(setrules!I1043="","",",-"&amp;setrules!I1043)</f>
        <v/>
      </c>
      <c r="D992" t="str">
        <f>setrules!J1043&amp;IF(setrules!K1043="","",",-"&amp;setrules!K1043)</f>
        <v/>
      </c>
      <c r="E992" t="str">
        <f>setrules!L1043&amp;IF(setrules!M1043="","",",-"&amp;setrules!M1043)</f>
        <v/>
      </c>
      <c r="F992" t="str">
        <f>setrules!B1043</f>
        <v>IMTST_COA</v>
      </c>
    </row>
    <row r="993" spans="1:6" x14ac:dyDescent="0.25">
      <c r="A993" t="str">
        <f>setrules!D1044&amp;IF(setrules!E1044="","",",-"&amp;setrules!E1044)</f>
        <v/>
      </c>
      <c r="B993" t="str">
        <f>setrules!F1044&amp;IF(setrules!G1044="","",",-"&amp;setrules!G1044)&amp;IF(setrules!P1044="","",",-"&amp;setrules!P1044)</f>
        <v>IMT*NGA,-,-IMTEFACNGA,-IMTEFEDNGA,-IMTEMDRNGA,-IMTEPRHNGA,-IMTNREGNGA,-</v>
      </c>
      <c r="C993" t="str">
        <f>setrules!H1044&amp;IF(setrules!I1044="","",",-"&amp;setrules!I1044)</f>
        <v/>
      </c>
      <c r="D993" t="str">
        <f>setrules!J1044&amp;IF(setrules!K1044="","",",-"&amp;setrules!K1044)</f>
        <v/>
      </c>
      <c r="E993" t="str">
        <f>setrules!L1044&amp;IF(setrules!M1044="","",",-"&amp;setrules!M1044)</f>
        <v/>
      </c>
      <c r="F993" t="str">
        <f>setrules!B1044</f>
        <v>IMTST_NGA</v>
      </c>
    </row>
    <row r="994" spans="1:6" x14ac:dyDescent="0.25">
      <c r="A994" t="str">
        <f>setrules!D1045&amp;IF(setrules!E1045="","",",-"&amp;setrules!E1045)</f>
        <v/>
      </c>
      <c r="B994" t="str">
        <f>setrules!F1045&amp;IF(setrules!G1045="","",",-"&amp;setrules!G1045)&amp;IF(setrules!P1045="","",",-"&amp;setrules!P1045)</f>
        <v>IMTE*RFL,-,-IMTEOHTRFL,-</v>
      </c>
      <c r="C994" t="str">
        <f>setrules!H1045&amp;IF(setrules!I1045="","",",-"&amp;setrules!I1045)</f>
        <v/>
      </c>
      <c r="D994" t="str">
        <f>setrules!J1045&amp;IF(setrules!K1045="","",",-"&amp;setrules!K1045)</f>
        <v/>
      </c>
      <c r="E994" t="str">
        <f>setrules!L1045&amp;IF(setrules!M1045="","",",-"&amp;setrules!M1045)</f>
        <v/>
      </c>
      <c r="F994" t="str">
        <f>setrules!B1045</f>
        <v>IMTST_RFL</v>
      </c>
    </row>
    <row r="995" spans="1:6" x14ac:dyDescent="0.25">
      <c r="A995" t="str">
        <f>setrules!D1046&amp;IF(setrules!E1046="","",",-"&amp;setrules!E1046)</f>
        <v/>
      </c>
      <c r="B995" t="str">
        <f>setrules!F1046&amp;IF(setrules!G1046="","",",-"&amp;setrules!G1046)&amp;IF(setrules!P1046="","",",-"&amp;setrules!P1046)</f>
        <v>IN*</v>
      </c>
      <c r="C995" t="str">
        <f>setrules!H1046&amp;IF(setrules!I1046="","",",-"&amp;setrules!I1046)</f>
        <v/>
      </c>
      <c r="D995" t="str">
        <f>setrules!J1046&amp;IF(setrules!K1046="","",",-"&amp;setrules!K1046)</f>
        <v/>
      </c>
      <c r="E995" t="str">
        <f>setrules!L1046&amp;IF(setrules!M1046="","",",-"&amp;setrules!M1046)</f>
        <v/>
      </c>
      <c r="F995" t="str">
        <f>setrules!B1046</f>
        <v>IN EXISTING</v>
      </c>
    </row>
    <row r="996" spans="1:6" x14ac:dyDescent="0.25">
      <c r="A996" t="str">
        <f>setrules!D1047&amp;IF(setrules!E1047="","",",-"&amp;setrules!E1047)</f>
        <v/>
      </c>
      <c r="B996" t="str">
        <f>setrules!F1047&amp;IF(setrules!G1047="","",",-"&amp;setrules!G1047)&amp;IF(setrules!P1047="","",",-"&amp;setrules!P1047)</f>
        <v>INCEFAC*</v>
      </c>
      <c r="C996" t="str">
        <f>setrules!H1047&amp;IF(setrules!I1047="","",",-"&amp;setrules!I1047)</f>
        <v/>
      </c>
      <c r="D996" t="str">
        <f>setrules!J1047&amp;IF(setrules!K1047="","",",-"&amp;setrules!K1047)</f>
        <v/>
      </c>
      <c r="E996" t="str">
        <f>setrules!L1047&amp;IF(setrules!M1047="","",",-"&amp;setrules!M1047)</f>
        <v/>
      </c>
      <c r="F996" t="str">
        <f>setrules!B1047</f>
        <v>INCFA_ALL</v>
      </c>
    </row>
    <row r="997" spans="1:6" x14ac:dyDescent="0.25">
      <c r="A997" t="str">
        <f>setrules!D1048&amp;IF(setrules!E1048="","",",-"&amp;setrules!E1048)</f>
        <v/>
      </c>
      <c r="B997" t="str">
        <f>setrules!F1048&amp;IF(setrules!G1048="","",",-"&amp;setrules!G1048)&amp;IF(setrules!P1048="","",",-"&amp;setrules!P1048)</f>
        <v>IMT*B*BIO,IMT*B*WOD,IMT*B*TOM,IMTEOHTBIO,-IMT*BSTBIO,-IMT*BSTWOD,-IMT*BSTTOM,-,-IMTEFEDBIO,-</v>
      </c>
      <c r="C997" t="str">
        <f>setrules!H1048&amp;IF(setrules!I1048="","",",-"&amp;setrules!I1048)</f>
        <v/>
      </c>
      <c r="D997" t="str">
        <f>setrules!J1048&amp;IF(setrules!K1048="","",",-"&amp;setrules!K1048)</f>
        <v/>
      </c>
      <c r="E997" t="str">
        <f>setrules!L1048&amp;IF(setrules!M1048="","",",-"&amp;setrules!M1048)</f>
        <v/>
      </c>
      <c r="F997" t="str">
        <f>setrules!B1048</f>
        <v>IMTOH_BIO</v>
      </c>
    </row>
    <row r="998" spans="1:6" x14ac:dyDescent="0.25">
      <c r="A998" t="str">
        <f>setrules!D1049&amp;IF(setrules!E1049="","",",-"&amp;setrules!E1049)</f>
        <v/>
      </c>
      <c r="B998" t="str">
        <f>setrules!F1049&amp;IF(setrules!G1049="","",",-"&amp;setrules!G1049)&amp;IF(setrules!P1049="","",",-"&amp;setrules!P1049)</f>
        <v>IMTEPRHELC</v>
      </c>
      <c r="C998" t="str">
        <f>setrules!H1049&amp;IF(setrules!I1049="","",",-"&amp;setrules!I1049)</f>
        <v/>
      </c>
      <c r="D998" t="str">
        <f>setrules!J1049&amp;IF(setrules!K1049="","",",-"&amp;setrules!K1049)</f>
        <v/>
      </c>
      <c r="E998" t="str">
        <f>setrules!L1049&amp;IF(setrules!M1049="","",",-"&amp;setrules!M1049)</f>
        <v/>
      </c>
      <c r="F998" t="str">
        <f>setrules!B1049</f>
        <v>IMTPH_ELC</v>
      </c>
    </row>
    <row r="999" spans="1:6" x14ac:dyDescent="0.25">
      <c r="A999" t="str">
        <f>setrules!D1050&amp;IF(setrules!E1050="","",",-"&amp;setrules!E1050)</f>
        <v/>
      </c>
      <c r="B999" t="str">
        <f>setrules!F1050&amp;IF(setrules!G1050="","",",-"&amp;setrules!G1050)&amp;IF(setrules!P1050="","",",-"&amp;setrules!P1050)</f>
        <v>IOT*DST,-,-IOTEFACDST,-IOTEFEDDST,-IOTEMDRDST,-IOTEOHTDST,-IOTEPRHDST,-</v>
      </c>
      <c r="C999" t="str">
        <f>setrules!H1050&amp;IF(setrules!I1050="","",",-"&amp;setrules!I1050)</f>
        <v/>
      </c>
      <c r="D999" t="str">
        <f>setrules!J1050&amp;IF(setrules!K1050="","",",-"&amp;setrules!K1050)</f>
        <v/>
      </c>
      <c r="E999" t="str">
        <f>setrules!L1050&amp;IF(setrules!M1050="","",",-"&amp;setrules!M1050)</f>
        <v/>
      </c>
      <c r="F999" t="str">
        <f>setrules!B1050</f>
        <v>IOTST_DST</v>
      </c>
    </row>
    <row r="1000" spans="1:6" x14ac:dyDescent="0.25">
      <c r="A1000" t="str">
        <f>setrules!D1051&amp;IF(setrules!E1051="","",",-"&amp;setrules!E1051)</f>
        <v/>
      </c>
      <c r="B1000" t="str">
        <f>setrules!F1051&amp;IF(setrules!G1051="","",",-"&amp;setrules!G1051)&amp;IF(setrules!P1051="","",",-"&amp;setrules!P1051)</f>
        <v>IPAEFACELC</v>
      </c>
      <c r="C1000" t="str">
        <f>setrules!H1051&amp;IF(setrules!I1051="","",",-"&amp;setrules!I1051)</f>
        <v/>
      </c>
      <c r="D1000" t="str">
        <f>setrules!J1051&amp;IF(setrules!K1051="","",",-"&amp;setrules!K1051)</f>
        <v/>
      </c>
      <c r="E1000" t="str">
        <f>setrules!L1051&amp;IF(setrules!M1051="","",",-"&amp;setrules!M1051)</f>
        <v/>
      </c>
      <c r="F1000" t="str">
        <f>setrules!B1051</f>
        <v>IPAFA_ELC</v>
      </c>
    </row>
    <row r="1001" spans="1:6" x14ac:dyDescent="0.25">
      <c r="A1001" t="str">
        <f>setrules!D1052&amp;IF(setrules!E1052="","",",-"&amp;setrules!E1052)</f>
        <v/>
      </c>
      <c r="B1001" t="str">
        <f>setrules!F1052&amp;IF(setrules!G1052="","",",-"&amp;setrules!G1052)&amp;IF(setrules!P1052="","",",-"&amp;setrules!P1052)</f>
        <v>IOTEPRHELC</v>
      </c>
      <c r="C1001" t="str">
        <f>setrules!H1052&amp;IF(setrules!I1052="","",",-"&amp;setrules!I1052)</f>
        <v/>
      </c>
      <c r="D1001" t="str">
        <f>setrules!J1052&amp;IF(setrules!K1052="","",",-"&amp;setrules!K1052)</f>
        <v/>
      </c>
      <c r="E1001" t="str">
        <f>setrules!L1052&amp;IF(setrules!M1052="","",",-"&amp;setrules!M1052)</f>
        <v/>
      </c>
      <c r="F1001" t="str">
        <f>setrules!B1052</f>
        <v>IOTPH_ELC</v>
      </c>
    </row>
    <row r="1002" spans="1:6" x14ac:dyDescent="0.25">
      <c r="A1002" t="str">
        <f>setrules!D1053&amp;IF(setrules!E1053="","",",-"&amp;setrules!E1053)</f>
        <v/>
      </c>
      <c r="B1002" t="str">
        <f>setrules!F1053&amp;IF(setrules!G1053="","",",-"&amp;setrules!G1053)&amp;IF(setrules!P1053="","",",-"&amp;setrules!P1053)</f>
        <v>IOTEPRHLPG</v>
      </c>
      <c r="C1002" t="str">
        <f>setrules!H1053&amp;IF(setrules!I1053="","",",-"&amp;setrules!I1053)</f>
        <v/>
      </c>
      <c r="D1002" t="str">
        <f>setrules!J1053&amp;IF(setrules!K1053="","",",-"&amp;setrules!K1053)</f>
        <v/>
      </c>
      <c r="E1002" t="str">
        <f>setrules!L1053&amp;IF(setrules!M1053="","",",-"&amp;setrules!M1053)</f>
        <v/>
      </c>
      <c r="F1002" t="str">
        <f>setrules!B1053</f>
        <v>IOTPH_LPG</v>
      </c>
    </row>
    <row r="1003" spans="1:6" x14ac:dyDescent="0.25">
      <c r="A1003" t="str">
        <f>setrules!D1054&amp;IF(setrules!E1054="","",",-"&amp;setrules!E1054)</f>
        <v/>
      </c>
      <c r="B1003" t="str">
        <f>setrules!F1054&amp;IF(setrules!G1054="","",",-"&amp;setrules!G1054)&amp;IF(setrules!P1054="","",",-"&amp;setrules!P1054)</f>
        <v>IOTEPRHNGA</v>
      </c>
      <c r="C1003" t="str">
        <f>setrules!H1054&amp;IF(setrules!I1054="","",",-"&amp;setrules!I1054)</f>
        <v/>
      </c>
      <c r="D1003" t="str">
        <f>setrules!J1054&amp;IF(setrules!K1054="","",",-"&amp;setrules!K1054)</f>
        <v/>
      </c>
      <c r="E1003" t="str">
        <f>setrules!L1054&amp;IF(setrules!M1054="","",",-"&amp;setrules!M1054)</f>
        <v/>
      </c>
      <c r="F1003" t="str">
        <f>setrules!B1054</f>
        <v>IOTPH_NGA</v>
      </c>
    </row>
    <row r="1004" spans="1:6" x14ac:dyDescent="0.25">
      <c r="A1004" t="str">
        <f>setrules!D1055&amp;IF(setrules!E1055="","",",-"&amp;setrules!E1055)</f>
        <v/>
      </c>
      <c r="B1004" t="str">
        <f>setrules!F1055&amp;IF(setrules!G1055="","",",-"&amp;setrules!G1055)&amp;IF(setrules!P1055="","",",-"&amp;setrules!P1055)</f>
        <v>IOTEPRHRFL</v>
      </c>
      <c r="C1004" t="str">
        <f>setrules!H1055&amp;IF(setrules!I1055="","",",-"&amp;setrules!I1055)</f>
        <v/>
      </c>
      <c r="D1004" t="str">
        <f>setrules!J1055&amp;IF(setrules!K1055="","",",-"&amp;setrules!K1055)</f>
        <v/>
      </c>
      <c r="E1004" t="str">
        <f>setrules!L1055&amp;IF(setrules!M1055="","",",-"&amp;setrules!M1055)</f>
        <v/>
      </c>
      <c r="F1004" t="str">
        <f>setrules!B1055</f>
        <v>IOTPH_RFL</v>
      </c>
    </row>
    <row r="1005" spans="1:6" x14ac:dyDescent="0.25">
      <c r="A1005" t="str">
        <f>setrules!D1056&amp;IF(setrules!E1056="","",",-"&amp;setrules!E1056)</f>
        <v/>
      </c>
      <c r="B1005" t="str">
        <f>setrules!F1056&amp;IF(setrules!G1056="","",",-"&amp;setrules!G1056)&amp;IF(setrules!P1056="","",",-"&amp;setrules!P1056)</f>
        <v>IOT*B*,-IOT*B*BIO,-IOT*B*WOD,-IOT*B*TOM,-IOT*BST*,-IOT*BSA*</v>
      </c>
      <c r="C1005" t="str">
        <f>setrules!H1056&amp;IF(setrules!I1056="","",",-"&amp;setrules!I1056)</f>
        <v/>
      </c>
      <c r="D1005" t="str">
        <f>setrules!J1056&amp;IF(setrules!K1056="","",",-"&amp;setrules!K1056)</f>
        <v/>
      </c>
      <c r="E1005" t="str">
        <f>setrules!L1056&amp;IF(setrules!M1056="","",",-"&amp;setrules!M1056)</f>
        <v/>
      </c>
      <c r="F1005" t="str">
        <f>setrules!B1056</f>
        <v>IOTST_ALL</v>
      </c>
    </row>
    <row r="1006" spans="1:6" x14ac:dyDescent="0.25">
      <c r="A1006" t="str">
        <f>setrules!D1057&amp;IF(setrules!E1057="","",",-"&amp;setrules!E1057)</f>
        <v/>
      </c>
      <c r="B1006" t="str">
        <f>setrules!F1057&amp;IF(setrules!G1057="","",",-"&amp;setrules!G1057)&amp;IF(setrules!P1057="","",",-"&amp;setrules!P1057)</f>
        <v>IOTEPRHCOA</v>
      </c>
      <c r="C1006" t="str">
        <f>setrules!H1057&amp;IF(setrules!I1057="","",",-"&amp;setrules!I1057)</f>
        <v/>
      </c>
      <c r="D1006" t="str">
        <f>setrules!J1057&amp;IF(setrules!K1057="","",",-"&amp;setrules!K1057)</f>
        <v/>
      </c>
      <c r="E1006" t="str">
        <f>setrules!L1057&amp;IF(setrules!M1057="","",",-"&amp;setrules!M1057)</f>
        <v/>
      </c>
      <c r="F1006" t="str">
        <f>setrules!B1057</f>
        <v>IOTPH_COA</v>
      </c>
    </row>
    <row r="1007" spans="1:6" x14ac:dyDescent="0.25">
      <c r="A1007" t="str">
        <f>setrules!D1058&amp;IF(setrules!E1058="","",",-"&amp;setrules!E1058)</f>
        <v/>
      </c>
      <c r="B1007" t="str">
        <f>setrules!F1058&amp;IF(setrules!G1058="","",",-"&amp;setrules!G1058)&amp;IF(setrules!P1058="","",",-"&amp;setrules!P1058)</f>
        <v>IOT*COA,-,-IOTEFACCOA,-IOTEMDRCOA,-IOTEPRHCOA,-</v>
      </c>
      <c r="C1007" t="str">
        <f>setrules!H1058&amp;IF(setrules!I1058="","",",-"&amp;setrules!I1058)</f>
        <v/>
      </c>
      <c r="D1007" t="str">
        <f>setrules!J1058&amp;IF(setrules!K1058="","",",-"&amp;setrules!K1058)</f>
        <v/>
      </c>
      <c r="E1007" t="str">
        <f>setrules!L1058&amp;IF(setrules!M1058="","",",-"&amp;setrules!M1058)</f>
        <v/>
      </c>
      <c r="F1007" t="str">
        <f>setrules!B1058</f>
        <v>IOTST_COA</v>
      </c>
    </row>
    <row r="1008" spans="1:6" x14ac:dyDescent="0.25">
      <c r="A1008" t="str">
        <f>setrules!D1059&amp;IF(setrules!E1059="","",",-"&amp;setrules!E1059)</f>
        <v/>
      </c>
      <c r="B1008" t="str">
        <f>setrules!F1059&amp;IF(setrules!G1059="","",",-"&amp;setrules!G1059)&amp;IF(setrules!P1059="","",",-"&amp;setrules!P1059)</f>
        <v>IOTEPRH*</v>
      </c>
      <c r="C1008" t="str">
        <f>setrules!H1059&amp;IF(setrules!I1059="","",",-"&amp;setrules!I1059)</f>
        <v/>
      </c>
      <c r="D1008" t="str">
        <f>setrules!J1059&amp;IF(setrules!K1059="","",",-"&amp;setrules!K1059)</f>
        <v/>
      </c>
      <c r="E1008" t="str">
        <f>setrules!L1059&amp;IF(setrules!M1059="","",",-"&amp;setrules!M1059)</f>
        <v/>
      </c>
      <c r="F1008" t="str">
        <f>setrules!B1059</f>
        <v>IOTPH_ALL</v>
      </c>
    </row>
    <row r="1009" spans="1:6" x14ac:dyDescent="0.25">
      <c r="A1009" t="str">
        <f>setrules!D1060&amp;IF(setrules!E1060="","",",-"&amp;setrules!E1060)</f>
        <v/>
      </c>
      <c r="B1009" t="str">
        <f>setrules!F1060&amp;IF(setrules!G1060="","",",-"&amp;setrules!G1060)&amp;IF(setrules!P1060="","",",-"&amp;setrules!P1060)</f>
        <v>IOT*B*ELC</v>
      </c>
      <c r="C1009" t="str">
        <f>setrules!H1060&amp;IF(setrules!I1060="","",",-"&amp;setrules!I1060)</f>
        <v/>
      </c>
      <c r="D1009" t="str">
        <f>setrules!J1060&amp;IF(setrules!K1060="","",",-"&amp;setrules!K1060)</f>
        <v/>
      </c>
      <c r="E1009" t="str">
        <f>setrules!L1060&amp;IF(setrules!M1060="","",",-"&amp;setrules!M1060)</f>
        <v/>
      </c>
      <c r="F1009" t="str">
        <f>setrules!B1060</f>
        <v>IOTST_ELC</v>
      </c>
    </row>
    <row r="1010" spans="1:6" x14ac:dyDescent="0.25">
      <c r="A1010" t="str">
        <f>setrules!D1061&amp;IF(setrules!E1061="","",",-"&amp;setrules!E1061)</f>
        <v/>
      </c>
      <c r="B1010" t="str">
        <f>setrules!F1061&amp;IF(setrules!G1061="","",",-"&amp;setrules!G1061)&amp;IF(setrules!P1061="","",",-"&amp;setrules!P1061)</f>
        <v>IOT*LPG,-,-IOTEFEDLPG,-IOTEMDRLPG,-IOTEOHTLPG,-IOTEFACLPG,-IOTEPRHLPG,-</v>
      </c>
      <c r="C1010" t="str">
        <f>setrules!H1061&amp;IF(setrules!I1061="","",",-"&amp;setrules!I1061)</f>
        <v/>
      </c>
      <c r="D1010" t="str">
        <f>setrules!J1061&amp;IF(setrules!K1061="","",",-"&amp;setrules!K1061)</f>
        <v/>
      </c>
      <c r="E1010" t="str">
        <f>setrules!L1061&amp;IF(setrules!M1061="","",",-"&amp;setrules!M1061)</f>
        <v/>
      </c>
      <c r="F1010" t="str">
        <f>setrules!B1061</f>
        <v>IOTST_LPG</v>
      </c>
    </row>
    <row r="1011" spans="1:6" x14ac:dyDescent="0.25">
      <c r="A1011" t="str">
        <f>setrules!D1062&amp;IF(setrules!E1062="","",",-"&amp;setrules!E1062)</f>
        <v/>
      </c>
      <c r="B1011" t="str">
        <f>setrules!F1062&amp;IF(setrules!G1062="","",",-"&amp;setrules!G1062)&amp;IF(setrules!P1062="","",",-"&amp;setrules!P1062)</f>
        <v>IOT*NGA,-,-IOTEFEDNGA,-IOTEMDRNGA,-IOTEOHTNGA,-IOTEPRHNGA,-IOTEFACNGA,-IOTNREGNGA,-</v>
      </c>
      <c r="C1011" t="str">
        <f>setrules!H1062&amp;IF(setrules!I1062="","",",-"&amp;setrules!I1062)</f>
        <v/>
      </c>
      <c r="D1011" t="str">
        <f>setrules!J1062&amp;IF(setrules!K1062="","",",-"&amp;setrules!K1062)</f>
        <v/>
      </c>
      <c r="E1011" t="str">
        <f>setrules!L1062&amp;IF(setrules!M1062="","",",-"&amp;setrules!M1062)</f>
        <v/>
      </c>
      <c r="F1011" t="str">
        <f>setrules!B1062</f>
        <v>IOTST_NGA</v>
      </c>
    </row>
    <row r="1012" spans="1:6" x14ac:dyDescent="0.25">
      <c r="A1012" t="str">
        <f>setrules!D1063&amp;IF(setrules!E1063="","",",-"&amp;setrules!E1063)</f>
        <v/>
      </c>
      <c r="B1012" t="str">
        <f>setrules!F1063&amp;IF(setrules!G1063="","",",-"&amp;setrules!G1063)&amp;IF(setrules!P1063="","",",-"&amp;setrules!P1063)</f>
        <v>IOT*RFL,-,-IOTEFACRFL,-IOTEFEDRFL,-IOTEOHTRFL,-IOTEPRHRFL,-</v>
      </c>
      <c r="C1012" t="str">
        <f>setrules!H1063&amp;IF(setrules!I1063="","",",-"&amp;setrules!I1063)</f>
        <v/>
      </c>
      <c r="D1012" t="str">
        <f>setrules!J1063&amp;IF(setrules!K1063="","",",-"&amp;setrules!K1063)</f>
        <v/>
      </c>
      <c r="E1012" t="str">
        <f>setrules!L1063&amp;IF(setrules!M1063="","",",-"&amp;setrules!M1063)</f>
        <v/>
      </c>
      <c r="F1012" t="str">
        <f>setrules!B1063</f>
        <v>IOTST_RFL</v>
      </c>
    </row>
    <row r="1013" spans="1:6" x14ac:dyDescent="0.25">
      <c r="A1013" t="str">
        <f>setrules!D1064&amp;IF(setrules!E1064="","",",-"&amp;setrules!E1064)</f>
        <v/>
      </c>
      <c r="B1013" t="str">
        <f>setrules!F1064&amp;IF(setrules!G1064="","",",-"&amp;setrules!G1064)&amp;IF(setrules!P1064="","",",-"&amp;setrules!P1064)</f>
        <v>IP*</v>
      </c>
      <c r="C1013" t="str">
        <f>setrules!H1064&amp;IF(setrules!I1064="","",",-"&amp;setrules!I1064)</f>
        <v/>
      </c>
      <c r="D1013" t="str">
        <f>setrules!J1064&amp;IF(setrules!K1064="","",",-"&amp;setrules!K1064)</f>
        <v/>
      </c>
      <c r="E1013" t="str">
        <f>setrules!L1064&amp;IF(setrules!M1064="","",",-"&amp;setrules!M1064)</f>
        <v/>
      </c>
      <c r="F1013" t="str">
        <f>setrules!B1064</f>
        <v>IP EXISTING</v>
      </c>
    </row>
    <row r="1014" spans="1:6" x14ac:dyDescent="0.25">
      <c r="A1014" t="str">
        <f>setrules!D1065&amp;IF(setrules!E1065="","",",-"&amp;setrules!E1065)</f>
        <v/>
      </c>
      <c r="B1014" t="str">
        <f>setrules!F1065&amp;IF(setrules!G1065="","",",-"&amp;setrules!G1065)&amp;IF(setrules!P1065="","",",-"&amp;setrules!P1065)</f>
        <v>IPAEFAC*</v>
      </c>
      <c r="C1014" t="str">
        <f>setrules!H1065&amp;IF(setrules!I1065="","",",-"&amp;setrules!I1065)</f>
        <v/>
      </c>
      <c r="D1014" t="str">
        <f>setrules!J1065&amp;IF(setrules!K1065="","",",-"&amp;setrules!K1065)</f>
        <v/>
      </c>
      <c r="E1014" t="str">
        <f>setrules!L1065&amp;IF(setrules!M1065="","",",-"&amp;setrules!M1065)</f>
        <v/>
      </c>
      <c r="F1014" t="str">
        <f>setrules!B1065</f>
        <v>IPAFA_ALL</v>
      </c>
    </row>
    <row r="1015" spans="1:6" x14ac:dyDescent="0.25">
      <c r="A1015" t="str">
        <f>setrules!D1066&amp;IF(setrules!E1066="","",",-"&amp;setrules!E1066)</f>
        <v/>
      </c>
      <c r="B1015" t="str">
        <f>setrules!F1066&amp;IF(setrules!G1066="","",",-"&amp;setrules!G1066)&amp;IF(setrules!P1066="","",",-"&amp;setrules!P1066)</f>
        <v>INP*COA*</v>
      </c>
      <c r="C1015" t="str">
        <f>setrules!H1066&amp;IF(setrules!I1066="","",",-"&amp;setrules!I1066)</f>
        <v/>
      </c>
      <c r="D1015" t="str">
        <f>setrules!J1066&amp;IF(setrules!K1066="","",",-"&amp;setrules!K1066)</f>
        <v/>
      </c>
      <c r="E1015" t="str">
        <f>setrules!L1066&amp;IF(setrules!M1066="","",",-"&amp;setrules!M1066)</f>
        <v/>
      </c>
      <c r="F1015" t="str">
        <f>setrules!B1066</f>
        <v>INP_COA</v>
      </c>
    </row>
    <row r="1016" spans="1:6" x14ac:dyDescent="0.25">
      <c r="A1016" t="str">
        <f>setrules!D1067&amp;IF(setrules!E1067="","",",-"&amp;setrules!E1067)</f>
        <v/>
      </c>
      <c r="B1016" t="str">
        <f>setrules!F1067&amp;IF(setrules!G1067="","",",-"&amp;setrules!G1067)&amp;IF(setrules!P1067="","",",-"&amp;setrules!P1067)</f>
        <v>IOTBOLFSTM</v>
      </c>
      <c r="C1016" t="str">
        <f>setrules!H1067&amp;IF(setrules!I1067="","",",-"&amp;setrules!I1067)</f>
        <v/>
      </c>
      <c r="D1016" t="str">
        <f>setrules!J1067&amp;IF(setrules!K1067="","",",-"&amp;setrules!K1067)</f>
        <v/>
      </c>
      <c r="E1016" t="str">
        <f>setrules!L1067&amp;IF(setrules!M1067="","",",-"&amp;setrules!M1067)</f>
        <v/>
      </c>
      <c r="F1016" t="str">
        <f>setrules!B1067</f>
        <v>IOTST_CHP</v>
      </c>
    </row>
    <row r="1017" spans="1:6" x14ac:dyDescent="0.25">
      <c r="A1017" t="str">
        <f>setrules!D1068&amp;IF(setrules!E1068="","",",-"&amp;setrules!E1068)</f>
        <v/>
      </c>
      <c r="B1017" t="str">
        <f>setrules!F1068&amp;IF(setrules!G1068="","",",-"&amp;setrules!G1068)&amp;IF(setrules!P1068="","",",-"&amp;setrules!P1068)</f>
        <v>IOTOHTOSTM</v>
      </c>
      <c r="C1017" t="str">
        <f>setrules!H1068&amp;IF(setrules!I1068="","",",-"&amp;setrules!I1068)</f>
        <v/>
      </c>
      <c r="D1017" t="str">
        <f>setrules!J1068&amp;IF(setrules!K1068="","",",-"&amp;setrules!K1068)</f>
        <v/>
      </c>
      <c r="E1017" t="str">
        <f>setrules!L1068&amp;IF(setrules!M1068="","",",-"&amp;setrules!M1068)</f>
        <v/>
      </c>
      <c r="F1017" t="str">
        <f>setrules!B1068</f>
        <v>IOTOH_CHP</v>
      </c>
    </row>
    <row r="1018" spans="1:6" x14ac:dyDescent="0.25">
      <c r="A1018" t="str">
        <f>setrules!D1069&amp;IF(setrules!E1069="","",",-"&amp;setrules!E1069)</f>
        <v/>
      </c>
      <c r="B1018" t="str">
        <f>setrules!F1069&amp;IF(setrules!G1069="","",",-"&amp;setrules!G1069)&amp;IF(setrules!P1069="","",",-"&amp;setrules!P1069)</f>
        <v>IOTEMDR*</v>
      </c>
      <c r="C1018" t="str">
        <f>setrules!H1069&amp;IF(setrules!I1069="","",",-"&amp;setrules!I1069)</f>
        <v/>
      </c>
      <c r="D1018" t="str">
        <f>setrules!J1069&amp;IF(setrules!K1069="","",",-"&amp;setrules!K1069)</f>
        <v/>
      </c>
      <c r="E1018" t="str">
        <f>setrules!L1069&amp;IF(setrules!M1069="","",",-"&amp;setrules!M1069)</f>
        <v/>
      </c>
      <c r="F1018" t="str">
        <f>setrules!B1069</f>
        <v>IOTMD_ALL</v>
      </c>
    </row>
    <row r="1019" spans="1:6" x14ac:dyDescent="0.25">
      <c r="A1019" t="str">
        <f>setrules!D1070&amp;IF(setrules!E1070="","",",-"&amp;setrules!E1070)</f>
        <v/>
      </c>
      <c r="B1019" t="str">
        <f>setrules!F1070&amp;IF(setrules!G1070="","",",-"&amp;setrules!G1070)&amp;IF(setrules!P1070="","",",-"&amp;setrules!P1070)</f>
        <v>IOTEMDRCOA</v>
      </c>
      <c r="C1019" t="str">
        <f>setrules!H1070&amp;IF(setrules!I1070="","",",-"&amp;setrules!I1070)</f>
        <v/>
      </c>
      <c r="D1019" t="str">
        <f>setrules!J1070&amp;IF(setrules!K1070="","",",-"&amp;setrules!K1070)</f>
        <v/>
      </c>
      <c r="E1019" t="str">
        <f>setrules!L1070&amp;IF(setrules!M1070="","",",-"&amp;setrules!M1070)</f>
        <v/>
      </c>
      <c r="F1019" t="str">
        <f>setrules!B1070</f>
        <v>IOTMD_COA</v>
      </c>
    </row>
    <row r="1020" spans="1:6" x14ac:dyDescent="0.25">
      <c r="A1020" t="str">
        <f>setrules!D1071&amp;IF(setrules!E1071="","",",-"&amp;setrules!E1071)</f>
        <v/>
      </c>
      <c r="B1020" t="str">
        <f>setrules!F1071&amp;IF(setrules!G1071="","",",-"&amp;setrules!G1071)&amp;IF(setrules!P1071="","",",-"&amp;setrules!P1071)</f>
        <v>IOTEMDRDST</v>
      </c>
      <c r="C1020" t="str">
        <f>setrules!H1071&amp;IF(setrules!I1071="","",",-"&amp;setrules!I1071)</f>
        <v/>
      </c>
      <c r="D1020" t="str">
        <f>setrules!J1071&amp;IF(setrules!K1071="","",",-"&amp;setrules!K1071)</f>
        <v/>
      </c>
      <c r="E1020" t="str">
        <f>setrules!L1071&amp;IF(setrules!M1071="","",",-"&amp;setrules!M1071)</f>
        <v/>
      </c>
      <c r="F1020" t="str">
        <f>setrules!B1071</f>
        <v>IOTMD_DST</v>
      </c>
    </row>
    <row r="1021" spans="1:6" x14ac:dyDescent="0.25">
      <c r="A1021" t="str">
        <f>setrules!D1072&amp;IF(setrules!E1072="","",",-"&amp;setrules!E1072)</f>
        <v/>
      </c>
      <c r="B1021" t="str">
        <f>setrules!F1072&amp;IF(setrules!G1072="","",",-"&amp;setrules!G1072)&amp;IF(setrules!P1072="","",",-"&amp;setrules!P1072)</f>
        <v>IOTEMDRELC</v>
      </c>
      <c r="C1021" t="str">
        <f>setrules!H1072&amp;IF(setrules!I1072="","",",-"&amp;setrules!I1072)</f>
        <v/>
      </c>
      <c r="D1021" t="str">
        <f>setrules!J1072&amp;IF(setrules!K1072="","",",-"&amp;setrules!K1072)</f>
        <v/>
      </c>
      <c r="E1021" t="str">
        <f>setrules!L1072&amp;IF(setrules!M1072="","",",-"&amp;setrules!M1072)</f>
        <v/>
      </c>
      <c r="F1021" t="str">
        <f>setrules!B1072</f>
        <v>IOTMD_ELC</v>
      </c>
    </row>
    <row r="1022" spans="1:6" x14ac:dyDescent="0.25">
      <c r="A1022" t="str">
        <f>setrules!D1073&amp;IF(setrules!E1073="","",",-"&amp;setrules!E1073)</f>
        <v/>
      </c>
      <c r="B1022" t="str">
        <f>setrules!F1073&amp;IF(setrules!G1073="","",",-"&amp;setrules!G1073)&amp;IF(setrules!P1073="","",",-"&amp;setrules!P1073)</f>
        <v>IOTEMDRLPG</v>
      </c>
      <c r="C1022" t="str">
        <f>setrules!H1073&amp;IF(setrules!I1073="","",",-"&amp;setrules!I1073)</f>
        <v/>
      </c>
      <c r="D1022" t="str">
        <f>setrules!J1073&amp;IF(setrules!K1073="","",",-"&amp;setrules!K1073)</f>
        <v/>
      </c>
      <c r="E1022" t="str">
        <f>setrules!L1073&amp;IF(setrules!M1073="","",",-"&amp;setrules!M1073)</f>
        <v/>
      </c>
      <c r="F1022" t="str">
        <f>setrules!B1073</f>
        <v>IOTMD_LPG</v>
      </c>
    </row>
    <row r="1023" spans="1:6" x14ac:dyDescent="0.25">
      <c r="A1023" t="str">
        <f>setrules!D1074&amp;IF(setrules!E1074="","",",-"&amp;setrules!E1074)</f>
        <v/>
      </c>
      <c r="B1023" t="str">
        <f>setrules!F1074&amp;IF(setrules!G1074="","",",-"&amp;setrules!G1074)&amp;IF(setrules!P1074="","",",-"&amp;setrules!P1074)</f>
        <v>IOTEMDRNGA</v>
      </c>
      <c r="C1023" t="str">
        <f>setrules!H1074&amp;IF(setrules!I1074="","",",-"&amp;setrules!I1074)</f>
        <v/>
      </c>
      <c r="D1023" t="str">
        <f>setrules!J1074&amp;IF(setrules!K1074="","",",-"&amp;setrules!K1074)</f>
        <v/>
      </c>
      <c r="E1023" t="str">
        <f>setrules!L1074&amp;IF(setrules!M1074="","",",-"&amp;setrules!M1074)</f>
        <v/>
      </c>
      <c r="F1023" t="str">
        <f>setrules!B1074</f>
        <v>IOTMD_NGA</v>
      </c>
    </row>
    <row r="1024" spans="1:6" x14ac:dyDescent="0.25">
      <c r="A1024" t="str">
        <f>setrules!D1075&amp;IF(setrules!E1075="","",",-"&amp;setrules!E1075)</f>
        <v/>
      </c>
      <c r="B1024" t="str">
        <f>setrules!F1075&amp;IF(setrules!G1075="","",",-"&amp;setrules!G1075)&amp;IF(setrules!P1075="","",",-"&amp;setrules!P1075)</f>
        <v>IOTEPRHDST</v>
      </c>
      <c r="C1024" t="str">
        <f>setrules!H1075&amp;IF(setrules!I1075="","",",-"&amp;setrules!I1075)</f>
        <v/>
      </c>
      <c r="D1024" t="str">
        <f>setrules!J1075&amp;IF(setrules!K1075="","",",-"&amp;setrules!K1075)</f>
        <v/>
      </c>
      <c r="E1024" t="str">
        <f>setrules!L1075&amp;IF(setrules!M1075="","",",-"&amp;setrules!M1075)</f>
        <v/>
      </c>
      <c r="F1024" t="str">
        <f>setrules!B1075</f>
        <v>IOTPH_DST</v>
      </c>
    </row>
    <row r="1025" spans="1:6" x14ac:dyDescent="0.25">
      <c r="A1025" t="str">
        <f>setrules!D1076&amp;IF(setrules!E1076="","",",-"&amp;setrules!E1076)</f>
        <v/>
      </c>
      <c r="B1025" t="str">
        <f>setrules!F1076&amp;IF(setrules!G1076="","",",-"&amp;setrules!G1076)&amp;IF(setrules!P1076="","",",-"&amp;setrules!P1076)</f>
        <v>IOT*BIO,IOT*IPBIO,IOT*WOD,-,-IOTEFEDBIO,-</v>
      </c>
      <c r="C1025" t="str">
        <f>setrules!H1076&amp;IF(setrules!I1076="","",",-"&amp;setrules!I1076)</f>
        <v/>
      </c>
      <c r="D1025" t="str">
        <f>setrules!J1076&amp;IF(setrules!K1076="","",",-"&amp;setrules!K1076)</f>
        <v/>
      </c>
      <c r="E1025" t="str">
        <f>setrules!L1076&amp;IF(setrules!M1076="","",",-"&amp;setrules!M1076)</f>
        <v/>
      </c>
      <c r="F1025" t="str">
        <f>setrules!B1076</f>
        <v>IOTOH_BIO</v>
      </c>
    </row>
    <row r="1026" spans="1:6" x14ac:dyDescent="0.25">
      <c r="A1026" t="str">
        <f>setrules!D1077&amp;IF(setrules!E1077="","",",-"&amp;setrules!E1077)</f>
        <v/>
      </c>
      <c r="B1026" t="str">
        <f>setrules!F1077&amp;IF(setrules!G1077="","",",-"&amp;setrules!G1077)&amp;IF(setrules!P1077="","",",-"&amp;setrules!P1077)</f>
        <v>IPAEFACNGA</v>
      </c>
      <c r="C1026" t="str">
        <f>setrules!H1077&amp;IF(setrules!I1077="","",",-"&amp;setrules!I1077)</f>
        <v/>
      </c>
      <c r="D1026" t="str">
        <f>setrules!J1077&amp;IF(setrules!K1077="","",",-"&amp;setrules!K1077)</f>
        <v/>
      </c>
      <c r="E1026" t="str">
        <f>setrules!L1077&amp;IF(setrules!M1077="","",",-"&amp;setrules!M1077)</f>
        <v/>
      </c>
      <c r="F1026" t="str">
        <f>setrules!B1077</f>
        <v>IPAFA_NGA</v>
      </c>
    </row>
    <row r="1027" spans="1:6" x14ac:dyDescent="0.25">
      <c r="A1027" t="str">
        <f>setrules!D1078&amp;IF(setrules!E1078="","",",-"&amp;setrules!E1078)</f>
        <v/>
      </c>
      <c r="B1027" t="str">
        <f>setrules!F1078&amp;IF(setrules!G1078="","",",-"&amp;setrules!G1078)&amp;IF(setrules!P1078="","",",-"&amp;setrules!P1078)</f>
        <v>IOTEOHTDST</v>
      </c>
      <c r="C1027" t="str">
        <f>setrules!H1078&amp;IF(setrules!I1078="","",",-"&amp;setrules!I1078)</f>
        <v/>
      </c>
      <c r="D1027" t="str">
        <f>setrules!J1078&amp;IF(setrules!K1078="","",",-"&amp;setrules!K1078)</f>
        <v/>
      </c>
      <c r="E1027" t="str">
        <f>setrules!L1078&amp;IF(setrules!M1078="","",",-"&amp;setrules!M1078)</f>
        <v/>
      </c>
      <c r="F1027" t="str">
        <f>setrules!B1078</f>
        <v>IOTOH_DST</v>
      </c>
    </row>
    <row r="1028" spans="1:6" x14ac:dyDescent="0.25">
      <c r="A1028" t="str">
        <f>setrules!D1079&amp;IF(setrules!E1079="","",",-"&amp;setrules!E1079)</f>
        <v/>
      </c>
      <c r="B1028" t="str">
        <f>setrules!F1079&amp;IF(setrules!G1079="","",",-"&amp;setrules!G1079)&amp;IF(setrules!P1079="","",",-"&amp;setrules!P1079)</f>
        <v>IOTEOHTELC</v>
      </c>
      <c r="C1028" t="str">
        <f>setrules!H1079&amp;IF(setrules!I1079="","",",-"&amp;setrules!I1079)</f>
        <v/>
      </c>
      <c r="D1028" t="str">
        <f>setrules!J1079&amp;IF(setrules!K1079="","",",-"&amp;setrules!K1079)</f>
        <v/>
      </c>
      <c r="E1028" t="str">
        <f>setrules!L1079&amp;IF(setrules!M1079="","",",-"&amp;setrules!M1079)</f>
        <v/>
      </c>
      <c r="F1028" t="str">
        <f>setrules!B1079</f>
        <v>IOTOH_ELC</v>
      </c>
    </row>
    <row r="1029" spans="1:6" x14ac:dyDescent="0.25">
      <c r="A1029" t="str">
        <f>setrules!D1080&amp;IF(setrules!E1080="","",",-"&amp;setrules!E1080)</f>
        <v/>
      </c>
      <c r="B1029" t="str">
        <f>setrules!F1080&amp;IF(setrules!G1080="","",",-"&amp;setrules!G1080)&amp;IF(setrules!P1080="","",",-"&amp;setrules!P1080)</f>
        <v>IOTEOHTLPG</v>
      </c>
      <c r="C1029" t="str">
        <f>setrules!H1080&amp;IF(setrules!I1080="","",",-"&amp;setrules!I1080)</f>
        <v/>
      </c>
      <c r="D1029" t="str">
        <f>setrules!J1080&amp;IF(setrules!K1080="","",",-"&amp;setrules!K1080)</f>
        <v/>
      </c>
      <c r="E1029" t="str">
        <f>setrules!L1080&amp;IF(setrules!M1080="","",",-"&amp;setrules!M1080)</f>
        <v/>
      </c>
      <c r="F1029" t="str">
        <f>setrules!B1080</f>
        <v>IOTOH_LPG</v>
      </c>
    </row>
    <row r="1030" spans="1:6" x14ac:dyDescent="0.25">
      <c r="A1030" t="str">
        <f>setrules!D1081&amp;IF(setrules!E1081="","",",-"&amp;setrules!E1081)</f>
        <v/>
      </c>
      <c r="B1030" t="str">
        <f>setrules!F1081&amp;IF(setrules!G1081="","",",-"&amp;setrules!G1081)&amp;IF(setrules!P1081="","",",-"&amp;setrules!P1081)</f>
        <v>IOTEOHTNGA,IOTNREGNGA</v>
      </c>
      <c r="C1030" t="str">
        <f>setrules!H1081&amp;IF(setrules!I1081="","",",-"&amp;setrules!I1081)</f>
        <v/>
      </c>
      <c r="D1030" t="str">
        <f>setrules!J1081&amp;IF(setrules!K1081="","",",-"&amp;setrules!K1081)</f>
        <v/>
      </c>
      <c r="E1030" t="str">
        <f>setrules!L1081&amp;IF(setrules!M1081="","",",-"&amp;setrules!M1081)</f>
        <v/>
      </c>
      <c r="F1030" t="str">
        <f>setrules!B1081</f>
        <v>IOTOH_NGA</v>
      </c>
    </row>
    <row r="1031" spans="1:6" x14ac:dyDescent="0.25">
      <c r="A1031" t="str">
        <f>setrules!D1082&amp;IF(setrules!E1082="","",",-"&amp;setrules!E1082)</f>
        <v/>
      </c>
      <c r="B1031" t="str">
        <f>setrules!F1082&amp;IF(setrules!G1082="","",",-"&amp;setrules!G1082)&amp;IF(setrules!P1082="","",",-"&amp;setrules!P1082)</f>
        <v>IOTEOHTOTP</v>
      </c>
      <c r="C1031" t="str">
        <f>setrules!H1082&amp;IF(setrules!I1082="","",",-"&amp;setrules!I1082)</f>
        <v/>
      </c>
      <c r="D1031" t="str">
        <f>setrules!J1082&amp;IF(setrules!K1082="","",",-"&amp;setrules!K1082)</f>
        <v/>
      </c>
      <c r="E1031" t="str">
        <f>setrules!L1082&amp;IF(setrules!M1082="","",",-"&amp;setrules!M1082)</f>
        <v/>
      </c>
      <c r="F1031" t="str">
        <f>setrules!B1082</f>
        <v>IOTOH_OTP</v>
      </c>
    </row>
    <row r="1032" spans="1:6" x14ac:dyDescent="0.25">
      <c r="A1032" t="str">
        <f>setrules!D1083&amp;IF(setrules!E1083="","",",-"&amp;setrules!E1083)</f>
        <v/>
      </c>
      <c r="B1032" t="str">
        <f>setrules!F1083&amp;IF(setrules!G1083="","",",-"&amp;setrules!G1083)&amp;IF(setrules!P1083="","",",-"&amp;setrules!P1083)</f>
        <v>IOTEOHTPTC</v>
      </c>
      <c r="C1032" t="str">
        <f>setrules!H1083&amp;IF(setrules!I1083="","",",-"&amp;setrules!I1083)</f>
        <v/>
      </c>
      <c r="D1032" t="str">
        <f>setrules!J1083&amp;IF(setrules!K1083="","",",-"&amp;setrules!K1083)</f>
        <v/>
      </c>
      <c r="E1032" t="str">
        <f>setrules!L1083&amp;IF(setrules!M1083="","",",-"&amp;setrules!M1083)</f>
        <v/>
      </c>
      <c r="F1032" t="str">
        <f>setrules!B1083</f>
        <v>IOTOH_PTC</v>
      </c>
    </row>
    <row r="1033" spans="1:6" x14ac:dyDescent="0.25">
      <c r="A1033" t="str">
        <f>setrules!D1084&amp;IF(setrules!E1084="","",",-"&amp;setrules!E1084)</f>
        <v/>
      </c>
      <c r="B1033" t="str">
        <f>setrules!F1084&amp;IF(setrules!G1084="","",",-"&amp;setrules!G1084)&amp;IF(setrules!P1084="","",",-"&amp;setrules!P1084)</f>
        <v>IOTEOHTRFL</v>
      </c>
      <c r="C1033" t="str">
        <f>setrules!H1084&amp;IF(setrules!I1084="","",",-"&amp;setrules!I1084)</f>
        <v/>
      </c>
      <c r="D1033" t="str">
        <f>setrules!J1084&amp;IF(setrules!K1084="","",",-"&amp;setrules!K1084)</f>
        <v/>
      </c>
      <c r="E1033" t="str">
        <f>setrules!L1084&amp;IF(setrules!M1084="","",",-"&amp;setrules!M1084)</f>
        <v/>
      </c>
      <c r="F1033" t="str">
        <f>setrules!B1084</f>
        <v>IOTOH_RFL</v>
      </c>
    </row>
    <row r="1034" spans="1:6" x14ac:dyDescent="0.25">
      <c r="A1034" t="str">
        <f>setrules!D1085&amp;IF(setrules!E1085="","",",-"&amp;setrules!E1085)</f>
        <v/>
      </c>
      <c r="B1034" t="str">
        <f>setrules!F1085&amp;IF(setrules!G1085="","",",-"&amp;setrules!G1085)&amp;IF(setrules!P1085="","",",-"&amp;setrules!P1085)</f>
        <v>IOT*B*BIO,IOT*B*WOD,IOT*B*WOD,OT*B*TOM,IOTEOHT*,IOTOHTOSTM,-IOT*BST*</v>
      </c>
      <c r="C1034" t="str">
        <f>setrules!H1085&amp;IF(setrules!I1085="","",",-"&amp;setrules!I1085)</f>
        <v/>
      </c>
      <c r="D1034" t="str">
        <f>setrules!J1085&amp;IF(setrules!K1085="","",",-"&amp;setrules!K1085)</f>
        <v/>
      </c>
      <c r="E1034" t="str">
        <f>setrules!L1085&amp;IF(setrules!M1085="","",",-"&amp;setrules!M1085)</f>
        <v/>
      </c>
      <c r="F1034" t="str">
        <f>setrules!B1085</f>
        <v>IOTOH_ALL</v>
      </c>
    </row>
    <row r="1035" spans="1:6" x14ac:dyDescent="0.25">
      <c r="A1035" t="str">
        <f>setrules!D1086&amp;IF(setrules!E1086="","",",-"&amp;setrules!E1086)</f>
        <v/>
      </c>
      <c r="B1035" t="str">
        <f>setrules!F1086&amp;IF(setrules!G1086="","",",-"&amp;setrules!G1086)&amp;IF(setrules!P1086="","",",-"&amp;setrules!P1086)</f>
        <v>IPBEFACNGA</v>
      </c>
      <c r="C1035" t="str">
        <f>setrules!H1086&amp;IF(setrules!I1086="","",",-"&amp;setrules!I1086)</f>
        <v/>
      </c>
      <c r="D1035" t="str">
        <f>setrules!J1086&amp;IF(setrules!K1086="","",",-"&amp;setrules!K1086)</f>
        <v/>
      </c>
      <c r="E1035" t="str">
        <f>setrules!L1086&amp;IF(setrules!M1086="","",",-"&amp;setrules!M1086)</f>
        <v/>
      </c>
      <c r="F1035" t="str">
        <f>setrules!B1086</f>
        <v>IPBFA_NGA</v>
      </c>
    </row>
    <row r="1036" spans="1:6" x14ac:dyDescent="0.25">
      <c r="A1036" t="str">
        <f>setrules!D1087&amp;IF(setrules!E1087="","",",-"&amp;setrules!E1087)</f>
        <v/>
      </c>
      <c r="B1036" t="str">
        <f>setrules!F1087&amp;IF(setrules!G1087="","",",-"&amp;setrules!G1087)&amp;IF(setrules!P1087="","",",-"&amp;setrules!P1087)</f>
        <v>IPAEFACDST</v>
      </c>
      <c r="C1036" t="str">
        <f>setrules!H1087&amp;IF(setrules!I1087="","",",-"&amp;setrules!I1087)</f>
        <v/>
      </c>
      <c r="D1036" t="str">
        <f>setrules!J1087&amp;IF(setrules!K1087="","",",-"&amp;setrules!K1087)</f>
        <v/>
      </c>
      <c r="E1036" t="str">
        <f>setrules!L1087&amp;IF(setrules!M1087="","",",-"&amp;setrules!M1087)</f>
        <v/>
      </c>
      <c r="F1036" t="str">
        <f>setrules!B1087</f>
        <v>IPAFA_DST</v>
      </c>
    </row>
    <row r="1037" spans="1:6" x14ac:dyDescent="0.25">
      <c r="A1037" t="str">
        <f>setrules!D1088&amp;IF(setrules!E1088="","",",-"&amp;setrules!E1088)</f>
        <v/>
      </c>
      <c r="B1037" t="str">
        <f>setrules!F1088&amp;IF(setrules!G1088="","",",-"&amp;setrules!G1088)&amp;IF(setrules!P1088="","",",-"&amp;setrules!P1088)</f>
        <v>IPA*DST,-,-IPAEFACDST,-</v>
      </c>
      <c r="C1037" t="str">
        <f>setrules!H1088&amp;IF(setrules!I1088="","",",-"&amp;setrules!I1088)</f>
        <v/>
      </c>
      <c r="D1037" t="str">
        <f>setrules!J1088&amp;IF(setrules!K1088="","",",-"&amp;setrules!K1088)</f>
        <v/>
      </c>
      <c r="E1037" t="str">
        <f>setrules!L1088&amp;IF(setrules!M1088="","",",-"&amp;setrules!M1088)</f>
        <v/>
      </c>
      <c r="F1037" t="str">
        <f>setrules!B1088</f>
        <v>IPAST_DST</v>
      </c>
    </row>
    <row r="1038" spans="1:6" x14ac:dyDescent="0.25">
      <c r="A1038" t="str">
        <f>setrules!D1089&amp;IF(setrules!E1089="","",",-"&amp;setrules!E1089)</f>
        <v/>
      </c>
      <c r="B1038" t="str">
        <f>setrules!F1089&amp;IF(setrules!G1089="","",",-"&amp;setrules!G1089)&amp;IF(setrules!P1089="","",",-"&amp;setrules!P1089)</f>
        <v>IPA*B*ELC</v>
      </c>
      <c r="C1038" t="str">
        <f>setrules!H1089&amp;IF(setrules!I1089="","",",-"&amp;setrules!I1089)</f>
        <v/>
      </c>
      <c r="D1038" t="str">
        <f>setrules!J1089&amp;IF(setrules!K1089="","",",-"&amp;setrules!K1089)</f>
        <v/>
      </c>
      <c r="E1038" t="str">
        <f>setrules!L1089&amp;IF(setrules!M1089="","",",-"&amp;setrules!M1089)</f>
        <v/>
      </c>
      <c r="F1038" t="str">
        <f>setrules!B1089</f>
        <v>IPAST_ELC</v>
      </c>
    </row>
    <row r="1039" spans="1:6" x14ac:dyDescent="0.25">
      <c r="A1039" t="str">
        <f>setrules!D1090&amp;IF(setrules!E1090="","",",-"&amp;setrules!E1090)</f>
        <v/>
      </c>
      <c r="B1039" t="str">
        <f>setrules!F1090&amp;IF(setrules!G1090="","",",-"&amp;setrules!G1090)&amp;IF(setrules!P1090="","",",-"&amp;setrules!P1090)</f>
        <v>IPA*NGA,-,-IPAEFACNGA,-IPAEMDRNGA,-IPAEOHTNGA,-IPAEPRHNGA,-IPANREGNGA,-</v>
      </c>
      <c r="C1039" t="str">
        <f>setrules!H1090&amp;IF(setrules!I1090="","",",-"&amp;setrules!I1090)</f>
        <v/>
      </c>
      <c r="D1039" t="str">
        <f>setrules!J1090&amp;IF(setrules!K1090="","",",-"&amp;setrules!K1090)</f>
        <v/>
      </c>
      <c r="E1039" t="str">
        <f>setrules!L1090&amp;IF(setrules!M1090="","",",-"&amp;setrules!M1090)</f>
        <v/>
      </c>
      <c r="F1039" t="str">
        <f>setrules!B1090</f>
        <v>IPAST_NGA</v>
      </c>
    </row>
    <row r="1040" spans="1:6" x14ac:dyDescent="0.25">
      <c r="A1040" t="str">
        <f>setrules!D1091&amp;IF(setrules!E1091="","",",-"&amp;setrules!E1091)</f>
        <v/>
      </c>
      <c r="B1040" t="str">
        <f>setrules!F1091&amp;IF(setrules!G1091="","",",-"&amp;setrules!G1091)&amp;IF(setrules!P1091="","",",-"&amp;setrules!P1091)</f>
        <v>IPA*RFL,-,-IPAEFACRFL,-IPAEPRHRFL,-</v>
      </c>
      <c r="C1040" t="str">
        <f>setrules!H1091&amp;IF(setrules!I1091="","",",-"&amp;setrules!I1091)</f>
        <v/>
      </c>
      <c r="D1040" t="str">
        <f>setrules!J1091&amp;IF(setrules!K1091="","",",-"&amp;setrules!K1091)</f>
        <v/>
      </c>
      <c r="E1040" t="str">
        <f>setrules!L1091&amp;IF(setrules!M1091="","",",-"&amp;setrules!M1091)</f>
        <v/>
      </c>
      <c r="F1040" t="str">
        <f>setrules!B1091</f>
        <v>IPAST_RFL</v>
      </c>
    </row>
    <row r="1041" spans="1:6" x14ac:dyDescent="0.25">
      <c r="A1041" t="str">
        <f>setrules!D1092&amp;IF(setrules!E1092="","",",-"&amp;setrules!E1092)</f>
        <v/>
      </c>
      <c r="B1041" t="str">
        <f>setrules!F1092&amp;IF(setrules!G1092="","",",-"&amp;setrules!G1092)&amp;IF(setrules!P1092="","",",-"&amp;setrules!P1092)</f>
        <v>IPBEFAC*</v>
      </c>
      <c r="C1041" t="str">
        <f>setrules!H1092&amp;IF(setrules!I1092="","",",-"&amp;setrules!I1092)</f>
        <v/>
      </c>
      <c r="D1041" t="str">
        <f>setrules!J1092&amp;IF(setrules!K1092="","",",-"&amp;setrules!K1092)</f>
        <v/>
      </c>
      <c r="E1041" t="str">
        <f>setrules!L1092&amp;IF(setrules!M1092="","",",-"&amp;setrules!M1092)</f>
        <v/>
      </c>
      <c r="F1041" t="str">
        <f>setrules!B1092</f>
        <v>IPBFA_ALL</v>
      </c>
    </row>
    <row r="1042" spans="1:6" x14ac:dyDescent="0.25">
      <c r="A1042" t="str">
        <f>setrules!D1093&amp;IF(setrules!E1093="","",",-"&amp;setrules!E1093)</f>
        <v/>
      </c>
      <c r="B1042" t="str">
        <f>setrules!F1093&amp;IF(setrules!G1093="","",",-"&amp;setrules!G1093)&amp;IF(setrules!P1093="","",",-"&amp;setrules!P1093)</f>
        <v>IPABOLFSTM</v>
      </c>
      <c r="C1042" t="str">
        <f>setrules!H1093&amp;IF(setrules!I1093="","",",-"&amp;setrules!I1093)</f>
        <v/>
      </c>
      <c r="D1042" t="str">
        <f>setrules!J1093&amp;IF(setrules!K1093="","",",-"&amp;setrules!K1093)</f>
        <v/>
      </c>
      <c r="E1042" t="str">
        <f>setrules!L1093&amp;IF(setrules!M1093="","",",-"&amp;setrules!M1093)</f>
        <v/>
      </c>
      <c r="F1042" t="str">
        <f>setrules!B1093</f>
        <v>IPAST_CHP</v>
      </c>
    </row>
    <row r="1043" spans="1:6" x14ac:dyDescent="0.25">
      <c r="A1043" t="str">
        <f>setrules!D1094&amp;IF(setrules!E1094="","",",-"&amp;setrules!E1094)</f>
        <v/>
      </c>
      <c r="B1043" t="str">
        <f>setrules!F1094&amp;IF(setrules!G1094="","",",-"&amp;setrules!G1094)&amp;IF(setrules!P1094="","",",-"&amp;setrules!P1094)</f>
        <v>IPBEFACELC</v>
      </c>
      <c r="C1043" t="str">
        <f>setrules!H1094&amp;IF(setrules!I1094="","",",-"&amp;setrules!I1094)</f>
        <v/>
      </c>
      <c r="D1043" t="str">
        <f>setrules!J1094&amp;IF(setrules!K1094="","",",-"&amp;setrules!K1094)</f>
        <v/>
      </c>
      <c r="E1043" t="str">
        <f>setrules!L1094&amp;IF(setrules!M1094="","",",-"&amp;setrules!M1094)</f>
        <v/>
      </c>
      <c r="F1043" t="str">
        <f>setrules!B1094</f>
        <v>IPBFA_ELC</v>
      </c>
    </row>
    <row r="1044" spans="1:6" x14ac:dyDescent="0.25">
      <c r="A1044" t="str">
        <f>setrules!D1095&amp;IF(setrules!E1095="","",",-"&amp;setrules!E1095)</f>
        <v/>
      </c>
      <c r="B1044" t="str">
        <f>setrules!F1095&amp;IF(setrules!G1095="","",",-"&amp;setrules!G1095)&amp;IF(setrules!P1095="","",",-"&amp;setrules!P1095)</f>
        <v>IPA*B*,-IPA*B*BIO,-IPA*B*WOD,-IPA*B*TOM,-IPA*BST*,-IPA*BSA*</v>
      </c>
      <c r="C1044" t="str">
        <f>setrules!H1095&amp;IF(setrules!I1095="","",",-"&amp;setrules!I1095)</f>
        <v/>
      </c>
      <c r="D1044" t="str">
        <f>setrules!J1095&amp;IF(setrules!K1095="","",",-"&amp;setrules!K1095)</f>
        <v/>
      </c>
      <c r="E1044" t="str">
        <f>setrules!L1095&amp;IF(setrules!M1095="","",",-"&amp;setrules!M1095)</f>
        <v/>
      </c>
      <c r="F1044" t="str">
        <f>setrules!B1095</f>
        <v>IPAST_ALL</v>
      </c>
    </row>
    <row r="1045" spans="1:6" x14ac:dyDescent="0.25">
      <c r="A1045" t="str">
        <f>setrules!D1096&amp;IF(setrules!E1096="","",",-"&amp;setrules!E1096)</f>
        <v/>
      </c>
      <c r="B1045" t="str">
        <f>setrules!F1096&amp;IF(setrules!G1096="","",",-"&amp;setrules!G1096)&amp;IF(setrules!P1096="","",",-"&amp;setrules!P1096)</f>
        <v>IPBEMDR*</v>
      </c>
      <c r="C1045" t="str">
        <f>setrules!H1096&amp;IF(setrules!I1096="","",",-"&amp;setrules!I1096)</f>
        <v/>
      </c>
      <c r="D1045" t="str">
        <f>setrules!J1096&amp;IF(setrules!K1096="","",",-"&amp;setrules!K1096)</f>
        <v/>
      </c>
      <c r="E1045" t="str">
        <f>setrules!L1096&amp;IF(setrules!M1096="","",",-"&amp;setrules!M1096)</f>
        <v/>
      </c>
      <c r="F1045" t="str">
        <f>setrules!B1096</f>
        <v>IPBMD_ALL</v>
      </c>
    </row>
    <row r="1046" spans="1:6" x14ac:dyDescent="0.25">
      <c r="A1046" t="str">
        <f>setrules!D1097&amp;IF(setrules!E1097="","",",-"&amp;setrules!E1097)</f>
        <v/>
      </c>
      <c r="B1046" t="str">
        <f>setrules!F1097&amp;IF(setrules!G1097="","",",-"&amp;setrules!G1097)&amp;IF(setrules!P1097="","",",-"&amp;setrules!P1097)</f>
        <v>IPBEMDRELC</v>
      </c>
      <c r="C1046" t="str">
        <f>setrules!H1097&amp;IF(setrules!I1097="","",",-"&amp;setrules!I1097)</f>
        <v/>
      </c>
      <c r="D1046" t="str">
        <f>setrules!J1097&amp;IF(setrules!K1097="","",",-"&amp;setrules!K1097)</f>
        <v/>
      </c>
      <c r="E1046" t="str">
        <f>setrules!L1097&amp;IF(setrules!M1097="","",",-"&amp;setrules!M1097)</f>
        <v/>
      </c>
      <c r="F1046" t="str">
        <f>setrules!B1097</f>
        <v>IPBMD_ELC</v>
      </c>
    </row>
    <row r="1047" spans="1:6" x14ac:dyDescent="0.25">
      <c r="A1047" t="str">
        <f>setrules!D1098&amp;IF(setrules!E1098="","",",-"&amp;setrules!E1098)</f>
        <v/>
      </c>
      <c r="B1047" t="str">
        <f>setrules!F1098&amp;IF(setrules!G1098="","",",-"&amp;setrules!G1098)&amp;IF(setrules!P1098="","",",-"&amp;setrules!P1098)</f>
        <v>IPBEMDRNGA</v>
      </c>
      <c r="C1047" t="str">
        <f>setrules!H1098&amp;IF(setrules!I1098="","",",-"&amp;setrules!I1098)</f>
        <v/>
      </c>
      <c r="D1047" t="str">
        <f>setrules!J1098&amp;IF(setrules!K1098="","",",-"&amp;setrules!K1098)</f>
        <v/>
      </c>
      <c r="E1047" t="str">
        <f>setrules!L1098&amp;IF(setrules!M1098="","",",-"&amp;setrules!M1098)</f>
        <v/>
      </c>
      <c r="F1047" t="str">
        <f>setrules!B1098</f>
        <v>IPBMD_NGA</v>
      </c>
    </row>
    <row r="1048" spans="1:6" x14ac:dyDescent="0.25">
      <c r="A1048" t="str">
        <f>setrules!D1099&amp;IF(setrules!E1099="","",",-"&amp;setrules!E1099)</f>
        <v/>
      </c>
      <c r="B1048" t="str">
        <f>setrules!F1099&amp;IF(setrules!G1099="","",",-"&amp;setrules!G1099)&amp;IF(setrules!P1099="","",",-"&amp;setrules!P1099)</f>
        <v>IPB*B*BIO,IPB*B*WOD,IPB*B*TOM,IPBEOHT*,IPBOHTOSTM,-IPB*BST*</v>
      </c>
      <c r="C1048" t="str">
        <f>setrules!H1099&amp;IF(setrules!I1099="","",",-"&amp;setrules!I1099)</f>
        <v/>
      </c>
      <c r="D1048" t="str">
        <f>setrules!J1099&amp;IF(setrules!K1099="","",",-"&amp;setrules!K1099)</f>
        <v/>
      </c>
      <c r="E1048" t="str">
        <f>setrules!L1099&amp;IF(setrules!M1099="","",",-"&amp;setrules!M1099)</f>
        <v/>
      </c>
      <c r="F1048" t="str">
        <f>setrules!B1099</f>
        <v>IPBOH_ALL</v>
      </c>
    </row>
    <row r="1049" spans="1:6" x14ac:dyDescent="0.25">
      <c r="A1049" t="str">
        <f>setrules!D1100&amp;IF(setrules!E1100="","",",-"&amp;setrules!E1100)</f>
        <v/>
      </c>
      <c r="B1049" t="str">
        <f>setrules!F1100&amp;IF(setrules!G1100="","",",-"&amp;setrules!G1100)&amp;IF(setrules!P1100="","",",-"&amp;setrules!P1100)</f>
        <v>IPB*BIO,IPB*TOM,IPB*WOD</v>
      </c>
      <c r="C1049" t="str">
        <f>setrules!H1100&amp;IF(setrules!I1100="","",",-"&amp;setrules!I1100)</f>
        <v/>
      </c>
      <c r="D1049" t="str">
        <f>setrules!J1100&amp;IF(setrules!K1100="","",",-"&amp;setrules!K1100)</f>
        <v/>
      </c>
      <c r="E1049" t="str">
        <f>setrules!L1100&amp;IF(setrules!M1100="","",",-"&amp;setrules!M1100)</f>
        <v/>
      </c>
      <c r="F1049" t="str">
        <f>setrules!B1100</f>
        <v>IPBOH_BIO</v>
      </c>
    </row>
    <row r="1050" spans="1:6" x14ac:dyDescent="0.25">
      <c r="A1050" t="str">
        <f>setrules!D1101&amp;IF(setrules!E1101="","",",-"&amp;setrules!E1101)</f>
        <v/>
      </c>
      <c r="B1050" t="str">
        <f>setrules!F1101&amp;IF(setrules!G1101="","",",-"&amp;setrules!G1101)&amp;IF(setrules!P1101="","",",-"&amp;setrules!P1101)</f>
        <v>IPBOHTOSTM</v>
      </c>
      <c r="C1050" t="str">
        <f>setrules!H1101&amp;IF(setrules!I1101="","",",-"&amp;setrules!I1101)</f>
        <v/>
      </c>
      <c r="D1050" t="str">
        <f>setrules!J1101&amp;IF(setrules!K1101="","",",-"&amp;setrules!K1101)</f>
        <v/>
      </c>
      <c r="E1050" t="str">
        <f>setrules!L1101&amp;IF(setrules!M1101="","",",-"&amp;setrules!M1101)</f>
        <v/>
      </c>
      <c r="F1050" t="str">
        <f>setrules!B1101</f>
        <v>IPBOH_CHP</v>
      </c>
    </row>
    <row r="1051" spans="1:6" x14ac:dyDescent="0.25">
      <c r="A1051" t="str">
        <f>setrules!D1102&amp;IF(setrules!E1102="","",",-"&amp;setrules!E1102)</f>
        <v/>
      </c>
      <c r="B1051" t="str">
        <f>setrules!F1102&amp;IF(setrules!G1102="","",",-"&amp;setrules!G1102)&amp;IF(setrules!P1102="","",",-"&amp;setrules!P1102)</f>
        <v>IPBEOHTELC</v>
      </c>
      <c r="C1051" t="str">
        <f>setrules!H1102&amp;IF(setrules!I1102="","",",-"&amp;setrules!I1102)</f>
        <v/>
      </c>
      <c r="D1051" t="str">
        <f>setrules!J1102&amp;IF(setrules!K1102="","",",-"&amp;setrules!K1102)</f>
        <v/>
      </c>
      <c r="E1051" t="str">
        <f>setrules!L1102&amp;IF(setrules!M1102="","",",-"&amp;setrules!M1102)</f>
        <v/>
      </c>
      <c r="F1051" t="str">
        <f>setrules!B1102</f>
        <v>IPBOH_ELC</v>
      </c>
    </row>
    <row r="1052" spans="1:6" x14ac:dyDescent="0.25">
      <c r="A1052" t="str">
        <f>setrules!D1103&amp;IF(setrules!E1103="","",",-"&amp;setrules!E1103)</f>
        <v/>
      </c>
      <c r="B1052" t="str">
        <f>setrules!F1103&amp;IF(setrules!G1103="","",",-"&amp;setrules!G1103)&amp;IF(setrules!P1103="","",",-"&amp;setrules!P1103)</f>
        <v>IPBEFACDST</v>
      </c>
      <c r="C1052" t="str">
        <f>setrules!H1103&amp;IF(setrules!I1103="","",",-"&amp;setrules!I1103)</f>
        <v/>
      </c>
      <c r="D1052" t="str">
        <f>setrules!J1103&amp;IF(setrules!K1103="","",",-"&amp;setrules!K1103)</f>
        <v/>
      </c>
      <c r="E1052" t="str">
        <f>setrules!L1103&amp;IF(setrules!M1103="","",",-"&amp;setrules!M1103)</f>
        <v/>
      </c>
      <c r="F1052" t="str">
        <f>setrules!B1103</f>
        <v>IPBFA_DST</v>
      </c>
    </row>
    <row r="1053" spans="1:6" x14ac:dyDescent="0.25">
      <c r="A1053" t="str">
        <f>setrules!D1104&amp;IF(setrules!E1104="","",",-"&amp;setrules!E1104)</f>
        <v/>
      </c>
      <c r="B1053" t="str">
        <f>setrules!F1104&amp;IF(setrules!G1104="","",",-"&amp;setrules!G1104)&amp;IF(setrules!P1104="","",",-"&amp;setrules!P1104)</f>
        <v>IPAEOHTNGA,IPANREGNGA</v>
      </c>
      <c r="C1053" t="str">
        <f>setrules!H1104&amp;IF(setrules!I1104="","",",-"&amp;setrules!I1104)</f>
        <v/>
      </c>
      <c r="D1053" t="str">
        <f>setrules!J1104&amp;IF(setrules!K1104="","",",-"&amp;setrules!K1104)</f>
        <v/>
      </c>
      <c r="E1053" t="str">
        <f>setrules!L1104&amp;IF(setrules!M1104="","",",-"&amp;setrules!M1104)</f>
        <v/>
      </c>
      <c r="F1053" t="str">
        <f>setrules!B1104</f>
        <v>IPAOH_NGA</v>
      </c>
    </row>
    <row r="1054" spans="1:6" x14ac:dyDescent="0.25">
      <c r="A1054" t="str">
        <f>setrules!D1105&amp;IF(setrules!E1105="","",",-"&amp;setrules!E1105)</f>
        <v/>
      </c>
      <c r="B1054" t="str">
        <f>setrules!F1105&amp;IF(setrules!G1105="","",",-"&amp;setrules!G1105)&amp;IF(setrules!P1105="","",",-"&amp;setrules!P1105)</f>
        <v>IPAEFACRFL</v>
      </c>
      <c r="C1054" t="str">
        <f>setrules!H1105&amp;IF(setrules!I1105="","",",-"&amp;setrules!I1105)</f>
        <v/>
      </c>
      <c r="D1054" t="str">
        <f>setrules!J1105&amp;IF(setrules!K1105="","",",-"&amp;setrules!K1105)</f>
        <v/>
      </c>
      <c r="E1054" t="str">
        <f>setrules!L1105&amp;IF(setrules!M1105="","",",-"&amp;setrules!M1105)</f>
        <v/>
      </c>
      <c r="F1054" t="str">
        <f>setrules!B1105</f>
        <v>IPAFA_RFL</v>
      </c>
    </row>
    <row r="1055" spans="1:6" x14ac:dyDescent="0.25">
      <c r="A1055" t="str">
        <f>setrules!D1106&amp;IF(setrules!E1106="","",",-"&amp;setrules!E1106)</f>
        <v/>
      </c>
      <c r="B1055" t="str">
        <f>setrules!F1106&amp;IF(setrules!G1106="","",",-"&amp;setrules!G1106)&amp;IF(setrules!P1106="","",",-"&amp;setrules!P1106)</f>
        <v>IPAEMDR*</v>
      </c>
      <c r="C1055" t="str">
        <f>setrules!H1106&amp;IF(setrules!I1106="","",",-"&amp;setrules!I1106)</f>
        <v/>
      </c>
      <c r="D1055" t="str">
        <f>setrules!J1106&amp;IF(setrules!K1106="","",",-"&amp;setrules!K1106)</f>
        <v/>
      </c>
      <c r="E1055" t="str">
        <f>setrules!L1106&amp;IF(setrules!M1106="","",",-"&amp;setrules!M1106)</f>
        <v/>
      </c>
      <c r="F1055" t="str">
        <f>setrules!B1106</f>
        <v>IPAMD_ALL</v>
      </c>
    </row>
    <row r="1056" spans="1:6" x14ac:dyDescent="0.25">
      <c r="A1056" t="str">
        <f>setrules!D1107&amp;IF(setrules!E1107="","",",-"&amp;setrules!E1107)</f>
        <v/>
      </c>
      <c r="B1056" t="str">
        <f>setrules!F1107&amp;IF(setrules!G1107="","",",-"&amp;setrules!G1107)&amp;IF(setrules!P1107="","",",-"&amp;setrules!P1107)</f>
        <v>IPAEMDRELC</v>
      </c>
      <c r="C1056" t="str">
        <f>setrules!H1107&amp;IF(setrules!I1107="","",",-"&amp;setrules!I1107)</f>
        <v/>
      </c>
      <c r="D1056" t="str">
        <f>setrules!J1107&amp;IF(setrules!K1107="","",",-"&amp;setrules!K1107)</f>
        <v/>
      </c>
      <c r="E1056" t="str">
        <f>setrules!L1107&amp;IF(setrules!M1107="","",",-"&amp;setrules!M1107)</f>
        <v/>
      </c>
      <c r="F1056" t="str">
        <f>setrules!B1107</f>
        <v>IPAMD_ELC</v>
      </c>
    </row>
    <row r="1057" spans="1:6" x14ac:dyDescent="0.25">
      <c r="A1057" t="str">
        <f>setrules!D1108&amp;IF(setrules!E1108="","",",-"&amp;setrules!E1108)</f>
        <v/>
      </c>
      <c r="B1057" t="str">
        <f>setrules!F1108&amp;IF(setrules!G1108="","",",-"&amp;setrules!G1108)&amp;IF(setrules!P1108="","",",-"&amp;setrules!P1108)</f>
        <v>IPAEMDRNGA</v>
      </c>
      <c r="C1057" t="str">
        <f>setrules!H1108&amp;IF(setrules!I1108="","",",-"&amp;setrules!I1108)</f>
        <v/>
      </c>
      <c r="D1057" t="str">
        <f>setrules!J1108&amp;IF(setrules!K1108="","",",-"&amp;setrules!K1108)</f>
        <v/>
      </c>
      <c r="E1057" t="str">
        <f>setrules!L1108&amp;IF(setrules!M1108="","",",-"&amp;setrules!M1108)</f>
        <v/>
      </c>
      <c r="F1057" t="str">
        <f>setrules!B1108</f>
        <v>IPAMD_NGA</v>
      </c>
    </row>
    <row r="1058" spans="1:6" x14ac:dyDescent="0.25">
      <c r="A1058" t="str">
        <f>setrules!D1109&amp;IF(setrules!E1109="","",",-"&amp;setrules!E1109)</f>
        <v/>
      </c>
      <c r="B1058" t="str">
        <f>setrules!F1109&amp;IF(setrules!G1109="","",",-"&amp;setrules!G1109)&amp;IF(setrules!P1109="","",",-"&amp;setrules!P1109)</f>
        <v>IPA*B*BIO,IPA*B*WOD,IPA*B*TOM,IPAEOHT*,IPAOHTOSTM,-IPA*BST*</v>
      </c>
      <c r="C1058" t="str">
        <f>setrules!H1109&amp;IF(setrules!I1109="","",",-"&amp;setrules!I1109)</f>
        <v/>
      </c>
      <c r="D1058" t="str">
        <f>setrules!J1109&amp;IF(setrules!K1109="","",",-"&amp;setrules!K1109)</f>
        <v/>
      </c>
      <c r="E1058" t="str">
        <f>setrules!L1109&amp;IF(setrules!M1109="","",",-"&amp;setrules!M1109)</f>
        <v/>
      </c>
      <c r="F1058" t="str">
        <f>setrules!B1109</f>
        <v>IPAOH_ALL</v>
      </c>
    </row>
    <row r="1059" spans="1:6" x14ac:dyDescent="0.25">
      <c r="A1059" t="str">
        <f>setrules!D1110&amp;IF(setrules!E1110="","",",-"&amp;setrules!E1110)</f>
        <v/>
      </c>
      <c r="B1059" t="str">
        <f>setrules!F1110&amp;IF(setrules!G1110="","",",-"&amp;setrules!G1110)&amp;IF(setrules!P1110="","",",-"&amp;setrules!P1110)</f>
        <v>IPA*BIO,IPA*TOM,IPA*WOD,IPA*BLQ</v>
      </c>
      <c r="C1059" t="str">
        <f>setrules!H1110&amp;IF(setrules!I1110="","",",-"&amp;setrules!I1110)</f>
        <v/>
      </c>
      <c r="D1059" t="str">
        <f>setrules!J1110&amp;IF(setrules!K1110="","",",-"&amp;setrules!K1110)</f>
        <v/>
      </c>
      <c r="E1059" t="str">
        <f>setrules!L1110&amp;IF(setrules!M1110="","",",-"&amp;setrules!M1110)</f>
        <v/>
      </c>
      <c r="F1059" t="str">
        <f>setrules!B1110</f>
        <v>IPAOH_BIO</v>
      </c>
    </row>
    <row r="1060" spans="1:6" x14ac:dyDescent="0.25">
      <c r="A1060" t="str">
        <f>setrules!D1111&amp;IF(setrules!E1111="","",",-"&amp;setrules!E1111)</f>
        <v/>
      </c>
      <c r="B1060" t="str">
        <f>setrules!F1111&amp;IF(setrules!G1111="","",",-"&amp;setrules!G1111)&amp;IF(setrules!P1111="","",",-"&amp;setrules!P1111)</f>
        <v>IPA*COA,-,-IPAEPRHCOA,-</v>
      </c>
      <c r="C1060" t="str">
        <f>setrules!H1111&amp;IF(setrules!I1111="","",",-"&amp;setrules!I1111)</f>
        <v/>
      </c>
      <c r="D1060" t="str">
        <f>setrules!J1111&amp;IF(setrules!K1111="","",",-"&amp;setrules!K1111)</f>
        <v/>
      </c>
      <c r="E1060" t="str">
        <f>setrules!L1111&amp;IF(setrules!M1111="","",",-"&amp;setrules!M1111)</f>
        <v/>
      </c>
      <c r="F1060" t="str">
        <f>setrules!B1111</f>
        <v>IPAST_COA</v>
      </c>
    </row>
    <row r="1061" spans="1:6" x14ac:dyDescent="0.25">
      <c r="A1061" t="str">
        <f>setrules!D1112&amp;IF(setrules!E1112="","",",-"&amp;setrules!E1112)</f>
        <v/>
      </c>
      <c r="B1061" t="str">
        <f>setrules!F1112&amp;IF(setrules!G1112="","",",-"&amp;setrules!G1112)&amp;IF(setrules!P1112="","",",-"&amp;setrules!P1112)</f>
        <v>IPAEOHTELC</v>
      </c>
      <c r="C1061" t="str">
        <f>setrules!H1112&amp;IF(setrules!I1112="","",",-"&amp;setrules!I1112)</f>
        <v/>
      </c>
      <c r="D1061" t="str">
        <f>setrules!J1112&amp;IF(setrules!K1112="","",",-"&amp;setrules!K1112)</f>
        <v/>
      </c>
      <c r="E1061" t="str">
        <f>setrules!L1112&amp;IF(setrules!M1112="","",",-"&amp;setrules!M1112)</f>
        <v/>
      </c>
      <c r="F1061" t="str">
        <f>setrules!B1112</f>
        <v>IPAOH_ELC</v>
      </c>
    </row>
    <row r="1062" spans="1:6" x14ac:dyDescent="0.25">
      <c r="A1062" t="str">
        <f>setrules!D1113&amp;IF(setrules!E1113="","",",-"&amp;setrules!E1113)</f>
        <v/>
      </c>
      <c r="B1062" t="str">
        <f>setrules!F1113&amp;IF(setrules!G1113="","",",-"&amp;setrules!G1113)&amp;IF(setrules!P1113="","",",-"&amp;setrules!P1113)</f>
        <v>IOTEFEDOTP</v>
      </c>
      <c r="C1062" t="str">
        <f>setrules!H1113&amp;IF(setrules!I1113="","",",-"&amp;setrules!I1113)</f>
        <v/>
      </c>
      <c r="D1062" t="str">
        <f>setrules!J1113&amp;IF(setrules!K1113="","",",-"&amp;setrules!K1113)</f>
        <v/>
      </c>
      <c r="E1062" t="str">
        <f>setrules!L1113&amp;IF(setrules!M1113="","",",-"&amp;setrules!M1113)</f>
        <v/>
      </c>
      <c r="F1062" t="str">
        <f>setrules!B1113</f>
        <v>IOTFS_OTP</v>
      </c>
    </row>
    <row r="1063" spans="1:6" x14ac:dyDescent="0.25">
      <c r="A1063" t="str">
        <f>setrules!D1114&amp;IF(setrules!E1114="","",",-"&amp;setrules!E1114)</f>
        <v/>
      </c>
      <c r="B1063" t="str">
        <f>setrules!F1114&amp;IF(setrules!G1114="","",",-"&amp;setrules!G1114)&amp;IF(setrules!P1114="","",",-"&amp;setrules!P1114)</f>
        <v>IPAEOHTOTP</v>
      </c>
      <c r="C1063" t="str">
        <f>setrules!H1114&amp;IF(setrules!I1114="","",",-"&amp;setrules!I1114)</f>
        <v/>
      </c>
      <c r="D1063" t="str">
        <f>setrules!J1114&amp;IF(setrules!K1114="","",",-"&amp;setrules!K1114)</f>
        <v/>
      </c>
      <c r="E1063" t="str">
        <f>setrules!L1114&amp;IF(setrules!M1114="","",",-"&amp;setrules!M1114)</f>
        <v/>
      </c>
      <c r="F1063" t="str">
        <f>setrules!B1114</f>
        <v>IPAOH_OTP</v>
      </c>
    </row>
    <row r="1064" spans="1:6" x14ac:dyDescent="0.25">
      <c r="A1064" t="str">
        <f>setrules!D1115&amp;IF(setrules!E1115="","",",-"&amp;setrules!E1115)</f>
        <v/>
      </c>
      <c r="B1064" t="str">
        <f>setrules!F1115&amp;IF(setrules!G1115="","",",-"&amp;setrules!G1115)&amp;IF(setrules!P1115="","",",-"&amp;setrules!P1115)</f>
        <v>IPAEOHTPTC</v>
      </c>
      <c r="C1064" t="str">
        <f>setrules!H1115&amp;IF(setrules!I1115="","",",-"&amp;setrules!I1115)</f>
        <v/>
      </c>
      <c r="D1064" t="str">
        <f>setrules!J1115&amp;IF(setrules!K1115="","",",-"&amp;setrules!K1115)</f>
        <v/>
      </c>
      <c r="E1064" t="str">
        <f>setrules!L1115&amp;IF(setrules!M1115="","",",-"&amp;setrules!M1115)</f>
        <v/>
      </c>
      <c r="F1064" t="str">
        <f>setrules!B1115</f>
        <v>IPAOH_PTC</v>
      </c>
    </row>
    <row r="1065" spans="1:6" x14ac:dyDescent="0.25">
      <c r="A1065" t="str">
        <f>setrules!D1116&amp;IF(setrules!E1116="","",",-"&amp;setrules!E1116)</f>
        <v/>
      </c>
      <c r="B1065" t="str">
        <f>setrules!F1116&amp;IF(setrules!G1116="","",",-"&amp;setrules!G1116)&amp;IF(setrules!P1116="","",",-"&amp;setrules!P1116)</f>
        <v>IPAEPRH*</v>
      </c>
      <c r="C1065" t="str">
        <f>setrules!H1116&amp;IF(setrules!I1116="","",",-"&amp;setrules!I1116)</f>
        <v/>
      </c>
      <c r="D1065" t="str">
        <f>setrules!J1116&amp;IF(setrules!K1116="","",",-"&amp;setrules!K1116)</f>
        <v/>
      </c>
      <c r="E1065" t="str">
        <f>setrules!L1116&amp;IF(setrules!M1116="","",",-"&amp;setrules!M1116)</f>
        <v/>
      </c>
      <c r="F1065" t="str">
        <f>setrules!B1116</f>
        <v>IPAPH_ALL</v>
      </c>
    </row>
    <row r="1066" spans="1:6" x14ac:dyDescent="0.25">
      <c r="A1066" t="str">
        <f>setrules!D1117&amp;IF(setrules!E1117="","",",-"&amp;setrules!E1117)</f>
        <v/>
      </c>
      <c r="B1066" t="str">
        <f>setrules!F1117&amp;IF(setrules!G1117="","",",-"&amp;setrules!G1117)&amp;IF(setrules!P1117="","",",-"&amp;setrules!P1117)</f>
        <v>IPAEPRHCOA</v>
      </c>
      <c r="C1066" t="str">
        <f>setrules!H1117&amp;IF(setrules!I1117="","",",-"&amp;setrules!I1117)</f>
        <v/>
      </c>
      <c r="D1066" t="str">
        <f>setrules!J1117&amp;IF(setrules!K1117="","",",-"&amp;setrules!K1117)</f>
        <v/>
      </c>
      <c r="E1066" t="str">
        <f>setrules!L1117&amp;IF(setrules!M1117="","",",-"&amp;setrules!M1117)</f>
        <v/>
      </c>
      <c r="F1066" t="str">
        <f>setrules!B1117</f>
        <v>IPAPH_COA</v>
      </c>
    </row>
    <row r="1067" spans="1:6" x14ac:dyDescent="0.25">
      <c r="A1067" t="str">
        <f>setrules!D1118&amp;IF(setrules!E1118="","",",-"&amp;setrules!E1118)</f>
        <v/>
      </c>
      <c r="B1067" t="str">
        <f>setrules!F1118&amp;IF(setrules!G1118="","",",-"&amp;setrules!G1118)&amp;IF(setrules!P1118="","",",-"&amp;setrules!P1118)</f>
        <v>IPAEPRHELC</v>
      </c>
      <c r="C1067" t="str">
        <f>setrules!H1118&amp;IF(setrules!I1118="","",",-"&amp;setrules!I1118)</f>
        <v/>
      </c>
      <c r="D1067" t="str">
        <f>setrules!J1118&amp;IF(setrules!K1118="","",",-"&amp;setrules!K1118)</f>
        <v/>
      </c>
      <c r="E1067" t="str">
        <f>setrules!L1118&amp;IF(setrules!M1118="","",",-"&amp;setrules!M1118)</f>
        <v/>
      </c>
      <c r="F1067" t="str">
        <f>setrules!B1118</f>
        <v>IPAPH_ELC</v>
      </c>
    </row>
    <row r="1068" spans="1:6" x14ac:dyDescent="0.25">
      <c r="A1068" t="str">
        <f>setrules!D1119&amp;IF(setrules!E1119="","",",-"&amp;setrules!E1119)</f>
        <v/>
      </c>
      <c r="B1068" t="str">
        <f>setrules!F1119&amp;IF(setrules!G1119="","",",-"&amp;setrules!G1119)&amp;IF(setrules!P1119="","",",-"&amp;setrules!P1119)</f>
        <v>IPAEPRHNGA</v>
      </c>
      <c r="C1068" t="str">
        <f>setrules!H1119&amp;IF(setrules!I1119="","",",-"&amp;setrules!I1119)</f>
        <v/>
      </c>
      <c r="D1068" t="str">
        <f>setrules!J1119&amp;IF(setrules!K1119="","",",-"&amp;setrules!K1119)</f>
        <v/>
      </c>
      <c r="E1068" t="str">
        <f>setrules!L1119&amp;IF(setrules!M1119="","",",-"&amp;setrules!M1119)</f>
        <v/>
      </c>
      <c r="F1068" t="str">
        <f>setrules!B1119</f>
        <v>IPAPH_NGA</v>
      </c>
    </row>
    <row r="1069" spans="1:6" x14ac:dyDescent="0.25">
      <c r="A1069" t="str">
        <f>setrules!D1120&amp;IF(setrules!E1120="","",",-"&amp;setrules!E1120)</f>
        <v/>
      </c>
      <c r="B1069" t="str">
        <f>setrules!F1120&amp;IF(setrules!G1120="","",",-"&amp;setrules!G1120)&amp;IF(setrules!P1120="","",",-"&amp;setrules!P1120)</f>
        <v>IPAEPRHRFL</v>
      </c>
      <c r="C1069" t="str">
        <f>setrules!H1120&amp;IF(setrules!I1120="","",",-"&amp;setrules!I1120)</f>
        <v/>
      </c>
      <c r="D1069" t="str">
        <f>setrules!J1120&amp;IF(setrules!K1120="","",",-"&amp;setrules!K1120)</f>
        <v/>
      </c>
      <c r="E1069" t="str">
        <f>setrules!L1120&amp;IF(setrules!M1120="","",",-"&amp;setrules!M1120)</f>
        <v/>
      </c>
      <c r="F1069" t="str">
        <f>setrules!B1120</f>
        <v>IPAPH_RFL</v>
      </c>
    </row>
    <row r="1070" spans="1:6" x14ac:dyDescent="0.25">
      <c r="A1070" t="str">
        <f>setrules!D1121&amp;IF(setrules!E1121="","",",-"&amp;setrules!E1121)</f>
        <v/>
      </c>
      <c r="B1070" t="str">
        <f>setrules!F1121&amp;IF(setrules!G1121="","",",-"&amp;setrules!G1121)&amp;IF(setrules!P1121="","",",-"&amp;setrules!P1121)</f>
        <v>IPAOHTOSTM</v>
      </c>
      <c r="C1070" t="str">
        <f>setrules!H1121&amp;IF(setrules!I1121="","",",-"&amp;setrules!I1121)</f>
        <v/>
      </c>
      <c r="D1070" t="str">
        <f>setrules!J1121&amp;IF(setrules!K1121="","",",-"&amp;setrules!K1121)</f>
        <v/>
      </c>
      <c r="E1070" t="str">
        <f>setrules!L1121&amp;IF(setrules!M1121="","",",-"&amp;setrules!M1121)</f>
        <v/>
      </c>
      <c r="F1070" t="str">
        <f>setrules!B1121</f>
        <v>IPAOH_CHP</v>
      </c>
    </row>
    <row r="1071" spans="1:6" x14ac:dyDescent="0.25">
      <c r="A1071" t="str">
        <f>setrules!D1122&amp;IF(setrules!E1122="","",",-"&amp;setrules!E1122)</f>
        <v/>
      </c>
      <c r="B1071" t="str">
        <f>setrules!F1122&amp;IF(setrules!G1122="","",",-"&amp;setrules!G1122)&amp;IF(setrules!P1122="","",",-"&amp;setrules!P1122)</f>
        <v>IOM*DST*</v>
      </c>
      <c r="C1071" t="str">
        <f>setrules!H1122&amp;IF(setrules!I1122="","",",-"&amp;setrules!I1122)</f>
        <v/>
      </c>
      <c r="D1071" t="str">
        <f>setrules!J1122&amp;IF(setrules!K1122="","",",-"&amp;setrules!K1122)</f>
        <v/>
      </c>
      <c r="E1071" t="str">
        <f>setrules!L1122&amp;IF(setrules!M1122="","",",-"&amp;setrules!M1122)</f>
        <v/>
      </c>
      <c r="F1071" t="str">
        <f>setrules!B1122</f>
        <v>IOM_DST</v>
      </c>
    </row>
    <row r="1072" spans="1:6" x14ac:dyDescent="0.25">
      <c r="A1072" t="str">
        <f>setrules!D1123&amp;IF(setrules!E1123="","",",-"&amp;setrules!E1123)</f>
        <v/>
      </c>
      <c r="B1072" t="str">
        <f>setrules!F1123&amp;IF(setrules!G1123="","",",-"&amp;setrules!G1123)&amp;IF(setrules!P1123="","",",-"&amp;setrules!P1123)</f>
        <v>IOTEFEDRFL</v>
      </c>
      <c r="C1072" t="str">
        <f>setrules!H1123&amp;IF(setrules!I1123="","",",-"&amp;setrules!I1123)</f>
        <v/>
      </c>
      <c r="D1072" t="str">
        <f>setrules!J1123&amp;IF(setrules!K1123="","",",-"&amp;setrules!K1123)</f>
        <v/>
      </c>
      <c r="E1072" t="str">
        <f>setrules!L1123&amp;IF(setrules!M1123="","",",-"&amp;setrules!M1123)</f>
        <v/>
      </c>
      <c r="F1072" t="str">
        <f>setrules!B1123</f>
        <v>IOTFS_RFL</v>
      </c>
    </row>
    <row r="1073" spans="1:6" x14ac:dyDescent="0.25">
      <c r="A1073" t="str">
        <f>setrules!D1124&amp;IF(setrules!E1124="","",",-"&amp;setrules!E1124)</f>
        <v/>
      </c>
      <c r="B1073" t="str">
        <f>setrules!F1124&amp;IF(setrules!G1124="","",",-"&amp;setrules!G1124)&amp;IF(setrules!P1124="","",",-"&amp;setrules!P1124)</f>
        <v>IOFAC*</v>
      </c>
      <c r="C1073" t="str">
        <f>setrules!H1124&amp;IF(setrules!I1124="","",",-"&amp;setrules!I1124)</f>
        <v/>
      </c>
      <c r="D1073" t="str">
        <f>setrules!J1124&amp;IF(setrules!K1124="","",",-"&amp;setrules!K1124)</f>
        <v/>
      </c>
      <c r="E1073" t="str">
        <f>setrules!L1124&amp;IF(setrules!M1124="","",",-"&amp;setrules!M1124)</f>
        <v/>
      </c>
      <c r="F1073" t="str">
        <f>setrules!B1124</f>
        <v>IOFA_ALL</v>
      </c>
    </row>
    <row r="1074" spans="1:6" x14ac:dyDescent="0.25">
      <c r="A1074" t="str">
        <f>setrules!D1125&amp;IF(setrules!E1125="","",",-"&amp;setrules!E1125)</f>
        <v/>
      </c>
      <c r="B1074" t="str">
        <f>setrules!F1125&amp;IF(setrules!G1125="","",",-"&amp;setrules!G1125)&amp;IF(setrules!P1125="","",",-"&amp;setrules!P1125)</f>
        <v>IOFACCOA*</v>
      </c>
      <c r="C1074" t="str">
        <f>setrules!H1125&amp;IF(setrules!I1125="","",",-"&amp;setrules!I1125)</f>
        <v/>
      </c>
      <c r="D1074" t="str">
        <f>setrules!J1125&amp;IF(setrules!K1125="","",",-"&amp;setrules!K1125)</f>
        <v/>
      </c>
      <c r="E1074" t="str">
        <f>setrules!L1125&amp;IF(setrules!M1125="","",",-"&amp;setrules!M1125)</f>
        <v/>
      </c>
      <c r="F1074" t="str">
        <f>setrules!B1125</f>
        <v>IOFA_COA</v>
      </c>
    </row>
    <row r="1075" spans="1:6" x14ac:dyDescent="0.25">
      <c r="A1075" t="str">
        <f>setrules!D1126&amp;IF(setrules!E1126="","",",-"&amp;setrules!E1126)</f>
        <v/>
      </c>
      <c r="B1075" t="str">
        <f>setrules!F1126&amp;IF(setrules!G1126="","",",-"&amp;setrules!G1126)&amp;IF(setrules!P1126="","",",-"&amp;setrules!P1126)</f>
        <v>IOFACDST*</v>
      </c>
      <c r="C1075" t="str">
        <f>setrules!H1126&amp;IF(setrules!I1126="","",",-"&amp;setrules!I1126)</f>
        <v/>
      </c>
      <c r="D1075" t="str">
        <f>setrules!J1126&amp;IF(setrules!K1126="","",",-"&amp;setrules!K1126)</f>
        <v/>
      </c>
      <c r="E1075" t="str">
        <f>setrules!L1126&amp;IF(setrules!M1126="","",",-"&amp;setrules!M1126)</f>
        <v/>
      </c>
      <c r="F1075" t="str">
        <f>setrules!B1126</f>
        <v>IOFA_DST</v>
      </c>
    </row>
    <row r="1076" spans="1:6" x14ac:dyDescent="0.25">
      <c r="A1076" t="str">
        <f>setrules!D1127&amp;IF(setrules!E1127="","",",-"&amp;setrules!E1127)</f>
        <v/>
      </c>
      <c r="B1076" t="str">
        <f>setrules!F1127&amp;IF(setrules!G1127="","",",-"&amp;setrules!G1127)&amp;IF(setrules!P1127="","",",-"&amp;setrules!P1127)</f>
        <v>IOFACELC*</v>
      </c>
      <c r="C1076" t="str">
        <f>setrules!H1127&amp;IF(setrules!I1127="","",",-"&amp;setrules!I1127)</f>
        <v/>
      </c>
      <c r="D1076" t="str">
        <f>setrules!J1127&amp;IF(setrules!K1127="","",",-"&amp;setrules!K1127)</f>
        <v/>
      </c>
      <c r="E1076" t="str">
        <f>setrules!L1127&amp;IF(setrules!M1127="","",",-"&amp;setrules!M1127)</f>
        <v/>
      </c>
      <c r="F1076" t="str">
        <f>setrules!B1127</f>
        <v>IOFA_ELC</v>
      </c>
    </row>
    <row r="1077" spans="1:6" x14ac:dyDescent="0.25">
      <c r="A1077" t="str">
        <f>setrules!D1128&amp;IF(setrules!E1128="","",",-"&amp;setrules!E1128)</f>
        <v/>
      </c>
      <c r="B1077" t="str">
        <f>setrules!F1128&amp;IF(setrules!G1128="","",",-"&amp;setrules!G1128)&amp;IF(setrules!P1128="","",",-"&amp;setrules!P1128)</f>
        <v>IOFACLPG*</v>
      </c>
      <c r="C1077" t="str">
        <f>setrules!H1128&amp;IF(setrules!I1128="","",",-"&amp;setrules!I1128)</f>
        <v/>
      </c>
      <c r="D1077" t="str">
        <f>setrules!J1128&amp;IF(setrules!K1128="","",",-"&amp;setrules!K1128)</f>
        <v/>
      </c>
      <c r="E1077" t="str">
        <f>setrules!L1128&amp;IF(setrules!M1128="","",",-"&amp;setrules!M1128)</f>
        <v/>
      </c>
      <c r="F1077" t="str">
        <f>setrules!B1128</f>
        <v>IOFA_LPG</v>
      </c>
    </row>
    <row r="1078" spans="1:6" x14ac:dyDescent="0.25">
      <c r="A1078" t="str">
        <f>setrules!D1129&amp;IF(setrules!E1129="","",",-"&amp;setrules!E1129)</f>
        <v/>
      </c>
      <c r="B1078" t="str">
        <f>setrules!F1129&amp;IF(setrules!G1129="","",",-"&amp;setrules!G1129)&amp;IF(setrules!P1129="","",",-"&amp;setrules!P1129)</f>
        <v>IOFS*PTC*</v>
      </c>
      <c r="C1078" t="str">
        <f>setrules!H1129&amp;IF(setrules!I1129="","",",-"&amp;setrules!I1129)</f>
        <v/>
      </c>
      <c r="D1078" t="str">
        <f>setrules!J1129&amp;IF(setrules!K1129="","",",-"&amp;setrules!K1129)</f>
        <v/>
      </c>
      <c r="E1078" t="str">
        <f>setrules!L1129&amp;IF(setrules!M1129="","",",-"&amp;setrules!M1129)</f>
        <v/>
      </c>
      <c r="F1078" t="str">
        <f>setrules!B1129</f>
        <v>IOF_PTC</v>
      </c>
    </row>
    <row r="1079" spans="1:6" x14ac:dyDescent="0.25">
      <c r="A1079" t="str">
        <f>setrules!D1130&amp;IF(setrules!E1130="","",",-"&amp;setrules!E1130)</f>
        <v/>
      </c>
      <c r="B1079" t="str">
        <f>setrules!F1130&amp;IF(setrules!G1130="","",",-"&amp;setrules!G1130)&amp;IF(setrules!P1130="","",",-"&amp;setrules!P1130)</f>
        <v>IOM*</v>
      </c>
      <c r="C1079" t="str">
        <f>setrules!H1130&amp;IF(setrules!I1130="","",",-"&amp;setrules!I1130)</f>
        <v/>
      </c>
      <c r="D1079" t="str">
        <f>setrules!J1130&amp;IF(setrules!K1130="","",",-"&amp;setrules!K1130)</f>
        <v/>
      </c>
      <c r="E1079" t="str">
        <f>setrules!L1130&amp;IF(setrules!M1130="","",",-"&amp;setrules!M1130)</f>
        <v/>
      </c>
      <c r="F1079" t="str">
        <f>setrules!B1130</f>
        <v>IOM_ALL</v>
      </c>
    </row>
    <row r="1080" spans="1:6" x14ac:dyDescent="0.25">
      <c r="A1080" t="str">
        <f>setrules!D1131&amp;IF(setrules!E1131="","",",-"&amp;setrules!E1131)</f>
        <v/>
      </c>
      <c r="B1080" t="str">
        <f>setrules!F1131&amp;IF(setrules!G1131="","",",-"&amp;setrules!G1131)&amp;IF(setrules!P1131="","",",-"&amp;setrules!P1131)</f>
        <v>IOFS*OTH*</v>
      </c>
      <c r="C1080" t="str">
        <f>setrules!H1131&amp;IF(setrules!I1131="","",",-"&amp;setrules!I1131)</f>
        <v/>
      </c>
      <c r="D1080" t="str">
        <f>setrules!J1131&amp;IF(setrules!K1131="","",",-"&amp;setrules!K1131)</f>
        <v/>
      </c>
      <c r="E1080" t="str">
        <f>setrules!L1131&amp;IF(setrules!M1131="","",",-"&amp;setrules!M1131)</f>
        <v/>
      </c>
      <c r="F1080" t="str">
        <f>setrules!B1131</f>
        <v>IOF_OTH</v>
      </c>
    </row>
    <row r="1081" spans="1:6" x14ac:dyDescent="0.25">
      <c r="A1081" t="str">
        <f>setrules!D1132&amp;IF(setrules!E1132="","",",-"&amp;setrules!E1132)</f>
        <v/>
      </c>
      <c r="B1081" t="str">
        <f>setrules!F1132&amp;IF(setrules!G1132="","",",-"&amp;setrules!G1132)&amp;IF(setrules!P1132="","",",-"&amp;setrules!P1132)</f>
        <v>IOM*ELC*</v>
      </c>
      <c r="C1081" t="str">
        <f>setrules!H1132&amp;IF(setrules!I1132="","",",-"&amp;setrules!I1132)</f>
        <v/>
      </c>
      <c r="D1081" t="str">
        <f>setrules!J1132&amp;IF(setrules!K1132="","",",-"&amp;setrules!K1132)</f>
        <v/>
      </c>
      <c r="E1081" t="str">
        <f>setrules!L1132&amp;IF(setrules!M1132="","",",-"&amp;setrules!M1132)</f>
        <v/>
      </c>
      <c r="F1081" t="str">
        <f>setrules!B1132</f>
        <v>IOM_ELC</v>
      </c>
    </row>
    <row r="1082" spans="1:6" x14ac:dyDescent="0.25">
      <c r="A1082" t="str">
        <f>setrules!D1133&amp;IF(setrules!E1133="","",",-"&amp;setrules!E1133)</f>
        <v/>
      </c>
      <c r="B1082" t="str">
        <f>setrules!F1133&amp;IF(setrules!G1133="","",",-"&amp;setrules!G1133)&amp;IF(setrules!P1133="","",",-"&amp;setrules!P1133)</f>
        <v>IOM*NGA*</v>
      </c>
      <c r="C1082" t="str">
        <f>setrules!H1133&amp;IF(setrules!I1133="","",",-"&amp;setrules!I1133)</f>
        <v/>
      </c>
      <c r="D1082" t="str">
        <f>setrules!J1133&amp;IF(setrules!K1133="","",",-"&amp;setrules!K1133)</f>
        <v/>
      </c>
      <c r="E1082" t="str">
        <f>setrules!L1133&amp;IF(setrules!M1133="","",",-"&amp;setrules!M1133)</f>
        <v/>
      </c>
      <c r="F1082" t="str">
        <f>setrules!B1133</f>
        <v>IOM_NGA</v>
      </c>
    </row>
    <row r="1083" spans="1:6" x14ac:dyDescent="0.25">
      <c r="A1083" t="str">
        <f>setrules!D1134&amp;IF(setrules!E1134="","",",-"&amp;setrules!E1134)</f>
        <v/>
      </c>
      <c r="B1083" t="str">
        <f>setrules!F1134&amp;IF(setrules!G1134="","",",-"&amp;setrules!G1134)&amp;IF(setrules!P1134="","",",-"&amp;setrules!P1134)</f>
        <v>IOM*RFL*</v>
      </c>
      <c r="C1083" t="str">
        <f>setrules!H1134&amp;IF(setrules!I1134="","",",-"&amp;setrules!I1134)</f>
        <v/>
      </c>
      <c r="D1083" t="str">
        <f>setrules!J1134&amp;IF(setrules!K1134="","",",-"&amp;setrules!K1134)</f>
        <v/>
      </c>
      <c r="E1083" t="str">
        <f>setrules!L1134&amp;IF(setrules!M1134="","",",-"&amp;setrules!M1134)</f>
        <v/>
      </c>
      <c r="F1083" t="str">
        <f>setrules!B1134</f>
        <v>IOM_RFL</v>
      </c>
    </row>
    <row r="1084" spans="1:6" x14ac:dyDescent="0.25">
      <c r="A1084" t="str">
        <f>setrules!D1135&amp;IF(setrules!E1135="","",",-"&amp;setrules!E1135)</f>
        <v/>
      </c>
      <c r="B1084" t="str">
        <f>setrules!F1135&amp;IF(setrules!G1135="","",",-"&amp;setrules!G1135)&amp;IF(setrules!P1135="","",",-"&amp;setrules!P1135)</f>
        <v>IOOH*</v>
      </c>
      <c r="C1084" t="str">
        <f>setrules!H1135&amp;IF(setrules!I1135="","",",-"&amp;setrules!I1135)</f>
        <v/>
      </c>
      <c r="D1084" t="str">
        <f>setrules!J1135&amp;IF(setrules!K1135="","",",-"&amp;setrules!K1135)</f>
        <v/>
      </c>
      <c r="E1084" t="str">
        <f>setrules!L1135&amp;IF(setrules!M1135="","",",-"&amp;setrules!M1135)</f>
        <v/>
      </c>
      <c r="F1084" t="str">
        <f>setrules!B1135</f>
        <v>IOOH_ALL</v>
      </c>
    </row>
    <row r="1085" spans="1:6" x14ac:dyDescent="0.25">
      <c r="A1085" t="str">
        <f>setrules!D1136&amp;IF(setrules!E1136="","",",-"&amp;setrules!E1136)</f>
        <v/>
      </c>
      <c r="B1085" t="str">
        <f>setrules!F1136&amp;IF(setrules!G1136="","",",-"&amp;setrules!G1136)&amp;IF(setrules!P1136="","",",-"&amp;setrules!P1136)</f>
        <v>IOOHBIO*</v>
      </c>
      <c r="C1085" t="str">
        <f>setrules!H1136&amp;IF(setrules!I1136="","",",-"&amp;setrules!I1136)</f>
        <v/>
      </c>
      <c r="D1085" t="str">
        <f>setrules!J1136&amp;IF(setrules!K1136="","",",-"&amp;setrules!K1136)</f>
        <v/>
      </c>
      <c r="E1085" t="str">
        <f>setrules!L1136&amp;IF(setrules!M1136="","",",-"&amp;setrules!M1136)</f>
        <v/>
      </c>
      <c r="F1085" t="str">
        <f>setrules!B1136</f>
        <v>IOOH_BIO</v>
      </c>
    </row>
    <row r="1086" spans="1:6" x14ac:dyDescent="0.25">
      <c r="A1086" t="str">
        <f>setrules!D1137&amp;IF(setrules!E1137="","",",-"&amp;setrules!E1137)</f>
        <v/>
      </c>
      <c r="B1086" t="str">
        <f>setrules!F1137&amp;IF(setrules!G1137="","",",-"&amp;setrules!G1137)&amp;IF(setrules!P1137="","",",-"&amp;setrules!P1137)</f>
        <v>IOOHCOA*</v>
      </c>
      <c r="C1086" t="str">
        <f>setrules!H1137&amp;IF(setrules!I1137="","",",-"&amp;setrules!I1137)</f>
        <v/>
      </c>
      <c r="D1086" t="str">
        <f>setrules!J1137&amp;IF(setrules!K1137="","",",-"&amp;setrules!K1137)</f>
        <v/>
      </c>
      <c r="E1086" t="str">
        <f>setrules!L1137&amp;IF(setrules!M1137="","",",-"&amp;setrules!M1137)</f>
        <v/>
      </c>
      <c r="F1086" t="str">
        <f>setrules!B1137</f>
        <v>IOOH_COA</v>
      </c>
    </row>
    <row r="1087" spans="1:6" x14ac:dyDescent="0.25">
      <c r="A1087" t="str">
        <f>setrules!D1138&amp;IF(setrules!E1138="","",",-"&amp;setrules!E1138)</f>
        <v/>
      </c>
      <c r="B1087" t="str">
        <f>setrules!F1138&amp;IF(setrules!G1138="","",",-"&amp;setrules!G1138)&amp;IF(setrules!P1138="","",",-"&amp;setrules!P1138)</f>
        <v>IOOH*DST*</v>
      </c>
      <c r="C1087" t="str">
        <f>setrules!H1138&amp;IF(setrules!I1138="","",",-"&amp;setrules!I1138)</f>
        <v/>
      </c>
      <c r="D1087" t="str">
        <f>setrules!J1138&amp;IF(setrules!K1138="","",",-"&amp;setrules!K1138)</f>
        <v/>
      </c>
      <c r="E1087" t="str">
        <f>setrules!L1138&amp;IF(setrules!M1138="","",",-"&amp;setrules!M1138)</f>
        <v/>
      </c>
      <c r="F1087" t="str">
        <f>setrules!B1138</f>
        <v>IOOH_DST</v>
      </c>
    </row>
    <row r="1088" spans="1:6" x14ac:dyDescent="0.25">
      <c r="A1088" t="str">
        <f>setrules!D1139&amp;IF(setrules!E1139="","",",-"&amp;setrules!E1139)</f>
        <v/>
      </c>
      <c r="B1088" t="str">
        <f>setrules!F1139&amp;IF(setrules!G1139="","",",-"&amp;setrules!G1139)&amp;IF(setrules!P1139="","",",-"&amp;setrules!P1139)</f>
        <v>IOFACNGA*</v>
      </c>
      <c r="C1088" t="str">
        <f>setrules!H1139&amp;IF(setrules!I1139="","",",-"&amp;setrules!I1139)</f>
        <v/>
      </c>
      <c r="D1088" t="str">
        <f>setrules!J1139&amp;IF(setrules!K1139="","",",-"&amp;setrules!K1139)</f>
        <v/>
      </c>
      <c r="E1088" t="str">
        <f>setrules!L1139&amp;IF(setrules!M1139="","",",-"&amp;setrules!M1139)</f>
        <v/>
      </c>
      <c r="F1088" t="str">
        <f>setrules!B1139</f>
        <v>IOFA_NGA</v>
      </c>
    </row>
    <row r="1089" spans="1:6" x14ac:dyDescent="0.25">
      <c r="A1089" t="str">
        <f>setrules!D1140&amp;IF(setrules!E1140="","",",-"&amp;setrules!E1140)</f>
        <v/>
      </c>
      <c r="B1089" t="str">
        <f>setrules!F1140&amp;IF(setrules!G1140="","",",-"&amp;setrules!G1140)&amp;IF(setrules!P1140="","",",-"&amp;setrules!P1140)</f>
        <v>INB*NGA*</v>
      </c>
      <c r="C1089" t="str">
        <f>setrules!H1140&amp;IF(setrules!I1140="","",",-"&amp;setrules!I1140)</f>
        <v/>
      </c>
      <c r="D1089" t="str">
        <f>setrules!J1140&amp;IF(setrules!K1140="","",",-"&amp;setrules!K1140)</f>
        <v/>
      </c>
      <c r="E1089" t="str">
        <f>setrules!L1140&amp;IF(setrules!M1140="","",",-"&amp;setrules!M1140)</f>
        <v/>
      </c>
      <c r="F1089" t="str">
        <f>setrules!B1140</f>
        <v>INS_NGA</v>
      </c>
    </row>
    <row r="1090" spans="1:6" x14ac:dyDescent="0.25">
      <c r="A1090" t="str">
        <f>setrules!D1141&amp;IF(setrules!E1141="","",",-"&amp;setrules!E1141)</f>
        <v/>
      </c>
      <c r="B1090" t="str">
        <f>setrules!F1141&amp;IF(setrules!G1141="","",",-"&amp;setrules!G1141)&amp;IF(setrules!P1141="","",",-"&amp;setrules!P1141)</f>
        <v>INP*LPG*</v>
      </c>
      <c r="C1090" t="str">
        <f>setrules!H1141&amp;IF(setrules!I1141="","",",-"&amp;setrules!I1141)</f>
        <v/>
      </c>
      <c r="D1090" t="str">
        <f>setrules!J1141&amp;IF(setrules!K1141="","",",-"&amp;setrules!K1141)</f>
        <v/>
      </c>
      <c r="E1090" t="str">
        <f>setrules!L1141&amp;IF(setrules!M1141="","",",-"&amp;setrules!M1141)</f>
        <v/>
      </c>
      <c r="F1090" t="str">
        <f>setrules!B1141</f>
        <v>INP_LPG</v>
      </c>
    </row>
    <row r="1091" spans="1:6" x14ac:dyDescent="0.25">
      <c r="A1091" t="str">
        <f>setrules!D1142&amp;IF(setrules!E1142="","",",-"&amp;setrules!E1142)</f>
        <v/>
      </c>
      <c r="B1091" t="str">
        <f>setrules!F1142&amp;IF(setrules!G1142="","",",-"&amp;setrules!G1142)&amp;IF(setrules!P1142="","",",-"&amp;setrules!P1142)</f>
        <v>INP*NGA*</v>
      </c>
      <c r="C1091" t="str">
        <f>setrules!H1142&amp;IF(setrules!I1142="","",",-"&amp;setrules!I1142)</f>
        <v/>
      </c>
      <c r="D1091" t="str">
        <f>setrules!J1142&amp;IF(setrules!K1142="","",",-"&amp;setrules!K1142)</f>
        <v/>
      </c>
      <c r="E1091" t="str">
        <f>setrules!L1142&amp;IF(setrules!M1142="","",",-"&amp;setrules!M1142)</f>
        <v/>
      </c>
      <c r="F1091" t="str">
        <f>setrules!B1142</f>
        <v>INP_NGA</v>
      </c>
    </row>
    <row r="1092" spans="1:6" x14ac:dyDescent="0.25">
      <c r="A1092" t="str">
        <f>setrules!D1143&amp;IF(setrules!E1143="","",",-"&amp;setrules!E1143)</f>
        <v/>
      </c>
      <c r="B1092" t="str">
        <f>setrules!F1143&amp;IF(setrules!G1143="","",",-"&amp;setrules!G1143)&amp;IF(setrules!P1143="","",",-"&amp;setrules!P1143)</f>
        <v>INP*RFL*</v>
      </c>
      <c r="C1092" t="str">
        <f>setrules!H1143&amp;IF(setrules!I1143="","",",-"&amp;setrules!I1143)</f>
        <v/>
      </c>
      <c r="D1092" t="str">
        <f>setrules!J1143&amp;IF(setrules!K1143="","",",-"&amp;setrules!K1143)</f>
        <v/>
      </c>
      <c r="E1092" t="str">
        <f>setrules!L1143&amp;IF(setrules!M1143="","",",-"&amp;setrules!M1143)</f>
        <v/>
      </c>
      <c r="F1092" t="str">
        <f>setrules!B1143</f>
        <v>INP_RFL</v>
      </c>
    </row>
    <row r="1093" spans="1:6" x14ac:dyDescent="0.25">
      <c r="A1093" t="str">
        <f>setrules!D1144&amp;IF(setrules!E1144="","",",-"&amp;setrules!E1144)</f>
        <v/>
      </c>
      <c r="B1093" t="str">
        <f>setrules!F1144&amp;IF(setrules!G1144="","",",-"&amp;setrules!G1144)&amp;IF(setrules!P1144="","",",-"&amp;setrules!P1144)</f>
        <v>INB*</v>
      </c>
      <c r="C1093" t="str">
        <f>setrules!H1144&amp;IF(setrules!I1144="","",",-"&amp;setrules!I1144)</f>
        <v/>
      </c>
      <c r="D1093" t="str">
        <f>setrules!J1144&amp;IF(setrules!K1144="","",",-"&amp;setrules!K1144)</f>
        <v/>
      </c>
      <c r="E1093" t="str">
        <f>setrules!L1144&amp;IF(setrules!M1144="","",",-"&amp;setrules!M1144)</f>
        <v/>
      </c>
      <c r="F1093" t="str">
        <f>setrules!B1144</f>
        <v>INS_ALL</v>
      </c>
    </row>
    <row r="1094" spans="1:6" x14ac:dyDescent="0.25">
      <c r="A1094" t="str">
        <f>setrules!D1145&amp;IF(setrules!E1145="","",",-"&amp;setrules!E1145)</f>
        <v/>
      </c>
      <c r="B1094" t="str">
        <f>setrules!F1145&amp;IF(setrules!G1145="","",",-"&amp;setrules!G1145)&amp;IF(setrules!P1145="","",",-"&amp;setrules!P1145)</f>
        <v>INB*COA*</v>
      </c>
      <c r="C1094" t="str">
        <f>setrules!H1145&amp;IF(setrules!I1145="","",",-"&amp;setrules!I1145)</f>
        <v/>
      </c>
      <c r="D1094" t="str">
        <f>setrules!J1145&amp;IF(setrules!K1145="","",",-"&amp;setrules!K1145)</f>
        <v/>
      </c>
      <c r="E1094" t="str">
        <f>setrules!L1145&amp;IF(setrules!M1145="","",",-"&amp;setrules!M1145)</f>
        <v/>
      </c>
      <c r="F1094" t="str">
        <f>setrules!B1145</f>
        <v>INS_COA</v>
      </c>
    </row>
    <row r="1095" spans="1:6" x14ac:dyDescent="0.25">
      <c r="A1095" t="str">
        <f>setrules!D1146&amp;IF(setrules!E1146="","",",-"&amp;setrules!E1146)</f>
        <v/>
      </c>
      <c r="B1095" t="str">
        <f>setrules!F1146&amp;IF(setrules!G1146="","",",-"&amp;setrules!G1146)&amp;IF(setrules!P1146="","",",-"&amp;setrules!P1146)</f>
        <v>INB*DST*</v>
      </c>
      <c r="C1095" t="str">
        <f>setrules!H1146&amp;IF(setrules!I1146="","",",-"&amp;setrules!I1146)</f>
        <v/>
      </c>
      <c r="D1095" t="str">
        <f>setrules!J1146&amp;IF(setrules!K1146="","",",-"&amp;setrules!K1146)</f>
        <v/>
      </c>
      <c r="E1095" t="str">
        <f>setrules!L1146&amp;IF(setrules!M1146="","",",-"&amp;setrules!M1146)</f>
        <v/>
      </c>
      <c r="F1095" t="str">
        <f>setrules!B1146</f>
        <v>INS_DST</v>
      </c>
    </row>
    <row r="1096" spans="1:6" x14ac:dyDescent="0.25">
      <c r="A1096" t="str">
        <f>setrules!D1147&amp;IF(setrules!E1147="","",",-"&amp;setrules!E1147)</f>
        <v/>
      </c>
      <c r="B1096" t="str">
        <f>setrules!F1147&amp;IF(setrules!G1147="","",",-"&amp;setrules!G1147)&amp;IF(setrules!P1147="","",",-"&amp;setrules!P1147)</f>
        <v>IOFS*RFL*</v>
      </c>
      <c r="C1096" t="str">
        <f>setrules!H1147&amp;IF(setrules!I1147="","",",-"&amp;setrules!I1147)</f>
        <v/>
      </c>
      <c r="D1096" t="str">
        <f>setrules!J1147&amp;IF(setrules!K1147="","",",-"&amp;setrules!K1147)</f>
        <v/>
      </c>
      <c r="E1096" t="str">
        <f>setrules!L1147&amp;IF(setrules!M1147="","",",-"&amp;setrules!M1147)</f>
        <v/>
      </c>
      <c r="F1096" t="str">
        <f>setrules!B1147</f>
        <v>IOF_RFL</v>
      </c>
    </row>
    <row r="1097" spans="1:6" x14ac:dyDescent="0.25">
      <c r="A1097" t="str">
        <f>setrules!D1148&amp;IF(setrules!E1148="","",",-"&amp;setrules!E1148)</f>
        <v/>
      </c>
      <c r="B1097" t="str">
        <f>setrules!F1148&amp;IF(setrules!G1148="","",",-"&amp;setrules!G1148)&amp;IF(setrules!P1148="","",",-"&amp;setrules!P1148)</f>
        <v>INB*FSTM*</v>
      </c>
      <c r="C1097" t="str">
        <f>setrules!H1148&amp;IF(setrules!I1148="","",",-"&amp;setrules!I1148)</f>
        <v/>
      </c>
      <c r="D1097" t="str">
        <f>setrules!J1148&amp;IF(setrules!K1148="","",",-"&amp;setrules!K1148)</f>
        <v/>
      </c>
      <c r="E1097" t="str">
        <f>setrules!L1148&amp;IF(setrules!M1148="","",",-"&amp;setrules!M1148)</f>
        <v/>
      </c>
      <c r="F1097" t="str">
        <f>setrules!B1148</f>
        <v>INS_FSTM</v>
      </c>
    </row>
    <row r="1098" spans="1:6" x14ac:dyDescent="0.25">
      <c r="A1098" t="str">
        <f>setrules!D1149&amp;IF(setrules!E1149="","",",-"&amp;setrules!E1149)</f>
        <v/>
      </c>
      <c r="B1098" t="str">
        <f>setrules!F1149&amp;IF(setrules!G1149="","",",-"&amp;setrules!G1149)&amp;IF(setrules!P1149="","",",-"&amp;setrules!P1149)</f>
        <v>IOOHNGA*</v>
      </c>
      <c r="C1098" t="str">
        <f>setrules!H1149&amp;IF(setrules!I1149="","",",-"&amp;setrules!I1149)</f>
        <v/>
      </c>
      <c r="D1098" t="str">
        <f>setrules!J1149&amp;IF(setrules!K1149="","",",-"&amp;setrules!K1149)</f>
        <v/>
      </c>
      <c r="E1098" t="str">
        <f>setrules!L1149&amp;IF(setrules!M1149="","",",-"&amp;setrules!M1149)</f>
        <v/>
      </c>
      <c r="F1098" t="str">
        <f>setrules!B1149</f>
        <v>IOOH_NGA</v>
      </c>
    </row>
    <row r="1099" spans="1:6" x14ac:dyDescent="0.25">
      <c r="A1099" t="str">
        <f>setrules!D1150&amp;IF(setrules!E1150="","",",-"&amp;setrules!E1150)</f>
        <v/>
      </c>
      <c r="B1099" t="str">
        <f>setrules!F1150&amp;IF(setrules!G1150="","",",-"&amp;setrules!G1150)&amp;IF(setrules!P1150="","",",-"&amp;setrules!P1150)</f>
        <v>IO*</v>
      </c>
      <c r="C1099" t="str">
        <f>setrules!H1150&amp;IF(setrules!I1150="","",",-"&amp;setrules!I1150)</f>
        <v/>
      </c>
      <c r="D1099" t="str">
        <f>setrules!J1150&amp;IF(setrules!K1150="","",",-"&amp;setrules!K1150)</f>
        <v/>
      </c>
      <c r="E1099" t="str">
        <f>setrules!L1150&amp;IF(setrules!M1150="","",",-"&amp;setrules!M1150)</f>
        <v/>
      </c>
      <c r="F1099" t="str">
        <f>setrules!B1150</f>
        <v>IO EXISTING</v>
      </c>
    </row>
    <row r="1100" spans="1:6" x14ac:dyDescent="0.25">
      <c r="A1100" t="str">
        <f>setrules!D1151&amp;IF(setrules!E1151="","",",-"&amp;setrules!E1151)</f>
        <v/>
      </c>
      <c r="B1100" t="str">
        <f>setrules!F1151&amp;IF(setrules!G1151="","",",-"&amp;setrules!G1151)&amp;IF(setrules!P1151="","",",-"&amp;setrules!P1151)</f>
        <v>IOFS*</v>
      </c>
      <c r="C1100" t="str">
        <f>setrules!H1151&amp;IF(setrules!I1151="","",",-"&amp;setrules!I1151)</f>
        <v/>
      </c>
      <c r="D1100" t="str">
        <f>setrules!J1151&amp;IF(setrules!K1151="","",",-"&amp;setrules!K1151)</f>
        <v/>
      </c>
      <c r="E1100" t="str">
        <f>setrules!L1151&amp;IF(setrules!M1151="","",",-"&amp;setrules!M1151)</f>
        <v/>
      </c>
      <c r="F1100" t="str">
        <f>setrules!B1151</f>
        <v>IOF_ALL</v>
      </c>
    </row>
    <row r="1101" spans="1:6" x14ac:dyDescent="0.25">
      <c r="A1101" t="str">
        <f>setrules!D1152&amp;IF(setrules!E1152="","",",-"&amp;setrules!E1152)</f>
        <v/>
      </c>
      <c r="B1101" t="str">
        <f>setrules!F1152&amp;IF(setrules!G1152="","",",-"&amp;setrules!G1152)&amp;IF(setrules!P1152="","",",-"&amp;setrules!P1152)</f>
        <v>IOFS*COA*</v>
      </c>
      <c r="C1101" t="str">
        <f>setrules!H1152&amp;IF(setrules!I1152="","",",-"&amp;setrules!I1152)</f>
        <v/>
      </c>
      <c r="D1101" t="str">
        <f>setrules!J1152&amp;IF(setrules!K1152="","",",-"&amp;setrules!K1152)</f>
        <v/>
      </c>
      <c r="E1101" t="str">
        <f>setrules!L1152&amp;IF(setrules!M1152="","",",-"&amp;setrules!M1152)</f>
        <v/>
      </c>
      <c r="F1101" t="str">
        <f>setrules!B1152</f>
        <v>IOF_COA</v>
      </c>
    </row>
    <row r="1102" spans="1:6" x14ac:dyDescent="0.25">
      <c r="A1102" t="str">
        <f>setrules!D1153&amp;IF(setrules!E1153="","",",-"&amp;setrules!E1153)</f>
        <v/>
      </c>
      <c r="B1102" t="str">
        <f>setrules!F1153&amp;IF(setrules!G1153="","",",-"&amp;setrules!G1153)&amp;IF(setrules!P1153="","",",-"&amp;setrules!P1153)</f>
        <v>IOFS*COK*</v>
      </c>
      <c r="C1102" t="str">
        <f>setrules!H1153&amp;IF(setrules!I1153="","",",-"&amp;setrules!I1153)</f>
        <v/>
      </c>
      <c r="D1102" t="str">
        <f>setrules!J1153&amp;IF(setrules!K1153="","",",-"&amp;setrules!K1153)</f>
        <v/>
      </c>
      <c r="E1102" t="str">
        <f>setrules!L1153&amp;IF(setrules!M1153="","",",-"&amp;setrules!M1153)</f>
        <v/>
      </c>
      <c r="F1102" t="str">
        <f>setrules!B1153</f>
        <v>IOF_COK</v>
      </c>
    </row>
    <row r="1103" spans="1:6" x14ac:dyDescent="0.25">
      <c r="A1103" t="str">
        <f>setrules!D1154&amp;IF(setrules!E1154="","",",-"&amp;setrules!E1154)</f>
        <v/>
      </c>
      <c r="B1103" t="str">
        <f>setrules!F1154&amp;IF(setrules!G1154="","",",-"&amp;setrules!G1154)&amp;IF(setrules!P1154="","",",-"&amp;setrules!P1154)</f>
        <v>IOFS*DST*</v>
      </c>
      <c r="C1103" t="str">
        <f>setrules!H1154&amp;IF(setrules!I1154="","",",-"&amp;setrules!I1154)</f>
        <v/>
      </c>
      <c r="D1103" t="str">
        <f>setrules!J1154&amp;IF(setrules!K1154="","",",-"&amp;setrules!K1154)</f>
        <v/>
      </c>
      <c r="E1103" t="str">
        <f>setrules!L1154&amp;IF(setrules!M1154="","",",-"&amp;setrules!M1154)</f>
        <v/>
      </c>
      <c r="F1103" t="str">
        <f>setrules!B1154</f>
        <v>IOF_DST</v>
      </c>
    </row>
    <row r="1104" spans="1:6" x14ac:dyDescent="0.25">
      <c r="A1104" t="str">
        <f>setrules!D1155&amp;IF(setrules!E1155="","",",-"&amp;setrules!E1155)</f>
        <v/>
      </c>
      <c r="B1104" t="str">
        <f>setrules!F1155&amp;IF(setrules!G1155="","",",-"&amp;setrules!G1155)&amp;IF(setrules!P1155="","",",-"&amp;setrules!P1155)</f>
        <v>IOFS*LPG*</v>
      </c>
      <c r="C1104" t="str">
        <f>setrules!H1155&amp;IF(setrules!I1155="","",",-"&amp;setrules!I1155)</f>
        <v/>
      </c>
      <c r="D1104" t="str">
        <f>setrules!J1155&amp;IF(setrules!K1155="","",",-"&amp;setrules!K1155)</f>
        <v/>
      </c>
      <c r="E1104" t="str">
        <f>setrules!L1155&amp;IF(setrules!M1155="","",",-"&amp;setrules!M1155)</f>
        <v/>
      </c>
      <c r="F1104" t="str">
        <f>setrules!B1155</f>
        <v>IOF_LPG</v>
      </c>
    </row>
    <row r="1105" spans="1:6" x14ac:dyDescent="0.25">
      <c r="A1105" t="str">
        <f>setrules!D1156&amp;IF(setrules!E1156="","",",-"&amp;setrules!E1156)</f>
        <v/>
      </c>
      <c r="B1105" t="str">
        <f>setrules!F1156&amp;IF(setrules!G1156="","",",-"&amp;setrules!G1156)&amp;IF(setrules!P1156="","",",-"&amp;setrules!P1156)</f>
        <v>IOFS*NGA*</v>
      </c>
      <c r="C1105" t="str">
        <f>setrules!H1156&amp;IF(setrules!I1156="","",",-"&amp;setrules!I1156)</f>
        <v/>
      </c>
      <c r="D1105" t="str">
        <f>setrules!J1156&amp;IF(setrules!K1156="","",",-"&amp;setrules!K1156)</f>
        <v/>
      </c>
      <c r="E1105" t="str">
        <f>setrules!L1156&amp;IF(setrules!M1156="","",",-"&amp;setrules!M1156)</f>
        <v/>
      </c>
      <c r="F1105" t="str">
        <f>setrules!B1156</f>
        <v>IOF_NGA</v>
      </c>
    </row>
    <row r="1106" spans="1:6" x14ac:dyDescent="0.25">
      <c r="A1106" t="str">
        <f>setrules!D1157&amp;IF(setrules!E1157="","",",-"&amp;setrules!E1157)</f>
        <v/>
      </c>
      <c r="B1106" t="str">
        <f>setrules!F1157&amp;IF(setrules!G1157="","",",-"&amp;setrules!G1157)&amp;IF(setrules!P1157="","",",-"&amp;setrules!P1157)</f>
        <v>INB*ELC*</v>
      </c>
      <c r="C1106" t="str">
        <f>setrules!H1157&amp;IF(setrules!I1157="","",",-"&amp;setrules!I1157)</f>
        <v/>
      </c>
      <c r="D1106" t="str">
        <f>setrules!J1157&amp;IF(setrules!K1157="","",",-"&amp;setrules!K1157)</f>
        <v/>
      </c>
      <c r="E1106" t="str">
        <f>setrules!L1157&amp;IF(setrules!M1157="","",",-"&amp;setrules!M1157)</f>
        <v/>
      </c>
      <c r="F1106" t="str">
        <f>setrules!B1157</f>
        <v>INS_ELC</v>
      </c>
    </row>
    <row r="1107" spans="1:6" x14ac:dyDescent="0.25">
      <c r="A1107" t="str">
        <f>setrules!D1158&amp;IF(setrules!E1158="","",",-"&amp;setrules!E1158)</f>
        <v/>
      </c>
      <c r="B1107" t="str">
        <f>setrules!F1158&amp;IF(setrules!G1158="","",",-"&amp;setrules!G1158)&amp;IF(setrules!P1158="","",",-"&amp;setrules!P1158)</f>
        <v>IOTEFACRFL</v>
      </c>
      <c r="C1107" t="str">
        <f>setrules!H1158&amp;IF(setrules!I1158="","",",-"&amp;setrules!I1158)</f>
        <v/>
      </c>
      <c r="D1107" t="str">
        <f>setrules!J1158&amp;IF(setrules!K1158="","",",-"&amp;setrules!K1158)</f>
        <v/>
      </c>
      <c r="E1107" t="str">
        <f>setrules!L1158&amp;IF(setrules!M1158="","",",-"&amp;setrules!M1158)</f>
        <v/>
      </c>
      <c r="F1107" t="str">
        <f>setrules!B1158</f>
        <v>IOTFA_RFL</v>
      </c>
    </row>
    <row r="1108" spans="1:6" x14ac:dyDescent="0.25">
      <c r="A1108" t="str">
        <f>setrules!D1159&amp;IF(setrules!E1159="","",",-"&amp;setrules!E1159)</f>
        <v/>
      </c>
      <c r="B1108" t="str">
        <f>setrules!F1159&amp;IF(setrules!G1159="","",",-"&amp;setrules!G1159)&amp;IF(setrules!P1159="","",",-"&amp;setrules!P1159)</f>
        <v>IOB*RFL*</v>
      </c>
      <c r="C1108" t="str">
        <f>setrules!H1159&amp;IF(setrules!I1159="","",",-"&amp;setrules!I1159)</f>
        <v/>
      </c>
      <c r="D1108" t="str">
        <f>setrules!J1159&amp;IF(setrules!K1159="","",",-"&amp;setrules!K1159)</f>
        <v/>
      </c>
      <c r="E1108" t="str">
        <f>setrules!L1159&amp;IF(setrules!M1159="","",",-"&amp;setrules!M1159)</f>
        <v/>
      </c>
      <c r="F1108" t="str">
        <f>setrules!B1159</f>
        <v>IOS_RFL</v>
      </c>
    </row>
    <row r="1109" spans="1:6" x14ac:dyDescent="0.25">
      <c r="A1109" t="str">
        <f>setrules!D1160&amp;IF(setrules!E1160="","",",-"&amp;setrules!E1160)</f>
        <v/>
      </c>
      <c r="B1109" t="str">
        <f>setrules!F1160&amp;IF(setrules!G1160="","",",-"&amp;setrules!G1160)&amp;IF(setrules!P1160="","",",-"&amp;setrules!P1160)</f>
        <v>IOTE*</v>
      </c>
      <c r="C1109" t="str">
        <f>setrules!H1160&amp;IF(setrules!I1160="","",",-"&amp;setrules!I1160)</f>
        <v/>
      </c>
      <c r="D1109" t="str">
        <f>setrules!J1160&amp;IF(setrules!K1160="","",",-"&amp;setrules!K1160)</f>
        <v/>
      </c>
      <c r="E1109" t="str">
        <f>setrules!L1160&amp;IF(setrules!M1160="","",",-"&amp;setrules!M1160)</f>
        <v/>
      </c>
      <c r="F1109" t="str">
        <f>setrules!B1160</f>
        <v>IOT EXISTING</v>
      </c>
    </row>
    <row r="1110" spans="1:6" x14ac:dyDescent="0.25">
      <c r="A1110" t="str">
        <f>setrules!D1161&amp;IF(setrules!E1161="","",",-"&amp;setrules!E1161)</f>
        <v/>
      </c>
      <c r="B1110" t="str">
        <f>setrules!F1161&amp;IF(setrules!G1161="","",",-"&amp;setrules!G1161)&amp;IF(setrules!P1161="","",",-"&amp;setrules!P1161)</f>
        <v>IOTEFAC*</v>
      </c>
      <c r="C1110" t="str">
        <f>setrules!H1161&amp;IF(setrules!I1161="","",",-"&amp;setrules!I1161)</f>
        <v/>
      </c>
      <c r="D1110" t="str">
        <f>setrules!J1161&amp;IF(setrules!K1161="","",",-"&amp;setrules!K1161)</f>
        <v/>
      </c>
      <c r="E1110" t="str">
        <f>setrules!L1161&amp;IF(setrules!M1161="","",",-"&amp;setrules!M1161)</f>
        <v/>
      </c>
      <c r="F1110" t="str">
        <f>setrules!B1161</f>
        <v>IOTFA_ALL</v>
      </c>
    </row>
    <row r="1111" spans="1:6" x14ac:dyDescent="0.25">
      <c r="A1111" t="str">
        <f>setrules!D1162&amp;IF(setrules!E1162="","",",-"&amp;setrules!E1162)</f>
        <v/>
      </c>
      <c r="B1111" t="str">
        <f>setrules!F1162&amp;IF(setrules!G1162="","",",-"&amp;setrules!G1162)&amp;IF(setrules!P1162="","",",-"&amp;setrules!P1162)</f>
        <v>IOTEFACCOA</v>
      </c>
      <c r="C1111" t="str">
        <f>setrules!H1162&amp;IF(setrules!I1162="","",",-"&amp;setrules!I1162)</f>
        <v/>
      </c>
      <c r="D1111" t="str">
        <f>setrules!J1162&amp;IF(setrules!K1162="","",",-"&amp;setrules!K1162)</f>
        <v/>
      </c>
      <c r="E1111" t="str">
        <f>setrules!L1162&amp;IF(setrules!M1162="","",",-"&amp;setrules!M1162)</f>
        <v/>
      </c>
      <c r="F1111" t="str">
        <f>setrules!B1162</f>
        <v>IOTFA_COA</v>
      </c>
    </row>
    <row r="1112" spans="1:6" x14ac:dyDescent="0.25">
      <c r="A1112" t="str">
        <f>setrules!D1163&amp;IF(setrules!E1163="","",",-"&amp;setrules!E1163)</f>
        <v/>
      </c>
      <c r="B1112" t="str">
        <f>setrules!F1163&amp;IF(setrules!G1163="","",",-"&amp;setrules!G1163)&amp;IF(setrules!P1163="","",",-"&amp;setrules!P1163)</f>
        <v>IOTEFACDST</v>
      </c>
      <c r="C1112" t="str">
        <f>setrules!H1163&amp;IF(setrules!I1163="","",",-"&amp;setrules!I1163)</f>
        <v/>
      </c>
      <c r="D1112" t="str">
        <f>setrules!J1163&amp;IF(setrules!K1163="","",",-"&amp;setrules!K1163)</f>
        <v/>
      </c>
      <c r="E1112" t="str">
        <f>setrules!L1163&amp;IF(setrules!M1163="","",",-"&amp;setrules!M1163)</f>
        <v/>
      </c>
      <c r="F1112" t="str">
        <f>setrules!B1163</f>
        <v>IOTFA_DST</v>
      </c>
    </row>
    <row r="1113" spans="1:6" x14ac:dyDescent="0.25">
      <c r="A1113" t="str">
        <f>setrules!D1164&amp;IF(setrules!E1164="","",",-"&amp;setrules!E1164)</f>
        <v/>
      </c>
      <c r="B1113" t="str">
        <f>setrules!F1164&amp;IF(setrules!G1164="","",",-"&amp;setrules!G1164)&amp;IF(setrules!P1164="","",",-"&amp;setrules!P1164)</f>
        <v>IOTEFACELC</v>
      </c>
      <c r="C1113" t="str">
        <f>setrules!H1164&amp;IF(setrules!I1164="","",",-"&amp;setrules!I1164)</f>
        <v/>
      </c>
      <c r="D1113" t="str">
        <f>setrules!J1164&amp;IF(setrules!K1164="","",",-"&amp;setrules!K1164)</f>
        <v/>
      </c>
      <c r="E1113" t="str">
        <f>setrules!L1164&amp;IF(setrules!M1164="","",",-"&amp;setrules!M1164)</f>
        <v/>
      </c>
      <c r="F1113" t="str">
        <f>setrules!B1164</f>
        <v>IOTFA_ELC</v>
      </c>
    </row>
    <row r="1114" spans="1:6" x14ac:dyDescent="0.25">
      <c r="A1114" t="str">
        <f>setrules!D1165&amp;IF(setrules!E1165="","",",-"&amp;setrules!E1165)</f>
        <v/>
      </c>
      <c r="B1114" t="str">
        <f>setrules!F1165&amp;IF(setrules!G1165="","",",-"&amp;setrules!G1165)&amp;IF(setrules!P1165="","",",-"&amp;setrules!P1165)</f>
        <v>IOOH*ELC*</v>
      </c>
      <c r="C1114" t="str">
        <f>setrules!H1165&amp;IF(setrules!I1165="","",",-"&amp;setrules!I1165)</f>
        <v/>
      </c>
      <c r="D1114" t="str">
        <f>setrules!J1165&amp;IF(setrules!K1165="","",",-"&amp;setrules!K1165)</f>
        <v/>
      </c>
      <c r="E1114" t="str">
        <f>setrules!L1165&amp;IF(setrules!M1165="","",",-"&amp;setrules!M1165)</f>
        <v/>
      </c>
      <c r="F1114" t="str">
        <f>setrules!B1165</f>
        <v>IOOH_ELC</v>
      </c>
    </row>
    <row r="1115" spans="1:6" x14ac:dyDescent="0.25">
      <c r="A1115" t="str">
        <f>setrules!D1166&amp;IF(setrules!E1166="","",",-"&amp;setrules!E1166)</f>
        <v/>
      </c>
      <c r="B1115" t="str">
        <f>setrules!F1166&amp;IF(setrules!G1166="","",",-"&amp;setrules!G1166)&amp;IF(setrules!P1166="","",",-"&amp;setrules!P1166)</f>
        <v>IOTEFACNGA</v>
      </c>
      <c r="C1115" t="str">
        <f>setrules!H1166&amp;IF(setrules!I1166="","",",-"&amp;setrules!I1166)</f>
        <v/>
      </c>
      <c r="D1115" t="str">
        <f>setrules!J1166&amp;IF(setrules!K1166="","",",-"&amp;setrules!K1166)</f>
        <v/>
      </c>
      <c r="E1115" t="str">
        <f>setrules!L1166&amp;IF(setrules!M1166="","",",-"&amp;setrules!M1166)</f>
        <v/>
      </c>
      <c r="F1115" t="str">
        <f>setrules!B1166</f>
        <v>IOTFA_NGA</v>
      </c>
    </row>
    <row r="1116" spans="1:6" x14ac:dyDescent="0.25">
      <c r="A1116" t="str">
        <f>setrules!D1167&amp;IF(setrules!E1167="","",",-"&amp;setrules!E1167)</f>
        <v/>
      </c>
      <c r="B1116" t="str">
        <f>setrules!F1167&amp;IF(setrules!G1167="","",",-"&amp;setrules!G1167)&amp;IF(setrules!P1167="","",",-"&amp;setrules!P1167)</f>
        <v>IOB*FSTM*</v>
      </c>
      <c r="C1116" t="str">
        <f>setrules!H1167&amp;IF(setrules!I1167="","",",-"&amp;setrules!I1167)</f>
        <v/>
      </c>
      <c r="D1116" t="str">
        <f>setrules!J1167&amp;IF(setrules!K1167="","",",-"&amp;setrules!K1167)</f>
        <v/>
      </c>
      <c r="E1116" t="str">
        <f>setrules!L1167&amp;IF(setrules!M1167="","",",-"&amp;setrules!M1167)</f>
        <v/>
      </c>
      <c r="F1116" t="str">
        <f>setrules!B1167</f>
        <v>IOS_FSTM</v>
      </c>
    </row>
    <row r="1117" spans="1:6" x14ac:dyDescent="0.25">
      <c r="A1117" t="str">
        <f>setrules!D1168&amp;IF(setrules!E1168="","",",-"&amp;setrules!E1168)</f>
        <v/>
      </c>
      <c r="B1117" t="str">
        <f>setrules!F1168&amp;IF(setrules!G1168="","",",-"&amp;setrules!G1168)&amp;IF(setrules!P1168="","",",-"&amp;setrules!P1168)</f>
        <v>IOTEFED*</v>
      </c>
      <c r="C1117" t="str">
        <f>setrules!H1168&amp;IF(setrules!I1168="","",",-"&amp;setrules!I1168)</f>
        <v/>
      </c>
      <c r="D1117" t="str">
        <f>setrules!J1168&amp;IF(setrules!K1168="","",",-"&amp;setrules!K1168)</f>
        <v/>
      </c>
      <c r="E1117" t="str">
        <f>setrules!L1168&amp;IF(setrules!M1168="","",",-"&amp;setrules!M1168)</f>
        <v/>
      </c>
      <c r="F1117" t="str">
        <f>setrules!B1168</f>
        <v>IOTFS_ALL</v>
      </c>
    </row>
    <row r="1118" spans="1:6" x14ac:dyDescent="0.25">
      <c r="A1118" t="str">
        <f>setrules!D1169&amp;IF(setrules!E1169="","",",-"&amp;setrules!E1169)</f>
        <v/>
      </c>
      <c r="B1118" t="str">
        <f>setrules!F1169&amp;IF(setrules!G1169="","",",-"&amp;setrules!G1169)&amp;IF(setrules!P1169="","",",-"&amp;setrules!P1169)</f>
        <v>IOTEFEDBIO</v>
      </c>
      <c r="C1118" t="str">
        <f>setrules!H1169&amp;IF(setrules!I1169="","",",-"&amp;setrules!I1169)</f>
        <v/>
      </c>
      <c r="D1118" t="str">
        <f>setrules!J1169&amp;IF(setrules!K1169="","",",-"&amp;setrules!K1169)</f>
        <v/>
      </c>
      <c r="E1118" t="str">
        <f>setrules!L1169&amp;IF(setrules!M1169="","",",-"&amp;setrules!M1169)</f>
        <v/>
      </c>
      <c r="F1118" t="str">
        <f>setrules!B1169</f>
        <v>IOTFS_BIO</v>
      </c>
    </row>
    <row r="1119" spans="1:6" x14ac:dyDescent="0.25">
      <c r="A1119" t="str">
        <f>setrules!D1170&amp;IF(setrules!E1170="","",",-"&amp;setrules!E1170)</f>
        <v/>
      </c>
      <c r="B1119" t="str">
        <f>setrules!F1170&amp;IF(setrules!G1170="","",",-"&amp;setrules!G1170)&amp;IF(setrules!P1170="","",",-"&amp;setrules!P1170)</f>
        <v>IOTEFEDCOK</v>
      </c>
      <c r="C1119" t="str">
        <f>setrules!H1170&amp;IF(setrules!I1170="","",",-"&amp;setrules!I1170)</f>
        <v/>
      </c>
      <c r="D1119" t="str">
        <f>setrules!J1170&amp;IF(setrules!K1170="","",",-"&amp;setrules!K1170)</f>
        <v/>
      </c>
      <c r="E1119" t="str">
        <f>setrules!L1170&amp;IF(setrules!M1170="","",",-"&amp;setrules!M1170)</f>
        <v/>
      </c>
      <c r="F1119" t="str">
        <f>setrules!B1170</f>
        <v>IOTFS_COK</v>
      </c>
    </row>
    <row r="1120" spans="1:6" x14ac:dyDescent="0.25">
      <c r="A1120" t="str">
        <f>setrules!D1171&amp;IF(setrules!E1171="","",",-"&amp;setrules!E1171)</f>
        <v/>
      </c>
      <c r="B1120" t="str">
        <f>setrules!F1171&amp;IF(setrules!G1171="","",",-"&amp;setrules!G1171)&amp;IF(setrules!P1171="","",",-"&amp;setrules!P1171)</f>
        <v>IOTEFEDDST</v>
      </c>
      <c r="C1120" t="str">
        <f>setrules!H1171&amp;IF(setrules!I1171="","",",-"&amp;setrules!I1171)</f>
        <v/>
      </c>
      <c r="D1120" t="str">
        <f>setrules!J1171&amp;IF(setrules!K1171="","",",-"&amp;setrules!K1171)</f>
        <v/>
      </c>
      <c r="E1120" t="str">
        <f>setrules!L1171&amp;IF(setrules!M1171="","",",-"&amp;setrules!M1171)</f>
        <v/>
      </c>
      <c r="F1120" t="str">
        <f>setrules!B1171</f>
        <v>IOTFS_DST</v>
      </c>
    </row>
    <row r="1121" spans="1:6" x14ac:dyDescent="0.25">
      <c r="A1121" t="str">
        <f>setrules!D1172&amp;IF(setrules!E1172="","",",-"&amp;setrules!E1172)</f>
        <v/>
      </c>
      <c r="B1121" t="str">
        <f>setrules!F1172&amp;IF(setrules!G1172="","",",-"&amp;setrules!G1172)&amp;IF(setrules!P1172="","",",-"&amp;setrules!P1172)</f>
        <v>IOTEFEDLPG</v>
      </c>
      <c r="C1121" t="str">
        <f>setrules!H1172&amp;IF(setrules!I1172="","",",-"&amp;setrules!I1172)</f>
        <v/>
      </c>
      <c r="D1121" t="str">
        <f>setrules!J1172&amp;IF(setrules!K1172="","",",-"&amp;setrules!K1172)</f>
        <v/>
      </c>
      <c r="E1121" t="str">
        <f>setrules!L1172&amp;IF(setrules!M1172="","",",-"&amp;setrules!M1172)</f>
        <v/>
      </c>
      <c r="F1121" t="str">
        <f>setrules!B1172</f>
        <v>IOTFS_LPG</v>
      </c>
    </row>
    <row r="1122" spans="1:6" x14ac:dyDescent="0.25">
      <c r="A1122" t="str">
        <f>setrules!D1173&amp;IF(setrules!E1173="","",",-"&amp;setrules!E1173)</f>
        <v/>
      </c>
      <c r="B1122" t="str">
        <f>setrules!F1173&amp;IF(setrules!G1173="","",",-"&amp;setrules!G1173)&amp;IF(setrules!P1173="","",",-"&amp;setrules!P1173)</f>
        <v>IOTEFEDNGA</v>
      </c>
      <c r="C1122" t="str">
        <f>setrules!H1173&amp;IF(setrules!I1173="","",",-"&amp;setrules!I1173)</f>
        <v/>
      </c>
      <c r="D1122" t="str">
        <f>setrules!J1173&amp;IF(setrules!K1173="","",",-"&amp;setrules!K1173)</f>
        <v/>
      </c>
      <c r="E1122" t="str">
        <f>setrules!L1173&amp;IF(setrules!M1173="","",",-"&amp;setrules!M1173)</f>
        <v/>
      </c>
      <c r="F1122" t="str">
        <f>setrules!B1173</f>
        <v>IOTFS_NGA</v>
      </c>
    </row>
    <row r="1123" spans="1:6" x14ac:dyDescent="0.25">
      <c r="A1123" t="str">
        <f>setrules!D1174&amp;IF(setrules!E1174="","",",-"&amp;setrules!E1174)</f>
        <v/>
      </c>
      <c r="B1123" t="str">
        <f>setrules!F1174&amp;IF(setrules!G1174="","",",-"&amp;setrules!G1174)&amp;IF(setrules!P1174="","",",-"&amp;setrules!P1174)</f>
        <v>IMSEFEDCOK</v>
      </c>
      <c r="C1123" t="str">
        <f>setrules!H1174&amp;IF(setrules!I1174="","",",-"&amp;setrules!I1174)</f>
        <v/>
      </c>
      <c r="D1123" t="str">
        <f>setrules!J1174&amp;IF(setrules!K1174="","",",-"&amp;setrules!K1174)</f>
        <v/>
      </c>
      <c r="E1123" t="str">
        <f>setrules!L1174&amp;IF(setrules!M1174="","",",-"&amp;setrules!M1174)</f>
        <v/>
      </c>
      <c r="F1123" t="str">
        <f>setrules!B1174</f>
        <v>IMSFS_COK</v>
      </c>
    </row>
    <row r="1124" spans="1:6" x14ac:dyDescent="0.25">
      <c r="A1124" t="str">
        <f>setrules!D1175&amp;IF(setrules!E1175="","",",-"&amp;setrules!E1175)</f>
        <v/>
      </c>
      <c r="B1124" t="str">
        <f>setrules!F1175&amp;IF(setrules!G1175="","",",-"&amp;setrules!G1175)&amp;IF(setrules!P1175="","",",-"&amp;setrules!P1175)</f>
        <v>IOTEFACLPG</v>
      </c>
      <c r="C1124" t="str">
        <f>setrules!H1175&amp;IF(setrules!I1175="","",",-"&amp;setrules!I1175)</f>
        <v/>
      </c>
      <c r="D1124" t="str">
        <f>setrules!J1175&amp;IF(setrules!K1175="","",",-"&amp;setrules!K1175)</f>
        <v/>
      </c>
      <c r="E1124" t="str">
        <f>setrules!L1175&amp;IF(setrules!M1175="","",",-"&amp;setrules!M1175)</f>
        <v/>
      </c>
      <c r="F1124" t="str">
        <f>setrules!B1175</f>
        <v>IOTFA_LPG</v>
      </c>
    </row>
    <row r="1125" spans="1:6" x14ac:dyDescent="0.25">
      <c r="A1125" t="str">
        <f>setrules!D1176&amp;IF(setrules!E1176="","",",-"&amp;setrules!E1176)</f>
        <v/>
      </c>
      <c r="B1125" t="str">
        <f>setrules!F1176&amp;IF(setrules!G1176="","",",-"&amp;setrules!G1176)&amp;IF(setrules!P1176="","",",-"&amp;setrules!P1176)</f>
        <v>IOP*LPG*</v>
      </c>
      <c r="C1125" t="str">
        <f>setrules!H1176&amp;IF(setrules!I1176="","",",-"&amp;setrules!I1176)</f>
        <v/>
      </c>
      <c r="D1125" t="str">
        <f>setrules!J1176&amp;IF(setrules!K1176="","",",-"&amp;setrules!K1176)</f>
        <v/>
      </c>
      <c r="E1125" t="str">
        <f>setrules!L1176&amp;IF(setrules!M1176="","",",-"&amp;setrules!M1176)</f>
        <v/>
      </c>
      <c r="F1125" t="str">
        <f>setrules!B1176</f>
        <v>IOP_LPG</v>
      </c>
    </row>
    <row r="1126" spans="1:6" x14ac:dyDescent="0.25">
      <c r="A1126" t="str">
        <f>setrules!D1177&amp;IF(setrules!E1177="","",",-"&amp;setrules!E1177)</f>
        <v/>
      </c>
      <c r="B1126" t="str">
        <f>setrules!F1177&amp;IF(setrules!G1177="","",",-"&amp;setrules!G1177)&amp;IF(setrules!P1177="","",",-"&amp;setrules!P1177)</f>
        <v>IOTEFEDPTC</v>
      </c>
      <c r="C1126" t="str">
        <f>setrules!H1177&amp;IF(setrules!I1177="","",",-"&amp;setrules!I1177)</f>
        <v/>
      </c>
      <c r="D1126" t="str">
        <f>setrules!J1177&amp;IF(setrules!K1177="","",",-"&amp;setrules!K1177)</f>
        <v/>
      </c>
      <c r="E1126" t="str">
        <f>setrules!L1177&amp;IF(setrules!M1177="","",",-"&amp;setrules!M1177)</f>
        <v/>
      </c>
      <c r="F1126" t="str">
        <f>setrules!B1177</f>
        <v>IOTFS_PTC</v>
      </c>
    </row>
    <row r="1127" spans="1:6" x14ac:dyDescent="0.25">
      <c r="A1127" t="str">
        <f>setrules!D1178&amp;IF(setrules!E1178="","",",-"&amp;setrules!E1178)</f>
        <v/>
      </c>
      <c r="B1127" t="str">
        <f>setrules!F1178&amp;IF(setrules!G1178="","",",-"&amp;setrules!G1178)&amp;IF(setrules!P1178="","",",-"&amp;setrules!P1178)</f>
        <v>IOOHOTH*</v>
      </c>
      <c r="C1127" t="str">
        <f>setrules!H1178&amp;IF(setrules!I1178="","",",-"&amp;setrules!I1178)</f>
        <v/>
      </c>
      <c r="D1127" t="str">
        <f>setrules!J1178&amp;IF(setrules!K1178="","",",-"&amp;setrules!K1178)</f>
        <v/>
      </c>
      <c r="E1127" t="str">
        <f>setrules!L1178&amp;IF(setrules!M1178="","",",-"&amp;setrules!M1178)</f>
        <v/>
      </c>
      <c r="F1127" t="str">
        <f>setrules!B1178</f>
        <v>IOOH_OTH</v>
      </c>
    </row>
    <row r="1128" spans="1:6" x14ac:dyDescent="0.25">
      <c r="A1128" t="str">
        <f>setrules!D1179&amp;IF(setrules!E1179="","",",-"&amp;setrules!E1179)</f>
        <v/>
      </c>
      <c r="B1128" t="str">
        <f>setrules!F1179&amp;IF(setrules!G1179="","",",-"&amp;setrules!G1179)&amp;IF(setrules!P1179="","",",-"&amp;setrules!P1179)</f>
        <v>IOOHPTC*</v>
      </c>
      <c r="C1128" t="str">
        <f>setrules!H1179&amp;IF(setrules!I1179="","",",-"&amp;setrules!I1179)</f>
        <v/>
      </c>
      <c r="D1128" t="str">
        <f>setrules!J1179&amp;IF(setrules!K1179="","",",-"&amp;setrules!K1179)</f>
        <v/>
      </c>
      <c r="E1128" t="str">
        <f>setrules!L1179&amp;IF(setrules!M1179="","",",-"&amp;setrules!M1179)</f>
        <v/>
      </c>
      <c r="F1128" t="str">
        <f>setrules!B1179</f>
        <v>IOOH_PTC</v>
      </c>
    </row>
    <row r="1129" spans="1:6" x14ac:dyDescent="0.25">
      <c r="A1129" t="str">
        <f>setrules!D1180&amp;IF(setrules!E1180="","",",-"&amp;setrules!E1180)</f>
        <v/>
      </c>
      <c r="B1129" t="str">
        <f>setrules!F1180&amp;IF(setrules!G1180="","",",-"&amp;setrules!G1180)&amp;IF(setrules!P1180="","",",-"&amp;setrules!P1180)</f>
        <v>IOOH*RFL*</v>
      </c>
      <c r="C1129" t="str">
        <f>setrules!H1180&amp;IF(setrules!I1180="","",",-"&amp;setrules!I1180)</f>
        <v/>
      </c>
      <c r="D1129" t="str">
        <f>setrules!J1180&amp;IF(setrules!K1180="","",",-"&amp;setrules!K1180)</f>
        <v/>
      </c>
      <c r="E1129" t="str">
        <f>setrules!L1180&amp;IF(setrules!M1180="","",",-"&amp;setrules!M1180)</f>
        <v/>
      </c>
      <c r="F1129" t="str">
        <f>setrules!B1180</f>
        <v>IOOH_RFL</v>
      </c>
    </row>
    <row r="1130" spans="1:6" x14ac:dyDescent="0.25">
      <c r="A1130" t="str">
        <f>setrules!D1181&amp;IF(setrules!E1181="","",",-"&amp;setrules!E1181)</f>
        <v/>
      </c>
      <c r="B1130" t="str">
        <f>setrules!F1181&amp;IF(setrules!G1181="","",",-"&amp;setrules!G1181)&amp;IF(setrules!P1181="","",",-"&amp;setrules!P1181)</f>
        <v>IOOHRSTM*</v>
      </c>
      <c r="C1130" t="str">
        <f>setrules!H1181&amp;IF(setrules!I1181="","",",-"&amp;setrules!I1181)</f>
        <v/>
      </c>
      <c r="D1130" t="str">
        <f>setrules!J1181&amp;IF(setrules!K1181="","",",-"&amp;setrules!K1181)</f>
        <v/>
      </c>
      <c r="E1130" t="str">
        <f>setrules!L1181&amp;IF(setrules!M1181="","",",-"&amp;setrules!M1181)</f>
        <v/>
      </c>
      <c r="F1130" t="str">
        <f>setrules!B1181</f>
        <v>IOOH_RSTM</v>
      </c>
    </row>
    <row r="1131" spans="1:6" x14ac:dyDescent="0.25">
      <c r="A1131" t="str">
        <f>setrules!D1182&amp;IF(setrules!E1182="","",",-"&amp;setrules!E1182)</f>
        <v/>
      </c>
      <c r="B1131" t="str">
        <f>setrules!F1182&amp;IF(setrules!G1182="","",",-"&amp;setrules!G1182)&amp;IF(setrules!P1182="","",",-"&amp;setrules!P1182)</f>
        <v>IOP*</v>
      </c>
      <c r="C1131" t="str">
        <f>setrules!H1182&amp;IF(setrules!I1182="","",",-"&amp;setrules!I1182)</f>
        <v/>
      </c>
      <c r="D1131" t="str">
        <f>setrules!J1182&amp;IF(setrules!K1182="","",",-"&amp;setrules!K1182)</f>
        <v/>
      </c>
      <c r="E1131" t="str">
        <f>setrules!L1182&amp;IF(setrules!M1182="","",",-"&amp;setrules!M1182)</f>
        <v/>
      </c>
      <c r="F1131" t="str">
        <f>setrules!B1182</f>
        <v>IOP_ALL</v>
      </c>
    </row>
    <row r="1132" spans="1:6" x14ac:dyDescent="0.25">
      <c r="A1132" t="str">
        <f>setrules!D1183&amp;IF(setrules!E1183="","",",-"&amp;setrules!E1183)</f>
        <v/>
      </c>
      <c r="B1132" t="str">
        <f>setrules!F1183&amp;IF(setrules!G1183="","",",-"&amp;setrules!G1183)&amp;IF(setrules!P1183="","",",-"&amp;setrules!P1183)</f>
        <v>IOP*COA*</v>
      </c>
      <c r="C1132" t="str">
        <f>setrules!H1183&amp;IF(setrules!I1183="","",",-"&amp;setrules!I1183)</f>
        <v/>
      </c>
      <c r="D1132" t="str">
        <f>setrules!J1183&amp;IF(setrules!K1183="","",",-"&amp;setrules!K1183)</f>
        <v/>
      </c>
      <c r="E1132" t="str">
        <f>setrules!L1183&amp;IF(setrules!M1183="","",",-"&amp;setrules!M1183)</f>
        <v/>
      </c>
      <c r="F1132" t="str">
        <f>setrules!B1183</f>
        <v>IOP_COA</v>
      </c>
    </row>
    <row r="1133" spans="1:6" x14ac:dyDescent="0.25">
      <c r="A1133" t="str">
        <f>setrules!D1184&amp;IF(setrules!E1184="","",",-"&amp;setrules!E1184)</f>
        <v/>
      </c>
      <c r="B1133" t="str">
        <f>setrules!F1184&amp;IF(setrules!G1184="","",",-"&amp;setrules!G1184)&amp;IF(setrules!P1184="","",",-"&amp;setrules!P1184)</f>
        <v>IOB*NGA*</v>
      </c>
      <c r="C1133" t="str">
        <f>setrules!H1184&amp;IF(setrules!I1184="","",",-"&amp;setrules!I1184)</f>
        <v/>
      </c>
      <c r="D1133" t="str">
        <f>setrules!J1184&amp;IF(setrules!K1184="","",",-"&amp;setrules!K1184)</f>
        <v/>
      </c>
      <c r="E1133" t="str">
        <f>setrules!L1184&amp;IF(setrules!M1184="","",",-"&amp;setrules!M1184)</f>
        <v/>
      </c>
      <c r="F1133" t="str">
        <f>setrules!B1184</f>
        <v>IOS_NGA</v>
      </c>
    </row>
    <row r="1134" spans="1:6" x14ac:dyDescent="0.25">
      <c r="A1134" t="str">
        <f>setrules!D1185&amp;IF(setrules!E1185="","",",-"&amp;setrules!E1185)</f>
        <v/>
      </c>
      <c r="B1134" t="str">
        <f>setrules!F1185&amp;IF(setrules!G1185="","",",-"&amp;setrules!G1185)&amp;IF(setrules!P1185="","",",-"&amp;setrules!P1185)</f>
        <v>IOP*ELC*</v>
      </c>
      <c r="C1134" t="str">
        <f>setrules!H1185&amp;IF(setrules!I1185="","",",-"&amp;setrules!I1185)</f>
        <v/>
      </c>
      <c r="D1134" t="str">
        <f>setrules!J1185&amp;IF(setrules!K1185="","",",-"&amp;setrules!K1185)</f>
        <v/>
      </c>
      <c r="E1134" t="str">
        <f>setrules!L1185&amp;IF(setrules!M1185="","",",-"&amp;setrules!M1185)</f>
        <v/>
      </c>
      <c r="F1134" t="str">
        <f>setrules!B1185</f>
        <v>IOP_ELC</v>
      </c>
    </row>
    <row r="1135" spans="1:6" x14ac:dyDescent="0.25">
      <c r="A1135" t="str">
        <f>setrules!D1186&amp;IF(setrules!E1186="","",",-"&amp;setrules!E1186)</f>
        <v/>
      </c>
      <c r="B1135" t="str">
        <f>setrules!F1186&amp;IF(setrules!G1186="","",",-"&amp;setrules!G1186)&amp;IF(setrules!P1186="","",",-"&amp;setrules!P1186)</f>
        <v>IOB*LPG*</v>
      </c>
      <c r="C1135" t="str">
        <f>setrules!H1186&amp;IF(setrules!I1186="","",",-"&amp;setrules!I1186)</f>
        <v/>
      </c>
      <c r="D1135" t="str">
        <f>setrules!J1186&amp;IF(setrules!K1186="","",",-"&amp;setrules!K1186)</f>
        <v/>
      </c>
      <c r="E1135" t="str">
        <f>setrules!L1186&amp;IF(setrules!M1186="","",",-"&amp;setrules!M1186)</f>
        <v/>
      </c>
      <c r="F1135" t="str">
        <f>setrules!B1186</f>
        <v>IOS_LPG</v>
      </c>
    </row>
    <row r="1136" spans="1:6" x14ac:dyDescent="0.25">
      <c r="A1136" t="str">
        <f>setrules!D1187&amp;IF(setrules!E1187="","",",-"&amp;setrules!E1187)</f>
        <v/>
      </c>
      <c r="B1136" t="str">
        <f>setrules!F1187&amp;IF(setrules!G1187="","",",-"&amp;setrules!G1187)&amp;IF(setrules!P1187="","",",-"&amp;setrules!P1187)</f>
        <v>IOP*NGA*</v>
      </c>
      <c r="C1136" t="str">
        <f>setrules!H1187&amp;IF(setrules!I1187="","",",-"&amp;setrules!I1187)</f>
        <v/>
      </c>
      <c r="D1136" t="str">
        <f>setrules!J1187&amp;IF(setrules!K1187="","",",-"&amp;setrules!K1187)</f>
        <v/>
      </c>
      <c r="E1136" t="str">
        <f>setrules!L1187&amp;IF(setrules!M1187="","",",-"&amp;setrules!M1187)</f>
        <v/>
      </c>
      <c r="F1136" t="str">
        <f>setrules!B1187</f>
        <v>IOP_NGA</v>
      </c>
    </row>
    <row r="1137" spans="1:6" x14ac:dyDescent="0.25">
      <c r="A1137" t="str">
        <f>setrules!D1188&amp;IF(setrules!E1188="","",",-"&amp;setrules!E1188)</f>
        <v/>
      </c>
      <c r="B1137" t="str">
        <f>setrules!F1188&amp;IF(setrules!G1188="","",",-"&amp;setrules!G1188)&amp;IF(setrules!P1188="","",",-"&amp;setrules!P1188)</f>
        <v>IOP*RFL*</v>
      </c>
      <c r="C1137" t="str">
        <f>setrules!H1188&amp;IF(setrules!I1188="","",",-"&amp;setrules!I1188)</f>
        <v/>
      </c>
      <c r="D1137" t="str">
        <f>setrules!J1188&amp;IF(setrules!K1188="","",",-"&amp;setrules!K1188)</f>
        <v/>
      </c>
      <c r="E1137" t="str">
        <f>setrules!L1188&amp;IF(setrules!M1188="","",",-"&amp;setrules!M1188)</f>
        <v/>
      </c>
      <c r="F1137" t="str">
        <f>setrules!B1188</f>
        <v>IOP_RFL</v>
      </c>
    </row>
    <row r="1138" spans="1:6" x14ac:dyDescent="0.25">
      <c r="A1138" t="str">
        <f>setrules!D1189&amp;IF(setrules!E1189="","",",-"&amp;setrules!E1189)</f>
        <v/>
      </c>
      <c r="B1138" t="str">
        <f>setrules!F1189&amp;IF(setrules!G1189="","",",-"&amp;setrules!G1189)&amp;IF(setrules!P1189="","",",-"&amp;setrules!P1189)</f>
        <v>IOB*</v>
      </c>
      <c r="C1138" t="str">
        <f>setrules!H1189&amp;IF(setrules!I1189="","",",-"&amp;setrules!I1189)</f>
        <v/>
      </c>
      <c r="D1138" t="str">
        <f>setrules!J1189&amp;IF(setrules!K1189="","",",-"&amp;setrules!K1189)</f>
        <v/>
      </c>
      <c r="E1138" t="str">
        <f>setrules!L1189&amp;IF(setrules!M1189="","",",-"&amp;setrules!M1189)</f>
        <v/>
      </c>
      <c r="F1138" t="str">
        <f>setrules!B1189</f>
        <v>IOS_ALL</v>
      </c>
    </row>
    <row r="1139" spans="1:6" x14ac:dyDescent="0.25">
      <c r="A1139" t="str">
        <f>setrules!D1190&amp;IF(setrules!E1190="","",",-"&amp;setrules!E1190)</f>
        <v/>
      </c>
      <c r="B1139" t="str">
        <f>setrules!F1190&amp;IF(setrules!G1190="","",",-"&amp;setrules!G1190)&amp;IF(setrules!P1190="","",",-"&amp;setrules!P1190)</f>
        <v>IOB*COA*</v>
      </c>
      <c r="C1139" t="str">
        <f>setrules!H1190&amp;IF(setrules!I1190="","",",-"&amp;setrules!I1190)</f>
        <v/>
      </c>
      <c r="D1139" t="str">
        <f>setrules!J1190&amp;IF(setrules!K1190="","",",-"&amp;setrules!K1190)</f>
        <v/>
      </c>
      <c r="E1139" t="str">
        <f>setrules!L1190&amp;IF(setrules!M1190="","",",-"&amp;setrules!M1190)</f>
        <v/>
      </c>
      <c r="F1139" t="str">
        <f>setrules!B1190</f>
        <v>IOS_COA</v>
      </c>
    </row>
    <row r="1140" spans="1:6" x14ac:dyDescent="0.25">
      <c r="A1140" t="str">
        <f>setrules!D1191&amp;IF(setrules!E1191="","",",-"&amp;setrules!E1191)</f>
        <v/>
      </c>
      <c r="B1140" t="str">
        <f>setrules!F1191&amp;IF(setrules!G1191="","",",-"&amp;setrules!G1191)&amp;IF(setrules!P1191="","",",-"&amp;setrules!P1191)</f>
        <v>IOB*DST*</v>
      </c>
      <c r="C1140" t="str">
        <f>setrules!H1191&amp;IF(setrules!I1191="","",",-"&amp;setrules!I1191)</f>
        <v/>
      </c>
      <c r="D1140" t="str">
        <f>setrules!J1191&amp;IF(setrules!K1191="","",",-"&amp;setrules!K1191)</f>
        <v/>
      </c>
      <c r="E1140" t="str">
        <f>setrules!L1191&amp;IF(setrules!M1191="","",",-"&amp;setrules!M1191)</f>
        <v/>
      </c>
      <c r="F1140" t="str">
        <f>setrules!B1191</f>
        <v>IOS_DST</v>
      </c>
    </row>
    <row r="1141" spans="1:6" x14ac:dyDescent="0.25">
      <c r="A1141" t="str">
        <f>setrules!D1192&amp;IF(setrules!E1192="","",",-"&amp;setrules!E1192)</f>
        <v/>
      </c>
      <c r="B1141" t="str">
        <f>setrules!F1192&amp;IF(setrules!G1192="","",",-"&amp;setrules!G1192)&amp;IF(setrules!P1192="","",",-"&amp;setrules!P1192)</f>
        <v>IOB*ELC*</v>
      </c>
      <c r="C1141" t="str">
        <f>setrules!H1192&amp;IF(setrules!I1192="","",",-"&amp;setrules!I1192)</f>
        <v/>
      </c>
      <c r="D1141" t="str">
        <f>setrules!J1192&amp;IF(setrules!K1192="","",",-"&amp;setrules!K1192)</f>
        <v/>
      </c>
      <c r="E1141" t="str">
        <f>setrules!L1192&amp;IF(setrules!M1192="","",",-"&amp;setrules!M1192)</f>
        <v/>
      </c>
      <c r="F1141" t="str">
        <f>setrules!B1192</f>
        <v>IOS_ELC</v>
      </c>
    </row>
    <row r="1142" spans="1:6" x14ac:dyDescent="0.25">
      <c r="A1142" t="str">
        <f>setrules!D1193&amp;IF(setrules!E1193="","",",-"&amp;setrules!E1193)</f>
        <v/>
      </c>
      <c r="B1142" t="str">
        <f>setrules!F1193&amp;IF(setrules!G1193="","",",-"&amp;setrules!G1193)&amp;IF(setrules!P1193="","",",-"&amp;setrules!P1193)</f>
        <v>IOOHLPG*</v>
      </c>
      <c r="C1142" t="str">
        <f>setrules!H1193&amp;IF(setrules!I1193="","",",-"&amp;setrules!I1193)</f>
        <v/>
      </c>
      <c r="D1142" t="str">
        <f>setrules!J1193&amp;IF(setrules!K1193="","",",-"&amp;setrules!K1193)</f>
        <v/>
      </c>
      <c r="E1142" t="str">
        <f>setrules!L1193&amp;IF(setrules!M1193="","",",-"&amp;setrules!M1193)</f>
        <v/>
      </c>
      <c r="F1142" t="str">
        <f>setrules!B1193</f>
        <v>IOOH_LPG</v>
      </c>
    </row>
    <row r="1143" spans="1:6" x14ac:dyDescent="0.25">
      <c r="A1143" t="str">
        <f>setrules!D1194&amp;IF(setrules!E1194="","",",-"&amp;setrules!E1194)</f>
        <v/>
      </c>
      <c r="B1143" t="str">
        <f>setrules!F1194&amp;IF(setrules!G1194="","",",-"&amp;setrules!G1194)&amp;IF(setrules!P1194="","",",-"&amp;setrules!P1194)</f>
        <v>IOP*DST*</v>
      </c>
      <c r="C1143" t="str">
        <f>setrules!H1194&amp;IF(setrules!I1194="","",",-"&amp;setrules!I1194)</f>
        <v/>
      </c>
      <c r="D1143" t="str">
        <f>setrules!J1194&amp;IF(setrules!K1194="","",",-"&amp;setrules!K1194)</f>
        <v/>
      </c>
      <c r="E1143" t="str">
        <f>setrules!L1194&amp;IF(setrules!M1194="","",",-"&amp;setrules!M1194)</f>
        <v/>
      </c>
      <c r="F1143" t="str">
        <f>setrules!B1194</f>
        <v>IOP_DST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90E0-94E0-4BD7-8D3D-BFE4166DE0F6}">
  <sheetPr codeName="Sheet1"/>
  <dimension ref="A1:R1194"/>
  <sheetViews>
    <sheetView topLeftCell="G1" workbookViewId="0">
      <pane ySplit="1" topLeftCell="A822" activePane="bottomLeft" state="frozen"/>
      <selection pane="bottomLeft" activeCell="P1" sqref="P1:P1048576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4" width="8.5703125" bestFit="1" customWidth="1"/>
    <col min="5" max="5" width="48.140625" customWidth="1"/>
    <col min="6" max="6" width="11.7109375" bestFit="1" customWidth="1"/>
    <col min="7" max="7" width="20.140625" bestFit="1" customWidth="1"/>
    <col min="8" max="8" width="11.85546875" bestFit="1" customWidth="1"/>
    <col min="9" max="9" width="13.7109375" bestFit="1" customWidth="1"/>
    <col min="10" max="10" width="14.42578125" bestFit="1" customWidth="1"/>
    <col min="11" max="11" width="18.42578125" bestFit="1" customWidth="1"/>
    <col min="12" max="12" width="16" bestFit="1" customWidth="1"/>
    <col min="13" max="13" width="20" bestFit="1" customWidth="1"/>
    <col min="14" max="14" width="10.85546875" bestFit="1" customWidth="1"/>
    <col min="15" max="15" width="11.28515625" bestFit="1" customWidth="1"/>
    <col min="16" max="16" width="11.140625" bestFit="1" customWidth="1"/>
    <col min="17" max="17" width="18.42578125" bestFit="1" customWidth="1"/>
    <col min="18" max="18" width="18.85546875" bestFit="1" customWidth="1"/>
    <col min="21" max="21" width="28.7109375" customWidth="1"/>
    <col min="22" max="22" width="24.7109375" bestFit="1" customWidth="1"/>
    <col min="23" max="23" width="11.85546875" bestFit="1" customWidth="1"/>
    <col min="24" max="24" width="14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26</v>
      </c>
      <c r="B2" t="s">
        <v>2389</v>
      </c>
      <c r="C2" t="s">
        <v>19</v>
      </c>
      <c r="F2" t="s">
        <v>2390</v>
      </c>
      <c r="N2" t="s">
        <v>22</v>
      </c>
      <c r="O2" t="s">
        <v>23</v>
      </c>
      <c r="Q2" t="s">
        <v>22</v>
      </c>
      <c r="R2" t="s">
        <v>23</v>
      </c>
    </row>
    <row r="3" spans="1:18" x14ac:dyDescent="0.25">
      <c r="A3" t="s">
        <v>26</v>
      </c>
      <c r="B3" t="s">
        <v>106</v>
      </c>
      <c r="C3" t="s">
        <v>19</v>
      </c>
      <c r="D3" t="s">
        <v>44</v>
      </c>
      <c r="F3" t="s">
        <v>61</v>
      </c>
      <c r="N3" t="s">
        <v>22</v>
      </c>
      <c r="O3" t="s">
        <v>23</v>
      </c>
    </row>
    <row r="4" spans="1:18" x14ac:dyDescent="0.25">
      <c r="A4" t="s">
        <v>26</v>
      </c>
      <c r="B4" t="s">
        <v>96</v>
      </c>
      <c r="C4" t="s">
        <v>19</v>
      </c>
      <c r="D4" t="s">
        <v>94</v>
      </c>
      <c r="H4" t="s">
        <v>97</v>
      </c>
      <c r="N4" t="s">
        <v>22</v>
      </c>
      <c r="O4" t="s">
        <v>23</v>
      </c>
    </row>
    <row r="5" spans="1:18" x14ac:dyDescent="0.25">
      <c r="A5" t="s">
        <v>26</v>
      </c>
      <c r="B5" t="s">
        <v>92</v>
      </c>
      <c r="C5" t="s">
        <v>19</v>
      </c>
      <c r="F5" t="s">
        <v>93</v>
      </c>
      <c r="N5" t="s">
        <v>22</v>
      </c>
      <c r="O5" t="s">
        <v>23</v>
      </c>
    </row>
    <row r="6" spans="1:18" x14ac:dyDescent="0.25">
      <c r="A6" t="s">
        <v>26</v>
      </c>
      <c r="B6" t="s">
        <v>89</v>
      </c>
      <c r="C6" t="s">
        <v>19</v>
      </c>
      <c r="F6" t="s">
        <v>90</v>
      </c>
      <c r="N6" t="s">
        <v>22</v>
      </c>
      <c r="O6" t="s">
        <v>23</v>
      </c>
    </row>
    <row r="7" spans="1:18" x14ac:dyDescent="0.25">
      <c r="A7" t="s">
        <v>26</v>
      </c>
      <c r="B7" t="s">
        <v>87</v>
      </c>
      <c r="C7" t="s">
        <v>19</v>
      </c>
      <c r="F7" t="s">
        <v>27</v>
      </c>
      <c r="I7" t="s">
        <v>88</v>
      </c>
      <c r="N7" t="s">
        <v>22</v>
      </c>
      <c r="O7" t="s">
        <v>23</v>
      </c>
    </row>
    <row r="8" spans="1:18" x14ac:dyDescent="0.25">
      <c r="A8" t="s">
        <v>26</v>
      </c>
      <c r="B8" t="s">
        <v>99</v>
      </c>
      <c r="C8" t="s">
        <v>19</v>
      </c>
      <c r="D8" t="s">
        <v>100</v>
      </c>
      <c r="F8" t="s">
        <v>32</v>
      </c>
      <c r="N8" t="s">
        <v>22</v>
      </c>
      <c r="O8" t="s">
        <v>23</v>
      </c>
      <c r="P8" t="s">
        <v>2585</v>
      </c>
    </row>
    <row r="9" spans="1:18" x14ac:dyDescent="0.25">
      <c r="A9" t="s">
        <v>26</v>
      </c>
      <c r="B9" t="s">
        <v>85</v>
      </c>
      <c r="C9" t="s">
        <v>19</v>
      </c>
      <c r="F9" t="s">
        <v>86</v>
      </c>
      <c r="N9" t="s">
        <v>22</v>
      </c>
      <c r="O9" t="s">
        <v>23</v>
      </c>
      <c r="P9" t="s">
        <v>2586</v>
      </c>
      <c r="Q9" t="s">
        <v>22</v>
      </c>
      <c r="R9" t="s">
        <v>23</v>
      </c>
    </row>
    <row r="10" spans="1:18" x14ac:dyDescent="0.25">
      <c r="A10" t="s">
        <v>26</v>
      </c>
      <c r="B10" t="s">
        <v>100</v>
      </c>
      <c r="C10" t="s">
        <v>19</v>
      </c>
      <c r="F10" t="s">
        <v>112</v>
      </c>
      <c r="N10" t="s">
        <v>22</v>
      </c>
      <c r="O10" t="s">
        <v>23</v>
      </c>
    </row>
    <row r="11" spans="1:18" x14ac:dyDescent="0.25">
      <c r="A11" t="s">
        <v>26</v>
      </c>
      <c r="B11" t="s">
        <v>119</v>
      </c>
      <c r="C11" t="s">
        <v>19</v>
      </c>
      <c r="F11" t="s">
        <v>120</v>
      </c>
      <c r="N11" t="s">
        <v>22</v>
      </c>
      <c r="O11" t="s">
        <v>23</v>
      </c>
    </row>
    <row r="12" spans="1:18" x14ac:dyDescent="0.25">
      <c r="A12" t="s">
        <v>26</v>
      </c>
      <c r="B12" t="s">
        <v>83</v>
      </c>
      <c r="C12" t="s">
        <v>19</v>
      </c>
      <c r="D12" t="s">
        <v>84</v>
      </c>
      <c r="F12" t="s">
        <v>37</v>
      </c>
      <c r="N12" t="s">
        <v>22</v>
      </c>
      <c r="O12" t="s">
        <v>23</v>
      </c>
      <c r="P12" t="s">
        <v>2587</v>
      </c>
    </row>
    <row r="13" spans="1:18" x14ac:dyDescent="0.25">
      <c r="A13" t="s">
        <v>26</v>
      </c>
      <c r="B13" t="s">
        <v>81</v>
      </c>
      <c r="C13" t="s">
        <v>19</v>
      </c>
      <c r="H13" t="s">
        <v>82</v>
      </c>
      <c r="N13" t="s">
        <v>22</v>
      </c>
      <c r="O13" t="s">
        <v>23</v>
      </c>
    </row>
    <row r="14" spans="1:18" x14ac:dyDescent="0.25">
      <c r="A14" t="s">
        <v>26</v>
      </c>
      <c r="B14" t="s">
        <v>79</v>
      </c>
      <c r="C14" t="s">
        <v>19</v>
      </c>
      <c r="H14" t="s">
        <v>80</v>
      </c>
      <c r="N14" t="s">
        <v>22</v>
      </c>
      <c r="O14" t="s">
        <v>23</v>
      </c>
    </row>
    <row r="15" spans="1:18" x14ac:dyDescent="0.25">
      <c r="A15" t="s">
        <v>26</v>
      </c>
      <c r="B15" t="s">
        <v>77</v>
      </c>
      <c r="C15" t="s">
        <v>19</v>
      </c>
      <c r="H15" t="s">
        <v>78</v>
      </c>
      <c r="N15" t="s">
        <v>22</v>
      </c>
      <c r="O15" t="s">
        <v>23</v>
      </c>
    </row>
    <row r="16" spans="1:18" x14ac:dyDescent="0.25">
      <c r="A16" t="s">
        <v>26</v>
      </c>
      <c r="B16" t="s">
        <v>101</v>
      </c>
      <c r="C16" t="s">
        <v>19</v>
      </c>
      <c r="F16" t="s">
        <v>102</v>
      </c>
      <c r="N16" t="s">
        <v>22</v>
      </c>
      <c r="O16" t="s">
        <v>23</v>
      </c>
    </row>
    <row r="17" spans="1:18" x14ac:dyDescent="0.25">
      <c r="A17" t="s">
        <v>26</v>
      </c>
      <c r="B17" t="s">
        <v>142</v>
      </c>
      <c r="C17" t="s">
        <v>19</v>
      </c>
      <c r="F17" t="s">
        <v>143</v>
      </c>
      <c r="N17" t="s">
        <v>22</v>
      </c>
      <c r="O17" t="s">
        <v>23</v>
      </c>
    </row>
    <row r="18" spans="1:18" x14ac:dyDescent="0.25">
      <c r="A18" t="s">
        <v>26</v>
      </c>
      <c r="B18" t="s">
        <v>117</v>
      </c>
      <c r="C18" t="s">
        <v>19</v>
      </c>
      <c r="D18" t="s">
        <v>44</v>
      </c>
      <c r="F18" t="s">
        <v>90</v>
      </c>
      <c r="N18" t="s">
        <v>22</v>
      </c>
      <c r="O18" t="s">
        <v>23</v>
      </c>
    </row>
    <row r="19" spans="1:18" x14ac:dyDescent="0.25">
      <c r="A19" t="s">
        <v>26</v>
      </c>
      <c r="B19" t="s">
        <v>107</v>
      </c>
      <c r="C19" t="s">
        <v>19</v>
      </c>
      <c r="D19" t="s">
        <v>44</v>
      </c>
      <c r="F19" t="s">
        <v>69</v>
      </c>
      <c r="N19" t="s">
        <v>22</v>
      </c>
      <c r="O19" t="s">
        <v>23</v>
      </c>
    </row>
    <row r="20" spans="1:18" x14ac:dyDescent="0.25">
      <c r="A20" t="s">
        <v>26</v>
      </c>
      <c r="B20" t="s">
        <v>108</v>
      </c>
      <c r="C20" t="s">
        <v>19</v>
      </c>
      <c r="D20" t="s">
        <v>44</v>
      </c>
      <c r="F20" t="s">
        <v>109</v>
      </c>
      <c r="N20" t="s">
        <v>22</v>
      </c>
      <c r="O20" t="s">
        <v>23</v>
      </c>
    </row>
    <row r="21" spans="1:18" x14ac:dyDescent="0.25">
      <c r="A21" t="s">
        <v>26</v>
      </c>
      <c r="B21" t="s">
        <v>110</v>
      </c>
      <c r="C21" t="s">
        <v>19</v>
      </c>
      <c r="D21" t="s">
        <v>44</v>
      </c>
      <c r="F21" t="s">
        <v>111</v>
      </c>
      <c r="H21" t="s">
        <v>111</v>
      </c>
      <c r="N21" t="s">
        <v>22</v>
      </c>
      <c r="O21" t="s">
        <v>23</v>
      </c>
    </row>
    <row r="22" spans="1:18" x14ac:dyDescent="0.25">
      <c r="A22" t="s">
        <v>26</v>
      </c>
      <c r="B22" t="s">
        <v>121</v>
      </c>
      <c r="C22" t="s">
        <v>19</v>
      </c>
      <c r="D22" t="s">
        <v>44</v>
      </c>
      <c r="F22" t="s">
        <v>122</v>
      </c>
      <c r="G22" t="s">
        <v>2549</v>
      </c>
      <c r="N22" t="s">
        <v>22</v>
      </c>
      <c r="O22" t="s">
        <v>23</v>
      </c>
    </row>
    <row r="23" spans="1:18" x14ac:dyDescent="0.25">
      <c r="A23" t="s">
        <v>26</v>
      </c>
      <c r="B23" t="s">
        <v>113</v>
      </c>
      <c r="C23" t="s">
        <v>19</v>
      </c>
      <c r="D23" t="s">
        <v>44</v>
      </c>
      <c r="F23" t="s">
        <v>95</v>
      </c>
      <c r="N23" t="s">
        <v>22</v>
      </c>
      <c r="O23" t="s">
        <v>23</v>
      </c>
    </row>
    <row r="24" spans="1:18" x14ac:dyDescent="0.25">
      <c r="A24" t="s">
        <v>26</v>
      </c>
      <c r="B24" t="s">
        <v>98</v>
      </c>
      <c r="C24" t="s">
        <v>19</v>
      </c>
      <c r="F24" t="s">
        <v>68</v>
      </c>
      <c r="N24" t="s">
        <v>22</v>
      </c>
      <c r="O24" t="s">
        <v>23</v>
      </c>
    </row>
    <row r="25" spans="1:18" x14ac:dyDescent="0.25">
      <c r="A25" t="s">
        <v>26</v>
      </c>
      <c r="B25" t="s">
        <v>115</v>
      </c>
      <c r="C25" t="s">
        <v>19</v>
      </c>
      <c r="D25" t="s">
        <v>44</v>
      </c>
      <c r="F25" t="s">
        <v>116</v>
      </c>
      <c r="G25" t="s">
        <v>2550</v>
      </c>
      <c r="I25" t="s">
        <v>41</v>
      </c>
      <c r="N25" t="s">
        <v>22</v>
      </c>
      <c r="O25" t="s">
        <v>23</v>
      </c>
    </row>
    <row r="26" spans="1:18" x14ac:dyDescent="0.25">
      <c r="A26" t="s">
        <v>26</v>
      </c>
      <c r="B26" t="s">
        <v>91</v>
      </c>
      <c r="C26" t="s">
        <v>19</v>
      </c>
      <c r="F26" t="s">
        <v>67</v>
      </c>
      <c r="N26" t="s">
        <v>22</v>
      </c>
      <c r="O26" t="s">
        <v>23</v>
      </c>
    </row>
    <row r="27" spans="1:18" x14ac:dyDescent="0.25">
      <c r="A27" t="s">
        <v>26</v>
      </c>
      <c r="B27" t="s">
        <v>45</v>
      </c>
      <c r="C27" t="s">
        <v>19</v>
      </c>
      <c r="D27" t="s">
        <v>44</v>
      </c>
      <c r="F27" t="s">
        <v>27</v>
      </c>
      <c r="H27" t="s">
        <v>24</v>
      </c>
      <c r="N27" t="s">
        <v>22</v>
      </c>
      <c r="O27" t="s">
        <v>23</v>
      </c>
    </row>
    <row r="28" spans="1:18" x14ac:dyDescent="0.25">
      <c r="A28" t="s">
        <v>26</v>
      </c>
      <c r="B28" t="s">
        <v>43</v>
      </c>
      <c r="C28" t="s">
        <v>19</v>
      </c>
      <c r="D28" t="s">
        <v>44</v>
      </c>
      <c r="F28" t="s">
        <v>21</v>
      </c>
      <c r="G28" t="s">
        <v>2551</v>
      </c>
      <c r="N28" t="s">
        <v>22</v>
      </c>
      <c r="O28" t="s">
        <v>23</v>
      </c>
    </row>
    <row r="29" spans="1:18" x14ac:dyDescent="0.25">
      <c r="A29" t="s">
        <v>26</v>
      </c>
      <c r="B29" t="s">
        <v>2391</v>
      </c>
      <c r="C29" t="s">
        <v>19</v>
      </c>
      <c r="F29" t="s">
        <v>2392</v>
      </c>
      <c r="N29" t="s">
        <v>22</v>
      </c>
      <c r="O29" t="s">
        <v>23</v>
      </c>
      <c r="Q29" t="s">
        <v>22</v>
      </c>
      <c r="R29" t="s">
        <v>23</v>
      </c>
    </row>
    <row r="30" spans="1:18" x14ac:dyDescent="0.25">
      <c r="A30" t="s">
        <v>26</v>
      </c>
      <c r="B30" t="s">
        <v>118</v>
      </c>
      <c r="C30" t="s">
        <v>19</v>
      </c>
      <c r="F30" t="s">
        <v>61</v>
      </c>
      <c r="N30" t="s">
        <v>22</v>
      </c>
      <c r="O30" t="s">
        <v>23</v>
      </c>
    </row>
    <row r="31" spans="1:18" x14ac:dyDescent="0.25">
      <c r="A31" t="s">
        <v>26</v>
      </c>
      <c r="B31" t="s">
        <v>76</v>
      </c>
      <c r="C31" t="s">
        <v>19</v>
      </c>
      <c r="F31" t="s">
        <v>69</v>
      </c>
      <c r="N31" t="s">
        <v>22</v>
      </c>
      <c r="O31" t="s">
        <v>23</v>
      </c>
    </row>
    <row r="32" spans="1:18" x14ac:dyDescent="0.25">
      <c r="A32" t="s">
        <v>26</v>
      </c>
      <c r="B32" t="s">
        <v>114</v>
      </c>
      <c r="C32" t="s">
        <v>19</v>
      </c>
      <c r="F32" t="s">
        <v>109</v>
      </c>
      <c r="N32" t="s">
        <v>22</v>
      </c>
      <c r="O32" t="s">
        <v>23</v>
      </c>
    </row>
    <row r="33" spans="1:18" x14ac:dyDescent="0.25">
      <c r="A33" t="s">
        <v>26</v>
      </c>
      <c r="B33" t="s">
        <v>46</v>
      </c>
      <c r="C33" t="s">
        <v>19</v>
      </c>
      <c r="D33" t="s">
        <v>103</v>
      </c>
      <c r="F33" t="s">
        <v>40</v>
      </c>
      <c r="N33" t="s">
        <v>22</v>
      </c>
      <c r="O33" t="s">
        <v>23</v>
      </c>
    </row>
    <row r="34" spans="1:18" x14ac:dyDescent="0.25">
      <c r="A34" t="s">
        <v>26</v>
      </c>
      <c r="B34" t="s">
        <v>133</v>
      </c>
      <c r="C34" t="s">
        <v>19</v>
      </c>
      <c r="F34" t="s">
        <v>134</v>
      </c>
      <c r="N34" t="s">
        <v>22</v>
      </c>
      <c r="O34" t="s">
        <v>23</v>
      </c>
    </row>
    <row r="35" spans="1:18" x14ac:dyDescent="0.25">
      <c r="A35" t="s">
        <v>26</v>
      </c>
      <c r="B35" t="s">
        <v>123</v>
      </c>
      <c r="C35" t="s">
        <v>19</v>
      </c>
      <c r="D35" t="s">
        <v>44</v>
      </c>
      <c r="F35" t="s">
        <v>124</v>
      </c>
      <c r="G35" t="s">
        <v>125</v>
      </c>
      <c r="N35" t="s">
        <v>22</v>
      </c>
      <c r="O35" t="s">
        <v>22</v>
      </c>
    </row>
    <row r="36" spans="1:18" x14ac:dyDescent="0.25">
      <c r="A36" t="s">
        <v>26</v>
      </c>
      <c r="B36" t="s">
        <v>144</v>
      </c>
      <c r="C36" t="s">
        <v>19</v>
      </c>
      <c r="D36" t="s">
        <v>44</v>
      </c>
      <c r="F36" t="s">
        <v>145</v>
      </c>
      <c r="G36" t="s">
        <v>125</v>
      </c>
      <c r="N36" t="s">
        <v>22</v>
      </c>
      <c r="O36" t="s">
        <v>22</v>
      </c>
    </row>
    <row r="37" spans="1:18" x14ac:dyDescent="0.25">
      <c r="A37" t="s">
        <v>26</v>
      </c>
      <c r="B37" t="s">
        <v>153</v>
      </c>
      <c r="C37" t="s">
        <v>19</v>
      </c>
      <c r="D37" t="s">
        <v>44</v>
      </c>
      <c r="F37" t="s">
        <v>154</v>
      </c>
      <c r="G37" t="s">
        <v>125</v>
      </c>
      <c r="N37" t="s">
        <v>22</v>
      </c>
      <c r="O37" t="s">
        <v>22</v>
      </c>
    </row>
    <row r="38" spans="1:18" x14ac:dyDescent="0.25">
      <c r="A38" t="s">
        <v>26</v>
      </c>
      <c r="B38" t="s">
        <v>140</v>
      </c>
      <c r="C38" t="s">
        <v>19</v>
      </c>
      <c r="F38" t="s">
        <v>141</v>
      </c>
      <c r="N38" t="s">
        <v>22</v>
      </c>
      <c r="O38" t="s">
        <v>23</v>
      </c>
    </row>
    <row r="39" spans="1:18" x14ac:dyDescent="0.25">
      <c r="A39" t="s">
        <v>26</v>
      </c>
      <c r="B39" t="s">
        <v>138</v>
      </c>
      <c r="C39" t="s">
        <v>19</v>
      </c>
      <c r="F39" t="s">
        <v>139</v>
      </c>
      <c r="N39" t="s">
        <v>22</v>
      </c>
      <c r="O39" t="s">
        <v>23</v>
      </c>
    </row>
    <row r="40" spans="1:18" x14ac:dyDescent="0.25">
      <c r="A40" t="s">
        <v>26</v>
      </c>
      <c r="B40" t="s">
        <v>2397</v>
      </c>
      <c r="C40" t="s">
        <v>19</v>
      </c>
      <c r="D40" t="s">
        <v>2398</v>
      </c>
      <c r="F40" t="s">
        <v>33</v>
      </c>
      <c r="G40" t="s">
        <v>2552</v>
      </c>
      <c r="N40" t="s">
        <v>22</v>
      </c>
      <c r="O40" t="s">
        <v>23</v>
      </c>
      <c r="Q40" t="s">
        <v>22</v>
      </c>
      <c r="R40" t="s">
        <v>23</v>
      </c>
    </row>
    <row r="41" spans="1:18" x14ac:dyDescent="0.25">
      <c r="A41" t="s">
        <v>26</v>
      </c>
      <c r="B41" t="s">
        <v>146</v>
      </c>
      <c r="C41" t="s">
        <v>19</v>
      </c>
      <c r="D41" t="s">
        <v>44</v>
      </c>
      <c r="F41" t="s">
        <v>147</v>
      </c>
      <c r="G41" t="s">
        <v>125</v>
      </c>
      <c r="N41" t="s">
        <v>22</v>
      </c>
      <c r="O41" t="s">
        <v>22</v>
      </c>
    </row>
    <row r="42" spans="1:18" x14ac:dyDescent="0.25">
      <c r="A42" t="s">
        <v>26</v>
      </c>
      <c r="B42" t="s">
        <v>135</v>
      </c>
      <c r="C42" t="s">
        <v>19</v>
      </c>
      <c r="F42" t="s">
        <v>136</v>
      </c>
      <c r="H42" t="s">
        <v>137</v>
      </c>
      <c r="N42" t="s">
        <v>22</v>
      </c>
      <c r="O42" t="s">
        <v>23</v>
      </c>
    </row>
    <row r="43" spans="1:18" x14ac:dyDescent="0.25">
      <c r="A43" t="s">
        <v>26</v>
      </c>
      <c r="B43" t="s">
        <v>128</v>
      </c>
      <c r="C43" t="s">
        <v>19</v>
      </c>
      <c r="D43" t="s">
        <v>129</v>
      </c>
      <c r="F43" t="s">
        <v>130</v>
      </c>
      <c r="N43" t="s">
        <v>22</v>
      </c>
      <c r="O43" t="s">
        <v>23</v>
      </c>
    </row>
    <row r="44" spans="1:18" x14ac:dyDescent="0.25">
      <c r="A44" t="s">
        <v>26</v>
      </c>
      <c r="B44" t="s">
        <v>2393</v>
      </c>
      <c r="C44" t="s">
        <v>19</v>
      </c>
      <c r="F44" t="s">
        <v>2394</v>
      </c>
      <c r="N44" t="s">
        <v>22</v>
      </c>
      <c r="O44" t="s">
        <v>23</v>
      </c>
      <c r="Q44" t="s">
        <v>22</v>
      </c>
      <c r="R44" t="s">
        <v>23</v>
      </c>
    </row>
    <row r="45" spans="1:18" x14ac:dyDescent="0.25">
      <c r="A45" t="s">
        <v>26</v>
      </c>
      <c r="B45" t="s">
        <v>131</v>
      </c>
      <c r="C45" t="s">
        <v>19</v>
      </c>
      <c r="F45" t="s">
        <v>132</v>
      </c>
      <c r="N45" t="s">
        <v>22</v>
      </c>
      <c r="O45" t="s">
        <v>23</v>
      </c>
    </row>
    <row r="46" spans="1:18" x14ac:dyDescent="0.25">
      <c r="A46" t="s">
        <v>26</v>
      </c>
      <c r="B46" t="s">
        <v>126</v>
      </c>
      <c r="C46" t="s">
        <v>19</v>
      </c>
      <c r="D46" t="s">
        <v>44</v>
      </c>
      <c r="F46" t="s">
        <v>127</v>
      </c>
      <c r="H46" t="s">
        <v>41</v>
      </c>
      <c r="N46" t="s">
        <v>22</v>
      </c>
      <c r="O46" t="s">
        <v>23</v>
      </c>
    </row>
    <row r="47" spans="1:18" x14ac:dyDescent="0.25">
      <c r="A47" t="s">
        <v>26</v>
      </c>
      <c r="B47" t="s">
        <v>94</v>
      </c>
      <c r="C47" t="s">
        <v>19</v>
      </c>
      <c r="F47" t="s">
        <v>95</v>
      </c>
      <c r="N47" t="s">
        <v>22</v>
      </c>
      <c r="O47" t="s">
        <v>23</v>
      </c>
    </row>
    <row r="48" spans="1:18" x14ac:dyDescent="0.25">
      <c r="A48" t="s">
        <v>26</v>
      </c>
      <c r="B48" t="s">
        <v>150</v>
      </c>
      <c r="C48" t="s">
        <v>19</v>
      </c>
      <c r="D48" t="s">
        <v>44</v>
      </c>
      <c r="F48" t="s">
        <v>151</v>
      </c>
      <c r="G48" t="s">
        <v>152</v>
      </c>
      <c r="N48" t="s">
        <v>22</v>
      </c>
      <c r="O48" t="s">
        <v>23</v>
      </c>
    </row>
    <row r="49" spans="1:18" x14ac:dyDescent="0.25">
      <c r="A49" t="s">
        <v>26</v>
      </c>
      <c r="B49" t="s">
        <v>104</v>
      </c>
      <c r="C49" t="s">
        <v>19</v>
      </c>
      <c r="D49" t="s">
        <v>44</v>
      </c>
      <c r="F49" t="s">
        <v>105</v>
      </c>
      <c r="N49" t="s">
        <v>22</v>
      </c>
      <c r="O49" t="s">
        <v>23</v>
      </c>
    </row>
    <row r="50" spans="1:18" x14ac:dyDescent="0.25">
      <c r="A50" t="s">
        <v>26</v>
      </c>
      <c r="B50" t="s">
        <v>2395</v>
      </c>
      <c r="C50" t="s">
        <v>19</v>
      </c>
      <c r="F50" t="s">
        <v>2396</v>
      </c>
      <c r="N50" t="s">
        <v>22</v>
      </c>
      <c r="O50" t="s">
        <v>23</v>
      </c>
      <c r="Q50" t="s">
        <v>22</v>
      </c>
      <c r="R50" t="s">
        <v>23</v>
      </c>
    </row>
    <row r="51" spans="1:18" x14ac:dyDescent="0.25">
      <c r="A51" t="s">
        <v>26</v>
      </c>
      <c r="B51" t="s">
        <v>148</v>
      </c>
      <c r="C51" t="s">
        <v>19</v>
      </c>
      <c r="F51" t="s">
        <v>149</v>
      </c>
      <c r="N51" t="s">
        <v>22</v>
      </c>
      <c r="O51" t="s">
        <v>23</v>
      </c>
    </row>
    <row r="52" spans="1:18" x14ac:dyDescent="0.25">
      <c r="A52" t="s">
        <v>26</v>
      </c>
      <c r="B52" t="s">
        <v>2399</v>
      </c>
      <c r="C52" t="s">
        <v>19</v>
      </c>
      <c r="F52" t="s">
        <v>2400</v>
      </c>
      <c r="N52" t="s">
        <v>22</v>
      </c>
      <c r="O52" t="s">
        <v>23</v>
      </c>
      <c r="Q52" t="s">
        <v>22</v>
      </c>
      <c r="R52" t="s">
        <v>23</v>
      </c>
    </row>
    <row r="53" spans="1:18" x14ac:dyDescent="0.25">
      <c r="A53" t="s">
        <v>26</v>
      </c>
      <c r="B53" t="s">
        <v>47</v>
      </c>
      <c r="C53" t="s">
        <v>19</v>
      </c>
      <c r="D53" t="s">
        <v>44</v>
      </c>
      <c r="F53" t="s">
        <v>41</v>
      </c>
      <c r="N53" t="s">
        <v>22</v>
      </c>
      <c r="O53" t="s">
        <v>23</v>
      </c>
    </row>
    <row r="54" spans="1:18" x14ac:dyDescent="0.25">
      <c r="A54" t="s">
        <v>18</v>
      </c>
      <c r="B54" t="s">
        <v>158</v>
      </c>
      <c r="C54" t="s">
        <v>19</v>
      </c>
      <c r="F54" t="s">
        <v>159</v>
      </c>
      <c r="N54" t="s">
        <v>22</v>
      </c>
      <c r="O54" t="s">
        <v>22</v>
      </c>
    </row>
    <row r="55" spans="1:18" x14ac:dyDescent="0.25">
      <c r="A55" t="s">
        <v>18</v>
      </c>
      <c r="B55" t="s">
        <v>2456</v>
      </c>
      <c r="C55" t="s">
        <v>19</v>
      </c>
      <c r="F55" t="s">
        <v>2457</v>
      </c>
      <c r="N55" t="s">
        <v>22</v>
      </c>
      <c r="O55" t="s">
        <v>23</v>
      </c>
      <c r="Q55" t="s">
        <v>22</v>
      </c>
      <c r="R55" t="s">
        <v>23</v>
      </c>
    </row>
    <row r="56" spans="1:18" x14ac:dyDescent="0.25">
      <c r="A56" t="s">
        <v>18</v>
      </c>
      <c r="B56" t="s">
        <v>176</v>
      </c>
      <c r="C56" t="s">
        <v>19</v>
      </c>
      <c r="F56" t="s">
        <v>177</v>
      </c>
      <c r="N56" t="s">
        <v>22</v>
      </c>
      <c r="O56" t="s">
        <v>22</v>
      </c>
    </row>
    <row r="57" spans="1:18" x14ac:dyDescent="0.25">
      <c r="A57" t="s">
        <v>18</v>
      </c>
      <c r="B57" t="s">
        <v>174</v>
      </c>
      <c r="C57" t="s">
        <v>19</v>
      </c>
      <c r="F57" t="s">
        <v>175</v>
      </c>
      <c r="N57" t="s">
        <v>22</v>
      </c>
      <c r="O57" t="s">
        <v>22</v>
      </c>
    </row>
    <row r="58" spans="1:18" x14ac:dyDescent="0.25">
      <c r="A58" t="s">
        <v>18</v>
      </c>
      <c r="B58" t="s">
        <v>155</v>
      </c>
      <c r="C58" t="s">
        <v>19</v>
      </c>
      <c r="F58" t="s">
        <v>156</v>
      </c>
      <c r="G58" t="s">
        <v>157</v>
      </c>
      <c r="N58" t="s">
        <v>22</v>
      </c>
      <c r="O58" t="s">
        <v>22</v>
      </c>
    </row>
    <row r="59" spans="1:18" x14ac:dyDescent="0.25">
      <c r="A59" t="s">
        <v>18</v>
      </c>
      <c r="B59" t="s">
        <v>170</v>
      </c>
      <c r="C59" t="s">
        <v>19</v>
      </c>
      <c r="F59" t="s">
        <v>171</v>
      </c>
      <c r="N59" t="s">
        <v>22</v>
      </c>
      <c r="O59" t="s">
        <v>22</v>
      </c>
    </row>
    <row r="60" spans="1:18" x14ac:dyDescent="0.25">
      <c r="A60" t="s">
        <v>18</v>
      </c>
      <c r="B60" t="s">
        <v>184</v>
      </c>
      <c r="C60" t="s">
        <v>19</v>
      </c>
      <c r="F60" t="s">
        <v>185</v>
      </c>
      <c r="N60" t="s">
        <v>22</v>
      </c>
      <c r="O60" t="s">
        <v>22</v>
      </c>
    </row>
    <row r="61" spans="1:18" x14ac:dyDescent="0.25">
      <c r="A61" t="s">
        <v>18</v>
      </c>
      <c r="B61" t="s">
        <v>166</v>
      </c>
      <c r="C61" t="s">
        <v>19</v>
      </c>
      <c r="F61" t="s">
        <v>167</v>
      </c>
      <c r="N61" t="s">
        <v>22</v>
      </c>
      <c r="O61" t="s">
        <v>22</v>
      </c>
    </row>
    <row r="62" spans="1:18" x14ac:dyDescent="0.25">
      <c r="A62" t="s">
        <v>18</v>
      </c>
      <c r="B62" t="s">
        <v>164</v>
      </c>
      <c r="C62" t="s">
        <v>19</v>
      </c>
      <c r="F62" t="s">
        <v>165</v>
      </c>
      <c r="N62" t="s">
        <v>22</v>
      </c>
      <c r="O62" t="s">
        <v>22</v>
      </c>
    </row>
    <row r="63" spans="1:18" x14ac:dyDescent="0.25">
      <c r="A63" t="s">
        <v>18</v>
      </c>
      <c r="B63" t="s">
        <v>160</v>
      </c>
      <c r="C63" t="s">
        <v>19</v>
      </c>
      <c r="F63" t="s">
        <v>161</v>
      </c>
      <c r="N63" t="s">
        <v>22</v>
      </c>
      <c r="O63" t="s">
        <v>22</v>
      </c>
    </row>
    <row r="64" spans="1:18" x14ac:dyDescent="0.25">
      <c r="A64" t="s">
        <v>18</v>
      </c>
      <c r="B64" t="s">
        <v>182</v>
      </c>
      <c r="C64" t="s">
        <v>19</v>
      </c>
      <c r="F64" t="s">
        <v>183</v>
      </c>
      <c r="N64" t="s">
        <v>22</v>
      </c>
      <c r="O64" t="s">
        <v>22</v>
      </c>
    </row>
    <row r="65" spans="1:18" x14ac:dyDescent="0.25">
      <c r="A65" t="s">
        <v>18</v>
      </c>
      <c r="B65" t="s">
        <v>198</v>
      </c>
      <c r="C65" t="s">
        <v>19</v>
      </c>
      <c r="F65" t="s">
        <v>199</v>
      </c>
      <c r="N65" t="s">
        <v>22</v>
      </c>
      <c r="O65" t="s">
        <v>22</v>
      </c>
    </row>
    <row r="66" spans="1:18" x14ac:dyDescent="0.25">
      <c r="A66" t="s">
        <v>18</v>
      </c>
      <c r="B66" t="s">
        <v>202</v>
      </c>
      <c r="C66" t="s">
        <v>19</v>
      </c>
      <c r="F66" t="s">
        <v>203</v>
      </c>
      <c r="N66" t="s">
        <v>22</v>
      </c>
      <c r="O66" t="s">
        <v>22</v>
      </c>
    </row>
    <row r="67" spans="1:18" x14ac:dyDescent="0.25">
      <c r="A67" t="s">
        <v>18</v>
      </c>
      <c r="B67" t="s">
        <v>172</v>
      </c>
      <c r="C67" t="s">
        <v>19</v>
      </c>
      <c r="F67" t="s">
        <v>173</v>
      </c>
      <c r="N67" t="s">
        <v>22</v>
      </c>
      <c r="O67" t="s">
        <v>22</v>
      </c>
    </row>
    <row r="68" spans="1:18" x14ac:dyDescent="0.25">
      <c r="A68" t="s">
        <v>18</v>
      </c>
      <c r="B68" t="s">
        <v>211</v>
      </c>
      <c r="C68" t="s">
        <v>19</v>
      </c>
      <c r="F68" t="s">
        <v>212</v>
      </c>
      <c r="N68" t="s">
        <v>22</v>
      </c>
      <c r="O68" t="s">
        <v>22</v>
      </c>
    </row>
    <row r="69" spans="1:18" x14ac:dyDescent="0.25">
      <c r="A69" t="s">
        <v>18</v>
      </c>
      <c r="B69" t="s">
        <v>209</v>
      </c>
      <c r="C69" t="s">
        <v>19</v>
      </c>
      <c r="F69" t="s">
        <v>210</v>
      </c>
      <c r="N69" t="s">
        <v>22</v>
      </c>
      <c r="O69" t="s">
        <v>22</v>
      </c>
    </row>
    <row r="70" spans="1:18" x14ac:dyDescent="0.25">
      <c r="A70" t="s">
        <v>18</v>
      </c>
      <c r="B70" t="s">
        <v>208</v>
      </c>
      <c r="C70" t="s">
        <v>19</v>
      </c>
      <c r="F70" t="s">
        <v>2455</v>
      </c>
      <c r="N70" t="s">
        <v>22</v>
      </c>
      <c r="O70" t="s">
        <v>22</v>
      </c>
      <c r="P70" t="s">
        <v>2588</v>
      </c>
      <c r="Q70" t="s">
        <v>22</v>
      </c>
      <c r="R70" t="s">
        <v>23</v>
      </c>
    </row>
    <row r="71" spans="1:18" x14ac:dyDescent="0.25">
      <c r="A71" t="s">
        <v>18</v>
      </c>
      <c r="B71" t="s">
        <v>2453</v>
      </c>
      <c r="C71" t="s">
        <v>19</v>
      </c>
      <c r="F71" t="s">
        <v>2454</v>
      </c>
      <c r="N71" t="s">
        <v>22</v>
      </c>
      <c r="O71" t="s">
        <v>23</v>
      </c>
      <c r="Q71" t="s">
        <v>22</v>
      </c>
      <c r="R71" t="s">
        <v>23</v>
      </c>
    </row>
    <row r="72" spans="1:18" x14ac:dyDescent="0.25">
      <c r="A72" t="s">
        <v>18</v>
      </c>
      <c r="B72" t="s">
        <v>206</v>
      </c>
      <c r="C72" t="s">
        <v>19</v>
      </c>
      <c r="F72" t="s">
        <v>207</v>
      </c>
      <c r="N72" t="s">
        <v>22</v>
      </c>
      <c r="O72" t="s">
        <v>22</v>
      </c>
    </row>
    <row r="73" spans="1:18" x14ac:dyDescent="0.25">
      <c r="A73" t="s">
        <v>18</v>
      </c>
      <c r="B73" t="s">
        <v>204</v>
      </c>
      <c r="C73" t="s">
        <v>19</v>
      </c>
      <c r="F73" t="s">
        <v>205</v>
      </c>
      <c r="G73" t="s">
        <v>2553</v>
      </c>
      <c r="N73" t="s">
        <v>22</v>
      </c>
      <c r="O73" t="s">
        <v>22</v>
      </c>
    </row>
    <row r="74" spans="1:18" x14ac:dyDescent="0.25">
      <c r="A74" t="s">
        <v>18</v>
      </c>
      <c r="B74" t="s">
        <v>162</v>
      </c>
      <c r="C74" t="s">
        <v>19</v>
      </c>
      <c r="F74" t="s">
        <v>163</v>
      </c>
      <c r="N74" t="s">
        <v>22</v>
      </c>
      <c r="O74" t="s">
        <v>22</v>
      </c>
    </row>
    <row r="75" spans="1:18" x14ac:dyDescent="0.25">
      <c r="A75" t="s">
        <v>18</v>
      </c>
      <c r="B75" t="s">
        <v>258</v>
      </c>
      <c r="C75" t="s">
        <v>19</v>
      </c>
      <c r="F75" t="s">
        <v>259</v>
      </c>
      <c r="N75" t="s">
        <v>22</v>
      </c>
      <c r="O75" t="s">
        <v>22</v>
      </c>
    </row>
    <row r="76" spans="1:18" x14ac:dyDescent="0.25">
      <c r="A76" t="s">
        <v>18</v>
      </c>
      <c r="B76" t="s">
        <v>186</v>
      </c>
      <c r="C76" t="s">
        <v>19</v>
      </c>
      <c r="F76" t="s">
        <v>187</v>
      </c>
      <c r="N76" t="s">
        <v>22</v>
      </c>
      <c r="O76" t="s">
        <v>22</v>
      </c>
    </row>
    <row r="77" spans="1:18" x14ac:dyDescent="0.25">
      <c r="A77" t="s">
        <v>18</v>
      </c>
      <c r="B77" t="s">
        <v>250</v>
      </c>
      <c r="C77" t="s">
        <v>19</v>
      </c>
      <c r="F77" t="s">
        <v>251</v>
      </c>
      <c r="N77" t="s">
        <v>22</v>
      </c>
      <c r="O77" t="s">
        <v>22</v>
      </c>
    </row>
    <row r="78" spans="1:18" x14ac:dyDescent="0.25">
      <c r="A78" t="s">
        <v>18</v>
      </c>
      <c r="B78" t="s">
        <v>274</v>
      </c>
      <c r="C78" t="s">
        <v>19</v>
      </c>
      <c r="F78" t="s">
        <v>275</v>
      </c>
      <c r="N78" t="s">
        <v>22</v>
      </c>
      <c r="O78" t="s">
        <v>22</v>
      </c>
    </row>
    <row r="79" spans="1:18" x14ac:dyDescent="0.25">
      <c r="A79" t="s">
        <v>18</v>
      </c>
      <c r="B79" t="s">
        <v>272</v>
      </c>
      <c r="C79" t="s">
        <v>19</v>
      </c>
      <c r="F79" t="s">
        <v>273</v>
      </c>
      <c r="N79" t="s">
        <v>22</v>
      </c>
      <c r="O79" t="s">
        <v>22</v>
      </c>
    </row>
    <row r="80" spans="1:18" x14ac:dyDescent="0.25">
      <c r="A80" t="s">
        <v>18</v>
      </c>
      <c r="B80" t="s">
        <v>270</v>
      </c>
      <c r="C80" t="s">
        <v>19</v>
      </c>
      <c r="F80" t="s">
        <v>271</v>
      </c>
      <c r="N80" t="s">
        <v>22</v>
      </c>
      <c r="O80" t="s">
        <v>22</v>
      </c>
    </row>
    <row r="81" spans="1:18" x14ac:dyDescent="0.25">
      <c r="A81" t="s">
        <v>18</v>
      </c>
      <c r="B81" t="s">
        <v>268</v>
      </c>
      <c r="C81" t="s">
        <v>19</v>
      </c>
      <c r="F81" t="s">
        <v>269</v>
      </c>
      <c r="N81" t="s">
        <v>22</v>
      </c>
      <c r="O81" t="s">
        <v>22</v>
      </c>
    </row>
    <row r="82" spans="1:18" x14ac:dyDescent="0.25">
      <c r="A82" t="s">
        <v>18</v>
      </c>
      <c r="B82" t="s">
        <v>266</v>
      </c>
      <c r="C82" t="s">
        <v>19</v>
      </c>
      <c r="F82" t="s">
        <v>267</v>
      </c>
      <c r="N82" t="s">
        <v>22</v>
      </c>
      <c r="O82" t="s">
        <v>22</v>
      </c>
    </row>
    <row r="83" spans="1:18" x14ac:dyDescent="0.25">
      <c r="A83" t="s">
        <v>18</v>
      </c>
      <c r="B83" t="s">
        <v>248</v>
      </c>
      <c r="C83" t="s">
        <v>19</v>
      </c>
      <c r="F83" t="s">
        <v>249</v>
      </c>
      <c r="N83" t="s">
        <v>22</v>
      </c>
      <c r="O83" t="s">
        <v>22</v>
      </c>
    </row>
    <row r="84" spans="1:18" x14ac:dyDescent="0.25">
      <c r="A84" t="s">
        <v>18</v>
      </c>
      <c r="B84" t="s">
        <v>178</v>
      </c>
      <c r="C84" t="s">
        <v>19</v>
      </c>
      <c r="F84" t="s">
        <v>179</v>
      </c>
      <c r="N84" t="s">
        <v>22</v>
      </c>
      <c r="O84" t="s">
        <v>22</v>
      </c>
    </row>
    <row r="85" spans="1:18" x14ac:dyDescent="0.25">
      <c r="A85" t="s">
        <v>18</v>
      </c>
      <c r="B85" t="s">
        <v>278</v>
      </c>
      <c r="C85" t="s">
        <v>19</v>
      </c>
      <c r="F85" t="s">
        <v>279</v>
      </c>
      <c r="N85" t="s">
        <v>22</v>
      </c>
      <c r="O85" t="s">
        <v>22</v>
      </c>
    </row>
    <row r="86" spans="1:18" x14ac:dyDescent="0.25">
      <c r="A86" t="s">
        <v>18</v>
      </c>
      <c r="B86" t="s">
        <v>180</v>
      </c>
      <c r="C86" t="s">
        <v>19</v>
      </c>
      <c r="F86" t="s">
        <v>181</v>
      </c>
      <c r="N86" t="s">
        <v>22</v>
      </c>
      <c r="O86" t="s">
        <v>22</v>
      </c>
    </row>
    <row r="87" spans="1:18" x14ac:dyDescent="0.25">
      <c r="A87" t="s">
        <v>18</v>
      </c>
      <c r="B87" t="s">
        <v>213</v>
      </c>
      <c r="C87" t="s">
        <v>19</v>
      </c>
      <c r="F87" t="s">
        <v>214</v>
      </c>
      <c r="N87" t="s">
        <v>22</v>
      </c>
      <c r="O87" t="s">
        <v>22</v>
      </c>
    </row>
    <row r="88" spans="1:18" x14ac:dyDescent="0.25">
      <c r="A88" t="s">
        <v>18</v>
      </c>
      <c r="B88" t="s">
        <v>256</v>
      </c>
      <c r="C88" t="s">
        <v>19</v>
      </c>
      <c r="F88" t="s">
        <v>257</v>
      </c>
      <c r="N88" t="s">
        <v>22</v>
      </c>
      <c r="O88" t="s">
        <v>22</v>
      </c>
    </row>
    <row r="89" spans="1:18" x14ac:dyDescent="0.25">
      <c r="A89" t="s">
        <v>18</v>
      </c>
      <c r="B89" t="s">
        <v>254</v>
      </c>
      <c r="C89" t="s">
        <v>19</v>
      </c>
      <c r="F89" t="s">
        <v>255</v>
      </c>
      <c r="N89" t="s">
        <v>22</v>
      </c>
      <c r="O89" t="s">
        <v>22</v>
      </c>
    </row>
    <row r="90" spans="1:18" x14ac:dyDescent="0.25">
      <c r="A90" t="s">
        <v>18</v>
      </c>
      <c r="B90" t="s">
        <v>252</v>
      </c>
      <c r="C90" t="s">
        <v>19</v>
      </c>
      <c r="F90" t="s">
        <v>253</v>
      </c>
      <c r="N90" t="s">
        <v>22</v>
      </c>
      <c r="O90" t="s">
        <v>22</v>
      </c>
    </row>
    <row r="91" spans="1:18" x14ac:dyDescent="0.25">
      <c r="A91" t="s">
        <v>18</v>
      </c>
      <c r="B91" t="s">
        <v>276</v>
      </c>
      <c r="C91" t="s">
        <v>19</v>
      </c>
      <c r="F91" t="s">
        <v>277</v>
      </c>
      <c r="N91" t="s">
        <v>22</v>
      </c>
      <c r="O91" t="s">
        <v>22</v>
      </c>
    </row>
    <row r="92" spans="1:18" x14ac:dyDescent="0.25">
      <c r="A92" t="s">
        <v>18</v>
      </c>
      <c r="B92" t="s">
        <v>246</v>
      </c>
      <c r="C92" t="s">
        <v>19</v>
      </c>
      <c r="F92" t="s">
        <v>247</v>
      </c>
      <c r="N92" t="s">
        <v>22</v>
      </c>
      <c r="O92" t="s">
        <v>22</v>
      </c>
    </row>
    <row r="93" spans="1:18" x14ac:dyDescent="0.25">
      <c r="A93" t="s">
        <v>18</v>
      </c>
      <c r="B93" t="s">
        <v>2460</v>
      </c>
      <c r="C93" t="s">
        <v>19</v>
      </c>
      <c r="F93" t="s">
        <v>2461</v>
      </c>
      <c r="N93" t="s">
        <v>22</v>
      </c>
      <c r="O93" t="s">
        <v>23</v>
      </c>
      <c r="P93" t="s">
        <v>2589</v>
      </c>
      <c r="Q93" t="s">
        <v>22</v>
      </c>
      <c r="R93" t="s">
        <v>23</v>
      </c>
    </row>
    <row r="94" spans="1:18" x14ac:dyDescent="0.25">
      <c r="A94" t="s">
        <v>18</v>
      </c>
      <c r="B94" t="s">
        <v>2458</v>
      </c>
      <c r="C94" t="s">
        <v>19</v>
      </c>
      <c r="F94" t="s">
        <v>2459</v>
      </c>
      <c r="N94" t="s">
        <v>22</v>
      </c>
      <c r="O94" t="s">
        <v>23</v>
      </c>
      <c r="Q94" t="s">
        <v>22</v>
      </c>
      <c r="R94" t="s">
        <v>23</v>
      </c>
    </row>
    <row r="95" spans="1:18" x14ac:dyDescent="0.25">
      <c r="A95" t="s">
        <v>18</v>
      </c>
      <c r="B95" t="s">
        <v>262</v>
      </c>
      <c r="C95" t="s">
        <v>19</v>
      </c>
      <c r="F95" t="s">
        <v>263</v>
      </c>
      <c r="N95" t="s">
        <v>22</v>
      </c>
      <c r="O95" t="s">
        <v>22</v>
      </c>
    </row>
    <row r="96" spans="1:18" x14ac:dyDescent="0.25">
      <c r="A96" t="s">
        <v>18</v>
      </c>
      <c r="B96" t="s">
        <v>300</v>
      </c>
      <c r="C96" t="s">
        <v>19</v>
      </c>
      <c r="F96" t="s">
        <v>301</v>
      </c>
      <c r="N96" t="s">
        <v>22</v>
      </c>
      <c r="O96" t="s">
        <v>22</v>
      </c>
    </row>
    <row r="97" spans="1:18" x14ac:dyDescent="0.25">
      <c r="A97" t="s">
        <v>18</v>
      </c>
      <c r="B97" t="s">
        <v>288</v>
      </c>
      <c r="C97" t="s">
        <v>19</v>
      </c>
      <c r="F97" t="s">
        <v>2441</v>
      </c>
      <c r="G97" t="s">
        <v>2442</v>
      </c>
      <c r="N97" t="s">
        <v>22</v>
      </c>
      <c r="O97" t="s">
        <v>22</v>
      </c>
      <c r="P97" t="s">
        <v>2590</v>
      </c>
      <c r="Q97" t="s">
        <v>22</v>
      </c>
      <c r="R97" t="s">
        <v>23</v>
      </c>
    </row>
    <row r="98" spans="1:18" x14ac:dyDescent="0.25">
      <c r="A98" t="s">
        <v>18</v>
      </c>
      <c r="B98" t="s">
        <v>306</v>
      </c>
      <c r="C98" t="s">
        <v>19</v>
      </c>
      <c r="F98" t="s">
        <v>307</v>
      </c>
      <c r="N98" t="s">
        <v>22</v>
      </c>
      <c r="O98" t="s">
        <v>22</v>
      </c>
    </row>
    <row r="99" spans="1:18" x14ac:dyDescent="0.25">
      <c r="A99" t="s">
        <v>18</v>
      </c>
      <c r="B99" t="s">
        <v>2443</v>
      </c>
      <c r="C99" t="s">
        <v>19</v>
      </c>
      <c r="F99" t="s">
        <v>2444</v>
      </c>
      <c r="N99" t="s">
        <v>22</v>
      </c>
      <c r="O99" t="s">
        <v>23</v>
      </c>
      <c r="P99" t="s">
        <v>2591</v>
      </c>
      <c r="Q99" t="s">
        <v>22</v>
      </c>
      <c r="R99" t="s">
        <v>23</v>
      </c>
    </row>
    <row r="100" spans="1:18" x14ac:dyDescent="0.25">
      <c r="A100" t="s">
        <v>18</v>
      </c>
      <c r="B100" t="s">
        <v>291</v>
      </c>
      <c r="C100" t="s">
        <v>19</v>
      </c>
      <c r="F100" t="s">
        <v>2445</v>
      </c>
      <c r="G100" t="s">
        <v>2446</v>
      </c>
      <c r="N100" t="s">
        <v>22</v>
      </c>
      <c r="O100" t="s">
        <v>22</v>
      </c>
      <c r="P100" t="s">
        <v>2592</v>
      </c>
      <c r="Q100" t="s">
        <v>22</v>
      </c>
      <c r="R100" t="s">
        <v>23</v>
      </c>
    </row>
    <row r="101" spans="1:18" x14ac:dyDescent="0.25">
      <c r="A101" t="s">
        <v>18</v>
      </c>
      <c r="B101" t="s">
        <v>280</v>
      </c>
      <c r="C101" t="s">
        <v>19</v>
      </c>
      <c r="F101" t="s">
        <v>2447</v>
      </c>
      <c r="G101" t="s">
        <v>2448</v>
      </c>
      <c r="N101" t="s">
        <v>22</v>
      </c>
      <c r="O101" t="s">
        <v>22</v>
      </c>
      <c r="P101" t="s">
        <v>2593</v>
      </c>
      <c r="Q101" t="s">
        <v>22</v>
      </c>
      <c r="R101" t="s">
        <v>23</v>
      </c>
    </row>
    <row r="102" spans="1:18" x14ac:dyDescent="0.25">
      <c r="A102" t="s">
        <v>18</v>
      </c>
      <c r="B102" t="s">
        <v>294</v>
      </c>
      <c r="C102" t="s">
        <v>19</v>
      </c>
      <c r="F102" t="s">
        <v>295</v>
      </c>
      <c r="N102" t="s">
        <v>22</v>
      </c>
      <c r="O102" t="s">
        <v>22</v>
      </c>
    </row>
    <row r="103" spans="1:18" x14ac:dyDescent="0.25">
      <c r="A103" t="s">
        <v>18</v>
      </c>
      <c r="B103" t="s">
        <v>378</v>
      </c>
      <c r="C103" t="s">
        <v>19</v>
      </c>
      <c r="F103" t="s">
        <v>379</v>
      </c>
      <c r="N103" t="s">
        <v>22</v>
      </c>
      <c r="O103" t="s">
        <v>22</v>
      </c>
    </row>
    <row r="104" spans="1:18" x14ac:dyDescent="0.25">
      <c r="A104" t="s">
        <v>18</v>
      </c>
      <c r="B104" t="s">
        <v>298</v>
      </c>
      <c r="C104" t="s">
        <v>19</v>
      </c>
      <c r="F104" t="s">
        <v>299</v>
      </c>
      <c r="N104" t="s">
        <v>22</v>
      </c>
      <c r="O104" t="s">
        <v>22</v>
      </c>
    </row>
    <row r="105" spans="1:18" x14ac:dyDescent="0.25">
      <c r="A105" t="s">
        <v>18</v>
      </c>
      <c r="B105" t="s">
        <v>283</v>
      </c>
      <c r="C105" t="s">
        <v>19</v>
      </c>
      <c r="F105" t="s">
        <v>284</v>
      </c>
      <c r="G105" t="s">
        <v>2554</v>
      </c>
      <c r="N105" t="s">
        <v>22</v>
      </c>
      <c r="O105" t="s">
        <v>22</v>
      </c>
    </row>
    <row r="106" spans="1:18" x14ac:dyDescent="0.25">
      <c r="A106" t="s">
        <v>18</v>
      </c>
      <c r="B106" t="s">
        <v>302</v>
      </c>
      <c r="C106" t="s">
        <v>19</v>
      </c>
      <c r="F106" t="s">
        <v>303</v>
      </c>
      <c r="N106" t="s">
        <v>22</v>
      </c>
      <c r="O106" t="s">
        <v>22</v>
      </c>
    </row>
    <row r="107" spans="1:18" x14ac:dyDescent="0.25">
      <c r="A107" t="s">
        <v>18</v>
      </c>
      <c r="B107" t="s">
        <v>341</v>
      </c>
      <c r="C107" t="s">
        <v>19</v>
      </c>
      <c r="F107" t="s">
        <v>342</v>
      </c>
      <c r="N107" t="s">
        <v>22</v>
      </c>
      <c r="O107" t="s">
        <v>22</v>
      </c>
    </row>
    <row r="108" spans="1:18" x14ac:dyDescent="0.25">
      <c r="A108" t="s">
        <v>18</v>
      </c>
      <c r="B108" t="s">
        <v>281</v>
      </c>
      <c r="C108" t="s">
        <v>19</v>
      </c>
      <c r="F108" t="s">
        <v>282</v>
      </c>
      <c r="N108" t="s">
        <v>22</v>
      </c>
      <c r="O108" t="s">
        <v>22</v>
      </c>
    </row>
    <row r="109" spans="1:18" x14ac:dyDescent="0.25">
      <c r="A109" t="s">
        <v>18</v>
      </c>
      <c r="B109" t="s">
        <v>324</v>
      </c>
      <c r="C109" t="s">
        <v>19</v>
      </c>
      <c r="F109" t="s">
        <v>325</v>
      </c>
      <c r="N109" t="s">
        <v>22</v>
      </c>
      <c r="O109" t="s">
        <v>22</v>
      </c>
    </row>
    <row r="110" spans="1:18" x14ac:dyDescent="0.25">
      <c r="A110" t="s">
        <v>18</v>
      </c>
      <c r="B110" t="s">
        <v>372</v>
      </c>
      <c r="C110" t="s">
        <v>19</v>
      </c>
      <c r="F110" t="s">
        <v>373</v>
      </c>
      <c r="N110" t="s">
        <v>22</v>
      </c>
      <c r="O110" t="s">
        <v>22</v>
      </c>
    </row>
    <row r="111" spans="1:18" x14ac:dyDescent="0.25">
      <c r="A111" t="s">
        <v>18</v>
      </c>
      <c r="B111" t="s">
        <v>374</v>
      </c>
      <c r="C111" t="s">
        <v>19</v>
      </c>
      <c r="F111" t="s">
        <v>375</v>
      </c>
      <c r="N111" t="s">
        <v>22</v>
      </c>
      <c r="O111" t="s">
        <v>22</v>
      </c>
    </row>
    <row r="112" spans="1:18" x14ac:dyDescent="0.25">
      <c r="A112" t="s">
        <v>18</v>
      </c>
      <c r="B112" t="s">
        <v>304</v>
      </c>
      <c r="C112" t="s">
        <v>19</v>
      </c>
      <c r="F112" t="s">
        <v>305</v>
      </c>
      <c r="N112" t="s">
        <v>22</v>
      </c>
      <c r="O112" t="s">
        <v>22</v>
      </c>
    </row>
    <row r="113" spans="1:18" x14ac:dyDescent="0.25">
      <c r="A113" t="s">
        <v>18</v>
      </c>
      <c r="B113" t="s">
        <v>296</v>
      </c>
      <c r="C113" t="s">
        <v>19</v>
      </c>
      <c r="F113" t="s">
        <v>297</v>
      </c>
      <c r="N113" t="s">
        <v>22</v>
      </c>
      <c r="O113" t="s">
        <v>22</v>
      </c>
    </row>
    <row r="114" spans="1:18" x14ac:dyDescent="0.25">
      <c r="A114" t="s">
        <v>18</v>
      </c>
      <c r="B114" t="s">
        <v>329</v>
      </c>
      <c r="C114" t="s">
        <v>19</v>
      </c>
      <c r="F114" t="s">
        <v>330</v>
      </c>
      <c r="N114" t="s">
        <v>22</v>
      </c>
      <c r="O114" t="s">
        <v>22</v>
      </c>
    </row>
    <row r="115" spans="1:18" x14ac:dyDescent="0.25">
      <c r="A115" t="s">
        <v>18</v>
      </c>
      <c r="B115" t="s">
        <v>312</v>
      </c>
      <c r="C115" t="s">
        <v>19</v>
      </c>
      <c r="F115" t="s">
        <v>313</v>
      </c>
      <c r="N115" t="s">
        <v>22</v>
      </c>
      <c r="O115" t="s">
        <v>22</v>
      </c>
    </row>
    <row r="116" spans="1:18" x14ac:dyDescent="0.25">
      <c r="A116" t="s">
        <v>18</v>
      </c>
      <c r="B116" t="s">
        <v>314</v>
      </c>
      <c r="C116" t="s">
        <v>19</v>
      </c>
      <c r="F116" t="s">
        <v>315</v>
      </c>
      <c r="G116" t="s">
        <v>316</v>
      </c>
      <c r="N116" t="s">
        <v>22</v>
      </c>
      <c r="O116" t="s">
        <v>22</v>
      </c>
    </row>
    <row r="117" spans="1:18" x14ac:dyDescent="0.25">
      <c r="A117" t="s">
        <v>18</v>
      </c>
      <c r="B117" t="s">
        <v>317</v>
      </c>
      <c r="C117" t="s">
        <v>19</v>
      </c>
      <c r="F117" t="s">
        <v>2437</v>
      </c>
      <c r="G117" t="s">
        <v>2555</v>
      </c>
      <c r="N117" t="s">
        <v>22</v>
      </c>
      <c r="O117" t="s">
        <v>22</v>
      </c>
      <c r="P117" t="s">
        <v>2594</v>
      </c>
      <c r="Q117" t="s">
        <v>22</v>
      </c>
      <c r="R117" t="s">
        <v>23</v>
      </c>
    </row>
    <row r="118" spans="1:18" x14ac:dyDescent="0.25">
      <c r="A118" t="s">
        <v>18</v>
      </c>
      <c r="B118" t="s">
        <v>318</v>
      </c>
      <c r="C118" t="s">
        <v>19</v>
      </c>
      <c r="F118" t="s">
        <v>319</v>
      </c>
      <c r="N118" t="s">
        <v>22</v>
      </c>
      <c r="O118" t="s">
        <v>22</v>
      </c>
    </row>
    <row r="119" spans="1:18" x14ac:dyDescent="0.25">
      <c r="A119" t="s">
        <v>18</v>
      </c>
      <c r="B119" t="s">
        <v>337</v>
      </c>
      <c r="C119" t="s">
        <v>19</v>
      </c>
      <c r="F119" t="s">
        <v>338</v>
      </c>
      <c r="N119" t="s">
        <v>22</v>
      </c>
      <c r="O119" t="s">
        <v>22</v>
      </c>
    </row>
    <row r="120" spans="1:18" x14ac:dyDescent="0.25">
      <c r="A120" t="s">
        <v>18</v>
      </c>
      <c r="B120" t="s">
        <v>322</v>
      </c>
      <c r="C120" t="s">
        <v>19</v>
      </c>
      <c r="F120" t="s">
        <v>323</v>
      </c>
      <c r="N120" t="s">
        <v>22</v>
      </c>
      <c r="O120" t="s">
        <v>22</v>
      </c>
    </row>
    <row r="121" spans="1:18" x14ac:dyDescent="0.25">
      <c r="A121" t="s">
        <v>18</v>
      </c>
      <c r="B121" t="s">
        <v>308</v>
      </c>
      <c r="C121" t="s">
        <v>19</v>
      </c>
      <c r="F121" t="s">
        <v>309</v>
      </c>
      <c r="N121" t="s">
        <v>22</v>
      </c>
      <c r="O121" t="s">
        <v>22</v>
      </c>
    </row>
    <row r="122" spans="1:18" x14ac:dyDescent="0.25">
      <c r="A122" t="s">
        <v>18</v>
      </c>
      <c r="B122" t="s">
        <v>287</v>
      </c>
      <c r="C122" t="s">
        <v>19</v>
      </c>
      <c r="F122" t="s">
        <v>2439</v>
      </c>
      <c r="G122" t="s">
        <v>2440</v>
      </c>
      <c r="N122" t="s">
        <v>22</v>
      </c>
      <c r="O122" t="s">
        <v>22</v>
      </c>
      <c r="P122" t="s">
        <v>2595</v>
      </c>
      <c r="Q122" t="s">
        <v>22</v>
      </c>
      <c r="R122" t="s">
        <v>23</v>
      </c>
    </row>
    <row r="123" spans="1:18" x14ac:dyDescent="0.25">
      <c r="A123" t="s">
        <v>18</v>
      </c>
      <c r="B123" t="s">
        <v>327</v>
      </c>
      <c r="C123" t="s">
        <v>19</v>
      </c>
      <c r="F123" t="s">
        <v>328</v>
      </c>
      <c r="N123" t="s">
        <v>22</v>
      </c>
      <c r="O123" t="s">
        <v>22</v>
      </c>
    </row>
    <row r="124" spans="1:18" x14ac:dyDescent="0.25">
      <c r="A124" t="s">
        <v>18</v>
      </c>
      <c r="B124" t="s">
        <v>285</v>
      </c>
      <c r="C124" t="s">
        <v>19</v>
      </c>
      <c r="F124" t="s">
        <v>286</v>
      </c>
      <c r="N124" t="s">
        <v>22</v>
      </c>
      <c r="O124" t="s">
        <v>22</v>
      </c>
    </row>
    <row r="125" spans="1:18" x14ac:dyDescent="0.25">
      <c r="A125" t="s">
        <v>18</v>
      </c>
      <c r="B125" t="s">
        <v>331</v>
      </c>
      <c r="C125" t="s">
        <v>19</v>
      </c>
      <c r="F125" t="s">
        <v>332</v>
      </c>
      <c r="N125" t="s">
        <v>22</v>
      </c>
      <c r="O125" t="s">
        <v>22</v>
      </c>
    </row>
    <row r="126" spans="1:18" x14ac:dyDescent="0.25">
      <c r="A126" t="s">
        <v>18</v>
      </c>
      <c r="B126" t="s">
        <v>333</v>
      </c>
      <c r="C126" t="s">
        <v>19</v>
      </c>
      <c r="F126" t="s">
        <v>334</v>
      </c>
      <c r="N126" t="s">
        <v>22</v>
      </c>
      <c r="O126" t="s">
        <v>22</v>
      </c>
    </row>
    <row r="127" spans="1:18" x14ac:dyDescent="0.25">
      <c r="A127" t="s">
        <v>18</v>
      </c>
      <c r="B127" t="s">
        <v>335</v>
      </c>
      <c r="C127" t="s">
        <v>19</v>
      </c>
      <c r="F127" t="s">
        <v>336</v>
      </c>
      <c r="N127" t="s">
        <v>22</v>
      </c>
      <c r="O127" t="s">
        <v>22</v>
      </c>
    </row>
    <row r="128" spans="1:18" x14ac:dyDescent="0.25">
      <c r="A128" t="s">
        <v>18</v>
      </c>
      <c r="B128" t="s">
        <v>292</v>
      </c>
      <c r="C128" t="s">
        <v>19</v>
      </c>
      <c r="F128" t="s">
        <v>293</v>
      </c>
      <c r="N128" t="s">
        <v>22</v>
      </c>
      <c r="O128" t="s">
        <v>22</v>
      </c>
    </row>
    <row r="129" spans="1:18" x14ac:dyDescent="0.25">
      <c r="A129" t="s">
        <v>18</v>
      </c>
      <c r="B129" t="s">
        <v>289</v>
      </c>
      <c r="C129" t="s">
        <v>19</v>
      </c>
      <c r="F129" t="s">
        <v>290</v>
      </c>
      <c r="N129" t="s">
        <v>22</v>
      </c>
      <c r="O129" t="s">
        <v>22</v>
      </c>
    </row>
    <row r="130" spans="1:18" x14ac:dyDescent="0.25">
      <c r="A130" t="s">
        <v>18</v>
      </c>
      <c r="B130" t="s">
        <v>320</v>
      </c>
      <c r="C130" t="s">
        <v>19</v>
      </c>
      <c r="F130" t="s">
        <v>321</v>
      </c>
      <c r="N130" t="s">
        <v>22</v>
      </c>
      <c r="O130" t="s">
        <v>22</v>
      </c>
    </row>
    <row r="131" spans="1:18" x14ac:dyDescent="0.25">
      <c r="A131" t="s">
        <v>18</v>
      </c>
      <c r="B131" t="s">
        <v>380</v>
      </c>
      <c r="C131" t="s">
        <v>19</v>
      </c>
      <c r="F131" t="s">
        <v>381</v>
      </c>
      <c r="N131" t="s">
        <v>22</v>
      </c>
      <c r="O131" t="s">
        <v>22</v>
      </c>
    </row>
    <row r="132" spans="1:18" x14ac:dyDescent="0.25">
      <c r="A132" t="s">
        <v>18</v>
      </c>
      <c r="B132" t="s">
        <v>326</v>
      </c>
      <c r="C132" t="s">
        <v>19</v>
      </c>
      <c r="F132" t="s">
        <v>2438</v>
      </c>
      <c r="N132" t="s">
        <v>22</v>
      </c>
      <c r="O132" t="s">
        <v>22</v>
      </c>
      <c r="Q132" t="s">
        <v>22</v>
      </c>
      <c r="R132" t="s">
        <v>23</v>
      </c>
    </row>
    <row r="133" spans="1:18" x14ac:dyDescent="0.25">
      <c r="A133" t="s">
        <v>18</v>
      </c>
      <c r="B133" t="s">
        <v>217</v>
      </c>
      <c r="C133" t="s">
        <v>19</v>
      </c>
      <c r="F133" t="s">
        <v>218</v>
      </c>
      <c r="N133" t="s">
        <v>22</v>
      </c>
      <c r="O133" t="s">
        <v>22</v>
      </c>
    </row>
    <row r="134" spans="1:18" x14ac:dyDescent="0.25">
      <c r="A134" t="s">
        <v>18</v>
      </c>
      <c r="B134" t="s">
        <v>356</v>
      </c>
      <c r="C134" t="s">
        <v>19</v>
      </c>
      <c r="F134" t="s">
        <v>357</v>
      </c>
      <c r="N134" t="s">
        <v>22</v>
      </c>
      <c r="O134" t="s">
        <v>22</v>
      </c>
    </row>
    <row r="135" spans="1:18" x14ac:dyDescent="0.25">
      <c r="A135" t="s">
        <v>18</v>
      </c>
      <c r="B135" t="s">
        <v>358</v>
      </c>
      <c r="C135" t="s">
        <v>19</v>
      </c>
      <c r="F135" t="s">
        <v>359</v>
      </c>
      <c r="N135" t="s">
        <v>22</v>
      </c>
      <c r="O135" t="s">
        <v>22</v>
      </c>
    </row>
    <row r="136" spans="1:18" x14ac:dyDescent="0.25">
      <c r="A136" t="s">
        <v>18</v>
      </c>
      <c r="B136" t="s">
        <v>360</v>
      </c>
      <c r="C136" t="s">
        <v>19</v>
      </c>
      <c r="F136" t="s">
        <v>361</v>
      </c>
      <c r="N136" t="s">
        <v>22</v>
      </c>
      <c r="O136" t="s">
        <v>22</v>
      </c>
    </row>
    <row r="137" spans="1:18" x14ac:dyDescent="0.25">
      <c r="A137" t="s">
        <v>18</v>
      </c>
      <c r="B137" t="s">
        <v>2449</v>
      </c>
      <c r="C137" t="s">
        <v>19</v>
      </c>
      <c r="F137" t="s">
        <v>2450</v>
      </c>
      <c r="G137" t="s">
        <v>596</v>
      </c>
      <c r="N137" t="s">
        <v>22</v>
      </c>
      <c r="O137" t="s">
        <v>23</v>
      </c>
      <c r="Q137" t="s">
        <v>22</v>
      </c>
      <c r="R137" t="s">
        <v>23</v>
      </c>
    </row>
    <row r="138" spans="1:18" x14ac:dyDescent="0.25">
      <c r="A138" t="s">
        <v>18</v>
      </c>
      <c r="B138" t="s">
        <v>362</v>
      </c>
      <c r="C138" t="s">
        <v>19</v>
      </c>
      <c r="F138" t="s">
        <v>363</v>
      </c>
      <c r="N138" t="s">
        <v>22</v>
      </c>
      <c r="O138" t="s">
        <v>22</v>
      </c>
    </row>
    <row r="139" spans="1:18" x14ac:dyDescent="0.25">
      <c r="A139" t="s">
        <v>18</v>
      </c>
      <c r="B139" t="s">
        <v>364</v>
      </c>
      <c r="C139" t="s">
        <v>19</v>
      </c>
      <c r="F139" t="s">
        <v>365</v>
      </c>
      <c r="N139" t="s">
        <v>22</v>
      </c>
      <c r="O139" t="s">
        <v>22</v>
      </c>
    </row>
    <row r="140" spans="1:18" x14ac:dyDescent="0.25">
      <c r="A140" t="s">
        <v>18</v>
      </c>
      <c r="B140" t="s">
        <v>376</v>
      </c>
      <c r="C140" t="s">
        <v>19</v>
      </c>
      <c r="F140" t="s">
        <v>377</v>
      </c>
      <c r="N140" t="s">
        <v>22</v>
      </c>
      <c r="O140" t="s">
        <v>22</v>
      </c>
    </row>
    <row r="141" spans="1:18" x14ac:dyDescent="0.25">
      <c r="A141" t="s">
        <v>18</v>
      </c>
      <c r="B141" t="s">
        <v>386</v>
      </c>
      <c r="C141" t="s">
        <v>19</v>
      </c>
      <c r="F141" t="s">
        <v>387</v>
      </c>
      <c r="N141" t="s">
        <v>22</v>
      </c>
      <c r="O141" t="s">
        <v>22</v>
      </c>
    </row>
    <row r="142" spans="1:18" x14ac:dyDescent="0.25">
      <c r="A142" t="s">
        <v>18</v>
      </c>
      <c r="B142" t="s">
        <v>368</v>
      </c>
      <c r="C142" t="s">
        <v>19</v>
      </c>
      <c r="F142" t="s">
        <v>369</v>
      </c>
      <c r="N142" t="s">
        <v>22</v>
      </c>
      <c r="O142" t="s">
        <v>22</v>
      </c>
    </row>
    <row r="143" spans="1:18" x14ac:dyDescent="0.25">
      <c r="A143" t="s">
        <v>18</v>
      </c>
      <c r="B143" t="s">
        <v>188</v>
      </c>
      <c r="C143" t="s">
        <v>19</v>
      </c>
      <c r="F143" t="s">
        <v>189</v>
      </c>
      <c r="N143" t="s">
        <v>22</v>
      </c>
      <c r="O143" t="s">
        <v>22</v>
      </c>
    </row>
    <row r="144" spans="1:18" x14ac:dyDescent="0.25">
      <c r="A144" t="s">
        <v>18</v>
      </c>
      <c r="B144" t="s">
        <v>190</v>
      </c>
      <c r="C144" t="s">
        <v>19</v>
      </c>
      <c r="F144" t="s">
        <v>191</v>
      </c>
      <c r="N144" t="s">
        <v>22</v>
      </c>
      <c r="O144" t="s">
        <v>22</v>
      </c>
    </row>
    <row r="145" spans="1:18" x14ac:dyDescent="0.25">
      <c r="A145" t="s">
        <v>18</v>
      </c>
      <c r="B145" t="s">
        <v>192</v>
      </c>
      <c r="C145" t="s">
        <v>19</v>
      </c>
      <c r="F145" t="s">
        <v>193</v>
      </c>
      <c r="N145" t="s">
        <v>22</v>
      </c>
      <c r="O145" t="s">
        <v>22</v>
      </c>
    </row>
    <row r="146" spans="1:18" x14ac:dyDescent="0.25">
      <c r="A146" t="s">
        <v>18</v>
      </c>
      <c r="B146" t="s">
        <v>194</v>
      </c>
      <c r="C146" t="s">
        <v>19</v>
      </c>
      <c r="F146" t="s">
        <v>195</v>
      </c>
      <c r="N146" t="s">
        <v>22</v>
      </c>
      <c r="O146" t="s">
        <v>22</v>
      </c>
    </row>
    <row r="147" spans="1:18" x14ac:dyDescent="0.25">
      <c r="A147" t="s">
        <v>18</v>
      </c>
      <c r="B147" t="s">
        <v>196</v>
      </c>
      <c r="C147" t="s">
        <v>19</v>
      </c>
      <c r="F147" t="s">
        <v>197</v>
      </c>
      <c r="N147" t="s">
        <v>22</v>
      </c>
      <c r="O147" t="s">
        <v>22</v>
      </c>
    </row>
    <row r="148" spans="1:18" x14ac:dyDescent="0.25">
      <c r="A148" t="s">
        <v>18</v>
      </c>
      <c r="B148" t="s">
        <v>2451</v>
      </c>
      <c r="C148" t="s">
        <v>19</v>
      </c>
      <c r="F148" t="s">
        <v>2452</v>
      </c>
      <c r="N148" t="s">
        <v>22</v>
      </c>
      <c r="O148" t="s">
        <v>23</v>
      </c>
      <c r="Q148" t="s">
        <v>22</v>
      </c>
      <c r="R148" t="s">
        <v>23</v>
      </c>
    </row>
    <row r="149" spans="1:18" x14ac:dyDescent="0.25">
      <c r="A149" t="s">
        <v>18</v>
      </c>
      <c r="B149" t="s">
        <v>215</v>
      </c>
      <c r="C149" t="s">
        <v>19</v>
      </c>
      <c r="F149" t="s">
        <v>216</v>
      </c>
      <c r="N149" t="s">
        <v>22</v>
      </c>
      <c r="O149" t="s">
        <v>22</v>
      </c>
    </row>
    <row r="150" spans="1:18" x14ac:dyDescent="0.25">
      <c r="A150" t="s">
        <v>18</v>
      </c>
      <c r="B150" t="s">
        <v>1651</v>
      </c>
      <c r="C150" t="s">
        <v>19</v>
      </c>
      <c r="J150" t="s">
        <v>1652</v>
      </c>
      <c r="N150" t="s">
        <v>22</v>
      </c>
      <c r="O150" t="s">
        <v>23</v>
      </c>
    </row>
    <row r="151" spans="1:18" x14ac:dyDescent="0.25">
      <c r="A151" t="s">
        <v>18</v>
      </c>
      <c r="B151" t="s">
        <v>354</v>
      </c>
      <c r="C151" t="s">
        <v>19</v>
      </c>
      <c r="F151" t="s">
        <v>355</v>
      </c>
      <c r="N151" t="s">
        <v>22</v>
      </c>
      <c r="O151" t="s">
        <v>22</v>
      </c>
    </row>
    <row r="152" spans="1:18" x14ac:dyDescent="0.25">
      <c r="A152" t="s">
        <v>18</v>
      </c>
      <c r="B152" t="s">
        <v>400</v>
      </c>
      <c r="C152" t="s">
        <v>19</v>
      </c>
      <c r="F152" t="s">
        <v>401</v>
      </c>
      <c r="N152" t="s">
        <v>22</v>
      </c>
      <c r="O152" t="s">
        <v>22</v>
      </c>
    </row>
    <row r="153" spans="1:18" x14ac:dyDescent="0.25">
      <c r="A153" t="s">
        <v>18</v>
      </c>
      <c r="B153" t="s">
        <v>384</v>
      </c>
      <c r="C153" t="s">
        <v>19</v>
      </c>
      <c r="F153" t="s">
        <v>385</v>
      </c>
      <c r="N153" t="s">
        <v>22</v>
      </c>
      <c r="O153" t="s">
        <v>22</v>
      </c>
    </row>
    <row r="154" spans="1:18" x14ac:dyDescent="0.25">
      <c r="A154" t="s">
        <v>18</v>
      </c>
      <c r="B154" t="s">
        <v>370</v>
      </c>
      <c r="C154" t="s">
        <v>19</v>
      </c>
      <c r="F154" t="s">
        <v>371</v>
      </c>
      <c r="N154" t="s">
        <v>22</v>
      </c>
      <c r="O154" t="s">
        <v>22</v>
      </c>
    </row>
    <row r="155" spans="1:18" x14ac:dyDescent="0.25">
      <c r="A155" t="s">
        <v>18</v>
      </c>
      <c r="B155" t="s">
        <v>388</v>
      </c>
      <c r="C155" t="s">
        <v>19</v>
      </c>
      <c r="F155" t="s">
        <v>389</v>
      </c>
      <c r="N155" t="s">
        <v>22</v>
      </c>
      <c r="O155" t="s">
        <v>22</v>
      </c>
    </row>
    <row r="156" spans="1:18" x14ac:dyDescent="0.25">
      <c r="A156" t="s">
        <v>18</v>
      </c>
      <c r="B156" t="s">
        <v>390</v>
      </c>
      <c r="C156" t="s">
        <v>19</v>
      </c>
      <c r="F156" t="s">
        <v>391</v>
      </c>
      <c r="N156" t="s">
        <v>22</v>
      </c>
      <c r="O156" t="s">
        <v>22</v>
      </c>
    </row>
    <row r="157" spans="1:18" x14ac:dyDescent="0.25">
      <c r="A157" t="s">
        <v>18</v>
      </c>
      <c r="B157" t="s">
        <v>392</v>
      </c>
      <c r="C157" t="s">
        <v>19</v>
      </c>
      <c r="F157" t="s">
        <v>393</v>
      </c>
      <c r="N157" t="s">
        <v>22</v>
      </c>
      <c r="O157" t="s">
        <v>22</v>
      </c>
    </row>
    <row r="158" spans="1:18" x14ac:dyDescent="0.25">
      <c r="A158" t="s">
        <v>18</v>
      </c>
      <c r="B158" t="s">
        <v>394</v>
      </c>
      <c r="C158" t="s">
        <v>19</v>
      </c>
      <c r="F158" t="s">
        <v>395</v>
      </c>
      <c r="N158" t="s">
        <v>22</v>
      </c>
      <c r="O158" t="s">
        <v>22</v>
      </c>
    </row>
    <row r="159" spans="1:18" x14ac:dyDescent="0.25">
      <c r="A159" t="s">
        <v>18</v>
      </c>
      <c r="B159" t="s">
        <v>339</v>
      </c>
      <c r="C159" t="s">
        <v>19</v>
      </c>
      <c r="F159" t="s">
        <v>340</v>
      </c>
      <c r="N159" t="s">
        <v>22</v>
      </c>
      <c r="O159" t="s">
        <v>22</v>
      </c>
    </row>
    <row r="160" spans="1:18" x14ac:dyDescent="0.25">
      <c r="A160" t="s">
        <v>18</v>
      </c>
      <c r="B160" t="s">
        <v>398</v>
      </c>
      <c r="C160" t="s">
        <v>19</v>
      </c>
      <c r="F160" t="s">
        <v>399</v>
      </c>
      <c r="N160" t="s">
        <v>22</v>
      </c>
      <c r="O160" t="s">
        <v>22</v>
      </c>
    </row>
    <row r="161" spans="1:15" x14ac:dyDescent="0.25">
      <c r="A161" t="s">
        <v>18</v>
      </c>
      <c r="B161" t="s">
        <v>352</v>
      </c>
      <c r="C161" t="s">
        <v>19</v>
      </c>
      <c r="F161" t="s">
        <v>353</v>
      </c>
      <c r="N161" t="s">
        <v>22</v>
      </c>
      <c r="O161" t="s">
        <v>22</v>
      </c>
    </row>
    <row r="162" spans="1:15" x14ac:dyDescent="0.25">
      <c r="A162" t="s">
        <v>18</v>
      </c>
      <c r="B162" t="s">
        <v>350</v>
      </c>
      <c r="C162" t="s">
        <v>19</v>
      </c>
      <c r="F162" t="s">
        <v>351</v>
      </c>
      <c r="N162" t="s">
        <v>22</v>
      </c>
      <c r="O162" t="s">
        <v>22</v>
      </c>
    </row>
    <row r="163" spans="1:15" x14ac:dyDescent="0.25">
      <c r="A163" t="s">
        <v>18</v>
      </c>
      <c r="B163" t="s">
        <v>382</v>
      </c>
      <c r="C163" t="s">
        <v>19</v>
      </c>
      <c r="F163" t="s">
        <v>383</v>
      </c>
      <c r="N163" t="s">
        <v>22</v>
      </c>
      <c r="O163" t="s">
        <v>22</v>
      </c>
    </row>
    <row r="164" spans="1:15" x14ac:dyDescent="0.25">
      <c r="A164" t="s">
        <v>18</v>
      </c>
      <c r="B164" t="s">
        <v>343</v>
      </c>
      <c r="C164" t="s">
        <v>19</v>
      </c>
      <c r="F164" t="s">
        <v>344</v>
      </c>
      <c r="N164" t="s">
        <v>22</v>
      </c>
      <c r="O164" t="s">
        <v>22</v>
      </c>
    </row>
    <row r="165" spans="1:15" x14ac:dyDescent="0.25">
      <c r="A165" t="s">
        <v>18</v>
      </c>
      <c r="B165" t="s">
        <v>345</v>
      </c>
      <c r="C165" t="s">
        <v>19</v>
      </c>
      <c r="F165" t="s">
        <v>63</v>
      </c>
      <c r="N165" t="s">
        <v>22</v>
      </c>
      <c r="O165" t="s">
        <v>22</v>
      </c>
    </row>
    <row r="166" spans="1:15" x14ac:dyDescent="0.25">
      <c r="A166" t="s">
        <v>18</v>
      </c>
      <c r="B166" t="s">
        <v>346</v>
      </c>
      <c r="C166" t="s">
        <v>19</v>
      </c>
      <c r="F166" t="s">
        <v>347</v>
      </c>
      <c r="N166" t="s">
        <v>22</v>
      </c>
      <c r="O166" t="s">
        <v>22</v>
      </c>
    </row>
    <row r="167" spans="1:15" x14ac:dyDescent="0.25">
      <c r="A167" t="s">
        <v>18</v>
      </c>
      <c r="B167" t="s">
        <v>348</v>
      </c>
      <c r="C167" t="s">
        <v>19</v>
      </c>
      <c r="F167" t="s">
        <v>349</v>
      </c>
      <c r="N167" t="s">
        <v>22</v>
      </c>
      <c r="O167" t="s">
        <v>22</v>
      </c>
    </row>
    <row r="168" spans="1:15" x14ac:dyDescent="0.25">
      <c r="A168" t="s">
        <v>18</v>
      </c>
      <c r="B168" t="s">
        <v>200</v>
      </c>
      <c r="C168" t="s">
        <v>19</v>
      </c>
      <c r="F168" t="s">
        <v>201</v>
      </c>
      <c r="N168" t="s">
        <v>22</v>
      </c>
      <c r="O168" t="s">
        <v>22</v>
      </c>
    </row>
    <row r="169" spans="1:15" x14ac:dyDescent="0.25">
      <c r="A169" t="s">
        <v>18</v>
      </c>
      <c r="B169" t="s">
        <v>396</v>
      </c>
      <c r="C169" t="s">
        <v>19</v>
      </c>
      <c r="F169" t="s">
        <v>397</v>
      </c>
      <c r="N169" t="s">
        <v>22</v>
      </c>
      <c r="O169" t="s">
        <v>22</v>
      </c>
    </row>
    <row r="170" spans="1:15" x14ac:dyDescent="0.25">
      <c r="A170" t="s">
        <v>18</v>
      </c>
      <c r="B170" t="s">
        <v>236</v>
      </c>
      <c r="C170" t="s">
        <v>19</v>
      </c>
      <c r="F170" t="s">
        <v>237</v>
      </c>
      <c r="N170" t="s">
        <v>22</v>
      </c>
      <c r="O170" t="s">
        <v>22</v>
      </c>
    </row>
    <row r="171" spans="1:15" x14ac:dyDescent="0.25">
      <c r="A171" t="s">
        <v>18</v>
      </c>
      <c r="B171" t="s">
        <v>1528</v>
      </c>
      <c r="C171" t="s">
        <v>19</v>
      </c>
      <c r="F171" t="s">
        <v>1529</v>
      </c>
      <c r="N171" t="s">
        <v>22</v>
      </c>
      <c r="O171" t="s">
        <v>22</v>
      </c>
    </row>
    <row r="172" spans="1:15" x14ac:dyDescent="0.25">
      <c r="A172" t="s">
        <v>18</v>
      </c>
      <c r="B172" t="s">
        <v>1530</v>
      </c>
      <c r="C172" t="s">
        <v>19</v>
      </c>
      <c r="D172" t="s">
        <v>25</v>
      </c>
      <c r="F172" t="s">
        <v>1531</v>
      </c>
      <c r="N172" t="s">
        <v>22</v>
      </c>
      <c r="O172" t="s">
        <v>22</v>
      </c>
    </row>
    <row r="173" spans="1:15" x14ac:dyDescent="0.25">
      <c r="A173" t="s">
        <v>18</v>
      </c>
      <c r="B173" t="s">
        <v>1532</v>
      </c>
      <c r="C173" t="s">
        <v>19</v>
      </c>
      <c r="D173" t="s">
        <v>1533</v>
      </c>
      <c r="F173" t="s">
        <v>1531</v>
      </c>
      <c r="N173" t="s">
        <v>22</v>
      </c>
      <c r="O173" t="s">
        <v>22</v>
      </c>
    </row>
    <row r="174" spans="1:15" x14ac:dyDescent="0.25">
      <c r="A174" t="s">
        <v>18</v>
      </c>
      <c r="B174" t="s">
        <v>73</v>
      </c>
      <c r="C174" t="s">
        <v>19</v>
      </c>
      <c r="F174" t="s">
        <v>1844</v>
      </c>
      <c r="N174" t="s">
        <v>22</v>
      </c>
      <c r="O174" t="s">
        <v>23</v>
      </c>
    </row>
    <row r="175" spans="1:15" x14ac:dyDescent="0.25">
      <c r="A175" t="s">
        <v>18</v>
      </c>
      <c r="B175" t="s">
        <v>244</v>
      </c>
      <c r="C175" t="s">
        <v>19</v>
      </c>
      <c r="F175" t="s">
        <v>245</v>
      </c>
      <c r="N175" t="s">
        <v>22</v>
      </c>
      <c r="O175" t="s">
        <v>22</v>
      </c>
    </row>
    <row r="176" spans="1:15" x14ac:dyDescent="0.25">
      <c r="A176" t="s">
        <v>18</v>
      </c>
      <c r="B176" t="s">
        <v>242</v>
      </c>
      <c r="C176" t="s">
        <v>19</v>
      </c>
      <c r="F176" t="s">
        <v>243</v>
      </c>
      <c r="N176" t="s">
        <v>22</v>
      </c>
      <c r="O176" t="s">
        <v>22</v>
      </c>
    </row>
    <row r="177" spans="1:16" x14ac:dyDescent="0.25">
      <c r="A177" t="s">
        <v>18</v>
      </c>
      <c r="B177" t="s">
        <v>555</v>
      </c>
      <c r="C177" t="s">
        <v>19</v>
      </c>
      <c r="F177" t="s">
        <v>556</v>
      </c>
      <c r="G177" t="s">
        <v>2556</v>
      </c>
      <c r="N177" t="s">
        <v>22</v>
      </c>
      <c r="O177" t="s">
        <v>22</v>
      </c>
      <c r="P177" t="s">
        <v>2596</v>
      </c>
    </row>
    <row r="178" spans="1:16" x14ac:dyDescent="0.25">
      <c r="A178" t="s">
        <v>18</v>
      </c>
      <c r="B178" t="s">
        <v>238</v>
      </c>
      <c r="C178" t="s">
        <v>19</v>
      </c>
      <c r="F178" t="s">
        <v>239</v>
      </c>
      <c r="N178" t="s">
        <v>22</v>
      </c>
      <c r="O178" t="s">
        <v>22</v>
      </c>
    </row>
    <row r="179" spans="1:16" x14ac:dyDescent="0.25">
      <c r="A179" t="s">
        <v>18</v>
      </c>
      <c r="B179" t="s">
        <v>1522</v>
      </c>
      <c r="C179" t="s">
        <v>19</v>
      </c>
      <c r="F179" t="s">
        <v>1523</v>
      </c>
      <c r="L179" t="s">
        <v>1504</v>
      </c>
      <c r="N179" t="s">
        <v>22</v>
      </c>
      <c r="O179" t="s">
        <v>22</v>
      </c>
    </row>
    <row r="180" spans="1:16" x14ac:dyDescent="0.25">
      <c r="A180" t="s">
        <v>18</v>
      </c>
      <c r="B180" t="s">
        <v>234</v>
      </c>
      <c r="C180" t="s">
        <v>19</v>
      </c>
      <c r="F180" t="s">
        <v>235</v>
      </c>
      <c r="N180" t="s">
        <v>22</v>
      </c>
      <c r="O180" t="s">
        <v>22</v>
      </c>
    </row>
    <row r="181" spans="1:16" x14ac:dyDescent="0.25">
      <c r="A181" t="s">
        <v>18</v>
      </c>
      <c r="B181" t="s">
        <v>232</v>
      </c>
      <c r="C181" t="s">
        <v>19</v>
      </c>
      <c r="F181" t="s">
        <v>233</v>
      </c>
      <c r="N181" t="s">
        <v>22</v>
      </c>
      <c r="O181" t="s">
        <v>22</v>
      </c>
    </row>
    <row r="182" spans="1:16" x14ac:dyDescent="0.25">
      <c r="A182" t="s">
        <v>18</v>
      </c>
      <c r="B182" t="s">
        <v>230</v>
      </c>
      <c r="C182" t="s">
        <v>19</v>
      </c>
      <c r="F182" t="s">
        <v>231</v>
      </c>
      <c r="N182" t="s">
        <v>22</v>
      </c>
      <c r="O182" t="s">
        <v>22</v>
      </c>
    </row>
    <row r="183" spans="1:16" x14ac:dyDescent="0.25">
      <c r="A183" t="s">
        <v>18</v>
      </c>
      <c r="B183" t="s">
        <v>228</v>
      </c>
      <c r="C183" t="s">
        <v>19</v>
      </c>
      <c r="F183" t="s">
        <v>229</v>
      </c>
      <c r="N183" t="s">
        <v>22</v>
      </c>
      <c r="O183" t="s">
        <v>22</v>
      </c>
    </row>
    <row r="184" spans="1:16" x14ac:dyDescent="0.25">
      <c r="A184" t="s">
        <v>18</v>
      </c>
      <c r="B184" t="s">
        <v>226</v>
      </c>
      <c r="C184" t="s">
        <v>19</v>
      </c>
      <c r="F184" t="s">
        <v>227</v>
      </c>
      <c r="N184" t="s">
        <v>22</v>
      </c>
      <c r="O184" t="s">
        <v>22</v>
      </c>
    </row>
    <row r="185" spans="1:16" x14ac:dyDescent="0.25">
      <c r="A185" t="s">
        <v>18</v>
      </c>
      <c r="B185" t="s">
        <v>224</v>
      </c>
      <c r="C185" t="s">
        <v>19</v>
      </c>
      <c r="F185" t="s">
        <v>225</v>
      </c>
      <c r="N185" t="s">
        <v>22</v>
      </c>
      <c r="O185" t="s">
        <v>22</v>
      </c>
    </row>
    <row r="186" spans="1:16" x14ac:dyDescent="0.25">
      <c r="A186" t="s">
        <v>18</v>
      </c>
      <c r="B186" t="s">
        <v>1557</v>
      </c>
      <c r="C186" t="s">
        <v>19</v>
      </c>
      <c r="F186" t="s">
        <v>1558</v>
      </c>
      <c r="N186" t="s">
        <v>22</v>
      </c>
      <c r="O186" t="s">
        <v>23</v>
      </c>
    </row>
    <row r="187" spans="1:16" x14ac:dyDescent="0.25">
      <c r="A187" t="s">
        <v>18</v>
      </c>
      <c r="B187" t="s">
        <v>240</v>
      </c>
      <c r="C187" t="s">
        <v>19</v>
      </c>
      <c r="F187" t="s">
        <v>241</v>
      </c>
      <c r="N187" t="s">
        <v>22</v>
      </c>
      <c r="O187" t="s">
        <v>22</v>
      </c>
    </row>
    <row r="188" spans="1:16" x14ac:dyDescent="0.25">
      <c r="A188" t="s">
        <v>18</v>
      </c>
      <c r="B188" t="s">
        <v>1508</v>
      </c>
      <c r="C188" t="s">
        <v>19</v>
      </c>
      <c r="F188" t="s">
        <v>34</v>
      </c>
      <c r="J188" t="s">
        <v>1509</v>
      </c>
      <c r="N188" t="s">
        <v>22</v>
      </c>
      <c r="O188" t="s">
        <v>23</v>
      </c>
    </row>
    <row r="189" spans="1:16" x14ac:dyDescent="0.25">
      <c r="A189" t="s">
        <v>18</v>
      </c>
      <c r="B189" t="s">
        <v>1692</v>
      </c>
      <c r="C189" t="s">
        <v>19</v>
      </c>
      <c r="F189" t="s">
        <v>34</v>
      </c>
      <c r="J189" t="s">
        <v>1693</v>
      </c>
      <c r="N189" t="s">
        <v>22</v>
      </c>
      <c r="O189" t="s">
        <v>23</v>
      </c>
    </row>
    <row r="190" spans="1:16" x14ac:dyDescent="0.25">
      <c r="A190" t="s">
        <v>18</v>
      </c>
      <c r="B190" t="s">
        <v>1561</v>
      </c>
      <c r="C190" t="s">
        <v>19</v>
      </c>
      <c r="F190" t="s">
        <v>1562</v>
      </c>
      <c r="J190" t="s">
        <v>1519</v>
      </c>
      <c r="N190" t="s">
        <v>22</v>
      </c>
      <c r="O190" t="s">
        <v>23</v>
      </c>
    </row>
    <row r="191" spans="1:16" x14ac:dyDescent="0.25">
      <c r="A191" t="s">
        <v>18</v>
      </c>
      <c r="B191" t="s">
        <v>1563</v>
      </c>
      <c r="C191" t="s">
        <v>19</v>
      </c>
      <c r="F191" t="s">
        <v>1564</v>
      </c>
      <c r="N191" t="s">
        <v>22</v>
      </c>
      <c r="O191" t="s">
        <v>23</v>
      </c>
    </row>
    <row r="192" spans="1:16" x14ac:dyDescent="0.25">
      <c r="A192" t="s">
        <v>18</v>
      </c>
      <c r="B192" t="s">
        <v>1565</v>
      </c>
      <c r="C192" t="s">
        <v>19</v>
      </c>
      <c r="F192" t="s">
        <v>1566</v>
      </c>
      <c r="N192" t="s">
        <v>22</v>
      </c>
      <c r="O192" t="s">
        <v>23</v>
      </c>
    </row>
    <row r="193" spans="1:15" x14ac:dyDescent="0.25">
      <c r="A193" t="s">
        <v>18</v>
      </c>
      <c r="B193" t="s">
        <v>1520</v>
      </c>
      <c r="C193" t="s">
        <v>19</v>
      </c>
      <c r="F193" t="s">
        <v>1521</v>
      </c>
      <c r="N193" t="s">
        <v>22</v>
      </c>
      <c r="O193" t="s">
        <v>23</v>
      </c>
    </row>
    <row r="194" spans="1:15" x14ac:dyDescent="0.25">
      <c r="A194" t="s">
        <v>18</v>
      </c>
      <c r="B194" t="s">
        <v>1554</v>
      </c>
      <c r="C194" t="s">
        <v>19</v>
      </c>
      <c r="F194" t="s">
        <v>1555</v>
      </c>
      <c r="N194" t="s">
        <v>22</v>
      </c>
      <c r="O194" t="s">
        <v>23</v>
      </c>
    </row>
    <row r="195" spans="1:15" x14ac:dyDescent="0.25">
      <c r="A195" t="s">
        <v>18</v>
      </c>
      <c r="B195" t="s">
        <v>1550</v>
      </c>
      <c r="C195" t="s">
        <v>19</v>
      </c>
      <c r="J195" t="s">
        <v>1551</v>
      </c>
      <c r="N195" t="s">
        <v>22</v>
      </c>
      <c r="O195" t="s">
        <v>23</v>
      </c>
    </row>
    <row r="196" spans="1:15" x14ac:dyDescent="0.25">
      <c r="A196" t="s">
        <v>18</v>
      </c>
      <c r="B196" t="s">
        <v>1526</v>
      </c>
      <c r="C196" t="s">
        <v>19</v>
      </c>
      <c r="F196" t="s">
        <v>1527</v>
      </c>
      <c r="N196" t="s">
        <v>22</v>
      </c>
      <c r="O196" t="s">
        <v>22</v>
      </c>
    </row>
    <row r="197" spans="1:15" x14ac:dyDescent="0.25">
      <c r="A197" t="s">
        <v>18</v>
      </c>
      <c r="B197" t="s">
        <v>1506</v>
      </c>
      <c r="C197" t="s">
        <v>19</v>
      </c>
      <c r="F197" t="s">
        <v>1507</v>
      </c>
      <c r="N197" t="s">
        <v>22</v>
      </c>
      <c r="O197" t="s">
        <v>22</v>
      </c>
    </row>
    <row r="198" spans="1:15" x14ac:dyDescent="0.25">
      <c r="A198" t="s">
        <v>18</v>
      </c>
      <c r="B198" t="s">
        <v>1524</v>
      </c>
      <c r="C198" t="s">
        <v>19</v>
      </c>
      <c r="F198" t="s">
        <v>1525</v>
      </c>
      <c r="N198" t="s">
        <v>22</v>
      </c>
      <c r="O198" t="s">
        <v>22</v>
      </c>
    </row>
    <row r="199" spans="1:15" x14ac:dyDescent="0.25">
      <c r="A199" t="s">
        <v>18</v>
      </c>
      <c r="B199" t="s">
        <v>1510</v>
      </c>
      <c r="C199" t="s">
        <v>19</v>
      </c>
      <c r="L199" t="s">
        <v>1504</v>
      </c>
      <c r="N199" t="s">
        <v>22</v>
      </c>
      <c r="O199" t="s">
        <v>22</v>
      </c>
    </row>
    <row r="200" spans="1:15" x14ac:dyDescent="0.25">
      <c r="A200" t="s">
        <v>18</v>
      </c>
      <c r="B200" t="s">
        <v>1511</v>
      </c>
      <c r="C200" t="s">
        <v>19</v>
      </c>
      <c r="H200" t="s">
        <v>1512</v>
      </c>
      <c r="N200" t="s">
        <v>22</v>
      </c>
      <c r="O200" t="s">
        <v>23</v>
      </c>
    </row>
    <row r="201" spans="1:15" x14ac:dyDescent="0.25">
      <c r="A201" t="s">
        <v>18</v>
      </c>
      <c r="B201" t="s">
        <v>1513</v>
      </c>
      <c r="C201" t="s">
        <v>19</v>
      </c>
      <c r="H201" t="s">
        <v>1514</v>
      </c>
      <c r="N201" t="s">
        <v>22</v>
      </c>
      <c r="O201" t="s">
        <v>22</v>
      </c>
    </row>
    <row r="202" spans="1:15" x14ac:dyDescent="0.25">
      <c r="A202" t="s">
        <v>18</v>
      </c>
      <c r="B202" t="s">
        <v>1534</v>
      </c>
      <c r="C202" t="s">
        <v>19</v>
      </c>
      <c r="F202" t="s">
        <v>67</v>
      </c>
      <c r="H202" t="s">
        <v>1535</v>
      </c>
      <c r="L202" t="s">
        <v>1504</v>
      </c>
      <c r="N202" t="s">
        <v>22</v>
      </c>
      <c r="O202" t="s">
        <v>22</v>
      </c>
    </row>
    <row r="203" spans="1:15" x14ac:dyDescent="0.25">
      <c r="A203" t="s">
        <v>18</v>
      </c>
      <c r="B203" t="s">
        <v>1517</v>
      </c>
      <c r="C203" t="s">
        <v>19</v>
      </c>
      <c r="H203" t="s">
        <v>1518</v>
      </c>
      <c r="J203" t="s">
        <v>1519</v>
      </c>
      <c r="L203" t="s">
        <v>1504</v>
      </c>
      <c r="N203" t="s">
        <v>22</v>
      </c>
      <c r="O203" t="s">
        <v>22</v>
      </c>
    </row>
    <row r="204" spans="1:15" x14ac:dyDescent="0.25">
      <c r="A204" t="s">
        <v>18</v>
      </c>
      <c r="B204" t="s">
        <v>1502</v>
      </c>
      <c r="C204" t="s">
        <v>19</v>
      </c>
      <c r="H204" t="s">
        <v>1503</v>
      </c>
      <c r="L204" t="s">
        <v>1504</v>
      </c>
      <c r="N204" t="s">
        <v>22</v>
      </c>
      <c r="O204" t="s">
        <v>22</v>
      </c>
    </row>
    <row r="205" spans="1:15" x14ac:dyDescent="0.25">
      <c r="A205" t="s">
        <v>18</v>
      </c>
      <c r="B205" t="s">
        <v>593</v>
      </c>
      <c r="C205" t="s">
        <v>19</v>
      </c>
      <c r="F205" t="s">
        <v>594</v>
      </c>
      <c r="N205" t="s">
        <v>22</v>
      </c>
      <c r="O205" t="s">
        <v>22</v>
      </c>
    </row>
    <row r="206" spans="1:15" x14ac:dyDescent="0.25">
      <c r="A206" t="s">
        <v>18</v>
      </c>
      <c r="B206" t="s">
        <v>1505</v>
      </c>
      <c r="C206" t="s">
        <v>19</v>
      </c>
      <c r="F206" t="s">
        <v>36</v>
      </c>
      <c r="N206" t="s">
        <v>22</v>
      </c>
      <c r="O206" t="s">
        <v>22</v>
      </c>
    </row>
    <row r="207" spans="1:15" x14ac:dyDescent="0.25">
      <c r="A207" t="s">
        <v>18</v>
      </c>
      <c r="B207" t="s">
        <v>606</v>
      </c>
      <c r="C207" t="s">
        <v>19</v>
      </c>
      <c r="F207" t="s">
        <v>607</v>
      </c>
      <c r="N207" t="s">
        <v>22</v>
      </c>
      <c r="O207" t="s">
        <v>22</v>
      </c>
    </row>
    <row r="208" spans="1:15" x14ac:dyDescent="0.25">
      <c r="A208" t="s">
        <v>18</v>
      </c>
      <c r="B208" t="s">
        <v>608</v>
      </c>
      <c r="C208" t="s">
        <v>19</v>
      </c>
      <c r="D208" t="s">
        <v>604</v>
      </c>
      <c r="F208" t="s">
        <v>609</v>
      </c>
      <c r="N208" t="s">
        <v>22</v>
      </c>
      <c r="O208" t="s">
        <v>22</v>
      </c>
    </row>
    <row r="209" spans="1:16" x14ac:dyDescent="0.25">
      <c r="A209" t="s">
        <v>18</v>
      </c>
      <c r="B209" t="s">
        <v>603</v>
      </c>
      <c r="C209" t="s">
        <v>19</v>
      </c>
      <c r="D209" t="s">
        <v>604</v>
      </c>
      <c r="F209" t="s">
        <v>605</v>
      </c>
      <c r="N209" t="s">
        <v>22</v>
      </c>
      <c r="O209" t="s">
        <v>22</v>
      </c>
    </row>
    <row r="210" spans="1:16" x14ac:dyDescent="0.25">
      <c r="A210" t="s">
        <v>18</v>
      </c>
      <c r="B210" t="s">
        <v>636</v>
      </c>
      <c r="C210" t="s">
        <v>19</v>
      </c>
      <c r="D210" t="s">
        <v>604</v>
      </c>
      <c r="F210" t="s">
        <v>637</v>
      </c>
      <c r="N210" t="s">
        <v>22</v>
      </c>
      <c r="O210" t="s">
        <v>22</v>
      </c>
    </row>
    <row r="211" spans="1:16" x14ac:dyDescent="0.25">
      <c r="A211" t="s">
        <v>18</v>
      </c>
      <c r="B211" t="s">
        <v>595</v>
      </c>
      <c r="C211" t="s">
        <v>19</v>
      </c>
      <c r="F211" t="s">
        <v>596</v>
      </c>
      <c r="N211" t="s">
        <v>22</v>
      </c>
      <c r="O211" t="s">
        <v>23</v>
      </c>
      <c r="P211" t="s">
        <v>2597</v>
      </c>
    </row>
    <row r="212" spans="1:16" x14ac:dyDescent="0.25">
      <c r="A212" t="s">
        <v>18</v>
      </c>
      <c r="B212" t="s">
        <v>597</v>
      </c>
      <c r="C212" t="s">
        <v>19</v>
      </c>
      <c r="F212" t="s">
        <v>598</v>
      </c>
      <c r="N212" t="s">
        <v>22</v>
      </c>
      <c r="O212" t="s">
        <v>22</v>
      </c>
    </row>
    <row r="213" spans="1:16" x14ac:dyDescent="0.25">
      <c r="A213" t="s">
        <v>18</v>
      </c>
      <c r="B213" t="s">
        <v>599</v>
      </c>
      <c r="C213" t="s">
        <v>19</v>
      </c>
      <c r="F213" t="s">
        <v>600</v>
      </c>
      <c r="N213" t="s">
        <v>22</v>
      </c>
      <c r="O213" t="s">
        <v>22</v>
      </c>
    </row>
    <row r="214" spans="1:16" x14ac:dyDescent="0.25">
      <c r="A214" t="s">
        <v>18</v>
      </c>
      <c r="B214" t="s">
        <v>221</v>
      </c>
      <c r="C214" t="s">
        <v>19</v>
      </c>
      <c r="F214" t="s">
        <v>222</v>
      </c>
      <c r="G214" t="s">
        <v>223</v>
      </c>
      <c r="N214" t="s">
        <v>22</v>
      </c>
      <c r="O214" t="s">
        <v>22</v>
      </c>
    </row>
    <row r="215" spans="1:16" x14ac:dyDescent="0.25">
      <c r="A215" t="s">
        <v>18</v>
      </c>
      <c r="B215" t="s">
        <v>622</v>
      </c>
      <c r="C215" t="s">
        <v>19</v>
      </c>
      <c r="F215" t="s">
        <v>623</v>
      </c>
      <c r="N215" t="s">
        <v>22</v>
      </c>
      <c r="O215" t="s">
        <v>22</v>
      </c>
    </row>
    <row r="216" spans="1:16" x14ac:dyDescent="0.25">
      <c r="A216" t="s">
        <v>18</v>
      </c>
      <c r="B216" t="s">
        <v>646</v>
      </c>
      <c r="C216" t="s">
        <v>19</v>
      </c>
      <c r="D216" t="s">
        <v>604</v>
      </c>
      <c r="F216" t="s">
        <v>647</v>
      </c>
      <c r="N216" t="s">
        <v>22</v>
      </c>
      <c r="O216" t="s">
        <v>22</v>
      </c>
    </row>
    <row r="217" spans="1:16" x14ac:dyDescent="0.25">
      <c r="A217" t="s">
        <v>18</v>
      </c>
      <c r="B217" t="s">
        <v>591</v>
      </c>
      <c r="C217" t="s">
        <v>19</v>
      </c>
      <c r="F217" t="s">
        <v>592</v>
      </c>
      <c r="N217" t="s">
        <v>22</v>
      </c>
      <c r="O217" t="s">
        <v>22</v>
      </c>
    </row>
    <row r="218" spans="1:16" x14ac:dyDescent="0.25">
      <c r="A218" t="s">
        <v>18</v>
      </c>
      <c r="B218" t="s">
        <v>610</v>
      </c>
      <c r="C218" t="s">
        <v>19</v>
      </c>
      <c r="F218" t="s">
        <v>611</v>
      </c>
      <c r="N218" t="s">
        <v>22</v>
      </c>
      <c r="O218" t="s">
        <v>22</v>
      </c>
    </row>
    <row r="219" spans="1:16" x14ac:dyDescent="0.25">
      <c r="A219" t="s">
        <v>18</v>
      </c>
      <c r="B219" t="s">
        <v>612</v>
      </c>
      <c r="C219" t="s">
        <v>19</v>
      </c>
      <c r="F219" t="s">
        <v>613</v>
      </c>
      <c r="N219" t="s">
        <v>22</v>
      </c>
      <c r="O219" t="s">
        <v>22</v>
      </c>
    </row>
    <row r="220" spans="1:16" x14ac:dyDescent="0.25">
      <c r="A220" t="s">
        <v>18</v>
      </c>
      <c r="B220" t="s">
        <v>614</v>
      </c>
      <c r="C220" t="s">
        <v>19</v>
      </c>
      <c r="F220" t="s">
        <v>615</v>
      </c>
      <c r="N220" t="s">
        <v>22</v>
      </c>
      <c r="O220" t="s">
        <v>22</v>
      </c>
    </row>
    <row r="221" spans="1:16" x14ac:dyDescent="0.25">
      <c r="A221" t="s">
        <v>18</v>
      </c>
      <c r="B221" t="s">
        <v>616</v>
      </c>
      <c r="C221" t="s">
        <v>19</v>
      </c>
      <c r="F221" t="s">
        <v>617</v>
      </c>
      <c r="N221" t="s">
        <v>22</v>
      </c>
      <c r="O221" t="s">
        <v>22</v>
      </c>
    </row>
    <row r="222" spans="1:16" x14ac:dyDescent="0.25">
      <c r="A222" t="s">
        <v>18</v>
      </c>
      <c r="B222" t="s">
        <v>618</v>
      </c>
      <c r="C222" t="s">
        <v>19</v>
      </c>
      <c r="F222" t="s">
        <v>619</v>
      </c>
      <c r="N222" t="s">
        <v>22</v>
      </c>
      <c r="O222" t="s">
        <v>22</v>
      </c>
    </row>
    <row r="223" spans="1:16" x14ac:dyDescent="0.25">
      <c r="A223" t="s">
        <v>18</v>
      </c>
      <c r="B223" t="s">
        <v>501</v>
      </c>
      <c r="C223" t="s">
        <v>19</v>
      </c>
      <c r="F223" t="s">
        <v>502</v>
      </c>
      <c r="N223" t="s">
        <v>22</v>
      </c>
      <c r="O223" t="s">
        <v>22</v>
      </c>
    </row>
    <row r="224" spans="1:16" x14ac:dyDescent="0.25">
      <c r="A224" t="s">
        <v>18</v>
      </c>
      <c r="B224" t="s">
        <v>601</v>
      </c>
      <c r="C224" t="s">
        <v>19</v>
      </c>
      <c r="F224" t="s">
        <v>602</v>
      </c>
      <c r="N224" t="s">
        <v>22</v>
      </c>
      <c r="O224" t="s">
        <v>22</v>
      </c>
    </row>
    <row r="225" spans="1:18" x14ac:dyDescent="0.25">
      <c r="A225" t="s">
        <v>18</v>
      </c>
      <c r="B225" t="s">
        <v>624</v>
      </c>
      <c r="C225" t="s">
        <v>19</v>
      </c>
      <c r="F225" t="s">
        <v>625</v>
      </c>
      <c r="N225" t="s">
        <v>22</v>
      </c>
      <c r="O225" t="s">
        <v>22</v>
      </c>
    </row>
    <row r="226" spans="1:18" x14ac:dyDescent="0.25">
      <c r="A226" t="s">
        <v>18</v>
      </c>
      <c r="B226" t="s">
        <v>532</v>
      </c>
      <c r="C226" t="s">
        <v>19</v>
      </c>
      <c r="F226" t="s">
        <v>2462</v>
      </c>
      <c r="N226" t="s">
        <v>22</v>
      </c>
      <c r="O226" t="s">
        <v>22</v>
      </c>
      <c r="Q226" t="s">
        <v>22</v>
      </c>
      <c r="R226" t="s">
        <v>23</v>
      </c>
    </row>
    <row r="227" spans="1:18" x14ac:dyDescent="0.25">
      <c r="A227" t="s">
        <v>18</v>
      </c>
      <c r="B227" t="s">
        <v>576</v>
      </c>
      <c r="C227" t="s">
        <v>19</v>
      </c>
      <c r="F227" t="s">
        <v>577</v>
      </c>
      <c r="N227" t="s">
        <v>22</v>
      </c>
      <c r="O227" t="s">
        <v>22</v>
      </c>
    </row>
    <row r="228" spans="1:18" x14ac:dyDescent="0.25">
      <c r="A228" t="s">
        <v>18</v>
      </c>
      <c r="B228" t="s">
        <v>626</v>
      </c>
      <c r="C228" t="s">
        <v>19</v>
      </c>
      <c r="F228" t="s">
        <v>627</v>
      </c>
      <c r="N228" t="s">
        <v>22</v>
      </c>
      <c r="O228" t="s">
        <v>22</v>
      </c>
    </row>
    <row r="229" spans="1:18" x14ac:dyDescent="0.25">
      <c r="A229" t="s">
        <v>18</v>
      </c>
      <c r="B229" t="s">
        <v>628</v>
      </c>
      <c r="C229" t="s">
        <v>19</v>
      </c>
      <c r="F229" t="s">
        <v>629</v>
      </c>
      <c r="N229" t="s">
        <v>22</v>
      </c>
      <c r="O229" t="s">
        <v>22</v>
      </c>
    </row>
    <row r="230" spans="1:18" x14ac:dyDescent="0.25">
      <c r="A230" t="s">
        <v>18</v>
      </c>
      <c r="B230" t="s">
        <v>630</v>
      </c>
      <c r="C230" t="s">
        <v>19</v>
      </c>
      <c r="F230" t="s">
        <v>631</v>
      </c>
      <c r="N230" t="s">
        <v>22</v>
      </c>
      <c r="O230" t="s">
        <v>22</v>
      </c>
    </row>
    <row r="231" spans="1:18" x14ac:dyDescent="0.25">
      <c r="A231" t="s">
        <v>18</v>
      </c>
      <c r="B231" t="s">
        <v>632</v>
      </c>
      <c r="C231" t="s">
        <v>19</v>
      </c>
      <c r="F231" t="s">
        <v>633</v>
      </c>
      <c r="N231" t="s">
        <v>22</v>
      </c>
      <c r="O231" t="s">
        <v>22</v>
      </c>
    </row>
    <row r="232" spans="1:18" x14ac:dyDescent="0.25">
      <c r="A232" t="s">
        <v>18</v>
      </c>
      <c r="B232" t="s">
        <v>634</v>
      </c>
      <c r="C232" t="s">
        <v>19</v>
      </c>
      <c r="F232" t="s">
        <v>635</v>
      </c>
      <c r="N232" t="s">
        <v>22</v>
      </c>
      <c r="O232" t="s">
        <v>22</v>
      </c>
    </row>
    <row r="233" spans="1:18" x14ac:dyDescent="0.25">
      <c r="A233" t="s">
        <v>18</v>
      </c>
      <c r="B233" t="s">
        <v>42</v>
      </c>
      <c r="C233" t="s">
        <v>19</v>
      </c>
      <c r="D233" t="s">
        <v>604</v>
      </c>
      <c r="F233" t="s">
        <v>650</v>
      </c>
      <c r="N233" t="s">
        <v>22</v>
      </c>
      <c r="O233" t="s">
        <v>22</v>
      </c>
    </row>
    <row r="234" spans="1:18" x14ac:dyDescent="0.25">
      <c r="A234" t="s">
        <v>18</v>
      </c>
      <c r="B234" t="s">
        <v>638</v>
      </c>
      <c r="C234" t="s">
        <v>19</v>
      </c>
      <c r="F234" t="s">
        <v>639</v>
      </c>
      <c r="G234" t="s">
        <v>2557</v>
      </c>
      <c r="N234" t="s">
        <v>22</v>
      </c>
      <c r="O234" t="s">
        <v>22</v>
      </c>
    </row>
    <row r="235" spans="1:18" x14ac:dyDescent="0.25">
      <c r="A235" t="s">
        <v>18</v>
      </c>
      <c r="B235" t="s">
        <v>648</v>
      </c>
      <c r="C235" t="s">
        <v>19</v>
      </c>
      <c r="D235" t="s">
        <v>604</v>
      </c>
      <c r="F235" t="s">
        <v>649</v>
      </c>
      <c r="N235" t="s">
        <v>22</v>
      </c>
      <c r="O235" t="s">
        <v>22</v>
      </c>
    </row>
    <row r="236" spans="1:18" x14ac:dyDescent="0.25">
      <c r="A236" t="s">
        <v>18</v>
      </c>
      <c r="B236" t="s">
        <v>2463</v>
      </c>
      <c r="C236" t="s">
        <v>19</v>
      </c>
      <c r="F236" t="s">
        <v>2464</v>
      </c>
      <c r="N236" t="s">
        <v>22</v>
      </c>
      <c r="O236" t="s">
        <v>23</v>
      </c>
      <c r="Q236" t="s">
        <v>22</v>
      </c>
      <c r="R236" t="s">
        <v>23</v>
      </c>
    </row>
    <row r="237" spans="1:18" x14ac:dyDescent="0.25">
      <c r="A237" t="s">
        <v>18</v>
      </c>
      <c r="B237" t="s">
        <v>2465</v>
      </c>
      <c r="C237" t="s">
        <v>19</v>
      </c>
      <c r="F237" t="s">
        <v>2466</v>
      </c>
      <c r="N237" t="s">
        <v>22</v>
      </c>
      <c r="O237" t="s">
        <v>23</v>
      </c>
      <c r="Q237" t="s">
        <v>22</v>
      </c>
      <c r="R237" t="s">
        <v>23</v>
      </c>
    </row>
    <row r="238" spans="1:18" x14ac:dyDescent="0.25">
      <c r="A238" t="s">
        <v>18</v>
      </c>
      <c r="B238" t="s">
        <v>642</v>
      </c>
      <c r="C238" t="s">
        <v>19</v>
      </c>
      <c r="F238" t="s">
        <v>643</v>
      </c>
      <c r="N238" t="s">
        <v>22</v>
      </c>
      <c r="O238" t="s">
        <v>22</v>
      </c>
    </row>
    <row r="239" spans="1:18" x14ac:dyDescent="0.25">
      <c r="A239" t="s">
        <v>18</v>
      </c>
      <c r="B239" t="s">
        <v>644</v>
      </c>
      <c r="C239" t="s">
        <v>19</v>
      </c>
      <c r="F239" t="s">
        <v>2467</v>
      </c>
      <c r="G239" t="s">
        <v>2468</v>
      </c>
      <c r="N239" t="s">
        <v>22</v>
      </c>
      <c r="O239" t="s">
        <v>22</v>
      </c>
      <c r="P239" t="s">
        <v>2598</v>
      </c>
      <c r="Q239" t="s">
        <v>22</v>
      </c>
      <c r="R239" t="s">
        <v>23</v>
      </c>
    </row>
    <row r="240" spans="1:18" x14ac:dyDescent="0.25">
      <c r="A240" t="s">
        <v>18</v>
      </c>
      <c r="B240" t="s">
        <v>2469</v>
      </c>
      <c r="C240" t="s">
        <v>19</v>
      </c>
      <c r="F240" t="s">
        <v>2470</v>
      </c>
      <c r="N240" t="s">
        <v>22</v>
      </c>
      <c r="O240" t="s">
        <v>23</v>
      </c>
      <c r="Q240" t="s">
        <v>22</v>
      </c>
      <c r="R240" t="s">
        <v>23</v>
      </c>
    </row>
    <row r="241" spans="1:16" x14ac:dyDescent="0.25">
      <c r="A241" t="s">
        <v>18</v>
      </c>
      <c r="B241" t="s">
        <v>645</v>
      </c>
      <c r="C241" t="s">
        <v>19</v>
      </c>
      <c r="D241" t="s">
        <v>604</v>
      </c>
      <c r="F241" t="s">
        <v>596</v>
      </c>
      <c r="N241" t="s">
        <v>22</v>
      </c>
      <c r="O241" t="s">
        <v>22</v>
      </c>
    </row>
    <row r="242" spans="1:16" x14ac:dyDescent="0.25">
      <c r="A242" t="s">
        <v>18</v>
      </c>
      <c r="B242" t="s">
        <v>1556</v>
      </c>
      <c r="C242" t="s">
        <v>19</v>
      </c>
      <c r="F242" t="s">
        <v>72</v>
      </c>
      <c r="N242" t="s">
        <v>22</v>
      </c>
      <c r="O242" t="s">
        <v>22</v>
      </c>
    </row>
    <row r="243" spans="1:16" x14ac:dyDescent="0.25">
      <c r="A243" t="s">
        <v>18</v>
      </c>
      <c r="B243" t="s">
        <v>651</v>
      </c>
      <c r="C243" t="s">
        <v>19</v>
      </c>
      <c r="F243" t="s">
        <v>652</v>
      </c>
      <c r="N243" t="s">
        <v>22</v>
      </c>
      <c r="O243" t="s">
        <v>22</v>
      </c>
    </row>
    <row r="244" spans="1:16" x14ac:dyDescent="0.25">
      <c r="A244" t="s">
        <v>18</v>
      </c>
      <c r="B244" t="s">
        <v>1695</v>
      </c>
      <c r="C244" t="s">
        <v>19</v>
      </c>
      <c r="F244" t="s">
        <v>1317</v>
      </c>
      <c r="H244" t="s">
        <v>67</v>
      </c>
      <c r="N244" t="s">
        <v>22</v>
      </c>
      <c r="O244" t="s">
        <v>22</v>
      </c>
    </row>
    <row r="245" spans="1:16" x14ac:dyDescent="0.25">
      <c r="A245" t="s">
        <v>18</v>
      </c>
      <c r="B245" t="s">
        <v>1650</v>
      </c>
      <c r="C245" t="s">
        <v>19</v>
      </c>
      <c r="F245" t="s">
        <v>1317</v>
      </c>
      <c r="H245" t="s">
        <v>1327</v>
      </c>
      <c r="N245" t="s">
        <v>22</v>
      </c>
      <c r="O245" t="s">
        <v>22</v>
      </c>
    </row>
    <row r="246" spans="1:16" x14ac:dyDescent="0.25">
      <c r="A246" t="s">
        <v>18</v>
      </c>
      <c r="B246" t="s">
        <v>1637</v>
      </c>
      <c r="C246" t="s">
        <v>19</v>
      </c>
      <c r="F246" t="s">
        <v>1317</v>
      </c>
      <c r="N246" t="s">
        <v>22</v>
      </c>
      <c r="O246" t="s">
        <v>22</v>
      </c>
    </row>
    <row r="247" spans="1:16" x14ac:dyDescent="0.25">
      <c r="A247" t="s">
        <v>18</v>
      </c>
      <c r="B247" t="s">
        <v>1653</v>
      </c>
      <c r="C247" t="s">
        <v>19</v>
      </c>
      <c r="F247" t="s">
        <v>1317</v>
      </c>
      <c r="H247" t="s">
        <v>1654</v>
      </c>
      <c r="N247" t="s">
        <v>22</v>
      </c>
      <c r="O247" t="s">
        <v>22</v>
      </c>
    </row>
    <row r="248" spans="1:16" x14ac:dyDescent="0.25">
      <c r="A248" t="s">
        <v>18</v>
      </c>
      <c r="B248" t="s">
        <v>1655</v>
      </c>
      <c r="C248" t="s">
        <v>19</v>
      </c>
      <c r="F248" t="s">
        <v>1463</v>
      </c>
      <c r="N248" t="s">
        <v>22</v>
      </c>
      <c r="O248" t="s">
        <v>23</v>
      </c>
    </row>
    <row r="249" spans="1:16" x14ac:dyDescent="0.25">
      <c r="A249" t="s">
        <v>18</v>
      </c>
      <c r="B249" t="s">
        <v>1656</v>
      </c>
      <c r="C249" t="s">
        <v>19</v>
      </c>
      <c r="F249" t="s">
        <v>1317</v>
      </c>
      <c r="J249" t="s">
        <v>1657</v>
      </c>
      <c r="N249" t="s">
        <v>22</v>
      </c>
      <c r="O249" t="s">
        <v>22</v>
      </c>
    </row>
    <row r="250" spans="1:16" x14ac:dyDescent="0.25">
      <c r="A250" t="s">
        <v>18</v>
      </c>
      <c r="B250" t="s">
        <v>1658</v>
      </c>
      <c r="C250" t="s">
        <v>19</v>
      </c>
      <c r="F250" t="s">
        <v>1317</v>
      </c>
      <c r="H250" t="s">
        <v>1659</v>
      </c>
      <c r="N250" t="s">
        <v>22</v>
      </c>
      <c r="O250" t="s">
        <v>22</v>
      </c>
    </row>
    <row r="251" spans="1:16" x14ac:dyDescent="0.25">
      <c r="A251" t="s">
        <v>18</v>
      </c>
      <c r="B251" t="s">
        <v>1500</v>
      </c>
      <c r="C251" t="s">
        <v>19</v>
      </c>
      <c r="F251" t="s">
        <v>1501</v>
      </c>
      <c r="N251" t="s">
        <v>22</v>
      </c>
      <c r="O251" t="s">
        <v>23</v>
      </c>
      <c r="P251" t="s">
        <v>2599</v>
      </c>
    </row>
    <row r="252" spans="1:16" x14ac:dyDescent="0.25">
      <c r="A252" t="s">
        <v>18</v>
      </c>
      <c r="B252" t="s">
        <v>1539</v>
      </c>
      <c r="C252" t="s">
        <v>19</v>
      </c>
      <c r="F252" t="s">
        <v>1317</v>
      </c>
      <c r="J252" t="s">
        <v>1540</v>
      </c>
      <c r="N252" t="s">
        <v>22</v>
      </c>
      <c r="O252" t="s">
        <v>22</v>
      </c>
    </row>
    <row r="253" spans="1:16" x14ac:dyDescent="0.25">
      <c r="A253" t="s">
        <v>18</v>
      </c>
      <c r="B253" t="s">
        <v>1645</v>
      </c>
      <c r="C253" t="s">
        <v>19</v>
      </c>
      <c r="F253" t="s">
        <v>1646</v>
      </c>
      <c r="N253" t="s">
        <v>22</v>
      </c>
      <c r="O253" t="s">
        <v>22</v>
      </c>
    </row>
    <row r="254" spans="1:16" x14ac:dyDescent="0.25">
      <c r="A254" t="s">
        <v>18</v>
      </c>
      <c r="B254" t="s">
        <v>1599</v>
      </c>
      <c r="C254" t="s">
        <v>19</v>
      </c>
      <c r="J254" t="s">
        <v>1600</v>
      </c>
      <c r="N254" t="s">
        <v>22</v>
      </c>
      <c r="O254" t="s">
        <v>23</v>
      </c>
    </row>
    <row r="255" spans="1:16" x14ac:dyDescent="0.25">
      <c r="A255" t="s">
        <v>18</v>
      </c>
      <c r="B255" t="s">
        <v>1472</v>
      </c>
      <c r="C255" t="s">
        <v>19</v>
      </c>
      <c r="F255" t="s">
        <v>1473</v>
      </c>
      <c r="N255" t="s">
        <v>22</v>
      </c>
      <c r="O255" t="s">
        <v>23</v>
      </c>
    </row>
    <row r="256" spans="1:16" x14ac:dyDescent="0.25">
      <c r="A256" t="s">
        <v>18</v>
      </c>
      <c r="B256" t="s">
        <v>1474</v>
      </c>
      <c r="C256" t="s">
        <v>19</v>
      </c>
      <c r="F256" t="s">
        <v>1475</v>
      </c>
      <c r="N256" t="s">
        <v>22</v>
      </c>
      <c r="O256" t="s">
        <v>23</v>
      </c>
    </row>
    <row r="257" spans="1:16" x14ac:dyDescent="0.25">
      <c r="A257" t="s">
        <v>18</v>
      </c>
      <c r="B257" t="s">
        <v>1476</v>
      </c>
      <c r="C257" t="s">
        <v>19</v>
      </c>
      <c r="F257" t="s">
        <v>1317</v>
      </c>
      <c r="J257" t="s">
        <v>1477</v>
      </c>
      <c r="N257" t="s">
        <v>22</v>
      </c>
      <c r="O257" t="s">
        <v>22</v>
      </c>
    </row>
    <row r="258" spans="1:16" x14ac:dyDescent="0.25">
      <c r="A258" t="s">
        <v>18</v>
      </c>
      <c r="B258" t="s">
        <v>1478</v>
      </c>
      <c r="C258" t="s">
        <v>19</v>
      </c>
      <c r="F258" t="s">
        <v>1479</v>
      </c>
      <c r="N258" t="s">
        <v>22</v>
      </c>
      <c r="O258" t="s">
        <v>22</v>
      </c>
    </row>
    <row r="259" spans="1:16" x14ac:dyDescent="0.25">
      <c r="A259" t="s">
        <v>18</v>
      </c>
      <c r="B259" t="s">
        <v>1480</v>
      </c>
      <c r="C259" t="s">
        <v>19</v>
      </c>
      <c r="F259" t="s">
        <v>1481</v>
      </c>
      <c r="N259" t="s">
        <v>22</v>
      </c>
      <c r="O259" t="s">
        <v>22</v>
      </c>
    </row>
    <row r="260" spans="1:16" x14ac:dyDescent="0.25">
      <c r="A260" t="s">
        <v>18</v>
      </c>
      <c r="B260" t="s">
        <v>1559</v>
      </c>
      <c r="C260" t="s">
        <v>19</v>
      </c>
      <c r="J260" t="s">
        <v>1560</v>
      </c>
      <c r="N260" t="s">
        <v>22</v>
      </c>
      <c r="O260" t="s">
        <v>23</v>
      </c>
    </row>
    <row r="261" spans="1:16" x14ac:dyDescent="0.25">
      <c r="A261" t="s">
        <v>18</v>
      </c>
      <c r="B261" t="s">
        <v>1660</v>
      </c>
      <c r="C261" t="s">
        <v>19</v>
      </c>
      <c r="F261" t="s">
        <v>1317</v>
      </c>
      <c r="H261" t="s">
        <v>1661</v>
      </c>
      <c r="N261" t="s">
        <v>22</v>
      </c>
      <c r="O261" t="s">
        <v>22</v>
      </c>
    </row>
    <row r="262" spans="1:16" x14ac:dyDescent="0.25">
      <c r="A262" t="s">
        <v>18</v>
      </c>
      <c r="B262" t="s">
        <v>1000</v>
      </c>
      <c r="C262" t="s">
        <v>19</v>
      </c>
      <c r="F262" t="s">
        <v>1001</v>
      </c>
      <c r="N262" t="s">
        <v>22</v>
      </c>
      <c r="O262" t="s">
        <v>22</v>
      </c>
    </row>
    <row r="263" spans="1:16" x14ac:dyDescent="0.25">
      <c r="A263" t="s">
        <v>18</v>
      </c>
      <c r="B263" t="s">
        <v>260</v>
      </c>
      <c r="C263" t="s">
        <v>19</v>
      </c>
      <c r="F263" t="s">
        <v>261</v>
      </c>
      <c r="N263" t="s">
        <v>22</v>
      </c>
      <c r="O263" t="s">
        <v>22</v>
      </c>
    </row>
    <row r="264" spans="1:16" x14ac:dyDescent="0.25">
      <c r="A264" t="s">
        <v>18</v>
      </c>
      <c r="B264" t="s">
        <v>1679</v>
      </c>
      <c r="C264" t="s">
        <v>19</v>
      </c>
      <c r="F264" t="s">
        <v>1670</v>
      </c>
      <c r="N264" t="s">
        <v>22</v>
      </c>
      <c r="O264" t="s">
        <v>22</v>
      </c>
    </row>
    <row r="265" spans="1:16" x14ac:dyDescent="0.25">
      <c r="A265" t="s">
        <v>18</v>
      </c>
      <c r="B265" t="s">
        <v>1665</v>
      </c>
      <c r="C265" t="s">
        <v>19</v>
      </c>
      <c r="F265" t="s">
        <v>1666</v>
      </c>
      <c r="N265" t="s">
        <v>22</v>
      </c>
      <c r="O265" t="s">
        <v>22</v>
      </c>
    </row>
    <row r="266" spans="1:16" x14ac:dyDescent="0.25">
      <c r="A266" t="s">
        <v>18</v>
      </c>
      <c r="B266" t="s">
        <v>1682</v>
      </c>
      <c r="C266" t="s">
        <v>19</v>
      </c>
      <c r="F266" t="s">
        <v>34</v>
      </c>
      <c r="G266" t="s">
        <v>1683</v>
      </c>
      <c r="J266" t="s">
        <v>1684</v>
      </c>
      <c r="N266" t="s">
        <v>22</v>
      </c>
      <c r="O266" t="s">
        <v>23</v>
      </c>
    </row>
    <row r="267" spans="1:16" x14ac:dyDescent="0.25">
      <c r="A267" t="s">
        <v>18</v>
      </c>
      <c r="B267" t="s">
        <v>1685</v>
      </c>
      <c r="C267" t="s">
        <v>19</v>
      </c>
      <c r="J267" t="s">
        <v>1686</v>
      </c>
      <c r="N267" t="s">
        <v>22</v>
      </c>
      <c r="O267" t="s">
        <v>23</v>
      </c>
    </row>
    <row r="268" spans="1:16" x14ac:dyDescent="0.25">
      <c r="A268" t="s">
        <v>18</v>
      </c>
      <c r="B268" t="s">
        <v>1687</v>
      </c>
      <c r="C268" t="s">
        <v>19</v>
      </c>
      <c r="F268" t="s">
        <v>34</v>
      </c>
      <c r="J268" t="s">
        <v>1688</v>
      </c>
      <c r="N268" t="s">
        <v>22</v>
      </c>
      <c r="O268" t="s">
        <v>23</v>
      </c>
    </row>
    <row r="269" spans="1:16" x14ac:dyDescent="0.25">
      <c r="A269" t="s">
        <v>18</v>
      </c>
      <c r="B269" t="s">
        <v>1689</v>
      </c>
      <c r="C269" t="s">
        <v>19</v>
      </c>
      <c r="I269" t="s">
        <v>1690</v>
      </c>
      <c r="L269" t="s">
        <v>1691</v>
      </c>
      <c r="N269" t="s">
        <v>22</v>
      </c>
      <c r="O269" t="s">
        <v>23</v>
      </c>
      <c r="P269" t="s">
        <v>2600</v>
      </c>
    </row>
    <row r="270" spans="1:16" x14ac:dyDescent="0.25">
      <c r="A270" t="s">
        <v>18</v>
      </c>
      <c r="B270" t="s">
        <v>1663</v>
      </c>
      <c r="C270" t="s">
        <v>19</v>
      </c>
      <c r="F270" t="s">
        <v>34</v>
      </c>
      <c r="J270" t="s">
        <v>1664</v>
      </c>
      <c r="N270" t="s">
        <v>22</v>
      </c>
      <c r="O270" t="s">
        <v>23</v>
      </c>
    </row>
    <row r="271" spans="1:16" x14ac:dyDescent="0.25">
      <c r="A271" t="s">
        <v>18</v>
      </c>
      <c r="B271" t="s">
        <v>1694</v>
      </c>
      <c r="C271" t="s">
        <v>19</v>
      </c>
      <c r="F271" t="s">
        <v>1641</v>
      </c>
      <c r="N271" t="s">
        <v>22</v>
      </c>
      <c r="O271" t="s">
        <v>22</v>
      </c>
    </row>
    <row r="272" spans="1:16" x14ac:dyDescent="0.25">
      <c r="A272" t="s">
        <v>18</v>
      </c>
      <c r="B272" t="s">
        <v>1647</v>
      </c>
      <c r="C272" t="s">
        <v>19</v>
      </c>
      <c r="F272" t="s">
        <v>1648</v>
      </c>
      <c r="N272" t="s">
        <v>22</v>
      </c>
      <c r="O272" t="s">
        <v>22</v>
      </c>
    </row>
    <row r="273" spans="1:15" x14ac:dyDescent="0.25">
      <c r="A273" t="s">
        <v>18</v>
      </c>
      <c r="B273" t="s">
        <v>1680</v>
      </c>
      <c r="C273" t="s">
        <v>19</v>
      </c>
      <c r="J273" t="s">
        <v>1681</v>
      </c>
      <c r="N273" t="s">
        <v>22</v>
      </c>
      <c r="O273" t="s">
        <v>22</v>
      </c>
    </row>
    <row r="274" spans="1:15" x14ac:dyDescent="0.25">
      <c r="A274" t="s">
        <v>18</v>
      </c>
      <c r="B274" t="s">
        <v>1677</v>
      </c>
      <c r="C274" t="s">
        <v>19</v>
      </c>
      <c r="J274" t="s">
        <v>1678</v>
      </c>
      <c r="N274" t="s">
        <v>22</v>
      </c>
      <c r="O274" t="s">
        <v>22</v>
      </c>
    </row>
    <row r="275" spans="1:15" x14ac:dyDescent="0.25">
      <c r="A275" t="s">
        <v>18</v>
      </c>
      <c r="B275" t="s">
        <v>1638</v>
      </c>
      <c r="C275" t="s">
        <v>19</v>
      </c>
      <c r="J275" t="s">
        <v>1639</v>
      </c>
      <c r="N275" t="s">
        <v>22</v>
      </c>
      <c r="O275" t="s">
        <v>22</v>
      </c>
    </row>
    <row r="276" spans="1:15" x14ac:dyDescent="0.25">
      <c r="A276" t="s">
        <v>18</v>
      </c>
      <c r="B276" t="s">
        <v>1640</v>
      </c>
      <c r="C276" t="s">
        <v>19</v>
      </c>
      <c r="F276" t="s">
        <v>1641</v>
      </c>
      <c r="J276" t="s">
        <v>1538</v>
      </c>
      <c r="N276" t="s">
        <v>22</v>
      </c>
      <c r="O276" t="s">
        <v>23</v>
      </c>
    </row>
    <row r="277" spans="1:15" x14ac:dyDescent="0.25">
      <c r="A277" t="s">
        <v>18</v>
      </c>
      <c r="B277" t="s">
        <v>1642</v>
      </c>
      <c r="C277" t="s">
        <v>19</v>
      </c>
      <c r="F277" t="s">
        <v>1643</v>
      </c>
      <c r="N277" t="s">
        <v>22</v>
      </c>
      <c r="O277" t="s">
        <v>22</v>
      </c>
    </row>
    <row r="278" spans="1:15" x14ac:dyDescent="0.25">
      <c r="A278" t="s">
        <v>18</v>
      </c>
      <c r="B278" t="s">
        <v>1644</v>
      </c>
      <c r="C278" t="s">
        <v>19</v>
      </c>
      <c r="F278" t="s">
        <v>35</v>
      </c>
      <c r="N278" t="s">
        <v>22</v>
      </c>
      <c r="O278" t="s">
        <v>22</v>
      </c>
    </row>
    <row r="279" spans="1:15" x14ac:dyDescent="0.25">
      <c r="A279" t="s">
        <v>18</v>
      </c>
      <c r="B279" t="s">
        <v>1486</v>
      </c>
      <c r="C279" t="s">
        <v>19</v>
      </c>
      <c r="F279" t="s">
        <v>1487</v>
      </c>
      <c r="N279" t="s">
        <v>22</v>
      </c>
      <c r="O279" t="s">
        <v>23</v>
      </c>
    </row>
    <row r="280" spans="1:15" x14ac:dyDescent="0.25">
      <c r="A280" t="s">
        <v>18</v>
      </c>
      <c r="B280" t="s">
        <v>310</v>
      </c>
      <c r="C280" t="s">
        <v>19</v>
      </c>
      <c r="F280" t="s">
        <v>311</v>
      </c>
      <c r="N280" t="s">
        <v>22</v>
      </c>
      <c r="O280" t="s">
        <v>22</v>
      </c>
    </row>
    <row r="281" spans="1:15" x14ac:dyDescent="0.25">
      <c r="A281" t="s">
        <v>18</v>
      </c>
      <c r="B281" t="s">
        <v>1541</v>
      </c>
      <c r="C281" t="s">
        <v>19</v>
      </c>
      <c r="F281" t="s">
        <v>1448</v>
      </c>
      <c r="H281" t="s">
        <v>1542</v>
      </c>
      <c r="N281" t="s">
        <v>22</v>
      </c>
      <c r="O281" t="s">
        <v>22</v>
      </c>
    </row>
    <row r="282" spans="1:15" x14ac:dyDescent="0.25">
      <c r="A282" t="s">
        <v>18</v>
      </c>
      <c r="B282" t="s">
        <v>1457</v>
      </c>
      <c r="C282" t="s">
        <v>19</v>
      </c>
      <c r="H282" t="s">
        <v>1452</v>
      </c>
      <c r="N282" t="s">
        <v>22</v>
      </c>
      <c r="O282" t="s">
        <v>22</v>
      </c>
    </row>
    <row r="283" spans="1:15" x14ac:dyDescent="0.25">
      <c r="A283" t="s">
        <v>18</v>
      </c>
      <c r="B283" t="s">
        <v>1458</v>
      </c>
      <c r="C283" t="s">
        <v>19</v>
      </c>
      <c r="H283" t="s">
        <v>1459</v>
      </c>
      <c r="N283" t="s">
        <v>22</v>
      </c>
      <c r="O283" t="s">
        <v>22</v>
      </c>
    </row>
    <row r="284" spans="1:15" x14ac:dyDescent="0.25">
      <c r="A284" t="s">
        <v>18</v>
      </c>
      <c r="B284" t="s">
        <v>1460</v>
      </c>
      <c r="C284" t="s">
        <v>19</v>
      </c>
      <c r="F284" t="s">
        <v>1461</v>
      </c>
      <c r="N284" t="s">
        <v>22</v>
      </c>
      <c r="O284" t="s">
        <v>23</v>
      </c>
    </row>
    <row r="285" spans="1:15" x14ac:dyDescent="0.25">
      <c r="A285" t="s">
        <v>18</v>
      </c>
      <c r="B285" t="s">
        <v>1462</v>
      </c>
      <c r="C285" t="s">
        <v>19</v>
      </c>
      <c r="F285" t="s">
        <v>1463</v>
      </c>
      <c r="H285" t="s">
        <v>1464</v>
      </c>
      <c r="N285" t="s">
        <v>22</v>
      </c>
      <c r="O285" t="s">
        <v>22</v>
      </c>
    </row>
    <row r="286" spans="1:15" x14ac:dyDescent="0.25">
      <c r="A286" t="s">
        <v>18</v>
      </c>
      <c r="B286" t="s">
        <v>1465</v>
      </c>
      <c r="C286" t="s">
        <v>19</v>
      </c>
      <c r="F286" t="s">
        <v>1466</v>
      </c>
      <c r="H286" t="s">
        <v>1467</v>
      </c>
      <c r="N286" t="s">
        <v>22</v>
      </c>
      <c r="O286" t="s">
        <v>22</v>
      </c>
    </row>
    <row r="287" spans="1:15" x14ac:dyDescent="0.25">
      <c r="A287" t="s">
        <v>18</v>
      </c>
      <c r="B287" t="s">
        <v>1515</v>
      </c>
      <c r="C287" t="s">
        <v>19</v>
      </c>
      <c r="F287" t="s">
        <v>1442</v>
      </c>
      <c r="H287" t="s">
        <v>1516</v>
      </c>
      <c r="N287" t="s">
        <v>22</v>
      </c>
      <c r="O287" t="s">
        <v>22</v>
      </c>
    </row>
    <row r="288" spans="1:15" x14ac:dyDescent="0.25">
      <c r="A288" t="s">
        <v>18</v>
      </c>
      <c r="B288" t="s">
        <v>1482</v>
      </c>
      <c r="C288" t="s">
        <v>19</v>
      </c>
      <c r="F288" t="s">
        <v>1483</v>
      </c>
      <c r="N288" t="s">
        <v>22</v>
      </c>
      <c r="O288" t="s">
        <v>23</v>
      </c>
    </row>
    <row r="289" spans="1:15" x14ac:dyDescent="0.25">
      <c r="A289" t="s">
        <v>18</v>
      </c>
      <c r="B289" t="s">
        <v>1488</v>
      </c>
      <c r="C289" t="s">
        <v>19</v>
      </c>
      <c r="F289" t="s">
        <v>1446</v>
      </c>
      <c r="H289" t="s">
        <v>1489</v>
      </c>
      <c r="N289" t="s">
        <v>22</v>
      </c>
      <c r="O289" t="s">
        <v>22</v>
      </c>
    </row>
    <row r="290" spans="1:15" x14ac:dyDescent="0.25">
      <c r="A290" t="s">
        <v>18</v>
      </c>
      <c r="B290" t="s">
        <v>1451</v>
      </c>
      <c r="C290" t="s">
        <v>19</v>
      </c>
      <c r="H290" t="s">
        <v>1452</v>
      </c>
      <c r="N290" t="s">
        <v>22</v>
      </c>
      <c r="O290" t="s">
        <v>22</v>
      </c>
    </row>
    <row r="291" spans="1:15" x14ac:dyDescent="0.25">
      <c r="A291" t="s">
        <v>18</v>
      </c>
      <c r="B291" t="s">
        <v>1543</v>
      </c>
      <c r="C291" t="s">
        <v>19</v>
      </c>
      <c r="F291" t="s">
        <v>1461</v>
      </c>
      <c r="H291" t="s">
        <v>1544</v>
      </c>
      <c r="N291" t="s">
        <v>22</v>
      </c>
      <c r="O291" t="s">
        <v>22</v>
      </c>
    </row>
    <row r="292" spans="1:15" x14ac:dyDescent="0.25">
      <c r="A292" t="s">
        <v>18</v>
      </c>
      <c r="B292" t="s">
        <v>1545</v>
      </c>
      <c r="C292" t="s">
        <v>19</v>
      </c>
      <c r="F292" t="s">
        <v>1537</v>
      </c>
      <c r="N292" t="s">
        <v>22</v>
      </c>
      <c r="O292" t="s">
        <v>22</v>
      </c>
    </row>
    <row r="293" spans="1:15" x14ac:dyDescent="0.25">
      <c r="A293" t="s">
        <v>18</v>
      </c>
      <c r="B293" t="s">
        <v>1546</v>
      </c>
      <c r="C293" t="s">
        <v>19</v>
      </c>
      <c r="J293" t="s">
        <v>1547</v>
      </c>
      <c r="N293" t="s">
        <v>22</v>
      </c>
      <c r="O293" t="s">
        <v>23</v>
      </c>
    </row>
    <row r="294" spans="1:15" x14ac:dyDescent="0.25">
      <c r="A294" t="s">
        <v>18</v>
      </c>
      <c r="B294" t="s">
        <v>1548</v>
      </c>
      <c r="C294" t="s">
        <v>19</v>
      </c>
      <c r="F294" t="s">
        <v>1549</v>
      </c>
      <c r="N294" t="s">
        <v>22</v>
      </c>
      <c r="O294" t="s">
        <v>22</v>
      </c>
    </row>
    <row r="295" spans="1:15" x14ac:dyDescent="0.25">
      <c r="A295" t="s">
        <v>18</v>
      </c>
      <c r="B295" t="s">
        <v>1569</v>
      </c>
      <c r="C295" t="s">
        <v>19</v>
      </c>
      <c r="F295" t="s">
        <v>72</v>
      </c>
      <c r="N295" t="s">
        <v>22</v>
      </c>
      <c r="O295" t="s">
        <v>22</v>
      </c>
    </row>
    <row r="296" spans="1:15" x14ac:dyDescent="0.25">
      <c r="A296" t="s">
        <v>18</v>
      </c>
      <c r="B296" t="s">
        <v>1552</v>
      </c>
      <c r="C296" t="s">
        <v>19</v>
      </c>
      <c r="F296" t="s">
        <v>1553</v>
      </c>
      <c r="N296" t="s">
        <v>22</v>
      </c>
      <c r="O296" t="s">
        <v>22</v>
      </c>
    </row>
    <row r="297" spans="1:15" x14ac:dyDescent="0.25">
      <c r="A297" t="s">
        <v>18</v>
      </c>
      <c r="B297" t="s">
        <v>1536</v>
      </c>
      <c r="C297" t="s">
        <v>19</v>
      </c>
      <c r="F297" t="s">
        <v>1537</v>
      </c>
      <c r="J297" t="s">
        <v>1538</v>
      </c>
      <c r="N297" t="s">
        <v>22</v>
      </c>
      <c r="O297" t="s">
        <v>22</v>
      </c>
    </row>
    <row r="298" spans="1:15" x14ac:dyDescent="0.25">
      <c r="A298" t="s">
        <v>18</v>
      </c>
      <c r="B298" t="s">
        <v>1567</v>
      </c>
      <c r="C298" t="s">
        <v>19</v>
      </c>
      <c r="F298" t="s">
        <v>1444</v>
      </c>
      <c r="H298" t="s">
        <v>1568</v>
      </c>
      <c r="N298" t="s">
        <v>22</v>
      </c>
      <c r="O298" t="s">
        <v>22</v>
      </c>
    </row>
    <row r="299" spans="1:15" x14ac:dyDescent="0.25">
      <c r="A299" t="s">
        <v>18</v>
      </c>
      <c r="B299" t="s">
        <v>1484</v>
      </c>
      <c r="C299" t="s">
        <v>19</v>
      </c>
      <c r="F299" t="s">
        <v>1317</v>
      </c>
      <c r="J299" t="s">
        <v>1485</v>
      </c>
      <c r="N299" t="s">
        <v>22</v>
      </c>
      <c r="O299" t="s">
        <v>22</v>
      </c>
    </row>
    <row r="300" spans="1:15" x14ac:dyDescent="0.25">
      <c r="A300" t="s">
        <v>18</v>
      </c>
      <c r="B300" t="s">
        <v>1470</v>
      </c>
      <c r="C300" t="s">
        <v>19</v>
      </c>
      <c r="F300" t="s">
        <v>1471</v>
      </c>
      <c r="N300" t="s">
        <v>22</v>
      </c>
      <c r="O300" t="s">
        <v>23</v>
      </c>
    </row>
    <row r="301" spans="1:15" x14ac:dyDescent="0.25">
      <c r="A301" t="s">
        <v>18</v>
      </c>
      <c r="B301" t="s">
        <v>1490</v>
      </c>
      <c r="C301" t="s">
        <v>19</v>
      </c>
      <c r="F301" t="s">
        <v>1491</v>
      </c>
      <c r="N301" t="s">
        <v>22</v>
      </c>
      <c r="O301" t="s">
        <v>23</v>
      </c>
    </row>
    <row r="302" spans="1:15" x14ac:dyDescent="0.25">
      <c r="A302" t="s">
        <v>18</v>
      </c>
      <c r="B302" t="s">
        <v>1492</v>
      </c>
      <c r="C302" t="s">
        <v>19</v>
      </c>
      <c r="F302" t="s">
        <v>1317</v>
      </c>
      <c r="H302" t="s">
        <v>1493</v>
      </c>
      <c r="N302" t="s">
        <v>22</v>
      </c>
      <c r="O302" t="s">
        <v>22</v>
      </c>
    </row>
    <row r="303" spans="1:15" x14ac:dyDescent="0.25">
      <c r="A303" t="s">
        <v>18</v>
      </c>
      <c r="B303" t="s">
        <v>1494</v>
      </c>
      <c r="C303" t="s">
        <v>19</v>
      </c>
      <c r="F303" t="s">
        <v>1466</v>
      </c>
      <c r="N303" t="s">
        <v>22</v>
      </c>
      <c r="O303" t="s">
        <v>23</v>
      </c>
    </row>
    <row r="304" spans="1:15" x14ac:dyDescent="0.25">
      <c r="A304" t="s">
        <v>18</v>
      </c>
      <c r="B304" t="s">
        <v>1495</v>
      </c>
      <c r="C304" t="s">
        <v>19</v>
      </c>
      <c r="F304" t="s">
        <v>1454</v>
      </c>
      <c r="N304" t="s">
        <v>22</v>
      </c>
      <c r="O304" t="s">
        <v>22</v>
      </c>
    </row>
    <row r="305" spans="1:15" x14ac:dyDescent="0.25">
      <c r="A305" t="s">
        <v>18</v>
      </c>
      <c r="B305" t="s">
        <v>1496</v>
      </c>
      <c r="C305" t="s">
        <v>19</v>
      </c>
      <c r="F305" t="s">
        <v>1317</v>
      </c>
      <c r="J305" t="s">
        <v>1497</v>
      </c>
      <c r="N305" t="s">
        <v>22</v>
      </c>
      <c r="O305" t="s">
        <v>23</v>
      </c>
    </row>
    <row r="306" spans="1:15" x14ac:dyDescent="0.25">
      <c r="A306" t="s">
        <v>18</v>
      </c>
      <c r="B306" t="s">
        <v>1498</v>
      </c>
      <c r="C306" t="s">
        <v>19</v>
      </c>
      <c r="F306" t="s">
        <v>1317</v>
      </c>
      <c r="J306" t="s">
        <v>1499</v>
      </c>
      <c r="N306" t="s">
        <v>22</v>
      </c>
      <c r="O306" t="s">
        <v>23</v>
      </c>
    </row>
    <row r="307" spans="1:15" x14ac:dyDescent="0.25">
      <c r="A307" t="s">
        <v>18</v>
      </c>
      <c r="B307" t="s">
        <v>1455</v>
      </c>
      <c r="C307" t="s">
        <v>19</v>
      </c>
      <c r="H307" t="s">
        <v>1456</v>
      </c>
      <c r="N307" t="s">
        <v>22</v>
      </c>
      <c r="O307" t="s">
        <v>22</v>
      </c>
    </row>
    <row r="308" spans="1:15" x14ac:dyDescent="0.25">
      <c r="A308" t="s">
        <v>18</v>
      </c>
      <c r="B308" t="s">
        <v>1449</v>
      </c>
      <c r="C308" t="s">
        <v>19</v>
      </c>
      <c r="F308" t="s">
        <v>1317</v>
      </c>
      <c r="H308" t="s">
        <v>1450</v>
      </c>
      <c r="N308" t="s">
        <v>22</v>
      </c>
      <c r="O308" t="s">
        <v>22</v>
      </c>
    </row>
    <row r="309" spans="1:15" x14ac:dyDescent="0.25">
      <c r="A309" t="s">
        <v>18</v>
      </c>
      <c r="B309" t="s">
        <v>1435</v>
      </c>
      <c r="C309" t="s">
        <v>19</v>
      </c>
      <c r="H309" t="s">
        <v>1436</v>
      </c>
      <c r="N309" t="s">
        <v>22</v>
      </c>
      <c r="O309" t="s">
        <v>22</v>
      </c>
    </row>
    <row r="310" spans="1:15" x14ac:dyDescent="0.25">
      <c r="A310" t="s">
        <v>18</v>
      </c>
      <c r="B310" t="s">
        <v>1439</v>
      </c>
      <c r="C310" t="s">
        <v>19</v>
      </c>
      <c r="F310" t="s">
        <v>1317</v>
      </c>
      <c r="H310" t="s">
        <v>1440</v>
      </c>
      <c r="N310" t="s">
        <v>22</v>
      </c>
      <c r="O310" t="s">
        <v>22</v>
      </c>
    </row>
    <row r="311" spans="1:15" x14ac:dyDescent="0.25">
      <c r="A311" t="s">
        <v>18</v>
      </c>
      <c r="B311" t="s">
        <v>1441</v>
      </c>
      <c r="C311" t="s">
        <v>19</v>
      </c>
      <c r="F311" t="s">
        <v>1442</v>
      </c>
      <c r="N311" t="s">
        <v>22</v>
      </c>
      <c r="O311" t="s">
        <v>23</v>
      </c>
    </row>
    <row r="312" spans="1:15" x14ac:dyDescent="0.25">
      <c r="A312" t="s">
        <v>18</v>
      </c>
      <c r="B312" t="s">
        <v>1443</v>
      </c>
      <c r="C312" t="s">
        <v>19</v>
      </c>
      <c r="F312" t="s">
        <v>1444</v>
      </c>
      <c r="N312" t="s">
        <v>22</v>
      </c>
      <c r="O312" t="s">
        <v>23</v>
      </c>
    </row>
    <row r="313" spans="1:15" x14ac:dyDescent="0.25">
      <c r="A313" t="s">
        <v>18</v>
      </c>
      <c r="B313" t="s">
        <v>1445</v>
      </c>
      <c r="C313" t="s">
        <v>19</v>
      </c>
      <c r="F313" t="s">
        <v>1446</v>
      </c>
      <c r="N313" t="s">
        <v>22</v>
      </c>
      <c r="O313" t="s">
        <v>23</v>
      </c>
    </row>
    <row r="314" spans="1:15" x14ac:dyDescent="0.25">
      <c r="A314" t="s">
        <v>18</v>
      </c>
      <c r="B314" t="s">
        <v>1447</v>
      </c>
      <c r="C314" t="s">
        <v>19</v>
      </c>
      <c r="F314" t="s">
        <v>1448</v>
      </c>
      <c r="N314" t="s">
        <v>22</v>
      </c>
      <c r="O314" t="s">
        <v>23</v>
      </c>
    </row>
    <row r="315" spans="1:15" x14ac:dyDescent="0.25">
      <c r="A315" t="s">
        <v>18</v>
      </c>
      <c r="B315" t="s">
        <v>1468</v>
      </c>
      <c r="C315" t="s">
        <v>19</v>
      </c>
      <c r="F315" t="s">
        <v>34</v>
      </c>
      <c r="J315" t="s">
        <v>1469</v>
      </c>
      <c r="N315" t="s">
        <v>22</v>
      </c>
      <c r="O315" t="s">
        <v>23</v>
      </c>
    </row>
    <row r="316" spans="1:15" x14ac:dyDescent="0.25">
      <c r="A316" t="s">
        <v>18</v>
      </c>
      <c r="B316" t="s">
        <v>264</v>
      </c>
      <c r="C316" t="s">
        <v>19</v>
      </c>
      <c r="F316" t="s">
        <v>265</v>
      </c>
      <c r="N316" t="s">
        <v>22</v>
      </c>
      <c r="O316" t="s">
        <v>22</v>
      </c>
    </row>
    <row r="317" spans="1:15" x14ac:dyDescent="0.25">
      <c r="A317" t="s">
        <v>18</v>
      </c>
      <c r="B317" t="s">
        <v>1453</v>
      </c>
      <c r="C317" t="s">
        <v>19</v>
      </c>
      <c r="F317" t="s">
        <v>1454</v>
      </c>
      <c r="N317" t="s">
        <v>22</v>
      </c>
      <c r="O317" t="s">
        <v>22</v>
      </c>
    </row>
    <row r="318" spans="1:15" x14ac:dyDescent="0.25">
      <c r="A318" t="s">
        <v>18</v>
      </c>
      <c r="B318" t="s">
        <v>676</v>
      </c>
      <c r="C318" t="s">
        <v>19</v>
      </c>
      <c r="J318" t="s">
        <v>677</v>
      </c>
      <c r="L318" t="s">
        <v>659</v>
      </c>
      <c r="N318" t="s">
        <v>22</v>
      </c>
      <c r="O318" t="s">
        <v>22</v>
      </c>
    </row>
    <row r="319" spans="1:15" x14ac:dyDescent="0.25">
      <c r="A319" t="s">
        <v>18</v>
      </c>
      <c r="B319" t="s">
        <v>660</v>
      </c>
      <c r="C319" t="s">
        <v>19</v>
      </c>
      <c r="J319" t="s">
        <v>661</v>
      </c>
      <c r="L319" t="s">
        <v>659</v>
      </c>
      <c r="N319" t="s">
        <v>22</v>
      </c>
      <c r="O319" t="s">
        <v>22</v>
      </c>
    </row>
    <row r="320" spans="1:15" x14ac:dyDescent="0.25">
      <c r="A320" t="s">
        <v>18</v>
      </c>
      <c r="B320" t="s">
        <v>662</v>
      </c>
      <c r="C320" t="s">
        <v>19</v>
      </c>
      <c r="F320" t="s">
        <v>663</v>
      </c>
      <c r="N320" t="s">
        <v>22</v>
      </c>
      <c r="O320" t="s">
        <v>23</v>
      </c>
    </row>
    <row r="321" spans="1:18" x14ac:dyDescent="0.25">
      <c r="A321" t="s">
        <v>18</v>
      </c>
      <c r="B321" t="s">
        <v>664</v>
      </c>
      <c r="C321" t="s">
        <v>19</v>
      </c>
      <c r="F321" t="s">
        <v>665</v>
      </c>
      <c r="N321" t="s">
        <v>22</v>
      </c>
      <c r="O321" t="s">
        <v>23</v>
      </c>
    </row>
    <row r="322" spans="1:18" x14ac:dyDescent="0.25">
      <c r="A322" t="s">
        <v>18</v>
      </c>
      <c r="B322" t="s">
        <v>666</v>
      </c>
      <c r="C322" t="s">
        <v>19</v>
      </c>
      <c r="F322" t="s">
        <v>667</v>
      </c>
      <c r="N322" t="s">
        <v>22</v>
      </c>
      <c r="O322" t="s">
        <v>23</v>
      </c>
    </row>
    <row r="323" spans="1:18" x14ac:dyDescent="0.25">
      <c r="A323" t="s">
        <v>18</v>
      </c>
      <c r="B323" t="s">
        <v>687</v>
      </c>
      <c r="C323" t="s">
        <v>19</v>
      </c>
      <c r="F323" t="s">
        <v>688</v>
      </c>
      <c r="N323" t="s">
        <v>22</v>
      </c>
      <c r="O323" t="s">
        <v>23</v>
      </c>
    </row>
    <row r="324" spans="1:18" x14ac:dyDescent="0.25">
      <c r="A324" t="s">
        <v>18</v>
      </c>
      <c r="B324" t="s">
        <v>670</v>
      </c>
      <c r="C324" t="s">
        <v>19</v>
      </c>
      <c r="H324" t="s">
        <v>671</v>
      </c>
      <c r="L324" t="s">
        <v>659</v>
      </c>
      <c r="N324" t="s">
        <v>22</v>
      </c>
      <c r="O324" t="s">
        <v>22</v>
      </c>
    </row>
    <row r="325" spans="1:18" x14ac:dyDescent="0.25">
      <c r="A325" t="s">
        <v>18</v>
      </c>
      <c r="B325" t="s">
        <v>757</v>
      </c>
      <c r="C325" t="s">
        <v>19</v>
      </c>
      <c r="J325" t="s">
        <v>758</v>
      </c>
      <c r="N325" t="s">
        <v>22</v>
      </c>
      <c r="O325" t="s">
        <v>22</v>
      </c>
    </row>
    <row r="326" spans="1:18" x14ac:dyDescent="0.25">
      <c r="A326" t="s">
        <v>18</v>
      </c>
      <c r="B326" t="s">
        <v>674</v>
      </c>
      <c r="C326" t="s">
        <v>19</v>
      </c>
      <c r="F326" t="s">
        <v>675</v>
      </c>
      <c r="N326" t="s">
        <v>22</v>
      </c>
      <c r="O326" t="s">
        <v>23</v>
      </c>
    </row>
    <row r="327" spans="1:18" x14ac:dyDescent="0.25">
      <c r="A327" t="s">
        <v>18</v>
      </c>
      <c r="B327" t="s">
        <v>700</v>
      </c>
      <c r="C327" t="s">
        <v>19</v>
      </c>
      <c r="F327" t="s">
        <v>701</v>
      </c>
      <c r="N327" t="s">
        <v>22</v>
      </c>
      <c r="O327" t="s">
        <v>23</v>
      </c>
    </row>
    <row r="328" spans="1:18" x14ac:dyDescent="0.25">
      <c r="A328" t="s">
        <v>18</v>
      </c>
      <c r="B328" t="s">
        <v>678</v>
      </c>
      <c r="C328" t="s">
        <v>19</v>
      </c>
      <c r="D328" t="s">
        <v>679</v>
      </c>
      <c r="F328" t="s">
        <v>37</v>
      </c>
      <c r="N328" t="s">
        <v>22</v>
      </c>
      <c r="O328" t="s">
        <v>23</v>
      </c>
    </row>
    <row r="329" spans="1:18" x14ac:dyDescent="0.25">
      <c r="A329" t="s">
        <v>18</v>
      </c>
      <c r="B329" t="s">
        <v>680</v>
      </c>
      <c r="C329" t="s">
        <v>19</v>
      </c>
      <c r="F329" t="s">
        <v>681</v>
      </c>
      <c r="G329" t="s">
        <v>2558</v>
      </c>
      <c r="L329" t="s">
        <v>659</v>
      </c>
      <c r="N329" t="s">
        <v>22</v>
      </c>
      <c r="O329" t="s">
        <v>22</v>
      </c>
      <c r="P329" t="s">
        <v>2601</v>
      </c>
      <c r="Q329" t="s">
        <v>22</v>
      </c>
      <c r="R329" t="s">
        <v>23</v>
      </c>
    </row>
    <row r="330" spans="1:18" x14ac:dyDescent="0.25">
      <c r="A330" t="s">
        <v>18</v>
      </c>
      <c r="B330" t="s">
        <v>682</v>
      </c>
      <c r="C330" t="s">
        <v>19</v>
      </c>
      <c r="F330" t="s">
        <v>683</v>
      </c>
      <c r="J330" t="s">
        <v>684</v>
      </c>
      <c r="N330" t="s">
        <v>22</v>
      </c>
      <c r="O330" t="s">
        <v>22</v>
      </c>
    </row>
    <row r="331" spans="1:18" x14ac:dyDescent="0.25">
      <c r="A331" t="s">
        <v>18</v>
      </c>
      <c r="B331" t="s">
        <v>685</v>
      </c>
      <c r="C331" t="s">
        <v>19</v>
      </c>
      <c r="D331" t="s">
        <v>686</v>
      </c>
      <c r="F331" t="s">
        <v>37</v>
      </c>
      <c r="N331" t="s">
        <v>22</v>
      </c>
      <c r="O331" t="s">
        <v>23</v>
      </c>
      <c r="Q331" t="s">
        <v>22</v>
      </c>
      <c r="R331" t="s">
        <v>23</v>
      </c>
    </row>
    <row r="332" spans="1:18" x14ac:dyDescent="0.25">
      <c r="A332" t="s">
        <v>18</v>
      </c>
      <c r="B332" t="s">
        <v>721</v>
      </c>
      <c r="C332" t="s">
        <v>19</v>
      </c>
      <c r="D332" t="s">
        <v>722</v>
      </c>
      <c r="F332" t="s">
        <v>37</v>
      </c>
      <c r="N332" t="s">
        <v>22</v>
      </c>
      <c r="O332" t="s">
        <v>23</v>
      </c>
    </row>
    <row r="333" spans="1:18" x14ac:dyDescent="0.25">
      <c r="A333" t="s">
        <v>18</v>
      </c>
      <c r="B333" t="s">
        <v>770</v>
      </c>
      <c r="C333" t="s">
        <v>19</v>
      </c>
      <c r="L333" t="s">
        <v>771</v>
      </c>
      <c r="N333" t="s">
        <v>22</v>
      </c>
      <c r="O333" t="s">
        <v>22</v>
      </c>
    </row>
    <row r="334" spans="1:18" x14ac:dyDescent="0.25">
      <c r="A334" t="s">
        <v>18</v>
      </c>
      <c r="B334" t="s">
        <v>691</v>
      </c>
      <c r="C334" t="s">
        <v>19</v>
      </c>
      <c r="D334" t="s">
        <v>690</v>
      </c>
      <c r="F334" t="s">
        <v>27</v>
      </c>
      <c r="N334" t="s">
        <v>22</v>
      </c>
      <c r="O334" t="s">
        <v>23</v>
      </c>
    </row>
    <row r="335" spans="1:18" x14ac:dyDescent="0.25">
      <c r="A335" t="s">
        <v>18</v>
      </c>
      <c r="B335" t="s">
        <v>653</v>
      </c>
      <c r="C335" t="s">
        <v>19</v>
      </c>
      <c r="F335" t="s">
        <v>654</v>
      </c>
      <c r="N335" t="s">
        <v>22</v>
      </c>
      <c r="O335" t="s">
        <v>22</v>
      </c>
    </row>
    <row r="336" spans="1:18" x14ac:dyDescent="0.25">
      <c r="A336" t="s">
        <v>18</v>
      </c>
      <c r="B336" t="s">
        <v>706</v>
      </c>
      <c r="C336" t="s">
        <v>19</v>
      </c>
      <c r="D336" t="s">
        <v>690</v>
      </c>
      <c r="F336" t="s">
        <v>34</v>
      </c>
      <c r="N336" t="s">
        <v>22</v>
      </c>
      <c r="O336" t="s">
        <v>23</v>
      </c>
    </row>
    <row r="337" spans="1:16" x14ac:dyDescent="0.25">
      <c r="A337" t="s">
        <v>18</v>
      </c>
      <c r="B337" t="s">
        <v>543</v>
      </c>
      <c r="C337" t="s">
        <v>19</v>
      </c>
      <c r="F337" t="s">
        <v>544</v>
      </c>
      <c r="N337" t="s">
        <v>22</v>
      </c>
      <c r="O337" t="s">
        <v>22</v>
      </c>
    </row>
    <row r="338" spans="1:16" x14ac:dyDescent="0.25">
      <c r="A338" t="s">
        <v>18</v>
      </c>
      <c r="B338" t="s">
        <v>693</v>
      </c>
      <c r="C338" t="s">
        <v>19</v>
      </c>
      <c r="D338" t="s">
        <v>690</v>
      </c>
      <c r="F338" t="s">
        <v>694</v>
      </c>
      <c r="N338" t="s">
        <v>22</v>
      </c>
      <c r="O338" t="s">
        <v>23</v>
      </c>
    </row>
    <row r="339" spans="1:16" x14ac:dyDescent="0.25">
      <c r="A339" t="s">
        <v>18</v>
      </c>
      <c r="B339" t="s">
        <v>695</v>
      </c>
      <c r="C339" t="s">
        <v>19</v>
      </c>
      <c r="D339" t="s">
        <v>690</v>
      </c>
      <c r="F339" t="s">
        <v>696</v>
      </c>
      <c r="N339" t="s">
        <v>22</v>
      </c>
      <c r="O339" t="s">
        <v>23</v>
      </c>
    </row>
    <row r="340" spans="1:16" x14ac:dyDescent="0.25">
      <c r="A340" t="s">
        <v>18</v>
      </c>
      <c r="B340" t="s">
        <v>697</v>
      </c>
      <c r="C340" t="s">
        <v>19</v>
      </c>
      <c r="D340" t="s">
        <v>690</v>
      </c>
      <c r="F340" t="s">
        <v>698</v>
      </c>
      <c r="N340" t="s">
        <v>22</v>
      </c>
      <c r="O340" t="s">
        <v>23</v>
      </c>
    </row>
    <row r="341" spans="1:16" x14ac:dyDescent="0.25">
      <c r="A341" t="s">
        <v>18</v>
      </c>
      <c r="B341" t="s">
        <v>699</v>
      </c>
      <c r="C341" t="s">
        <v>19</v>
      </c>
      <c r="D341" t="s">
        <v>690</v>
      </c>
      <c r="F341" t="s">
        <v>62</v>
      </c>
      <c r="N341" t="s">
        <v>22</v>
      </c>
      <c r="O341" t="s">
        <v>23</v>
      </c>
    </row>
    <row r="342" spans="1:16" x14ac:dyDescent="0.25">
      <c r="A342" t="s">
        <v>18</v>
      </c>
      <c r="B342" t="s">
        <v>718</v>
      </c>
      <c r="C342" t="s">
        <v>19</v>
      </c>
      <c r="D342" t="s">
        <v>690</v>
      </c>
      <c r="F342" t="s">
        <v>32</v>
      </c>
      <c r="N342" t="s">
        <v>22</v>
      </c>
      <c r="O342" t="s">
        <v>23</v>
      </c>
    </row>
    <row r="343" spans="1:16" x14ac:dyDescent="0.25">
      <c r="A343" t="s">
        <v>18</v>
      </c>
      <c r="B343" t="s">
        <v>702</v>
      </c>
      <c r="C343" t="s">
        <v>19</v>
      </c>
      <c r="D343" t="s">
        <v>690</v>
      </c>
      <c r="F343" t="s">
        <v>29</v>
      </c>
      <c r="N343" t="s">
        <v>22</v>
      </c>
      <c r="O343" t="s">
        <v>23</v>
      </c>
    </row>
    <row r="344" spans="1:16" x14ac:dyDescent="0.25">
      <c r="A344" t="s">
        <v>18</v>
      </c>
      <c r="B344" t="s">
        <v>657</v>
      </c>
      <c r="C344" t="s">
        <v>19</v>
      </c>
      <c r="H344" t="s">
        <v>658</v>
      </c>
      <c r="L344" t="s">
        <v>659</v>
      </c>
      <c r="N344" t="s">
        <v>22</v>
      </c>
      <c r="O344" t="s">
        <v>23</v>
      </c>
    </row>
    <row r="345" spans="1:16" x14ac:dyDescent="0.25">
      <c r="A345" t="s">
        <v>18</v>
      </c>
      <c r="B345" t="s">
        <v>705</v>
      </c>
      <c r="C345" t="s">
        <v>19</v>
      </c>
      <c r="D345" t="s">
        <v>690</v>
      </c>
      <c r="F345" t="s">
        <v>33</v>
      </c>
      <c r="N345" t="s">
        <v>22</v>
      </c>
      <c r="O345" t="s">
        <v>23</v>
      </c>
    </row>
    <row r="346" spans="1:16" x14ac:dyDescent="0.25">
      <c r="A346" t="s">
        <v>18</v>
      </c>
      <c r="B346" t="s">
        <v>655</v>
      </c>
      <c r="C346" t="s">
        <v>19</v>
      </c>
      <c r="F346" t="s">
        <v>656</v>
      </c>
      <c r="N346" t="s">
        <v>22</v>
      </c>
      <c r="O346" t="s">
        <v>23</v>
      </c>
    </row>
    <row r="347" spans="1:16" x14ac:dyDescent="0.25">
      <c r="A347" t="s">
        <v>18</v>
      </c>
      <c r="B347" t="s">
        <v>707</v>
      </c>
      <c r="C347" t="s">
        <v>19</v>
      </c>
      <c r="F347" t="s">
        <v>708</v>
      </c>
      <c r="N347" t="s">
        <v>22</v>
      </c>
      <c r="O347" t="s">
        <v>23</v>
      </c>
      <c r="P347" t="s">
        <v>2602</v>
      </c>
    </row>
    <row r="348" spans="1:16" x14ac:dyDescent="0.25">
      <c r="A348" t="s">
        <v>18</v>
      </c>
      <c r="B348" t="s">
        <v>709</v>
      </c>
      <c r="C348" t="s">
        <v>19</v>
      </c>
      <c r="F348" t="s">
        <v>710</v>
      </c>
      <c r="N348" t="s">
        <v>22</v>
      </c>
      <c r="O348" t="s">
        <v>23</v>
      </c>
    </row>
    <row r="349" spans="1:16" x14ac:dyDescent="0.25">
      <c r="A349" t="s">
        <v>18</v>
      </c>
      <c r="B349" t="s">
        <v>711</v>
      </c>
      <c r="C349" t="s">
        <v>19</v>
      </c>
      <c r="F349" t="s">
        <v>712</v>
      </c>
      <c r="L349" t="s">
        <v>659</v>
      </c>
      <c r="N349" t="s">
        <v>22</v>
      </c>
      <c r="O349" t="s">
        <v>22</v>
      </c>
    </row>
    <row r="350" spans="1:16" x14ac:dyDescent="0.25">
      <c r="A350" t="s">
        <v>18</v>
      </c>
      <c r="B350" t="s">
        <v>713</v>
      </c>
      <c r="C350" t="s">
        <v>19</v>
      </c>
      <c r="D350" t="s">
        <v>714</v>
      </c>
      <c r="F350" t="s">
        <v>37</v>
      </c>
      <c r="N350" t="s">
        <v>22</v>
      </c>
      <c r="O350" t="s">
        <v>23</v>
      </c>
    </row>
    <row r="351" spans="1:16" x14ac:dyDescent="0.25">
      <c r="A351" t="s">
        <v>18</v>
      </c>
      <c r="B351" t="s">
        <v>672</v>
      </c>
      <c r="C351" t="s">
        <v>19</v>
      </c>
      <c r="F351" t="s">
        <v>673</v>
      </c>
      <c r="N351" t="s">
        <v>22</v>
      </c>
      <c r="O351" t="s">
        <v>23</v>
      </c>
    </row>
    <row r="352" spans="1:16" x14ac:dyDescent="0.25">
      <c r="A352" t="s">
        <v>18</v>
      </c>
      <c r="B352" t="s">
        <v>703</v>
      </c>
      <c r="C352" t="s">
        <v>19</v>
      </c>
      <c r="F352" t="s">
        <v>704</v>
      </c>
      <c r="N352" t="s">
        <v>22</v>
      </c>
      <c r="O352" t="s">
        <v>23</v>
      </c>
    </row>
    <row r="353" spans="1:16" x14ac:dyDescent="0.25">
      <c r="A353" t="s">
        <v>18</v>
      </c>
      <c r="B353" t="s">
        <v>759</v>
      </c>
      <c r="C353" t="s">
        <v>19</v>
      </c>
      <c r="H353" t="s">
        <v>95</v>
      </c>
      <c r="N353" t="s">
        <v>22</v>
      </c>
      <c r="O353" t="s">
        <v>23</v>
      </c>
      <c r="P353" t="s">
        <v>2603</v>
      </c>
    </row>
    <row r="354" spans="1:16" x14ac:dyDescent="0.25">
      <c r="A354" t="s">
        <v>18</v>
      </c>
      <c r="B354" t="s">
        <v>689</v>
      </c>
      <c r="C354" t="s">
        <v>19</v>
      </c>
      <c r="D354" t="s">
        <v>690</v>
      </c>
      <c r="F354" t="s">
        <v>30</v>
      </c>
      <c r="N354" t="s">
        <v>22</v>
      </c>
      <c r="O354" t="s">
        <v>23</v>
      </c>
    </row>
    <row r="355" spans="1:16" x14ac:dyDescent="0.25">
      <c r="A355" t="s">
        <v>18</v>
      </c>
      <c r="B355" t="s">
        <v>740</v>
      </c>
      <c r="C355" t="s">
        <v>19</v>
      </c>
      <c r="F355" t="s">
        <v>741</v>
      </c>
      <c r="N355" t="s">
        <v>22</v>
      </c>
      <c r="O355" t="s">
        <v>22</v>
      </c>
    </row>
    <row r="356" spans="1:16" x14ac:dyDescent="0.25">
      <c r="A356" t="s">
        <v>18</v>
      </c>
      <c r="B356" t="s">
        <v>724</v>
      </c>
      <c r="C356" t="s">
        <v>19</v>
      </c>
      <c r="F356" t="s">
        <v>725</v>
      </c>
      <c r="N356" t="s">
        <v>22</v>
      </c>
      <c r="O356" t="s">
        <v>22</v>
      </c>
    </row>
    <row r="357" spans="1:16" x14ac:dyDescent="0.25">
      <c r="A357" t="s">
        <v>18</v>
      </c>
      <c r="B357" t="s">
        <v>726</v>
      </c>
      <c r="C357" t="s">
        <v>19</v>
      </c>
      <c r="F357" t="s">
        <v>727</v>
      </c>
      <c r="N357" t="s">
        <v>22</v>
      </c>
      <c r="O357" t="s">
        <v>22</v>
      </c>
    </row>
    <row r="358" spans="1:16" x14ac:dyDescent="0.25">
      <c r="A358" t="s">
        <v>18</v>
      </c>
      <c r="B358" t="s">
        <v>728</v>
      </c>
      <c r="C358" t="s">
        <v>19</v>
      </c>
      <c r="F358" t="s">
        <v>729</v>
      </c>
      <c r="N358" t="s">
        <v>22</v>
      </c>
      <c r="O358" t="s">
        <v>22</v>
      </c>
    </row>
    <row r="359" spans="1:16" x14ac:dyDescent="0.25">
      <c r="A359" t="s">
        <v>18</v>
      </c>
      <c r="B359" t="s">
        <v>730</v>
      </c>
      <c r="C359" t="s">
        <v>19</v>
      </c>
      <c r="F359" t="s">
        <v>731</v>
      </c>
      <c r="N359" t="s">
        <v>22</v>
      </c>
      <c r="O359" t="s">
        <v>22</v>
      </c>
    </row>
    <row r="360" spans="1:16" x14ac:dyDescent="0.25">
      <c r="A360" t="s">
        <v>18</v>
      </c>
      <c r="B360" t="s">
        <v>752</v>
      </c>
      <c r="C360" t="s">
        <v>19</v>
      </c>
      <c r="D360" t="s">
        <v>25</v>
      </c>
      <c r="F360" t="s">
        <v>753</v>
      </c>
      <c r="N360" t="s">
        <v>22</v>
      </c>
      <c r="O360" t="s">
        <v>22</v>
      </c>
    </row>
    <row r="361" spans="1:16" x14ac:dyDescent="0.25">
      <c r="A361" t="s">
        <v>18</v>
      </c>
      <c r="B361" t="s">
        <v>734</v>
      </c>
      <c r="C361" t="s">
        <v>19</v>
      </c>
      <c r="F361" t="s">
        <v>735</v>
      </c>
      <c r="N361" t="s">
        <v>22</v>
      </c>
      <c r="O361" t="s">
        <v>22</v>
      </c>
    </row>
    <row r="362" spans="1:16" x14ac:dyDescent="0.25">
      <c r="A362" t="s">
        <v>18</v>
      </c>
      <c r="B362" t="s">
        <v>715</v>
      </c>
      <c r="C362" t="s">
        <v>19</v>
      </c>
      <c r="F362" t="s">
        <v>716</v>
      </c>
      <c r="L362" t="s">
        <v>717</v>
      </c>
      <c r="N362" t="s">
        <v>22</v>
      </c>
      <c r="O362" t="s">
        <v>22</v>
      </c>
    </row>
    <row r="363" spans="1:16" x14ac:dyDescent="0.25">
      <c r="A363" t="s">
        <v>18</v>
      </c>
      <c r="B363" t="s">
        <v>738</v>
      </c>
      <c r="C363" t="s">
        <v>19</v>
      </c>
      <c r="F363" t="s">
        <v>739</v>
      </c>
      <c r="N363" t="s">
        <v>22</v>
      </c>
      <c r="O363" t="s">
        <v>22</v>
      </c>
    </row>
    <row r="364" spans="1:16" x14ac:dyDescent="0.25">
      <c r="A364" t="s">
        <v>18</v>
      </c>
      <c r="B364" t="s">
        <v>766</v>
      </c>
      <c r="C364" t="s">
        <v>19</v>
      </c>
      <c r="F364" t="s">
        <v>767</v>
      </c>
      <c r="N364" t="s">
        <v>22</v>
      </c>
      <c r="O364" t="s">
        <v>22</v>
      </c>
    </row>
    <row r="365" spans="1:16" x14ac:dyDescent="0.25">
      <c r="A365" t="s">
        <v>18</v>
      </c>
      <c r="B365" t="s">
        <v>742</v>
      </c>
      <c r="C365" t="s">
        <v>19</v>
      </c>
      <c r="F365" t="s">
        <v>743</v>
      </c>
      <c r="N365" t="s">
        <v>22</v>
      </c>
      <c r="O365" t="s">
        <v>22</v>
      </c>
    </row>
    <row r="366" spans="1:16" x14ac:dyDescent="0.25">
      <c r="A366" t="s">
        <v>18</v>
      </c>
      <c r="B366" t="s">
        <v>744</v>
      </c>
      <c r="C366" t="s">
        <v>19</v>
      </c>
      <c r="F366" t="s">
        <v>745</v>
      </c>
      <c r="N366" t="s">
        <v>22</v>
      </c>
      <c r="O366" t="s">
        <v>22</v>
      </c>
    </row>
    <row r="367" spans="1:16" x14ac:dyDescent="0.25">
      <c r="A367" t="s">
        <v>18</v>
      </c>
      <c r="B367" t="s">
        <v>746</v>
      </c>
      <c r="C367" t="s">
        <v>19</v>
      </c>
      <c r="F367" t="s">
        <v>747</v>
      </c>
      <c r="N367" t="s">
        <v>22</v>
      </c>
      <c r="O367" t="s">
        <v>22</v>
      </c>
    </row>
    <row r="368" spans="1:16" x14ac:dyDescent="0.25">
      <c r="A368" t="s">
        <v>18</v>
      </c>
      <c r="B368" t="s">
        <v>748</v>
      </c>
      <c r="C368" t="s">
        <v>19</v>
      </c>
      <c r="F368" t="s">
        <v>749</v>
      </c>
      <c r="N368" t="s">
        <v>22</v>
      </c>
      <c r="O368" t="s">
        <v>22</v>
      </c>
    </row>
    <row r="369" spans="1:18" x14ac:dyDescent="0.25">
      <c r="A369" t="s">
        <v>18</v>
      </c>
      <c r="B369" t="s">
        <v>750</v>
      </c>
      <c r="C369" t="s">
        <v>19</v>
      </c>
      <c r="F369" t="s">
        <v>751</v>
      </c>
      <c r="N369" t="s">
        <v>22</v>
      </c>
      <c r="O369" t="s">
        <v>22</v>
      </c>
    </row>
    <row r="370" spans="1:18" x14ac:dyDescent="0.25">
      <c r="A370" t="s">
        <v>18</v>
      </c>
      <c r="B370" t="s">
        <v>955</v>
      </c>
      <c r="C370" t="s">
        <v>19</v>
      </c>
      <c r="F370" t="s">
        <v>956</v>
      </c>
      <c r="N370" t="s">
        <v>22</v>
      </c>
      <c r="O370" t="s">
        <v>22</v>
      </c>
    </row>
    <row r="371" spans="1:18" x14ac:dyDescent="0.25">
      <c r="A371" t="s">
        <v>18</v>
      </c>
      <c r="B371" t="s">
        <v>1177</v>
      </c>
      <c r="C371" t="s">
        <v>19</v>
      </c>
      <c r="F371" t="s">
        <v>1178</v>
      </c>
      <c r="N371" t="s">
        <v>22</v>
      </c>
      <c r="O371" t="s">
        <v>22</v>
      </c>
    </row>
    <row r="372" spans="1:18" x14ac:dyDescent="0.25">
      <c r="A372" t="s">
        <v>18</v>
      </c>
      <c r="B372" t="s">
        <v>719</v>
      </c>
      <c r="C372" t="s">
        <v>19</v>
      </c>
      <c r="F372" t="s">
        <v>720</v>
      </c>
      <c r="N372" t="s">
        <v>22</v>
      </c>
      <c r="O372" t="s">
        <v>22</v>
      </c>
    </row>
    <row r="373" spans="1:18" x14ac:dyDescent="0.25">
      <c r="A373" t="s">
        <v>18</v>
      </c>
      <c r="B373" t="s">
        <v>776</v>
      </c>
      <c r="C373" t="s">
        <v>19</v>
      </c>
      <c r="F373" t="s">
        <v>777</v>
      </c>
      <c r="N373" t="s">
        <v>22</v>
      </c>
      <c r="O373" t="s">
        <v>22</v>
      </c>
    </row>
    <row r="374" spans="1:18" x14ac:dyDescent="0.25">
      <c r="A374" t="s">
        <v>18</v>
      </c>
      <c r="B374" t="s">
        <v>2404</v>
      </c>
      <c r="C374" t="s">
        <v>19</v>
      </c>
      <c r="F374" t="s">
        <v>494</v>
      </c>
      <c r="N374" t="s">
        <v>22</v>
      </c>
      <c r="O374" t="s">
        <v>23</v>
      </c>
      <c r="Q374" t="s">
        <v>22</v>
      </c>
      <c r="R374" t="s">
        <v>23</v>
      </c>
    </row>
    <row r="375" spans="1:18" x14ac:dyDescent="0.25">
      <c r="A375" t="s">
        <v>18</v>
      </c>
      <c r="B375" t="s">
        <v>760</v>
      </c>
      <c r="C375" t="s">
        <v>19</v>
      </c>
      <c r="F375" t="s">
        <v>761</v>
      </c>
      <c r="N375" t="s">
        <v>22</v>
      </c>
      <c r="O375" t="s">
        <v>22</v>
      </c>
    </row>
    <row r="376" spans="1:18" x14ac:dyDescent="0.25">
      <c r="A376" t="s">
        <v>18</v>
      </c>
      <c r="B376" t="s">
        <v>762</v>
      </c>
      <c r="C376" t="s">
        <v>19</v>
      </c>
      <c r="F376" t="s">
        <v>763</v>
      </c>
      <c r="N376" t="s">
        <v>22</v>
      </c>
      <c r="O376" t="s">
        <v>22</v>
      </c>
    </row>
    <row r="377" spans="1:18" x14ac:dyDescent="0.25">
      <c r="A377" t="s">
        <v>18</v>
      </c>
      <c r="B377" t="s">
        <v>764</v>
      </c>
      <c r="C377" t="s">
        <v>19</v>
      </c>
      <c r="F377" t="s">
        <v>765</v>
      </c>
      <c r="N377" t="s">
        <v>22</v>
      </c>
      <c r="O377" t="s">
        <v>22</v>
      </c>
    </row>
    <row r="378" spans="1:18" x14ac:dyDescent="0.25">
      <c r="A378" t="s">
        <v>18</v>
      </c>
      <c r="B378" t="s">
        <v>786</v>
      </c>
      <c r="C378" t="s">
        <v>19</v>
      </c>
      <c r="F378" t="s">
        <v>787</v>
      </c>
      <c r="N378" t="s">
        <v>22</v>
      </c>
      <c r="O378" t="s">
        <v>22</v>
      </c>
    </row>
    <row r="379" spans="1:18" x14ac:dyDescent="0.25">
      <c r="A379" t="s">
        <v>18</v>
      </c>
      <c r="B379" t="s">
        <v>768</v>
      </c>
      <c r="C379" t="s">
        <v>19</v>
      </c>
      <c r="F379" t="s">
        <v>769</v>
      </c>
      <c r="N379" t="s">
        <v>22</v>
      </c>
      <c r="O379" t="s">
        <v>22</v>
      </c>
    </row>
    <row r="380" spans="1:18" x14ac:dyDescent="0.25">
      <c r="A380" t="s">
        <v>18</v>
      </c>
      <c r="B380" t="s">
        <v>754</v>
      </c>
      <c r="C380" t="s">
        <v>19</v>
      </c>
      <c r="F380" t="s">
        <v>755</v>
      </c>
      <c r="N380" t="s">
        <v>22</v>
      </c>
      <c r="O380" t="s">
        <v>22</v>
      </c>
    </row>
    <row r="381" spans="1:18" x14ac:dyDescent="0.25">
      <c r="A381" t="s">
        <v>18</v>
      </c>
      <c r="B381" t="s">
        <v>723</v>
      </c>
      <c r="C381" t="s">
        <v>19</v>
      </c>
      <c r="F381" t="s">
        <v>2407</v>
      </c>
      <c r="N381" t="s">
        <v>22</v>
      </c>
      <c r="O381" t="s">
        <v>22</v>
      </c>
      <c r="P381" t="s">
        <v>2604</v>
      </c>
      <c r="Q381" t="s">
        <v>22</v>
      </c>
      <c r="R381" t="s">
        <v>23</v>
      </c>
    </row>
    <row r="382" spans="1:18" x14ac:dyDescent="0.25">
      <c r="A382" t="s">
        <v>18</v>
      </c>
      <c r="B382" t="s">
        <v>774</v>
      </c>
      <c r="C382" t="s">
        <v>19</v>
      </c>
      <c r="F382" t="s">
        <v>775</v>
      </c>
      <c r="N382" t="s">
        <v>22</v>
      </c>
      <c r="O382" t="s">
        <v>22</v>
      </c>
    </row>
    <row r="383" spans="1:18" x14ac:dyDescent="0.25">
      <c r="A383" t="s">
        <v>18</v>
      </c>
      <c r="B383" t="s">
        <v>2405</v>
      </c>
      <c r="C383" t="s">
        <v>19</v>
      </c>
      <c r="F383" t="s">
        <v>2406</v>
      </c>
      <c r="N383" t="s">
        <v>22</v>
      </c>
      <c r="O383" t="s">
        <v>23</v>
      </c>
      <c r="Q383" t="s">
        <v>22</v>
      </c>
      <c r="R383" t="s">
        <v>23</v>
      </c>
    </row>
    <row r="384" spans="1:18" x14ac:dyDescent="0.25">
      <c r="A384" t="s">
        <v>18</v>
      </c>
      <c r="B384" t="s">
        <v>778</v>
      </c>
      <c r="C384" t="s">
        <v>19</v>
      </c>
      <c r="F384" t="s">
        <v>779</v>
      </c>
      <c r="N384" t="s">
        <v>22</v>
      </c>
      <c r="O384" t="s">
        <v>22</v>
      </c>
    </row>
    <row r="385" spans="1:18" x14ac:dyDescent="0.25">
      <c r="A385" t="s">
        <v>18</v>
      </c>
      <c r="B385" t="s">
        <v>780</v>
      </c>
      <c r="C385" t="s">
        <v>19</v>
      </c>
      <c r="F385" t="s">
        <v>781</v>
      </c>
      <c r="N385" t="s">
        <v>22</v>
      </c>
      <c r="O385" t="s">
        <v>22</v>
      </c>
    </row>
    <row r="386" spans="1:18" x14ac:dyDescent="0.25">
      <c r="A386" t="s">
        <v>18</v>
      </c>
      <c r="B386" t="s">
        <v>782</v>
      </c>
      <c r="C386" t="s">
        <v>19</v>
      </c>
      <c r="F386" t="s">
        <v>783</v>
      </c>
      <c r="N386" t="s">
        <v>22</v>
      </c>
      <c r="O386" t="s">
        <v>22</v>
      </c>
    </row>
    <row r="387" spans="1:18" x14ac:dyDescent="0.25">
      <c r="A387" t="s">
        <v>18</v>
      </c>
      <c r="B387" t="s">
        <v>784</v>
      </c>
      <c r="C387" t="s">
        <v>19</v>
      </c>
      <c r="F387" t="s">
        <v>785</v>
      </c>
      <c r="N387" t="s">
        <v>22</v>
      </c>
      <c r="O387" t="s">
        <v>22</v>
      </c>
    </row>
    <row r="388" spans="1:18" x14ac:dyDescent="0.25">
      <c r="A388" t="s">
        <v>18</v>
      </c>
      <c r="B388" t="s">
        <v>736</v>
      </c>
      <c r="C388" t="s">
        <v>19</v>
      </c>
      <c r="F388" t="s">
        <v>737</v>
      </c>
      <c r="N388" t="s">
        <v>22</v>
      </c>
      <c r="O388" t="s">
        <v>22</v>
      </c>
    </row>
    <row r="389" spans="1:18" x14ac:dyDescent="0.25">
      <c r="A389" t="s">
        <v>18</v>
      </c>
      <c r="B389" t="s">
        <v>732</v>
      </c>
      <c r="C389" t="s">
        <v>19</v>
      </c>
      <c r="F389" t="s">
        <v>733</v>
      </c>
      <c r="G389" t="s">
        <v>2559</v>
      </c>
      <c r="N389" t="s">
        <v>22</v>
      </c>
      <c r="O389" t="s">
        <v>22</v>
      </c>
    </row>
    <row r="390" spans="1:18" x14ac:dyDescent="0.25">
      <c r="A390" t="s">
        <v>18</v>
      </c>
      <c r="B390" t="s">
        <v>821</v>
      </c>
      <c r="C390" t="s">
        <v>19</v>
      </c>
      <c r="D390" t="s">
        <v>690</v>
      </c>
      <c r="F390" t="s">
        <v>30</v>
      </c>
      <c r="N390" t="s">
        <v>22</v>
      </c>
      <c r="O390" t="s">
        <v>23</v>
      </c>
    </row>
    <row r="391" spans="1:18" x14ac:dyDescent="0.25">
      <c r="A391" t="s">
        <v>18</v>
      </c>
      <c r="B391" t="s">
        <v>772</v>
      </c>
      <c r="C391" t="s">
        <v>19</v>
      </c>
      <c r="F391" t="s">
        <v>773</v>
      </c>
      <c r="N391" t="s">
        <v>22</v>
      </c>
      <c r="O391" t="s">
        <v>22</v>
      </c>
    </row>
    <row r="392" spans="1:18" x14ac:dyDescent="0.25">
      <c r="A392" t="s">
        <v>18</v>
      </c>
      <c r="B392" t="s">
        <v>788</v>
      </c>
      <c r="C392" t="s">
        <v>19</v>
      </c>
      <c r="F392" t="s">
        <v>789</v>
      </c>
      <c r="N392" t="s">
        <v>22</v>
      </c>
      <c r="O392" t="s">
        <v>23</v>
      </c>
      <c r="Q392" t="s">
        <v>22</v>
      </c>
      <c r="R392" t="s">
        <v>23</v>
      </c>
    </row>
    <row r="393" spans="1:18" x14ac:dyDescent="0.25">
      <c r="A393" t="s">
        <v>18</v>
      </c>
      <c r="B393" t="s">
        <v>792</v>
      </c>
      <c r="C393" t="s">
        <v>19</v>
      </c>
      <c r="F393" t="s">
        <v>793</v>
      </c>
      <c r="N393" t="s">
        <v>22</v>
      </c>
      <c r="O393" t="s">
        <v>22</v>
      </c>
    </row>
    <row r="394" spans="1:18" x14ac:dyDescent="0.25">
      <c r="A394" t="s">
        <v>18</v>
      </c>
      <c r="B394" t="s">
        <v>794</v>
      </c>
      <c r="C394" t="s">
        <v>19</v>
      </c>
      <c r="F394" t="s">
        <v>795</v>
      </c>
      <c r="H394" t="s">
        <v>796</v>
      </c>
      <c r="N394" t="s">
        <v>22</v>
      </c>
      <c r="O394" t="s">
        <v>22</v>
      </c>
    </row>
    <row r="395" spans="1:18" x14ac:dyDescent="0.25">
      <c r="A395" t="s">
        <v>18</v>
      </c>
      <c r="B395" t="s">
        <v>797</v>
      </c>
      <c r="C395" t="s">
        <v>19</v>
      </c>
      <c r="F395" t="s">
        <v>798</v>
      </c>
      <c r="N395" t="s">
        <v>22</v>
      </c>
      <c r="O395" t="s">
        <v>22</v>
      </c>
    </row>
    <row r="396" spans="1:18" x14ac:dyDescent="0.25">
      <c r="A396" t="s">
        <v>18</v>
      </c>
      <c r="B396" t="s">
        <v>799</v>
      </c>
      <c r="C396" t="s">
        <v>19</v>
      </c>
      <c r="F396" t="s">
        <v>800</v>
      </c>
      <c r="N396" t="s">
        <v>22</v>
      </c>
      <c r="O396" t="s">
        <v>22</v>
      </c>
    </row>
    <row r="397" spans="1:18" x14ac:dyDescent="0.25">
      <c r="A397" t="s">
        <v>18</v>
      </c>
      <c r="B397" t="s">
        <v>801</v>
      </c>
      <c r="C397" t="s">
        <v>19</v>
      </c>
      <c r="F397" t="s">
        <v>29</v>
      </c>
      <c r="H397" t="s">
        <v>802</v>
      </c>
      <c r="N397" t="s">
        <v>23</v>
      </c>
      <c r="O397" t="s">
        <v>23</v>
      </c>
    </row>
    <row r="398" spans="1:18" x14ac:dyDescent="0.25">
      <c r="A398" t="s">
        <v>18</v>
      </c>
      <c r="B398" t="s">
        <v>2401</v>
      </c>
      <c r="C398" t="s">
        <v>19</v>
      </c>
      <c r="H398" t="s">
        <v>2402</v>
      </c>
      <c r="I398" t="s">
        <v>2403</v>
      </c>
      <c r="N398" t="s">
        <v>22</v>
      </c>
      <c r="O398" t="s">
        <v>23</v>
      </c>
      <c r="Q398" t="s">
        <v>22</v>
      </c>
      <c r="R398" t="s">
        <v>22</v>
      </c>
    </row>
    <row r="399" spans="1:18" x14ac:dyDescent="0.25">
      <c r="A399" t="s">
        <v>18</v>
      </c>
      <c r="B399" t="s">
        <v>790</v>
      </c>
      <c r="C399" t="s">
        <v>19</v>
      </c>
      <c r="F399" t="s">
        <v>791</v>
      </c>
      <c r="N399" t="s">
        <v>22</v>
      </c>
      <c r="O399" t="s">
        <v>22</v>
      </c>
    </row>
    <row r="400" spans="1:18" x14ac:dyDescent="0.25">
      <c r="A400" t="s">
        <v>18</v>
      </c>
      <c r="B400" t="s">
        <v>805</v>
      </c>
      <c r="C400" t="s">
        <v>19</v>
      </c>
      <c r="H400" t="s">
        <v>806</v>
      </c>
      <c r="N400" t="s">
        <v>22</v>
      </c>
      <c r="O400" t="s">
        <v>23</v>
      </c>
    </row>
    <row r="401" spans="1:16" x14ac:dyDescent="0.25">
      <c r="A401" t="s">
        <v>18</v>
      </c>
      <c r="B401" t="s">
        <v>807</v>
      </c>
      <c r="C401" t="s">
        <v>19</v>
      </c>
      <c r="F401" t="s">
        <v>808</v>
      </c>
      <c r="N401" t="s">
        <v>22</v>
      </c>
      <c r="O401" t="s">
        <v>22</v>
      </c>
    </row>
    <row r="402" spans="1:16" x14ac:dyDescent="0.25">
      <c r="A402" t="s">
        <v>18</v>
      </c>
      <c r="B402" t="s">
        <v>809</v>
      </c>
      <c r="C402" t="s">
        <v>19</v>
      </c>
      <c r="F402" t="s">
        <v>810</v>
      </c>
      <c r="N402" t="s">
        <v>22</v>
      </c>
      <c r="O402" t="s">
        <v>22</v>
      </c>
    </row>
    <row r="403" spans="1:16" x14ac:dyDescent="0.25">
      <c r="A403" t="s">
        <v>18</v>
      </c>
      <c r="B403" t="s">
        <v>811</v>
      </c>
      <c r="C403" t="s">
        <v>19</v>
      </c>
      <c r="F403" t="s">
        <v>812</v>
      </c>
      <c r="N403" t="s">
        <v>22</v>
      </c>
      <c r="O403" t="s">
        <v>22</v>
      </c>
    </row>
    <row r="404" spans="1:16" x14ac:dyDescent="0.25">
      <c r="A404" t="s">
        <v>18</v>
      </c>
      <c r="B404" t="s">
        <v>813</v>
      </c>
      <c r="C404" t="s">
        <v>19</v>
      </c>
      <c r="F404" t="s">
        <v>814</v>
      </c>
      <c r="N404" t="s">
        <v>22</v>
      </c>
      <c r="O404" t="s">
        <v>22</v>
      </c>
    </row>
    <row r="405" spans="1:16" x14ac:dyDescent="0.25">
      <c r="A405" t="s">
        <v>18</v>
      </c>
      <c r="B405" t="s">
        <v>815</v>
      </c>
      <c r="C405" t="s">
        <v>19</v>
      </c>
      <c r="F405" t="s">
        <v>816</v>
      </c>
      <c r="N405" t="s">
        <v>22</v>
      </c>
      <c r="O405" t="s">
        <v>22</v>
      </c>
    </row>
    <row r="406" spans="1:16" x14ac:dyDescent="0.25">
      <c r="A406" t="s">
        <v>18</v>
      </c>
      <c r="B406" t="s">
        <v>817</v>
      </c>
      <c r="C406" t="s">
        <v>19</v>
      </c>
      <c r="F406" t="s">
        <v>818</v>
      </c>
      <c r="N406" t="s">
        <v>22</v>
      </c>
      <c r="O406" t="s">
        <v>22</v>
      </c>
    </row>
    <row r="407" spans="1:16" x14ac:dyDescent="0.25">
      <c r="A407" t="s">
        <v>18</v>
      </c>
      <c r="B407" t="s">
        <v>819</v>
      </c>
      <c r="C407" t="s">
        <v>19</v>
      </c>
      <c r="F407" t="s">
        <v>820</v>
      </c>
      <c r="N407" t="s">
        <v>22</v>
      </c>
      <c r="O407" t="s">
        <v>22</v>
      </c>
    </row>
    <row r="408" spans="1:16" x14ac:dyDescent="0.25">
      <c r="A408" t="s">
        <v>18</v>
      </c>
      <c r="B408" t="s">
        <v>692</v>
      </c>
      <c r="C408" t="s">
        <v>19</v>
      </c>
      <c r="D408" t="s">
        <v>690</v>
      </c>
      <c r="F408" t="s">
        <v>31</v>
      </c>
      <c r="N408" t="s">
        <v>22</v>
      </c>
      <c r="O408" t="s">
        <v>23</v>
      </c>
    </row>
    <row r="409" spans="1:16" x14ac:dyDescent="0.25">
      <c r="A409" t="s">
        <v>18</v>
      </c>
      <c r="B409" t="s">
        <v>822</v>
      </c>
      <c r="C409" t="s">
        <v>19</v>
      </c>
      <c r="F409" t="s">
        <v>823</v>
      </c>
      <c r="N409" t="s">
        <v>22</v>
      </c>
      <c r="O409" t="s">
        <v>23</v>
      </c>
    </row>
    <row r="410" spans="1:16" x14ac:dyDescent="0.25">
      <c r="A410" t="s">
        <v>18</v>
      </c>
      <c r="B410" t="s">
        <v>841</v>
      </c>
      <c r="C410" t="s">
        <v>19</v>
      </c>
      <c r="F410" t="s">
        <v>842</v>
      </c>
      <c r="N410" t="s">
        <v>22</v>
      </c>
      <c r="O410" t="s">
        <v>22</v>
      </c>
    </row>
    <row r="411" spans="1:16" x14ac:dyDescent="0.25">
      <c r="A411" t="s">
        <v>18</v>
      </c>
      <c r="B411" t="s">
        <v>826</v>
      </c>
      <c r="C411" t="s">
        <v>19</v>
      </c>
      <c r="D411" t="s">
        <v>827</v>
      </c>
      <c r="N411" t="s">
        <v>22</v>
      </c>
      <c r="O411" t="s">
        <v>22</v>
      </c>
    </row>
    <row r="412" spans="1:16" x14ac:dyDescent="0.25">
      <c r="A412" t="s">
        <v>18</v>
      </c>
      <c r="B412" t="s">
        <v>828</v>
      </c>
      <c r="C412" t="s">
        <v>19</v>
      </c>
      <c r="H412" t="s">
        <v>829</v>
      </c>
      <c r="N412" t="s">
        <v>22</v>
      </c>
      <c r="O412" t="s">
        <v>23</v>
      </c>
    </row>
    <row r="413" spans="1:16" x14ac:dyDescent="0.25">
      <c r="A413" t="s">
        <v>18</v>
      </c>
      <c r="B413" t="s">
        <v>830</v>
      </c>
      <c r="C413" t="s">
        <v>19</v>
      </c>
      <c r="H413" t="s">
        <v>831</v>
      </c>
      <c r="N413" t="s">
        <v>22</v>
      </c>
      <c r="O413" t="s">
        <v>23</v>
      </c>
      <c r="P413" t="s">
        <v>2605</v>
      </c>
    </row>
    <row r="414" spans="1:16" x14ac:dyDescent="0.25">
      <c r="A414" t="s">
        <v>18</v>
      </c>
      <c r="B414" t="s">
        <v>832</v>
      </c>
      <c r="C414" t="s">
        <v>19</v>
      </c>
      <c r="H414" t="s">
        <v>95</v>
      </c>
      <c r="N414" t="s">
        <v>22</v>
      </c>
      <c r="O414" t="s">
        <v>23</v>
      </c>
      <c r="P414" t="s">
        <v>2606</v>
      </c>
    </row>
    <row r="415" spans="1:16" x14ac:dyDescent="0.25">
      <c r="A415" t="s">
        <v>18</v>
      </c>
      <c r="B415" t="s">
        <v>833</v>
      </c>
      <c r="C415" t="s">
        <v>19</v>
      </c>
      <c r="F415" t="s">
        <v>834</v>
      </c>
      <c r="N415" t="s">
        <v>22</v>
      </c>
      <c r="O415" t="s">
        <v>23</v>
      </c>
    </row>
    <row r="416" spans="1:16" x14ac:dyDescent="0.25">
      <c r="A416" t="s">
        <v>18</v>
      </c>
      <c r="B416" t="s">
        <v>835</v>
      </c>
      <c r="C416" t="s">
        <v>19</v>
      </c>
      <c r="H416" t="s">
        <v>80</v>
      </c>
      <c r="N416" t="s">
        <v>22</v>
      </c>
      <c r="O416" t="s">
        <v>23</v>
      </c>
      <c r="P416" t="s">
        <v>2607</v>
      </c>
    </row>
    <row r="417" spans="1:18" x14ac:dyDescent="0.25">
      <c r="A417" t="s">
        <v>18</v>
      </c>
      <c r="B417" t="s">
        <v>854</v>
      </c>
      <c r="C417" t="s">
        <v>19</v>
      </c>
      <c r="F417" t="s">
        <v>855</v>
      </c>
      <c r="N417" t="s">
        <v>22</v>
      </c>
      <c r="O417" t="s">
        <v>22</v>
      </c>
    </row>
    <row r="418" spans="1:18" x14ac:dyDescent="0.25">
      <c r="A418" t="s">
        <v>18</v>
      </c>
      <c r="B418" t="s">
        <v>836</v>
      </c>
      <c r="C418" t="s">
        <v>19</v>
      </c>
      <c r="F418" t="s">
        <v>837</v>
      </c>
      <c r="N418" t="s">
        <v>22</v>
      </c>
      <c r="O418" t="s">
        <v>23</v>
      </c>
    </row>
    <row r="419" spans="1:18" x14ac:dyDescent="0.25">
      <c r="A419" t="s">
        <v>18</v>
      </c>
      <c r="B419" t="s">
        <v>824</v>
      </c>
      <c r="C419" t="s">
        <v>19</v>
      </c>
      <c r="F419" t="s">
        <v>825</v>
      </c>
      <c r="N419" t="s">
        <v>22</v>
      </c>
      <c r="O419" t="s">
        <v>22</v>
      </c>
    </row>
    <row r="420" spans="1:18" x14ac:dyDescent="0.25">
      <c r="A420" t="s">
        <v>18</v>
      </c>
      <c r="B420" t="s">
        <v>803</v>
      </c>
      <c r="C420" t="s">
        <v>19</v>
      </c>
      <c r="F420" t="s">
        <v>804</v>
      </c>
      <c r="N420" t="s">
        <v>22</v>
      </c>
      <c r="O420" t="s">
        <v>22</v>
      </c>
      <c r="P420" t="s">
        <v>2608</v>
      </c>
    </row>
    <row r="421" spans="1:18" x14ac:dyDescent="0.25">
      <c r="A421" t="s">
        <v>18</v>
      </c>
      <c r="B421" t="s">
        <v>843</v>
      </c>
      <c r="C421" t="s">
        <v>19</v>
      </c>
      <c r="F421" t="s">
        <v>28</v>
      </c>
      <c r="H421" t="s">
        <v>844</v>
      </c>
      <c r="N421" t="s">
        <v>22</v>
      </c>
      <c r="O421" t="s">
        <v>22</v>
      </c>
    </row>
    <row r="422" spans="1:18" x14ac:dyDescent="0.25">
      <c r="A422" t="s">
        <v>18</v>
      </c>
      <c r="B422" t="s">
        <v>845</v>
      </c>
      <c r="C422" t="s">
        <v>19</v>
      </c>
      <c r="F422" t="s">
        <v>28</v>
      </c>
      <c r="H422" t="s">
        <v>846</v>
      </c>
      <c r="N422" t="s">
        <v>22</v>
      </c>
      <c r="O422" t="s">
        <v>22</v>
      </c>
    </row>
    <row r="423" spans="1:18" x14ac:dyDescent="0.25">
      <c r="A423" t="s">
        <v>18</v>
      </c>
      <c r="B423" t="s">
        <v>847</v>
      </c>
      <c r="C423" t="s">
        <v>19</v>
      </c>
      <c r="F423" t="s">
        <v>848</v>
      </c>
      <c r="N423" t="s">
        <v>22</v>
      </c>
      <c r="O423" t="s">
        <v>23</v>
      </c>
    </row>
    <row r="424" spans="1:18" x14ac:dyDescent="0.25">
      <c r="A424" t="s">
        <v>18</v>
      </c>
      <c r="B424" t="s">
        <v>849</v>
      </c>
      <c r="C424" t="s">
        <v>19</v>
      </c>
      <c r="F424" t="s">
        <v>850</v>
      </c>
      <c r="G424" s="3"/>
      <c r="N424" t="s">
        <v>22</v>
      </c>
      <c r="O424" t="s">
        <v>22</v>
      </c>
    </row>
    <row r="425" spans="1:18" x14ac:dyDescent="0.25">
      <c r="A425" t="s">
        <v>18</v>
      </c>
      <c r="B425" t="s">
        <v>851</v>
      </c>
      <c r="C425" t="s">
        <v>19</v>
      </c>
      <c r="F425" t="s">
        <v>852</v>
      </c>
      <c r="N425" t="s">
        <v>22</v>
      </c>
      <c r="O425" t="s">
        <v>22</v>
      </c>
    </row>
    <row r="426" spans="1:18" x14ac:dyDescent="0.25">
      <c r="A426" t="s">
        <v>18</v>
      </c>
      <c r="B426" t="s">
        <v>853</v>
      </c>
      <c r="C426" t="s">
        <v>19</v>
      </c>
      <c r="F426" t="s">
        <v>795</v>
      </c>
      <c r="N426" t="s">
        <v>22</v>
      </c>
      <c r="O426" t="s">
        <v>22</v>
      </c>
    </row>
    <row r="427" spans="1:18" x14ac:dyDescent="0.25">
      <c r="A427" t="s">
        <v>18</v>
      </c>
      <c r="B427" t="s">
        <v>839</v>
      </c>
      <c r="C427" t="s">
        <v>19</v>
      </c>
      <c r="F427" t="s">
        <v>840</v>
      </c>
      <c r="N427" t="s">
        <v>22</v>
      </c>
      <c r="O427" t="s">
        <v>22</v>
      </c>
    </row>
    <row r="428" spans="1:18" x14ac:dyDescent="0.25">
      <c r="A428" t="s">
        <v>18</v>
      </c>
      <c r="B428" t="s">
        <v>838</v>
      </c>
      <c r="C428" t="s">
        <v>19</v>
      </c>
      <c r="F428" t="s">
        <v>28</v>
      </c>
      <c r="N428" t="s">
        <v>22</v>
      </c>
      <c r="O428" t="s">
        <v>22</v>
      </c>
    </row>
    <row r="429" spans="1:18" x14ac:dyDescent="0.25">
      <c r="A429" t="s">
        <v>18</v>
      </c>
      <c r="B429" t="s">
        <v>875</v>
      </c>
      <c r="C429" t="s">
        <v>19</v>
      </c>
      <c r="F429" t="s">
        <v>62</v>
      </c>
      <c r="I429" t="s">
        <v>876</v>
      </c>
      <c r="J429" t="s">
        <v>659</v>
      </c>
      <c r="N429" t="s">
        <v>22</v>
      </c>
      <c r="O429" t="s">
        <v>22</v>
      </c>
      <c r="Q429" t="s">
        <v>22</v>
      </c>
      <c r="R429" t="s">
        <v>23</v>
      </c>
    </row>
    <row r="430" spans="1:18" x14ac:dyDescent="0.25">
      <c r="A430" t="s">
        <v>18</v>
      </c>
      <c r="B430" t="s">
        <v>860</v>
      </c>
      <c r="C430" t="s">
        <v>19</v>
      </c>
      <c r="F430" t="s">
        <v>861</v>
      </c>
      <c r="N430" t="s">
        <v>22</v>
      </c>
      <c r="O430" t="s">
        <v>22</v>
      </c>
    </row>
    <row r="431" spans="1:18" x14ac:dyDescent="0.25">
      <c r="A431" t="s">
        <v>18</v>
      </c>
      <c r="B431" t="s">
        <v>862</v>
      </c>
      <c r="C431" t="s">
        <v>19</v>
      </c>
      <c r="F431" t="s">
        <v>863</v>
      </c>
      <c r="N431" t="s">
        <v>22</v>
      </c>
      <c r="O431" t="s">
        <v>22</v>
      </c>
    </row>
    <row r="432" spans="1:18" x14ac:dyDescent="0.25">
      <c r="A432" t="s">
        <v>18</v>
      </c>
      <c r="B432" t="s">
        <v>864</v>
      </c>
      <c r="C432" t="s">
        <v>19</v>
      </c>
      <c r="F432" t="s">
        <v>698</v>
      </c>
      <c r="N432" t="s">
        <v>22</v>
      </c>
      <c r="O432" t="s">
        <v>22</v>
      </c>
    </row>
    <row r="433" spans="1:15" x14ac:dyDescent="0.25">
      <c r="A433" t="s">
        <v>18</v>
      </c>
      <c r="B433" t="s">
        <v>865</v>
      </c>
      <c r="C433" t="s">
        <v>19</v>
      </c>
      <c r="F433" t="s">
        <v>698</v>
      </c>
      <c r="H433" t="s">
        <v>866</v>
      </c>
      <c r="N433" t="s">
        <v>22</v>
      </c>
      <c r="O433" t="s">
        <v>22</v>
      </c>
    </row>
    <row r="434" spans="1:15" x14ac:dyDescent="0.25">
      <c r="A434" t="s">
        <v>18</v>
      </c>
      <c r="B434" t="s">
        <v>867</v>
      </c>
      <c r="C434" t="s">
        <v>19</v>
      </c>
      <c r="F434" t="s">
        <v>698</v>
      </c>
      <c r="H434" t="s">
        <v>868</v>
      </c>
      <c r="N434" t="s">
        <v>22</v>
      </c>
      <c r="O434" t="s">
        <v>22</v>
      </c>
    </row>
    <row r="435" spans="1:15" x14ac:dyDescent="0.25">
      <c r="A435" t="s">
        <v>18</v>
      </c>
      <c r="B435" t="s">
        <v>887</v>
      </c>
      <c r="C435" t="s">
        <v>19</v>
      </c>
      <c r="F435" t="s">
        <v>62</v>
      </c>
      <c r="N435" t="s">
        <v>22</v>
      </c>
      <c r="O435" t="s">
        <v>22</v>
      </c>
    </row>
    <row r="436" spans="1:15" x14ac:dyDescent="0.25">
      <c r="A436" t="s">
        <v>18</v>
      </c>
      <c r="B436" t="s">
        <v>858</v>
      </c>
      <c r="C436" t="s">
        <v>19</v>
      </c>
      <c r="F436" t="s">
        <v>859</v>
      </c>
      <c r="N436" t="s">
        <v>22</v>
      </c>
      <c r="O436" t="s">
        <v>22</v>
      </c>
    </row>
    <row r="437" spans="1:15" x14ac:dyDescent="0.25">
      <c r="A437" t="s">
        <v>18</v>
      </c>
      <c r="B437" t="s">
        <v>856</v>
      </c>
      <c r="C437" t="s">
        <v>19</v>
      </c>
      <c r="F437" t="s">
        <v>857</v>
      </c>
      <c r="N437" t="s">
        <v>22</v>
      </c>
      <c r="O437" t="s">
        <v>22</v>
      </c>
    </row>
    <row r="438" spans="1:15" x14ac:dyDescent="0.25">
      <c r="A438" t="s">
        <v>18</v>
      </c>
      <c r="B438" t="s">
        <v>873</v>
      </c>
      <c r="C438" t="s">
        <v>19</v>
      </c>
      <c r="F438" t="s">
        <v>874</v>
      </c>
      <c r="N438" t="s">
        <v>22</v>
      </c>
      <c r="O438" t="s">
        <v>22</v>
      </c>
    </row>
    <row r="439" spans="1:15" x14ac:dyDescent="0.25">
      <c r="A439" t="s">
        <v>18</v>
      </c>
      <c r="B439" t="s">
        <v>877</v>
      </c>
      <c r="C439" t="s">
        <v>19</v>
      </c>
      <c r="F439" t="s">
        <v>878</v>
      </c>
      <c r="N439" t="s">
        <v>22</v>
      </c>
      <c r="O439" t="s">
        <v>22</v>
      </c>
    </row>
    <row r="440" spans="1:15" x14ac:dyDescent="0.25">
      <c r="A440" t="s">
        <v>18</v>
      </c>
      <c r="B440" t="s">
        <v>879</v>
      </c>
      <c r="C440" t="s">
        <v>19</v>
      </c>
      <c r="F440" t="s">
        <v>880</v>
      </c>
      <c r="N440" t="s">
        <v>22</v>
      </c>
      <c r="O440" t="s">
        <v>22</v>
      </c>
    </row>
    <row r="441" spans="1:15" x14ac:dyDescent="0.25">
      <c r="A441" t="s">
        <v>18</v>
      </c>
      <c r="B441" t="s">
        <v>881</v>
      </c>
      <c r="C441" t="s">
        <v>19</v>
      </c>
      <c r="F441" t="s">
        <v>882</v>
      </c>
      <c r="N441" t="s">
        <v>22</v>
      </c>
      <c r="O441" t="s">
        <v>22</v>
      </c>
    </row>
    <row r="442" spans="1:15" x14ac:dyDescent="0.25">
      <c r="A442" t="s">
        <v>18</v>
      </c>
      <c r="B442" t="s">
        <v>883</v>
      </c>
      <c r="C442" t="s">
        <v>19</v>
      </c>
      <c r="D442" t="s">
        <v>690</v>
      </c>
      <c r="F442" t="s">
        <v>28</v>
      </c>
      <c r="N442" t="s">
        <v>22</v>
      </c>
      <c r="O442" t="s">
        <v>23</v>
      </c>
    </row>
    <row r="443" spans="1:15" x14ac:dyDescent="0.25">
      <c r="A443" t="s">
        <v>18</v>
      </c>
      <c r="B443" t="s">
        <v>884</v>
      </c>
      <c r="C443" t="s">
        <v>19</v>
      </c>
      <c r="D443" t="s">
        <v>690</v>
      </c>
      <c r="F443" t="s">
        <v>795</v>
      </c>
      <c r="N443" t="s">
        <v>22</v>
      </c>
      <c r="O443" t="s">
        <v>23</v>
      </c>
    </row>
    <row r="444" spans="1:15" x14ac:dyDescent="0.25">
      <c r="A444" t="s">
        <v>18</v>
      </c>
      <c r="B444" t="s">
        <v>756</v>
      </c>
      <c r="C444" t="s">
        <v>19</v>
      </c>
      <c r="D444" t="s">
        <v>690</v>
      </c>
      <c r="F444" t="s">
        <v>29</v>
      </c>
      <c r="N444" t="s">
        <v>22</v>
      </c>
      <c r="O444" t="s">
        <v>23</v>
      </c>
    </row>
    <row r="445" spans="1:15" x14ac:dyDescent="0.25">
      <c r="A445" t="s">
        <v>18</v>
      </c>
      <c r="B445" t="s">
        <v>903</v>
      </c>
      <c r="C445" t="s">
        <v>19</v>
      </c>
      <c r="D445" t="s">
        <v>690</v>
      </c>
      <c r="E445" t="s">
        <v>2583</v>
      </c>
      <c r="F445" t="s">
        <v>27</v>
      </c>
      <c r="N445" t="s">
        <v>22</v>
      </c>
      <c r="O445" t="s">
        <v>23</v>
      </c>
    </row>
    <row r="446" spans="1:15" x14ac:dyDescent="0.25">
      <c r="A446" t="s">
        <v>18</v>
      </c>
      <c r="B446" t="s">
        <v>871</v>
      </c>
      <c r="C446" t="s">
        <v>19</v>
      </c>
      <c r="F446" t="s">
        <v>62</v>
      </c>
      <c r="J446" t="s">
        <v>872</v>
      </c>
      <c r="N446" t="s">
        <v>22</v>
      </c>
      <c r="O446" t="s">
        <v>22</v>
      </c>
    </row>
    <row r="447" spans="1:15" x14ac:dyDescent="0.25">
      <c r="A447" t="s">
        <v>18</v>
      </c>
      <c r="B447" t="s">
        <v>904</v>
      </c>
      <c r="C447" t="s">
        <v>19</v>
      </c>
      <c r="F447" t="s">
        <v>905</v>
      </c>
      <c r="N447" t="s">
        <v>22</v>
      </c>
      <c r="O447" t="s">
        <v>22</v>
      </c>
    </row>
    <row r="448" spans="1:15" x14ac:dyDescent="0.25">
      <c r="A448" t="s">
        <v>18</v>
      </c>
      <c r="B448" t="s">
        <v>890</v>
      </c>
      <c r="C448" t="s">
        <v>19</v>
      </c>
      <c r="F448" t="s">
        <v>891</v>
      </c>
      <c r="N448" t="s">
        <v>22</v>
      </c>
      <c r="O448" t="s">
        <v>22</v>
      </c>
    </row>
    <row r="449" spans="1:15" x14ac:dyDescent="0.25">
      <c r="A449" t="s">
        <v>18</v>
      </c>
      <c r="B449" t="s">
        <v>892</v>
      </c>
      <c r="C449" t="s">
        <v>19</v>
      </c>
      <c r="F449" t="s">
        <v>694</v>
      </c>
      <c r="N449" t="s">
        <v>22</v>
      </c>
      <c r="O449" t="s">
        <v>22</v>
      </c>
    </row>
    <row r="450" spans="1:15" x14ac:dyDescent="0.25">
      <c r="A450" t="s">
        <v>18</v>
      </c>
      <c r="B450" t="s">
        <v>893</v>
      </c>
      <c r="C450" t="s">
        <v>19</v>
      </c>
      <c r="F450" t="s">
        <v>894</v>
      </c>
      <c r="N450" t="s">
        <v>22</v>
      </c>
      <c r="O450" t="s">
        <v>22</v>
      </c>
    </row>
    <row r="451" spans="1:15" x14ac:dyDescent="0.25">
      <c r="A451" t="s">
        <v>18</v>
      </c>
      <c r="B451" t="s">
        <v>895</v>
      </c>
      <c r="C451" t="s">
        <v>19</v>
      </c>
      <c r="F451" t="s">
        <v>896</v>
      </c>
      <c r="N451" t="s">
        <v>22</v>
      </c>
      <c r="O451" t="s">
        <v>22</v>
      </c>
    </row>
    <row r="452" spans="1:15" x14ac:dyDescent="0.25">
      <c r="A452" t="s">
        <v>18</v>
      </c>
      <c r="B452" t="s">
        <v>897</v>
      </c>
      <c r="C452" t="s">
        <v>19</v>
      </c>
      <c r="F452" t="s">
        <v>694</v>
      </c>
      <c r="H452" t="s">
        <v>898</v>
      </c>
      <c r="N452" t="s">
        <v>22</v>
      </c>
      <c r="O452" t="s">
        <v>22</v>
      </c>
    </row>
    <row r="453" spans="1:15" x14ac:dyDescent="0.25">
      <c r="A453" t="s">
        <v>18</v>
      </c>
      <c r="B453" t="s">
        <v>899</v>
      </c>
      <c r="C453" t="s">
        <v>19</v>
      </c>
      <c r="F453" t="s">
        <v>694</v>
      </c>
      <c r="J453" t="s">
        <v>659</v>
      </c>
      <c r="N453" t="s">
        <v>22</v>
      </c>
      <c r="O453" t="s">
        <v>22</v>
      </c>
    </row>
    <row r="454" spans="1:15" x14ac:dyDescent="0.25">
      <c r="A454" t="s">
        <v>18</v>
      </c>
      <c r="B454" t="s">
        <v>915</v>
      </c>
      <c r="C454" t="s">
        <v>19</v>
      </c>
      <c r="F454" t="s">
        <v>916</v>
      </c>
      <c r="N454" t="s">
        <v>22</v>
      </c>
      <c r="O454" t="s">
        <v>22</v>
      </c>
    </row>
    <row r="455" spans="1:15" x14ac:dyDescent="0.25">
      <c r="A455" t="s">
        <v>18</v>
      </c>
      <c r="B455" t="s">
        <v>900</v>
      </c>
      <c r="C455" t="s">
        <v>19</v>
      </c>
      <c r="F455" t="s">
        <v>696</v>
      </c>
      <c r="J455" t="s">
        <v>889</v>
      </c>
      <c r="N455" t="s">
        <v>22</v>
      </c>
      <c r="O455" t="s">
        <v>22</v>
      </c>
    </row>
    <row r="456" spans="1:15" x14ac:dyDescent="0.25">
      <c r="A456" t="s">
        <v>18</v>
      </c>
      <c r="B456" t="s">
        <v>888</v>
      </c>
      <c r="C456" t="s">
        <v>19</v>
      </c>
      <c r="F456" t="s">
        <v>694</v>
      </c>
      <c r="J456" t="s">
        <v>889</v>
      </c>
      <c r="N456" t="s">
        <v>22</v>
      </c>
      <c r="O456" t="s">
        <v>22</v>
      </c>
    </row>
    <row r="457" spans="1:15" x14ac:dyDescent="0.25">
      <c r="A457" t="s">
        <v>18</v>
      </c>
      <c r="B457" t="s">
        <v>869</v>
      </c>
      <c r="C457" t="s">
        <v>19</v>
      </c>
      <c r="F457" t="s">
        <v>696</v>
      </c>
      <c r="H457" t="s">
        <v>870</v>
      </c>
      <c r="N457" t="s">
        <v>22</v>
      </c>
      <c r="O457" t="s">
        <v>22</v>
      </c>
    </row>
    <row r="458" spans="1:15" x14ac:dyDescent="0.25">
      <c r="A458" t="s">
        <v>18</v>
      </c>
      <c r="B458" t="s">
        <v>906</v>
      </c>
      <c r="C458" t="s">
        <v>19</v>
      </c>
      <c r="F458" t="s">
        <v>907</v>
      </c>
      <c r="N458" t="s">
        <v>22</v>
      </c>
      <c r="O458" t="s">
        <v>22</v>
      </c>
    </row>
    <row r="459" spans="1:15" x14ac:dyDescent="0.25">
      <c r="A459" t="s">
        <v>18</v>
      </c>
      <c r="B459" t="s">
        <v>908</v>
      </c>
      <c r="C459" t="s">
        <v>19</v>
      </c>
      <c r="F459" t="s">
        <v>909</v>
      </c>
      <c r="N459" t="s">
        <v>22</v>
      </c>
      <c r="O459" t="s">
        <v>22</v>
      </c>
    </row>
    <row r="460" spans="1:15" x14ac:dyDescent="0.25">
      <c r="A460" t="s">
        <v>18</v>
      </c>
      <c r="B460" t="s">
        <v>910</v>
      </c>
      <c r="C460" t="s">
        <v>19</v>
      </c>
      <c r="F460" t="s">
        <v>696</v>
      </c>
      <c r="N460" t="s">
        <v>22</v>
      </c>
      <c r="O460" t="s">
        <v>22</v>
      </c>
    </row>
    <row r="461" spans="1:15" x14ac:dyDescent="0.25">
      <c r="A461" t="s">
        <v>18</v>
      </c>
      <c r="B461" t="s">
        <v>911</v>
      </c>
      <c r="C461" t="s">
        <v>19</v>
      </c>
      <c r="F461" t="s">
        <v>696</v>
      </c>
      <c r="H461" t="s">
        <v>912</v>
      </c>
      <c r="N461" t="s">
        <v>22</v>
      </c>
      <c r="O461" t="s">
        <v>22</v>
      </c>
    </row>
    <row r="462" spans="1:15" x14ac:dyDescent="0.25">
      <c r="A462" t="s">
        <v>18</v>
      </c>
      <c r="B462" t="s">
        <v>913</v>
      </c>
      <c r="C462" t="s">
        <v>19</v>
      </c>
      <c r="F462" t="s">
        <v>696</v>
      </c>
      <c r="J462" t="s">
        <v>872</v>
      </c>
      <c r="N462" t="s">
        <v>22</v>
      </c>
      <c r="O462" t="s">
        <v>22</v>
      </c>
    </row>
    <row r="463" spans="1:15" x14ac:dyDescent="0.25">
      <c r="A463" t="s">
        <v>18</v>
      </c>
      <c r="B463" t="s">
        <v>914</v>
      </c>
      <c r="C463" t="s">
        <v>19</v>
      </c>
      <c r="F463" t="s">
        <v>696</v>
      </c>
      <c r="J463" t="s">
        <v>659</v>
      </c>
      <c r="N463" t="s">
        <v>22</v>
      </c>
      <c r="O463" t="s">
        <v>22</v>
      </c>
    </row>
    <row r="464" spans="1:15" x14ac:dyDescent="0.25">
      <c r="A464" t="s">
        <v>18</v>
      </c>
      <c r="B464" t="s">
        <v>1096</v>
      </c>
      <c r="C464" t="s">
        <v>19</v>
      </c>
      <c r="F464" t="s">
        <v>1097</v>
      </c>
      <c r="N464" t="s">
        <v>22</v>
      </c>
      <c r="O464" t="s">
        <v>22</v>
      </c>
    </row>
    <row r="465" spans="1:18" x14ac:dyDescent="0.25">
      <c r="A465" t="s">
        <v>18</v>
      </c>
      <c r="B465" t="s">
        <v>901</v>
      </c>
      <c r="C465" t="s">
        <v>19</v>
      </c>
      <c r="F465" t="s">
        <v>694</v>
      </c>
      <c r="H465" t="s">
        <v>902</v>
      </c>
      <c r="N465" t="s">
        <v>22</v>
      </c>
      <c r="O465" t="s">
        <v>22</v>
      </c>
    </row>
    <row r="466" spans="1:18" x14ac:dyDescent="0.25">
      <c r="A466" t="s">
        <v>18</v>
      </c>
      <c r="B466" t="s">
        <v>939</v>
      </c>
      <c r="C466" t="s">
        <v>19</v>
      </c>
      <c r="F466" t="s">
        <v>940</v>
      </c>
      <c r="N466" t="s">
        <v>22</v>
      </c>
      <c r="O466" t="s">
        <v>22</v>
      </c>
    </row>
    <row r="467" spans="1:18" x14ac:dyDescent="0.25">
      <c r="A467" t="s">
        <v>18</v>
      </c>
      <c r="B467" t="s">
        <v>923</v>
      </c>
      <c r="C467" t="s">
        <v>19</v>
      </c>
      <c r="F467" t="s">
        <v>924</v>
      </c>
      <c r="N467" t="s">
        <v>22</v>
      </c>
      <c r="O467" t="s">
        <v>22</v>
      </c>
    </row>
    <row r="468" spans="1:18" x14ac:dyDescent="0.25">
      <c r="A468" t="s">
        <v>18</v>
      </c>
      <c r="B468" t="s">
        <v>925</v>
      </c>
      <c r="C468" t="s">
        <v>19</v>
      </c>
      <c r="F468" t="s">
        <v>926</v>
      </c>
      <c r="N468" t="s">
        <v>22</v>
      </c>
      <c r="O468" t="s">
        <v>22</v>
      </c>
    </row>
    <row r="469" spans="1:18" x14ac:dyDescent="0.25">
      <c r="A469" t="s">
        <v>18</v>
      </c>
      <c r="B469" t="s">
        <v>927</v>
      </c>
      <c r="C469" t="s">
        <v>19</v>
      </c>
      <c r="F469" t="s">
        <v>928</v>
      </c>
      <c r="N469" t="s">
        <v>22</v>
      </c>
      <c r="O469" t="s">
        <v>22</v>
      </c>
    </row>
    <row r="470" spans="1:18" x14ac:dyDescent="0.25">
      <c r="A470" t="s">
        <v>18</v>
      </c>
      <c r="B470" t="s">
        <v>929</v>
      </c>
      <c r="C470" t="s">
        <v>19</v>
      </c>
      <c r="F470" t="s">
        <v>930</v>
      </c>
      <c r="N470" t="s">
        <v>22</v>
      </c>
      <c r="O470" t="s">
        <v>22</v>
      </c>
    </row>
    <row r="471" spans="1:18" x14ac:dyDescent="0.25">
      <c r="A471" t="s">
        <v>18</v>
      </c>
      <c r="B471" t="s">
        <v>951</v>
      </c>
      <c r="C471" t="s">
        <v>19</v>
      </c>
      <c r="F471" t="s">
        <v>952</v>
      </c>
      <c r="N471" t="s">
        <v>22</v>
      </c>
      <c r="O471" t="s">
        <v>22</v>
      </c>
    </row>
    <row r="472" spans="1:18" x14ac:dyDescent="0.25">
      <c r="A472" t="s">
        <v>18</v>
      </c>
      <c r="B472" t="s">
        <v>933</v>
      </c>
      <c r="C472" t="s">
        <v>19</v>
      </c>
      <c r="F472" t="s">
        <v>934</v>
      </c>
      <c r="N472" t="s">
        <v>22</v>
      </c>
      <c r="O472" t="s">
        <v>22</v>
      </c>
    </row>
    <row r="473" spans="1:18" x14ac:dyDescent="0.25">
      <c r="A473" t="s">
        <v>18</v>
      </c>
      <c r="B473" t="s">
        <v>1021</v>
      </c>
      <c r="C473" t="s">
        <v>19</v>
      </c>
      <c r="F473" t="s">
        <v>1022</v>
      </c>
      <c r="N473" t="s">
        <v>22</v>
      </c>
      <c r="O473" t="s">
        <v>22</v>
      </c>
    </row>
    <row r="474" spans="1:18" x14ac:dyDescent="0.25">
      <c r="A474" t="s">
        <v>18</v>
      </c>
      <c r="B474" t="s">
        <v>937</v>
      </c>
      <c r="C474" t="s">
        <v>19</v>
      </c>
      <c r="F474" t="s">
        <v>938</v>
      </c>
      <c r="N474" t="s">
        <v>22</v>
      </c>
      <c r="O474" t="s">
        <v>22</v>
      </c>
    </row>
    <row r="475" spans="1:18" x14ac:dyDescent="0.25">
      <c r="A475" t="s">
        <v>18</v>
      </c>
      <c r="B475" t="s">
        <v>968</v>
      </c>
      <c r="C475" t="s">
        <v>19</v>
      </c>
      <c r="F475" t="s">
        <v>2425</v>
      </c>
      <c r="N475" t="s">
        <v>22</v>
      </c>
      <c r="O475" t="s">
        <v>22</v>
      </c>
      <c r="P475" t="s">
        <v>2609</v>
      </c>
      <c r="Q475" t="s">
        <v>22</v>
      </c>
      <c r="R475" t="s">
        <v>23</v>
      </c>
    </row>
    <row r="476" spans="1:18" x14ac:dyDescent="0.25">
      <c r="A476" t="s">
        <v>18</v>
      </c>
      <c r="B476" t="s">
        <v>941</v>
      </c>
      <c r="C476" t="s">
        <v>19</v>
      </c>
      <c r="F476" t="s">
        <v>942</v>
      </c>
      <c r="N476" t="s">
        <v>22</v>
      </c>
      <c r="O476" t="s">
        <v>22</v>
      </c>
    </row>
    <row r="477" spans="1:18" x14ac:dyDescent="0.25">
      <c r="A477" t="s">
        <v>18</v>
      </c>
      <c r="B477" t="s">
        <v>943</v>
      </c>
      <c r="C477" t="s">
        <v>19</v>
      </c>
      <c r="F477" t="s">
        <v>944</v>
      </c>
      <c r="N477" t="s">
        <v>22</v>
      </c>
      <c r="O477" t="s">
        <v>22</v>
      </c>
    </row>
    <row r="478" spans="1:18" x14ac:dyDescent="0.25">
      <c r="A478" t="s">
        <v>18</v>
      </c>
      <c r="B478" t="s">
        <v>945</v>
      </c>
      <c r="C478" t="s">
        <v>19</v>
      </c>
      <c r="F478" t="s">
        <v>946</v>
      </c>
      <c r="N478" t="s">
        <v>22</v>
      </c>
      <c r="O478" t="s">
        <v>22</v>
      </c>
    </row>
    <row r="479" spans="1:18" x14ac:dyDescent="0.25">
      <c r="A479" t="s">
        <v>18</v>
      </c>
      <c r="B479" t="s">
        <v>947</v>
      </c>
      <c r="C479" t="s">
        <v>19</v>
      </c>
      <c r="F479" t="s">
        <v>948</v>
      </c>
      <c r="N479" t="s">
        <v>22</v>
      </c>
      <c r="O479" t="s">
        <v>22</v>
      </c>
    </row>
    <row r="480" spans="1:18" x14ac:dyDescent="0.25">
      <c r="A480" t="s">
        <v>18</v>
      </c>
      <c r="B480" t="s">
        <v>990</v>
      </c>
      <c r="C480" t="s">
        <v>19</v>
      </c>
      <c r="F480" t="s">
        <v>991</v>
      </c>
      <c r="N480" t="s">
        <v>22</v>
      </c>
      <c r="O480" t="s">
        <v>22</v>
      </c>
    </row>
    <row r="481" spans="1:18" x14ac:dyDescent="0.25">
      <c r="A481" t="s">
        <v>18</v>
      </c>
      <c r="B481" t="s">
        <v>919</v>
      </c>
      <c r="C481" t="s">
        <v>19</v>
      </c>
      <c r="F481" t="s">
        <v>920</v>
      </c>
      <c r="N481" t="s">
        <v>22</v>
      </c>
      <c r="O481" t="s">
        <v>22</v>
      </c>
    </row>
    <row r="482" spans="1:18" x14ac:dyDescent="0.25">
      <c r="A482" t="s">
        <v>18</v>
      </c>
      <c r="B482" t="s">
        <v>885</v>
      </c>
      <c r="C482" t="s">
        <v>19</v>
      </c>
      <c r="F482" t="s">
        <v>886</v>
      </c>
      <c r="N482" t="s">
        <v>22</v>
      </c>
      <c r="O482" t="s">
        <v>22</v>
      </c>
    </row>
    <row r="483" spans="1:18" x14ac:dyDescent="0.25">
      <c r="A483" t="s">
        <v>18</v>
      </c>
      <c r="B483" t="s">
        <v>917</v>
      </c>
      <c r="C483" t="s">
        <v>19</v>
      </c>
      <c r="F483" t="s">
        <v>918</v>
      </c>
      <c r="N483" t="s">
        <v>22</v>
      </c>
      <c r="O483" t="s">
        <v>22</v>
      </c>
    </row>
    <row r="484" spans="1:18" x14ac:dyDescent="0.25">
      <c r="A484" t="s">
        <v>18</v>
      </c>
      <c r="B484" t="s">
        <v>977</v>
      </c>
      <c r="C484" t="s">
        <v>19</v>
      </c>
      <c r="F484" t="s">
        <v>978</v>
      </c>
      <c r="N484" t="s">
        <v>22</v>
      </c>
      <c r="O484" t="s">
        <v>22</v>
      </c>
    </row>
    <row r="485" spans="1:18" x14ac:dyDescent="0.25">
      <c r="A485" t="s">
        <v>18</v>
      </c>
      <c r="B485" t="s">
        <v>961</v>
      </c>
      <c r="C485" t="s">
        <v>19</v>
      </c>
      <c r="F485" t="s">
        <v>962</v>
      </c>
      <c r="N485" t="s">
        <v>22</v>
      </c>
      <c r="O485" t="s">
        <v>22</v>
      </c>
    </row>
    <row r="486" spans="1:18" x14ac:dyDescent="0.25">
      <c r="A486" t="s">
        <v>18</v>
      </c>
      <c r="B486" t="s">
        <v>963</v>
      </c>
      <c r="C486" t="s">
        <v>19</v>
      </c>
      <c r="F486" t="s">
        <v>964</v>
      </c>
      <c r="N486" t="s">
        <v>22</v>
      </c>
      <c r="O486" t="s">
        <v>22</v>
      </c>
    </row>
    <row r="487" spans="1:18" x14ac:dyDescent="0.25">
      <c r="A487" t="s">
        <v>18</v>
      </c>
      <c r="B487" t="s">
        <v>965</v>
      </c>
      <c r="C487" t="s">
        <v>19</v>
      </c>
      <c r="F487" t="s">
        <v>966</v>
      </c>
      <c r="G487" t="s">
        <v>967</v>
      </c>
      <c r="N487" t="s">
        <v>22</v>
      </c>
      <c r="O487" t="s">
        <v>22</v>
      </c>
    </row>
    <row r="488" spans="1:18" x14ac:dyDescent="0.25">
      <c r="A488" t="s">
        <v>18</v>
      </c>
      <c r="B488" t="s">
        <v>986</v>
      </c>
      <c r="C488" t="s">
        <v>19</v>
      </c>
      <c r="F488" t="s">
        <v>987</v>
      </c>
      <c r="N488" t="s">
        <v>22</v>
      </c>
      <c r="O488" t="s">
        <v>22</v>
      </c>
    </row>
    <row r="489" spans="1:18" x14ac:dyDescent="0.25">
      <c r="A489" t="s">
        <v>18</v>
      </c>
      <c r="B489" t="s">
        <v>969</v>
      </c>
      <c r="C489" t="s">
        <v>19</v>
      </c>
      <c r="F489" t="s">
        <v>970</v>
      </c>
      <c r="N489" t="s">
        <v>22</v>
      </c>
      <c r="O489" t="s">
        <v>22</v>
      </c>
    </row>
    <row r="490" spans="1:18" x14ac:dyDescent="0.25">
      <c r="A490" t="s">
        <v>18</v>
      </c>
      <c r="B490" t="s">
        <v>2422</v>
      </c>
      <c r="C490" t="s">
        <v>19</v>
      </c>
      <c r="F490" t="s">
        <v>2423</v>
      </c>
      <c r="N490" t="s">
        <v>22</v>
      </c>
      <c r="O490" t="s">
        <v>23</v>
      </c>
      <c r="Q490" t="s">
        <v>22</v>
      </c>
      <c r="R490" t="s">
        <v>23</v>
      </c>
    </row>
    <row r="491" spans="1:18" x14ac:dyDescent="0.25">
      <c r="A491" t="s">
        <v>18</v>
      </c>
      <c r="B491" t="s">
        <v>953</v>
      </c>
      <c r="C491" t="s">
        <v>19</v>
      </c>
      <c r="F491" t="s">
        <v>954</v>
      </c>
      <c r="N491" t="s">
        <v>22</v>
      </c>
      <c r="O491" t="s">
        <v>22</v>
      </c>
    </row>
    <row r="492" spans="1:18" x14ac:dyDescent="0.25">
      <c r="A492" t="s">
        <v>18</v>
      </c>
      <c r="B492" t="s">
        <v>921</v>
      </c>
      <c r="C492" t="s">
        <v>19</v>
      </c>
      <c r="F492" t="s">
        <v>922</v>
      </c>
      <c r="N492" t="s">
        <v>22</v>
      </c>
      <c r="O492" t="s">
        <v>22</v>
      </c>
    </row>
    <row r="493" spans="1:18" x14ac:dyDescent="0.25">
      <c r="A493" t="s">
        <v>18</v>
      </c>
      <c r="B493" t="s">
        <v>975</v>
      </c>
      <c r="C493" t="s">
        <v>19</v>
      </c>
      <c r="F493" t="s">
        <v>976</v>
      </c>
      <c r="N493" t="s">
        <v>22</v>
      </c>
      <c r="O493" t="s">
        <v>22</v>
      </c>
    </row>
    <row r="494" spans="1:18" x14ac:dyDescent="0.25">
      <c r="A494" t="s">
        <v>18</v>
      </c>
      <c r="B494" t="s">
        <v>2426</v>
      </c>
      <c r="C494" t="s">
        <v>19</v>
      </c>
      <c r="F494" t="s">
        <v>2427</v>
      </c>
      <c r="N494" t="s">
        <v>22</v>
      </c>
      <c r="O494" t="s">
        <v>23</v>
      </c>
      <c r="P494" t="s">
        <v>2610</v>
      </c>
      <c r="Q494" t="s">
        <v>22</v>
      </c>
      <c r="R494" t="s">
        <v>23</v>
      </c>
    </row>
    <row r="495" spans="1:18" x14ac:dyDescent="0.25">
      <c r="A495" t="s">
        <v>18</v>
      </c>
      <c r="B495" t="s">
        <v>979</v>
      </c>
      <c r="C495" t="s">
        <v>19</v>
      </c>
      <c r="F495" t="s">
        <v>980</v>
      </c>
      <c r="N495" t="s">
        <v>22</v>
      </c>
      <c r="O495" t="s">
        <v>22</v>
      </c>
    </row>
    <row r="496" spans="1:18" x14ac:dyDescent="0.25">
      <c r="A496" t="s">
        <v>18</v>
      </c>
      <c r="B496" t="s">
        <v>981</v>
      </c>
      <c r="C496" t="s">
        <v>19</v>
      </c>
      <c r="F496" t="s">
        <v>982</v>
      </c>
      <c r="G496" t="s">
        <v>2560</v>
      </c>
      <c r="N496" t="s">
        <v>22</v>
      </c>
      <c r="O496" t="s">
        <v>22</v>
      </c>
    </row>
    <row r="497" spans="1:18" x14ac:dyDescent="0.25">
      <c r="A497" t="s">
        <v>18</v>
      </c>
      <c r="B497" t="s">
        <v>983</v>
      </c>
      <c r="C497" t="s">
        <v>19</v>
      </c>
      <c r="F497" t="s">
        <v>984</v>
      </c>
      <c r="N497" t="s">
        <v>22</v>
      </c>
      <c r="O497" t="s">
        <v>22</v>
      </c>
    </row>
    <row r="498" spans="1:18" x14ac:dyDescent="0.25">
      <c r="A498" t="s">
        <v>18</v>
      </c>
      <c r="B498" t="s">
        <v>985</v>
      </c>
      <c r="C498" t="s">
        <v>19</v>
      </c>
      <c r="F498" t="s">
        <v>2424</v>
      </c>
      <c r="N498" t="s">
        <v>22</v>
      </c>
      <c r="O498" t="s">
        <v>22</v>
      </c>
      <c r="Q498" t="s">
        <v>22</v>
      </c>
      <c r="R498" t="s">
        <v>23</v>
      </c>
    </row>
    <row r="499" spans="1:18" x14ac:dyDescent="0.25">
      <c r="A499" t="s">
        <v>18</v>
      </c>
      <c r="B499" t="s">
        <v>935</v>
      </c>
      <c r="C499" t="s">
        <v>19</v>
      </c>
      <c r="F499" t="s">
        <v>936</v>
      </c>
      <c r="G499" t="s">
        <v>2561</v>
      </c>
      <c r="N499" t="s">
        <v>22</v>
      </c>
      <c r="O499" t="s">
        <v>22</v>
      </c>
    </row>
    <row r="500" spans="1:18" x14ac:dyDescent="0.25">
      <c r="A500" t="s">
        <v>18</v>
      </c>
      <c r="B500" t="s">
        <v>931</v>
      </c>
      <c r="C500" t="s">
        <v>19</v>
      </c>
      <c r="F500" t="s">
        <v>932</v>
      </c>
      <c r="G500" t="s">
        <v>2562</v>
      </c>
      <c r="N500" t="s">
        <v>22</v>
      </c>
      <c r="O500" t="s">
        <v>22</v>
      </c>
    </row>
    <row r="501" spans="1:18" x14ac:dyDescent="0.25">
      <c r="A501" t="s">
        <v>18</v>
      </c>
      <c r="B501" t="s">
        <v>1023</v>
      </c>
      <c r="C501" t="s">
        <v>19</v>
      </c>
      <c r="F501" t="s">
        <v>1024</v>
      </c>
      <c r="N501" t="s">
        <v>22</v>
      </c>
      <c r="O501" t="s">
        <v>22</v>
      </c>
    </row>
    <row r="502" spans="1:18" x14ac:dyDescent="0.25">
      <c r="A502" t="s">
        <v>18</v>
      </c>
      <c r="B502" t="s">
        <v>973</v>
      </c>
      <c r="C502" t="s">
        <v>19</v>
      </c>
      <c r="F502" t="s">
        <v>974</v>
      </c>
      <c r="N502" t="s">
        <v>22</v>
      </c>
      <c r="O502" t="s">
        <v>22</v>
      </c>
    </row>
    <row r="503" spans="1:18" x14ac:dyDescent="0.25">
      <c r="A503" t="s">
        <v>18</v>
      </c>
      <c r="B503" t="s">
        <v>640</v>
      </c>
      <c r="C503" t="s">
        <v>19</v>
      </c>
      <c r="F503" t="s">
        <v>641</v>
      </c>
      <c r="N503" t="s">
        <v>22</v>
      </c>
      <c r="O503" t="s">
        <v>22</v>
      </c>
    </row>
    <row r="504" spans="1:18" x14ac:dyDescent="0.25">
      <c r="A504" t="s">
        <v>18</v>
      </c>
      <c r="B504" t="s">
        <v>993</v>
      </c>
      <c r="C504" t="s">
        <v>19</v>
      </c>
      <c r="F504" t="s">
        <v>2432</v>
      </c>
      <c r="N504" t="s">
        <v>22</v>
      </c>
      <c r="O504" t="s">
        <v>22</v>
      </c>
      <c r="P504" t="s">
        <v>2611</v>
      </c>
      <c r="Q504" t="s">
        <v>22</v>
      </c>
      <c r="R504" t="s">
        <v>23</v>
      </c>
    </row>
    <row r="505" spans="1:18" x14ac:dyDescent="0.25">
      <c r="A505" t="s">
        <v>18</v>
      </c>
      <c r="B505" t="s">
        <v>994</v>
      </c>
      <c r="C505" t="s">
        <v>19</v>
      </c>
      <c r="F505" t="s">
        <v>995</v>
      </c>
      <c r="N505" t="s">
        <v>22</v>
      </c>
      <c r="O505" t="s">
        <v>22</v>
      </c>
    </row>
    <row r="506" spans="1:18" x14ac:dyDescent="0.25">
      <c r="A506" t="s">
        <v>18</v>
      </c>
      <c r="B506" t="s">
        <v>996</v>
      </c>
      <c r="C506" t="s">
        <v>19</v>
      </c>
      <c r="F506" t="s">
        <v>2433</v>
      </c>
      <c r="N506" t="s">
        <v>22</v>
      </c>
      <c r="O506" t="s">
        <v>22</v>
      </c>
      <c r="P506" t="s">
        <v>2612</v>
      </c>
      <c r="Q506" t="s">
        <v>22</v>
      </c>
      <c r="R506" t="s">
        <v>23</v>
      </c>
    </row>
    <row r="507" spans="1:18" x14ac:dyDescent="0.25">
      <c r="A507" t="s">
        <v>18</v>
      </c>
      <c r="B507" t="s">
        <v>997</v>
      </c>
      <c r="C507" t="s">
        <v>19</v>
      </c>
      <c r="F507" t="s">
        <v>2434</v>
      </c>
      <c r="N507" t="s">
        <v>22</v>
      </c>
      <c r="O507" t="s">
        <v>22</v>
      </c>
      <c r="P507" t="s">
        <v>2613</v>
      </c>
      <c r="Q507" t="s">
        <v>22</v>
      </c>
      <c r="R507" t="s">
        <v>23</v>
      </c>
    </row>
    <row r="508" spans="1:18" x14ac:dyDescent="0.25">
      <c r="A508" t="s">
        <v>18</v>
      </c>
      <c r="B508" t="s">
        <v>2435</v>
      </c>
      <c r="C508" t="s">
        <v>19</v>
      </c>
      <c r="F508" t="s">
        <v>2436</v>
      </c>
      <c r="N508" t="s">
        <v>22</v>
      </c>
      <c r="O508" t="s">
        <v>23</v>
      </c>
      <c r="Q508" t="s">
        <v>22</v>
      </c>
      <c r="R508" t="s">
        <v>23</v>
      </c>
    </row>
    <row r="509" spans="1:18" x14ac:dyDescent="0.25">
      <c r="A509" t="s">
        <v>18</v>
      </c>
      <c r="B509" t="s">
        <v>1017</v>
      </c>
      <c r="C509" t="s">
        <v>19</v>
      </c>
      <c r="F509" t="s">
        <v>1018</v>
      </c>
      <c r="N509" t="s">
        <v>22</v>
      </c>
      <c r="O509" t="s">
        <v>22</v>
      </c>
    </row>
    <row r="510" spans="1:18" x14ac:dyDescent="0.25">
      <c r="A510" t="s">
        <v>18</v>
      </c>
      <c r="B510" t="s">
        <v>971</v>
      </c>
      <c r="C510" t="s">
        <v>19</v>
      </c>
      <c r="F510" t="s">
        <v>972</v>
      </c>
      <c r="N510" t="s">
        <v>22</v>
      </c>
      <c r="O510" t="s">
        <v>22</v>
      </c>
    </row>
    <row r="511" spans="1:18" x14ac:dyDescent="0.25">
      <c r="A511" t="s">
        <v>18</v>
      </c>
      <c r="B511" t="s">
        <v>988</v>
      </c>
      <c r="C511" t="s">
        <v>19</v>
      </c>
      <c r="F511" t="s">
        <v>989</v>
      </c>
      <c r="N511" t="s">
        <v>22</v>
      </c>
      <c r="O511" t="s">
        <v>22</v>
      </c>
    </row>
    <row r="512" spans="1:18" x14ac:dyDescent="0.25">
      <c r="A512" t="s">
        <v>18</v>
      </c>
      <c r="B512" t="s">
        <v>998</v>
      </c>
      <c r="C512" t="s">
        <v>19</v>
      </c>
      <c r="F512" t="s">
        <v>999</v>
      </c>
      <c r="G512" t="s">
        <v>2563</v>
      </c>
      <c r="N512" t="s">
        <v>22</v>
      </c>
      <c r="O512" t="s">
        <v>22</v>
      </c>
    </row>
    <row r="513" spans="1:18" x14ac:dyDescent="0.25">
      <c r="A513" t="s">
        <v>18</v>
      </c>
      <c r="B513" t="s">
        <v>1006</v>
      </c>
      <c r="C513" t="s">
        <v>19</v>
      </c>
      <c r="F513" t="s">
        <v>1007</v>
      </c>
      <c r="N513" t="s">
        <v>22</v>
      </c>
      <c r="O513" t="s">
        <v>22</v>
      </c>
    </row>
    <row r="514" spans="1:18" x14ac:dyDescent="0.25">
      <c r="A514" t="s">
        <v>18</v>
      </c>
      <c r="B514" t="s">
        <v>668</v>
      </c>
      <c r="C514" t="s">
        <v>19</v>
      </c>
      <c r="F514" t="s">
        <v>669</v>
      </c>
      <c r="N514" t="s">
        <v>22</v>
      </c>
      <c r="O514" t="s">
        <v>22</v>
      </c>
    </row>
    <row r="515" spans="1:18" x14ac:dyDescent="0.25">
      <c r="A515" t="s">
        <v>18</v>
      </c>
      <c r="B515" t="s">
        <v>1009</v>
      </c>
      <c r="C515" t="s">
        <v>19</v>
      </c>
      <c r="F515" t="s">
        <v>1010</v>
      </c>
      <c r="N515" t="s">
        <v>22</v>
      </c>
      <c r="O515" t="s">
        <v>22</v>
      </c>
    </row>
    <row r="516" spans="1:18" x14ac:dyDescent="0.25">
      <c r="A516" t="s">
        <v>18</v>
      </c>
      <c r="B516" t="s">
        <v>1011</v>
      </c>
      <c r="C516" t="s">
        <v>19</v>
      </c>
      <c r="F516" t="s">
        <v>1012</v>
      </c>
      <c r="N516" t="s">
        <v>22</v>
      </c>
      <c r="O516" t="s">
        <v>22</v>
      </c>
    </row>
    <row r="517" spans="1:18" x14ac:dyDescent="0.25">
      <c r="A517" t="s">
        <v>18</v>
      </c>
      <c r="B517" t="s">
        <v>1013</v>
      </c>
      <c r="C517" t="s">
        <v>19</v>
      </c>
      <c r="F517" t="s">
        <v>1014</v>
      </c>
      <c r="N517" t="s">
        <v>22</v>
      </c>
      <c r="O517" t="s">
        <v>22</v>
      </c>
    </row>
    <row r="518" spans="1:18" x14ac:dyDescent="0.25">
      <c r="A518" t="s">
        <v>18</v>
      </c>
      <c r="B518" t="s">
        <v>1015</v>
      </c>
      <c r="C518" t="s">
        <v>19</v>
      </c>
      <c r="F518" t="s">
        <v>1016</v>
      </c>
      <c r="N518" t="s">
        <v>22</v>
      </c>
      <c r="O518" t="s">
        <v>22</v>
      </c>
    </row>
    <row r="519" spans="1:18" x14ac:dyDescent="0.25">
      <c r="A519" t="s">
        <v>18</v>
      </c>
      <c r="B519" t="s">
        <v>1092</v>
      </c>
      <c r="C519" t="s">
        <v>19</v>
      </c>
      <c r="F519" t="s">
        <v>1093</v>
      </c>
      <c r="N519" t="s">
        <v>22</v>
      </c>
      <c r="O519" t="s">
        <v>22</v>
      </c>
    </row>
    <row r="520" spans="1:18" x14ac:dyDescent="0.25">
      <c r="A520" t="s">
        <v>18</v>
      </c>
      <c r="B520" t="s">
        <v>443</v>
      </c>
      <c r="C520" t="s">
        <v>19</v>
      </c>
      <c r="F520" t="s">
        <v>444</v>
      </c>
      <c r="G520" t="s">
        <v>2564</v>
      </c>
      <c r="N520" t="s">
        <v>22</v>
      </c>
      <c r="O520" t="s">
        <v>22</v>
      </c>
    </row>
    <row r="521" spans="1:18" x14ac:dyDescent="0.25">
      <c r="A521" t="s">
        <v>18</v>
      </c>
      <c r="B521" t="s">
        <v>1040</v>
      </c>
      <c r="C521" t="s">
        <v>19</v>
      </c>
      <c r="F521" t="s">
        <v>1041</v>
      </c>
      <c r="N521" t="s">
        <v>22</v>
      </c>
      <c r="O521" t="s">
        <v>22</v>
      </c>
    </row>
    <row r="522" spans="1:18" x14ac:dyDescent="0.25">
      <c r="A522" t="s">
        <v>18</v>
      </c>
      <c r="B522" t="s">
        <v>1025</v>
      </c>
      <c r="C522" t="s">
        <v>19</v>
      </c>
      <c r="F522" t="s">
        <v>1026</v>
      </c>
      <c r="N522" t="s">
        <v>22</v>
      </c>
      <c r="O522" t="s">
        <v>22</v>
      </c>
    </row>
    <row r="523" spans="1:18" x14ac:dyDescent="0.25">
      <c r="A523" t="s">
        <v>18</v>
      </c>
      <c r="B523" t="s">
        <v>1027</v>
      </c>
      <c r="C523" t="s">
        <v>19</v>
      </c>
      <c r="F523" t="s">
        <v>1028</v>
      </c>
      <c r="N523" t="s">
        <v>22</v>
      </c>
      <c r="O523" t="s">
        <v>22</v>
      </c>
    </row>
    <row r="524" spans="1:18" x14ac:dyDescent="0.25">
      <c r="A524" t="s">
        <v>18</v>
      </c>
      <c r="B524" t="s">
        <v>1029</v>
      </c>
      <c r="C524" t="s">
        <v>19</v>
      </c>
      <c r="F524" t="s">
        <v>1030</v>
      </c>
      <c r="N524" t="s">
        <v>22</v>
      </c>
      <c r="O524" t="s">
        <v>22</v>
      </c>
    </row>
    <row r="525" spans="1:18" x14ac:dyDescent="0.25">
      <c r="A525" t="s">
        <v>18</v>
      </c>
      <c r="B525" t="s">
        <v>1031</v>
      </c>
      <c r="C525" t="s">
        <v>19</v>
      </c>
      <c r="F525" t="s">
        <v>1032</v>
      </c>
      <c r="N525" t="s">
        <v>22</v>
      </c>
      <c r="O525" t="s">
        <v>22</v>
      </c>
    </row>
    <row r="526" spans="1:18" x14ac:dyDescent="0.25">
      <c r="A526" t="s">
        <v>18</v>
      </c>
      <c r="B526" t="s">
        <v>1052</v>
      </c>
      <c r="C526" t="s">
        <v>19</v>
      </c>
      <c r="F526" t="s">
        <v>1053</v>
      </c>
      <c r="G526" t="s">
        <v>1054</v>
      </c>
      <c r="N526" t="s">
        <v>22</v>
      </c>
      <c r="O526" t="s">
        <v>22</v>
      </c>
    </row>
    <row r="527" spans="1:18" x14ac:dyDescent="0.25">
      <c r="A527" t="s">
        <v>18</v>
      </c>
      <c r="B527" t="s">
        <v>1035</v>
      </c>
      <c r="C527" t="s">
        <v>19</v>
      </c>
      <c r="F527" t="s">
        <v>2428</v>
      </c>
      <c r="N527" t="s">
        <v>22</v>
      </c>
      <c r="O527" t="s">
        <v>22</v>
      </c>
      <c r="P527" t="s">
        <v>2614</v>
      </c>
      <c r="Q527" t="s">
        <v>22</v>
      </c>
      <c r="R527" t="s">
        <v>23</v>
      </c>
    </row>
    <row r="528" spans="1:18" x14ac:dyDescent="0.25">
      <c r="A528" t="s">
        <v>18</v>
      </c>
      <c r="B528" t="s">
        <v>1019</v>
      </c>
      <c r="C528" t="s">
        <v>19</v>
      </c>
      <c r="F528" t="s">
        <v>1020</v>
      </c>
      <c r="N528" t="s">
        <v>22</v>
      </c>
      <c r="O528" t="s">
        <v>22</v>
      </c>
    </row>
    <row r="529" spans="1:18" x14ac:dyDescent="0.25">
      <c r="A529" t="s">
        <v>18</v>
      </c>
      <c r="B529" t="s">
        <v>992</v>
      </c>
      <c r="C529" t="s">
        <v>19</v>
      </c>
      <c r="F529" t="s">
        <v>2431</v>
      </c>
      <c r="N529" t="s">
        <v>22</v>
      </c>
      <c r="O529" t="s">
        <v>22</v>
      </c>
      <c r="P529" t="s">
        <v>2615</v>
      </c>
      <c r="Q529" t="s">
        <v>22</v>
      </c>
      <c r="R529" t="s">
        <v>23</v>
      </c>
    </row>
    <row r="530" spans="1:18" x14ac:dyDescent="0.25">
      <c r="A530" t="s">
        <v>18</v>
      </c>
      <c r="B530" t="s">
        <v>2429</v>
      </c>
      <c r="C530" t="s">
        <v>19</v>
      </c>
      <c r="F530" t="s">
        <v>2430</v>
      </c>
      <c r="N530" t="s">
        <v>22</v>
      </c>
      <c r="O530" t="s">
        <v>23</v>
      </c>
      <c r="Q530" t="s">
        <v>22</v>
      </c>
      <c r="R530" t="s">
        <v>23</v>
      </c>
    </row>
    <row r="531" spans="1:18" x14ac:dyDescent="0.25">
      <c r="A531" t="s">
        <v>18</v>
      </c>
      <c r="B531" t="s">
        <v>1033</v>
      </c>
      <c r="C531" t="s">
        <v>19</v>
      </c>
      <c r="F531" t="s">
        <v>1034</v>
      </c>
      <c r="N531" t="s">
        <v>22</v>
      </c>
      <c r="O531" t="s">
        <v>22</v>
      </c>
    </row>
    <row r="532" spans="1:18" x14ac:dyDescent="0.25">
      <c r="A532" t="s">
        <v>18</v>
      </c>
      <c r="B532" t="s">
        <v>1042</v>
      </c>
      <c r="C532" t="s">
        <v>19</v>
      </c>
      <c r="F532" t="s">
        <v>1043</v>
      </c>
      <c r="N532" t="s">
        <v>22</v>
      </c>
      <c r="O532" t="s">
        <v>22</v>
      </c>
    </row>
    <row r="533" spans="1:18" x14ac:dyDescent="0.25">
      <c r="A533" t="s">
        <v>18</v>
      </c>
      <c r="B533" t="s">
        <v>1044</v>
      </c>
      <c r="C533" t="s">
        <v>19</v>
      </c>
      <c r="F533" t="s">
        <v>1045</v>
      </c>
      <c r="N533" t="s">
        <v>22</v>
      </c>
      <c r="O533" t="s">
        <v>22</v>
      </c>
    </row>
    <row r="534" spans="1:18" x14ac:dyDescent="0.25">
      <c r="A534" t="s">
        <v>18</v>
      </c>
      <c r="B534" t="s">
        <v>1046</v>
      </c>
      <c r="C534" t="s">
        <v>19</v>
      </c>
      <c r="F534" t="s">
        <v>1047</v>
      </c>
      <c r="N534" t="s">
        <v>22</v>
      </c>
      <c r="O534" t="s">
        <v>22</v>
      </c>
    </row>
    <row r="535" spans="1:18" x14ac:dyDescent="0.25">
      <c r="A535" t="s">
        <v>18</v>
      </c>
      <c r="B535" t="s">
        <v>1048</v>
      </c>
      <c r="C535" t="s">
        <v>19</v>
      </c>
      <c r="F535" t="s">
        <v>1049</v>
      </c>
      <c r="N535" t="s">
        <v>22</v>
      </c>
      <c r="O535" t="s">
        <v>22</v>
      </c>
    </row>
    <row r="536" spans="1:18" x14ac:dyDescent="0.25">
      <c r="A536" t="s">
        <v>18</v>
      </c>
      <c r="B536" t="s">
        <v>1050</v>
      </c>
      <c r="C536" t="s">
        <v>19</v>
      </c>
      <c r="F536" t="s">
        <v>1051</v>
      </c>
      <c r="N536" t="s">
        <v>22</v>
      </c>
      <c r="O536" t="s">
        <v>22</v>
      </c>
    </row>
    <row r="537" spans="1:18" x14ac:dyDescent="0.25">
      <c r="A537" t="s">
        <v>18</v>
      </c>
      <c r="B537" t="s">
        <v>1002</v>
      </c>
      <c r="C537" t="s">
        <v>19</v>
      </c>
      <c r="F537" t="s">
        <v>1003</v>
      </c>
      <c r="N537" t="s">
        <v>22</v>
      </c>
      <c r="O537" t="s">
        <v>22</v>
      </c>
    </row>
    <row r="538" spans="1:18" x14ac:dyDescent="0.25">
      <c r="A538" t="s">
        <v>18</v>
      </c>
      <c r="B538" t="s">
        <v>1086</v>
      </c>
      <c r="C538" t="s">
        <v>19</v>
      </c>
      <c r="F538" t="s">
        <v>1087</v>
      </c>
      <c r="N538" t="s">
        <v>22</v>
      </c>
      <c r="O538" t="s">
        <v>22</v>
      </c>
    </row>
    <row r="539" spans="1:18" x14ac:dyDescent="0.25">
      <c r="A539" t="s">
        <v>18</v>
      </c>
      <c r="B539" t="s">
        <v>1038</v>
      </c>
      <c r="C539" t="s">
        <v>19</v>
      </c>
      <c r="F539" t="s">
        <v>1039</v>
      </c>
      <c r="N539" t="s">
        <v>22</v>
      </c>
      <c r="O539" t="s">
        <v>22</v>
      </c>
    </row>
    <row r="540" spans="1:18" x14ac:dyDescent="0.25">
      <c r="A540" t="s">
        <v>18</v>
      </c>
      <c r="B540" t="s">
        <v>1076</v>
      </c>
      <c r="C540" t="s">
        <v>19</v>
      </c>
      <c r="F540" t="s">
        <v>1077</v>
      </c>
      <c r="N540" t="s">
        <v>22</v>
      </c>
      <c r="O540" t="s">
        <v>22</v>
      </c>
    </row>
    <row r="541" spans="1:18" x14ac:dyDescent="0.25">
      <c r="A541" t="s">
        <v>18</v>
      </c>
      <c r="B541" t="s">
        <v>1061</v>
      </c>
      <c r="C541" t="s">
        <v>19</v>
      </c>
      <c r="F541" t="s">
        <v>1062</v>
      </c>
      <c r="N541" t="s">
        <v>22</v>
      </c>
      <c r="O541" t="s">
        <v>22</v>
      </c>
    </row>
    <row r="542" spans="1:18" x14ac:dyDescent="0.25">
      <c r="A542" t="s">
        <v>18</v>
      </c>
      <c r="B542" t="s">
        <v>1063</v>
      </c>
      <c r="C542" t="s">
        <v>19</v>
      </c>
      <c r="F542" t="s">
        <v>1064</v>
      </c>
      <c r="N542" t="s">
        <v>22</v>
      </c>
      <c r="O542" t="s">
        <v>22</v>
      </c>
    </row>
    <row r="543" spans="1:18" x14ac:dyDescent="0.25">
      <c r="A543" t="s">
        <v>18</v>
      </c>
      <c r="B543" t="s">
        <v>1065</v>
      </c>
      <c r="C543" t="s">
        <v>19</v>
      </c>
      <c r="F543" t="s">
        <v>1066</v>
      </c>
      <c r="N543" t="s">
        <v>22</v>
      </c>
      <c r="O543" t="s">
        <v>22</v>
      </c>
    </row>
    <row r="544" spans="1:18" x14ac:dyDescent="0.25">
      <c r="A544" t="s">
        <v>18</v>
      </c>
      <c r="B544" t="s">
        <v>1067</v>
      </c>
      <c r="C544" t="s">
        <v>19</v>
      </c>
      <c r="F544" t="s">
        <v>1068</v>
      </c>
      <c r="H544" t="s">
        <v>1069</v>
      </c>
      <c r="N544" t="s">
        <v>22</v>
      </c>
      <c r="O544" t="s">
        <v>22</v>
      </c>
    </row>
    <row r="545" spans="1:18" x14ac:dyDescent="0.25">
      <c r="A545" t="s">
        <v>18</v>
      </c>
      <c r="B545" t="s">
        <v>1088</v>
      </c>
      <c r="C545" t="s">
        <v>19</v>
      </c>
      <c r="F545" t="s">
        <v>1089</v>
      </c>
      <c r="N545" t="s">
        <v>22</v>
      </c>
      <c r="O545" t="s">
        <v>22</v>
      </c>
    </row>
    <row r="546" spans="1:18" x14ac:dyDescent="0.25">
      <c r="A546" t="s">
        <v>18</v>
      </c>
      <c r="B546" t="s">
        <v>1071</v>
      </c>
      <c r="C546" t="s">
        <v>19</v>
      </c>
      <c r="F546" t="s">
        <v>1072</v>
      </c>
      <c r="N546" t="s">
        <v>22</v>
      </c>
      <c r="O546" t="s">
        <v>22</v>
      </c>
    </row>
    <row r="547" spans="1:18" x14ac:dyDescent="0.25">
      <c r="A547" t="s">
        <v>18</v>
      </c>
      <c r="B547" t="s">
        <v>959</v>
      </c>
      <c r="C547" t="s">
        <v>19</v>
      </c>
      <c r="F547" t="s">
        <v>960</v>
      </c>
      <c r="N547" t="s">
        <v>22</v>
      </c>
      <c r="O547" t="s">
        <v>22</v>
      </c>
    </row>
    <row r="548" spans="1:18" x14ac:dyDescent="0.25">
      <c r="A548" t="s">
        <v>18</v>
      </c>
      <c r="B548" t="s">
        <v>1074</v>
      </c>
      <c r="C548" t="s">
        <v>19</v>
      </c>
      <c r="F548" t="s">
        <v>1075</v>
      </c>
      <c r="N548" t="s">
        <v>22</v>
      </c>
      <c r="O548" t="s">
        <v>22</v>
      </c>
    </row>
    <row r="549" spans="1:18" x14ac:dyDescent="0.25">
      <c r="A549" t="s">
        <v>18</v>
      </c>
      <c r="B549" t="s">
        <v>1070</v>
      </c>
      <c r="C549" t="s">
        <v>19</v>
      </c>
      <c r="F549" t="s">
        <v>2412</v>
      </c>
      <c r="G549" t="s">
        <v>2413</v>
      </c>
      <c r="N549" t="s">
        <v>22</v>
      </c>
      <c r="O549" t="s">
        <v>22</v>
      </c>
      <c r="P549" t="s">
        <v>2616</v>
      </c>
      <c r="Q549" t="s">
        <v>22</v>
      </c>
      <c r="R549" t="s">
        <v>23</v>
      </c>
    </row>
    <row r="550" spans="1:18" x14ac:dyDescent="0.25">
      <c r="A550" t="s">
        <v>18</v>
      </c>
      <c r="B550" t="s">
        <v>1078</v>
      </c>
      <c r="C550" t="s">
        <v>19</v>
      </c>
      <c r="F550" t="s">
        <v>1079</v>
      </c>
      <c r="N550" t="s">
        <v>22</v>
      </c>
      <c r="O550" t="s">
        <v>22</v>
      </c>
    </row>
    <row r="551" spans="1:18" x14ac:dyDescent="0.25">
      <c r="A551" t="s">
        <v>18</v>
      </c>
      <c r="B551" t="s">
        <v>1080</v>
      </c>
      <c r="C551" t="s">
        <v>19</v>
      </c>
      <c r="F551" t="s">
        <v>1081</v>
      </c>
      <c r="N551" t="s">
        <v>22</v>
      </c>
      <c r="O551" t="s">
        <v>22</v>
      </c>
    </row>
    <row r="552" spans="1:18" x14ac:dyDescent="0.25">
      <c r="A552" t="s">
        <v>18</v>
      </c>
      <c r="B552" t="s">
        <v>1082</v>
      </c>
      <c r="C552" t="s">
        <v>19</v>
      </c>
      <c r="F552" t="s">
        <v>1083</v>
      </c>
      <c r="N552" t="s">
        <v>22</v>
      </c>
      <c r="O552" t="s">
        <v>22</v>
      </c>
    </row>
    <row r="553" spans="1:18" x14ac:dyDescent="0.25">
      <c r="A553" t="s">
        <v>18</v>
      </c>
      <c r="B553" t="s">
        <v>1084</v>
      </c>
      <c r="C553" t="s">
        <v>19</v>
      </c>
      <c r="F553" t="s">
        <v>1085</v>
      </c>
      <c r="N553" t="s">
        <v>22</v>
      </c>
      <c r="O553" t="s">
        <v>22</v>
      </c>
    </row>
    <row r="554" spans="1:18" x14ac:dyDescent="0.25">
      <c r="A554" t="s">
        <v>18</v>
      </c>
      <c r="B554" t="s">
        <v>1129</v>
      </c>
      <c r="C554" t="s">
        <v>19</v>
      </c>
      <c r="F554" t="s">
        <v>2414</v>
      </c>
      <c r="N554" t="s">
        <v>22</v>
      </c>
      <c r="O554" t="s">
        <v>22</v>
      </c>
      <c r="Q554" t="s">
        <v>22</v>
      </c>
      <c r="R554" t="s">
        <v>23</v>
      </c>
    </row>
    <row r="555" spans="1:18" x14ac:dyDescent="0.25">
      <c r="A555" t="s">
        <v>18</v>
      </c>
      <c r="B555" t="s">
        <v>1057</v>
      </c>
      <c r="C555" t="s">
        <v>19</v>
      </c>
      <c r="F555" t="s">
        <v>1058</v>
      </c>
      <c r="N555" t="s">
        <v>22</v>
      </c>
      <c r="O555" t="s">
        <v>22</v>
      </c>
    </row>
    <row r="556" spans="1:18" x14ac:dyDescent="0.25">
      <c r="A556" t="s">
        <v>18</v>
      </c>
      <c r="B556" t="s">
        <v>1108</v>
      </c>
      <c r="C556" t="s">
        <v>19</v>
      </c>
      <c r="F556" t="s">
        <v>1109</v>
      </c>
      <c r="N556" t="s">
        <v>22</v>
      </c>
      <c r="O556" t="s">
        <v>22</v>
      </c>
    </row>
    <row r="557" spans="1:18" x14ac:dyDescent="0.25">
      <c r="A557" t="s">
        <v>18</v>
      </c>
      <c r="B557" t="s">
        <v>1055</v>
      </c>
      <c r="C557" t="s">
        <v>19</v>
      </c>
      <c r="F557" t="s">
        <v>1056</v>
      </c>
      <c r="N557" t="s">
        <v>22</v>
      </c>
      <c r="O557" t="s">
        <v>22</v>
      </c>
    </row>
    <row r="558" spans="1:18" x14ac:dyDescent="0.25">
      <c r="A558" t="s">
        <v>18</v>
      </c>
      <c r="B558" t="s">
        <v>1114</v>
      </c>
      <c r="C558" t="s">
        <v>19</v>
      </c>
      <c r="F558" t="s">
        <v>1115</v>
      </c>
      <c r="N558" t="s">
        <v>22</v>
      </c>
      <c r="O558" t="s">
        <v>22</v>
      </c>
    </row>
    <row r="559" spans="1:18" x14ac:dyDescent="0.25">
      <c r="A559" t="s">
        <v>18</v>
      </c>
      <c r="B559" t="s">
        <v>539</v>
      </c>
      <c r="C559" t="s">
        <v>19</v>
      </c>
      <c r="F559" t="s">
        <v>540</v>
      </c>
      <c r="N559" t="s">
        <v>22</v>
      </c>
      <c r="O559" t="s">
        <v>22</v>
      </c>
    </row>
    <row r="560" spans="1:18" x14ac:dyDescent="0.25">
      <c r="A560" t="s">
        <v>18</v>
      </c>
      <c r="B560" t="s">
        <v>1098</v>
      </c>
      <c r="C560" t="s">
        <v>19</v>
      </c>
      <c r="F560" t="s">
        <v>1099</v>
      </c>
      <c r="N560" t="s">
        <v>22</v>
      </c>
      <c r="O560" t="s">
        <v>22</v>
      </c>
    </row>
    <row r="561" spans="1:18" x14ac:dyDescent="0.25">
      <c r="A561" t="s">
        <v>18</v>
      </c>
      <c r="B561" t="s">
        <v>1100</v>
      </c>
      <c r="C561" t="s">
        <v>19</v>
      </c>
      <c r="F561" t="s">
        <v>1101</v>
      </c>
      <c r="N561" t="s">
        <v>22</v>
      </c>
      <c r="O561" t="s">
        <v>22</v>
      </c>
    </row>
    <row r="562" spans="1:18" x14ac:dyDescent="0.25">
      <c r="A562" t="s">
        <v>18</v>
      </c>
      <c r="B562" t="s">
        <v>1102</v>
      </c>
      <c r="C562" t="s">
        <v>19</v>
      </c>
      <c r="F562" t="s">
        <v>1103</v>
      </c>
      <c r="N562" t="s">
        <v>22</v>
      </c>
      <c r="O562" t="s">
        <v>22</v>
      </c>
    </row>
    <row r="563" spans="1:18" x14ac:dyDescent="0.25">
      <c r="A563" t="s">
        <v>18</v>
      </c>
      <c r="B563" t="s">
        <v>1124</v>
      </c>
      <c r="C563" t="s">
        <v>19</v>
      </c>
      <c r="F563" t="s">
        <v>1125</v>
      </c>
      <c r="G563" t="s">
        <v>1126</v>
      </c>
      <c r="N563" t="s">
        <v>22</v>
      </c>
      <c r="O563" t="s">
        <v>22</v>
      </c>
    </row>
    <row r="564" spans="1:18" x14ac:dyDescent="0.25">
      <c r="A564" t="s">
        <v>18</v>
      </c>
      <c r="B564" t="s">
        <v>1106</v>
      </c>
      <c r="C564" t="s">
        <v>19</v>
      </c>
      <c r="F564" t="s">
        <v>1107</v>
      </c>
      <c r="N564" t="s">
        <v>22</v>
      </c>
      <c r="O564" t="s">
        <v>22</v>
      </c>
    </row>
    <row r="565" spans="1:18" x14ac:dyDescent="0.25">
      <c r="A565" t="s">
        <v>18</v>
      </c>
      <c r="B565" t="s">
        <v>1090</v>
      </c>
      <c r="C565" t="s">
        <v>19</v>
      </c>
      <c r="F565" t="s">
        <v>1091</v>
      </c>
      <c r="N565" t="s">
        <v>22</v>
      </c>
      <c r="O565" t="s">
        <v>22</v>
      </c>
    </row>
    <row r="566" spans="1:18" x14ac:dyDescent="0.25">
      <c r="A566" t="s">
        <v>18</v>
      </c>
      <c r="B566" t="s">
        <v>1059</v>
      </c>
      <c r="C566" t="s">
        <v>19</v>
      </c>
      <c r="F566" t="s">
        <v>1060</v>
      </c>
      <c r="N566" t="s">
        <v>22</v>
      </c>
      <c r="O566" t="s">
        <v>22</v>
      </c>
    </row>
    <row r="567" spans="1:18" x14ac:dyDescent="0.25">
      <c r="A567" t="s">
        <v>18</v>
      </c>
      <c r="B567" t="s">
        <v>1112</v>
      </c>
      <c r="C567" t="s">
        <v>19</v>
      </c>
      <c r="F567" t="s">
        <v>1113</v>
      </c>
      <c r="N567" t="s">
        <v>22</v>
      </c>
      <c r="O567" t="s">
        <v>22</v>
      </c>
    </row>
    <row r="568" spans="1:18" x14ac:dyDescent="0.25">
      <c r="A568" t="s">
        <v>18</v>
      </c>
      <c r="B568" t="s">
        <v>1104</v>
      </c>
      <c r="C568" t="s">
        <v>19</v>
      </c>
      <c r="F568" t="s">
        <v>1105</v>
      </c>
      <c r="I568" t="s">
        <v>20</v>
      </c>
      <c r="N568" t="s">
        <v>22</v>
      </c>
      <c r="O568" t="s">
        <v>22</v>
      </c>
    </row>
    <row r="569" spans="1:18" x14ac:dyDescent="0.25">
      <c r="A569" t="s">
        <v>18</v>
      </c>
      <c r="B569" t="s">
        <v>1116</v>
      </c>
      <c r="C569" t="s">
        <v>19</v>
      </c>
      <c r="F569" t="s">
        <v>1117</v>
      </c>
      <c r="N569" t="s">
        <v>22</v>
      </c>
      <c r="O569" t="s">
        <v>22</v>
      </c>
    </row>
    <row r="570" spans="1:18" x14ac:dyDescent="0.25">
      <c r="A570" t="s">
        <v>18</v>
      </c>
      <c r="B570" t="s">
        <v>1118</v>
      </c>
      <c r="C570" t="s">
        <v>19</v>
      </c>
      <c r="F570" t="s">
        <v>1119</v>
      </c>
      <c r="N570" t="s">
        <v>22</v>
      </c>
      <c r="O570" t="s">
        <v>22</v>
      </c>
    </row>
    <row r="571" spans="1:18" x14ac:dyDescent="0.25">
      <c r="A571" t="s">
        <v>18</v>
      </c>
      <c r="B571" t="s">
        <v>1120</v>
      </c>
      <c r="C571" t="s">
        <v>19</v>
      </c>
      <c r="F571" t="s">
        <v>1121</v>
      </c>
      <c r="G571" t="s">
        <v>2565</v>
      </c>
      <c r="N571" t="s">
        <v>22</v>
      </c>
      <c r="O571" t="s">
        <v>22</v>
      </c>
    </row>
    <row r="572" spans="1:18" x14ac:dyDescent="0.25">
      <c r="A572" t="s">
        <v>18</v>
      </c>
      <c r="B572" t="s">
        <v>1122</v>
      </c>
      <c r="C572" t="s">
        <v>19</v>
      </c>
      <c r="F572" t="s">
        <v>1123</v>
      </c>
      <c r="N572" t="s">
        <v>22</v>
      </c>
      <c r="O572" t="s">
        <v>22</v>
      </c>
    </row>
    <row r="573" spans="1:18" x14ac:dyDescent="0.25">
      <c r="A573" t="s">
        <v>18</v>
      </c>
      <c r="B573" t="s">
        <v>1073</v>
      </c>
      <c r="C573" t="s">
        <v>19</v>
      </c>
      <c r="F573" t="s">
        <v>2408</v>
      </c>
      <c r="G573" t="s">
        <v>2409</v>
      </c>
      <c r="N573" t="s">
        <v>22</v>
      </c>
      <c r="O573" t="s">
        <v>22</v>
      </c>
      <c r="P573" t="s">
        <v>2617</v>
      </c>
      <c r="Q573" t="s">
        <v>22</v>
      </c>
      <c r="R573" t="s">
        <v>23</v>
      </c>
    </row>
    <row r="574" spans="1:18" x14ac:dyDescent="0.25">
      <c r="A574" t="s">
        <v>18</v>
      </c>
      <c r="B574" t="s">
        <v>2410</v>
      </c>
      <c r="C574" t="s">
        <v>19</v>
      </c>
      <c r="F574" t="s">
        <v>2411</v>
      </c>
      <c r="N574" t="s">
        <v>22</v>
      </c>
      <c r="O574" t="s">
        <v>23</v>
      </c>
      <c r="Q574" t="s">
        <v>22</v>
      </c>
      <c r="R574" t="s">
        <v>23</v>
      </c>
    </row>
    <row r="575" spans="1:18" x14ac:dyDescent="0.25">
      <c r="A575" t="s">
        <v>18</v>
      </c>
      <c r="B575" t="s">
        <v>1165</v>
      </c>
      <c r="C575" t="s">
        <v>19</v>
      </c>
      <c r="F575" t="s">
        <v>1166</v>
      </c>
      <c r="N575" t="s">
        <v>22</v>
      </c>
      <c r="O575" t="s">
        <v>22</v>
      </c>
    </row>
    <row r="576" spans="1:18" x14ac:dyDescent="0.25">
      <c r="A576" t="s">
        <v>18</v>
      </c>
      <c r="B576" t="s">
        <v>1110</v>
      </c>
      <c r="C576" t="s">
        <v>19</v>
      </c>
      <c r="F576" t="s">
        <v>1111</v>
      </c>
      <c r="N576" t="s">
        <v>22</v>
      </c>
      <c r="O576" t="s">
        <v>22</v>
      </c>
    </row>
    <row r="577" spans="1:18" x14ac:dyDescent="0.25">
      <c r="A577" t="s">
        <v>18</v>
      </c>
      <c r="B577" t="s">
        <v>1147</v>
      </c>
      <c r="C577" t="s">
        <v>19</v>
      </c>
      <c r="F577" t="s">
        <v>1148</v>
      </c>
      <c r="N577" t="s">
        <v>22</v>
      </c>
      <c r="O577" t="s">
        <v>22</v>
      </c>
    </row>
    <row r="578" spans="1:18" x14ac:dyDescent="0.25">
      <c r="A578" t="s">
        <v>18</v>
      </c>
      <c r="B578" t="s">
        <v>1161</v>
      </c>
      <c r="C578" t="s">
        <v>19</v>
      </c>
      <c r="F578" t="s">
        <v>1162</v>
      </c>
      <c r="N578" t="s">
        <v>22</v>
      </c>
      <c r="O578" t="s">
        <v>22</v>
      </c>
    </row>
    <row r="579" spans="1:18" x14ac:dyDescent="0.25">
      <c r="A579" t="s">
        <v>18</v>
      </c>
      <c r="B579" t="s">
        <v>1133</v>
      </c>
      <c r="C579" t="s">
        <v>19</v>
      </c>
      <c r="F579" t="s">
        <v>2419</v>
      </c>
      <c r="G579" t="s">
        <v>2420</v>
      </c>
      <c r="N579" t="s">
        <v>22</v>
      </c>
      <c r="O579" t="s">
        <v>22</v>
      </c>
      <c r="P579" t="s">
        <v>2618</v>
      </c>
      <c r="Q579" t="s">
        <v>22</v>
      </c>
      <c r="R579" t="s">
        <v>23</v>
      </c>
    </row>
    <row r="580" spans="1:18" x14ac:dyDescent="0.25">
      <c r="A580" t="s">
        <v>18</v>
      </c>
      <c r="B580" t="s">
        <v>1134</v>
      </c>
      <c r="C580" t="s">
        <v>19</v>
      </c>
      <c r="F580" t="s">
        <v>2421</v>
      </c>
      <c r="N580" t="s">
        <v>22</v>
      </c>
      <c r="O580" t="s">
        <v>22</v>
      </c>
      <c r="Q580" t="s">
        <v>22</v>
      </c>
      <c r="R580" t="s">
        <v>23</v>
      </c>
    </row>
    <row r="581" spans="1:18" x14ac:dyDescent="0.25">
      <c r="A581" t="s">
        <v>18</v>
      </c>
      <c r="B581" t="s">
        <v>1135</v>
      </c>
      <c r="C581" t="s">
        <v>19</v>
      </c>
      <c r="F581" t="s">
        <v>1136</v>
      </c>
      <c r="N581" t="s">
        <v>22</v>
      </c>
      <c r="O581" t="s">
        <v>23</v>
      </c>
    </row>
    <row r="582" spans="1:18" x14ac:dyDescent="0.25">
      <c r="A582" t="s">
        <v>18</v>
      </c>
      <c r="B582" t="s">
        <v>1157</v>
      </c>
      <c r="C582" t="s">
        <v>19</v>
      </c>
      <c r="F582" t="s">
        <v>1136</v>
      </c>
      <c r="N582" t="s">
        <v>22</v>
      </c>
      <c r="O582" t="s">
        <v>22</v>
      </c>
    </row>
    <row r="583" spans="1:18" x14ac:dyDescent="0.25">
      <c r="A583" t="s">
        <v>18</v>
      </c>
      <c r="B583" t="s">
        <v>1139</v>
      </c>
      <c r="C583" t="s">
        <v>19</v>
      </c>
      <c r="F583" t="s">
        <v>1140</v>
      </c>
      <c r="N583" t="s">
        <v>22</v>
      </c>
      <c r="O583" t="s">
        <v>22</v>
      </c>
    </row>
    <row r="584" spans="1:18" x14ac:dyDescent="0.25">
      <c r="A584" t="s">
        <v>18</v>
      </c>
      <c r="B584" t="s">
        <v>1127</v>
      </c>
      <c r="C584" t="s">
        <v>19</v>
      </c>
      <c r="F584" t="s">
        <v>1128</v>
      </c>
      <c r="N584" t="s">
        <v>22</v>
      </c>
      <c r="O584" t="s">
        <v>22</v>
      </c>
    </row>
    <row r="585" spans="1:18" x14ac:dyDescent="0.25">
      <c r="A585" t="s">
        <v>18</v>
      </c>
      <c r="B585" t="s">
        <v>2417</v>
      </c>
      <c r="C585" t="s">
        <v>19</v>
      </c>
      <c r="F585" t="s">
        <v>2418</v>
      </c>
      <c r="N585" t="s">
        <v>22</v>
      </c>
      <c r="O585" t="s">
        <v>23</v>
      </c>
      <c r="Q585" t="s">
        <v>22</v>
      </c>
      <c r="R585" t="s">
        <v>23</v>
      </c>
    </row>
    <row r="586" spans="1:18" x14ac:dyDescent="0.25">
      <c r="A586" t="s">
        <v>18</v>
      </c>
      <c r="B586" t="s">
        <v>1145</v>
      </c>
      <c r="C586" t="s">
        <v>19</v>
      </c>
      <c r="F586" t="s">
        <v>1146</v>
      </c>
      <c r="N586" t="s">
        <v>22</v>
      </c>
      <c r="O586" t="s">
        <v>22</v>
      </c>
    </row>
    <row r="587" spans="1:18" x14ac:dyDescent="0.25">
      <c r="A587" t="s">
        <v>18</v>
      </c>
      <c r="B587" t="s">
        <v>1130</v>
      </c>
      <c r="C587" t="s">
        <v>19</v>
      </c>
      <c r="F587" t="s">
        <v>2415</v>
      </c>
      <c r="G587" t="s">
        <v>2416</v>
      </c>
      <c r="N587" t="s">
        <v>22</v>
      </c>
      <c r="O587" t="s">
        <v>22</v>
      </c>
      <c r="P587" t="s">
        <v>2619</v>
      </c>
      <c r="Q587" t="s">
        <v>22</v>
      </c>
      <c r="R587" t="s">
        <v>23</v>
      </c>
    </row>
    <row r="588" spans="1:18" x14ac:dyDescent="0.25">
      <c r="A588" t="s">
        <v>18</v>
      </c>
      <c r="B588" t="s">
        <v>1149</v>
      </c>
      <c r="C588" t="s">
        <v>19</v>
      </c>
      <c r="F588" t="s">
        <v>1150</v>
      </c>
      <c r="N588" t="s">
        <v>22</v>
      </c>
      <c r="O588" t="s">
        <v>22</v>
      </c>
    </row>
    <row r="589" spans="1:18" x14ac:dyDescent="0.25">
      <c r="A589" t="s">
        <v>18</v>
      </c>
      <c r="B589" t="s">
        <v>1151</v>
      </c>
      <c r="C589" t="s">
        <v>19</v>
      </c>
      <c r="F589" t="s">
        <v>1152</v>
      </c>
      <c r="N589" t="s">
        <v>22</v>
      </c>
      <c r="O589" t="s">
        <v>22</v>
      </c>
    </row>
    <row r="590" spans="1:18" x14ac:dyDescent="0.25">
      <c r="A590" t="s">
        <v>18</v>
      </c>
      <c r="B590" t="s">
        <v>1153</v>
      </c>
      <c r="C590" t="s">
        <v>19</v>
      </c>
      <c r="F590" t="s">
        <v>1154</v>
      </c>
      <c r="N590" t="s">
        <v>22</v>
      </c>
      <c r="O590" t="s">
        <v>22</v>
      </c>
    </row>
    <row r="591" spans="1:18" x14ac:dyDescent="0.25">
      <c r="A591" t="s">
        <v>18</v>
      </c>
      <c r="B591" t="s">
        <v>1155</v>
      </c>
      <c r="C591" t="s">
        <v>19</v>
      </c>
      <c r="F591" t="s">
        <v>1156</v>
      </c>
      <c r="N591" t="s">
        <v>22</v>
      </c>
      <c r="O591" t="s">
        <v>22</v>
      </c>
    </row>
    <row r="592" spans="1:18" x14ac:dyDescent="0.25">
      <c r="A592" t="s">
        <v>18</v>
      </c>
      <c r="B592" t="s">
        <v>1036</v>
      </c>
      <c r="C592" t="s">
        <v>19</v>
      </c>
      <c r="F592" t="s">
        <v>1037</v>
      </c>
      <c r="N592" t="s">
        <v>22</v>
      </c>
      <c r="O592" t="s">
        <v>22</v>
      </c>
    </row>
    <row r="593" spans="1:15" x14ac:dyDescent="0.25">
      <c r="A593" t="s">
        <v>18</v>
      </c>
      <c r="B593" t="s">
        <v>949</v>
      </c>
      <c r="C593" t="s">
        <v>19</v>
      </c>
      <c r="F593" t="s">
        <v>950</v>
      </c>
      <c r="N593" t="s">
        <v>22</v>
      </c>
      <c r="O593" t="s">
        <v>22</v>
      </c>
    </row>
    <row r="594" spans="1:15" x14ac:dyDescent="0.25">
      <c r="A594" t="s">
        <v>18</v>
      </c>
      <c r="B594" t="s">
        <v>1094</v>
      </c>
      <c r="C594" t="s">
        <v>19</v>
      </c>
      <c r="F594" t="s">
        <v>1095</v>
      </c>
      <c r="N594" t="s">
        <v>22</v>
      </c>
      <c r="O594" t="s">
        <v>22</v>
      </c>
    </row>
    <row r="595" spans="1:15" x14ac:dyDescent="0.25">
      <c r="A595" t="s">
        <v>18</v>
      </c>
      <c r="B595" t="s">
        <v>1143</v>
      </c>
      <c r="C595" t="s">
        <v>19</v>
      </c>
      <c r="F595" t="s">
        <v>1144</v>
      </c>
      <c r="N595" t="s">
        <v>22</v>
      </c>
      <c r="O595" t="s">
        <v>22</v>
      </c>
    </row>
    <row r="596" spans="1:15" x14ac:dyDescent="0.25">
      <c r="A596" t="s">
        <v>18</v>
      </c>
      <c r="B596" t="s">
        <v>1183</v>
      </c>
      <c r="C596" t="s">
        <v>19</v>
      </c>
      <c r="F596" t="s">
        <v>1184</v>
      </c>
      <c r="N596" t="s">
        <v>22</v>
      </c>
      <c r="O596" t="s">
        <v>22</v>
      </c>
    </row>
    <row r="597" spans="1:15" x14ac:dyDescent="0.25">
      <c r="A597" t="s">
        <v>18</v>
      </c>
      <c r="B597" t="s">
        <v>957</v>
      </c>
      <c r="C597" t="s">
        <v>19</v>
      </c>
      <c r="F597" t="s">
        <v>958</v>
      </c>
      <c r="N597" t="s">
        <v>22</v>
      </c>
      <c r="O597" t="s">
        <v>22</v>
      </c>
    </row>
    <row r="598" spans="1:15" x14ac:dyDescent="0.25">
      <c r="A598" t="s">
        <v>18</v>
      </c>
      <c r="B598" t="s">
        <v>1167</v>
      </c>
      <c r="C598" t="s">
        <v>19</v>
      </c>
      <c r="F598" t="s">
        <v>1168</v>
      </c>
      <c r="N598" t="s">
        <v>22</v>
      </c>
      <c r="O598" t="s">
        <v>22</v>
      </c>
    </row>
    <row r="599" spans="1:15" x14ac:dyDescent="0.25">
      <c r="A599" t="s">
        <v>18</v>
      </c>
      <c r="B599" t="s">
        <v>1169</v>
      </c>
      <c r="C599" t="s">
        <v>19</v>
      </c>
      <c r="F599" t="s">
        <v>1170</v>
      </c>
      <c r="N599" t="s">
        <v>22</v>
      </c>
      <c r="O599" t="s">
        <v>22</v>
      </c>
    </row>
    <row r="600" spans="1:15" x14ac:dyDescent="0.25">
      <c r="A600" t="s">
        <v>18</v>
      </c>
      <c r="B600" t="s">
        <v>1171</v>
      </c>
      <c r="C600" t="s">
        <v>19</v>
      </c>
      <c r="F600" t="s">
        <v>1172</v>
      </c>
      <c r="N600" t="s">
        <v>22</v>
      </c>
      <c r="O600" t="s">
        <v>22</v>
      </c>
    </row>
    <row r="601" spans="1:15" x14ac:dyDescent="0.25">
      <c r="A601" t="s">
        <v>18</v>
      </c>
      <c r="B601" t="s">
        <v>1193</v>
      </c>
      <c r="C601" t="s">
        <v>19</v>
      </c>
      <c r="F601" t="s">
        <v>1194</v>
      </c>
      <c r="N601" t="s">
        <v>22</v>
      </c>
      <c r="O601" t="s">
        <v>22</v>
      </c>
    </row>
    <row r="602" spans="1:15" x14ac:dyDescent="0.25">
      <c r="A602" t="s">
        <v>18</v>
      </c>
      <c r="B602" t="s">
        <v>1175</v>
      </c>
      <c r="C602" t="s">
        <v>19</v>
      </c>
      <c r="F602" t="s">
        <v>1176</v>
      </c>
      <c r="N602" t="s">
        <v>22</v>
      </c>
      <c r="O602" t="s">
        <v>22</v>
      </c>
    </row>
    <row r="603" spans="1:15" x14ac:dyDescent="0.25">
      <c r="A603" t="s">
        <v>18</v>
      </c>
      <c r="B603" t="s">
        <v>1158</v>
      </c>
      <c r="C603" t="s">
        <v>19</v>
      </c>
      <c r="F603" t="s">
        <v>1159</v>
      </c>
      <c r="G603" t="s">
        <v>1160</v>
      </c>
      <c r="N603" t="s">
        <v>22</v>
      </c>
      <c r="O603" t="s">
        <v>22</v>
      </c>
    </row>
    <row r="604" spans="1:15" x14ac:dyDescent="0.25">
      <c r="A604" t="s">
        <v>18</v>
      </c>
      <c r="B604" t="s">
        <v>1131</v>
      </c>
      <c r="C604" t="s">
        <v>19</v>
      </c>
      <c r="F604" t="s">
        <v>1132</v>
      </c>
      <c r="G604" t="s">
        <v>2566</v>
      </c>
      <c r="N604" t="s">
        <v>22</v>
      </c>
      <c r="O604" t="s">
        <v>22</v>
      </c>
    </row>
    <row r="605" spans="1:15" x14ac:dyDescent="0.25">
      <c r="A605" t="s">
        <v>18</v>
      </c>
      <c r="B605" t="s">
        <v>1181</v>
      </c>
      <c r="C605" t="s">
        <v>19</v>
      </c>
      <c r="F605" t="s">
        <v>1182</v>
      </c>
      <c r="N605" t="s">
        <v>22</v>
      </c>
      <c r="O605" t="s">
        <v>22</v>
      </c>
    </row>
    <row r="606" spans="1:15" x14ac:dyDescent="0.25">
      <c r="A606" t="s">
        <v>18</v>
      </c>
      <c r="B606" t="s">
        <v>1163</v>
      </c>
      <c r="C606" t="s">
        <v>19</v>
      </c>
      <c r="F606" t="s">
        <v>1164</v>
      </c>
      <c r="N606" t="s">
        <v>22</v>
      </c>
      <c r="O606" t="s">
        <v>22</v>
      </c>
    </row>
    <row r="607" spans="1:15" x14ac:dyDescent="0.25">
      <c r="A607" t="s">
        <v>18</v>
      </c>
      <c r="B607" t="s">
        <v>1185</v>
      </c>
      <c r="C607" t="s">
        <v>19</v>
      </c>
      <c r="F607" t="s">
        <v>1186</v>
      </c>
      <c r="N607" t="s">
        <v>22</v>
      </c>
      <c r="O607" t="s">
        <v>22</v>
      </c>
    </row>
    <row r="608" spans="1:15" x14ac:dyDescent="0.25">
      <c r="A608" t="s">
        <v>18</v>
      </c>
      <c r="B608" t="s">
        <v>1187</v>
      </c>
      <c r="C608" t="s">
        <v>19</v>
      </c>
      <c r="F608" t="s">
        <v>1188</v>
      </c>
      <c r="N608" t="s">
        <v>22</v>
      </c>
      <c r="O608" t="s">
        <v>22</v>
      </c>
    </row>
    <row r="609" spans="1:15" x14ac:dyDescent="0.25">
      <c r="A609" t="s">
        <v>18</v>
      </c>
      <c r="B609" t="s">
        <v>1189</v>
      </c>
      <c r="C609" t="s">
        <v>19</v>
      </c>
      <c r="F609" t="s">
        <v>1190</v>
      </c>
      <c r="N609" t="s">
        <v>22</v>
      </c>
      <c r="O609" t="s">
        <v>22</v>
      </c>
    </row>
    <row r="610" spans="1:15" x14ac:dyDescent="0.25">
      <c r="A610" t="s">
        <v>18</v>
      </c>
      <c r="B610" t="s">
        <v>1191</v>
      </c>
      <c r="C610" t="s">
        <v>19</v>
      </c>
      <c r="F610" t="s">
        <v>1192</v>
      </c>
      <c r="N610" t="s">
        <v>22</v>
      </c>
      <c r="O610" t="s">
        <v>22</v>
      </c>
    </row>
    <row r="611" spans="1:15" x14ac:dyDescent="0.25">
      <c r="A611" t="s">
        <v>18</v>
      </c>
      <c r="B611" t="s">
        <v>1141</v>
      </c>
      <c r="C611" t="s">
        <v>19</v>
      </c>
      <c r="F611" t="s">
        <v>1142</v>
      </c>
      <c r="N611" t="s">
        <v>22</v>
      </c>
      <c r="O611" t="s">
        <v>22</v>
      </c>
    </row>
    <row r="612" spans="1:15" x14ac:dyDescent="0.25">
      <c r="A612" t="s">
        <v>18</v>
      </c>
      <c r="B612" t="s">
        <v>1137</v>
      </c>
      <c r="C612" t="s">
        <v>19</v>
      </c>
      <c r="F612" t="s">
        <v>1138</v>
      </c>
      <c r="G612" t="s">
        <v>2567</v>
      </c>
      <c r="N612" t="s">
        <v>22</v>
      </c>
      <c r="O612" t="s">
        <v>22</v>
      </c>
    </row>
    <row r="613" spans="1:15" x14ac:dyDescent="0.25">
      <c r="A613" t="s">
        <v>18</v>
      </c>
      <c r="B613" t="s">
        <v>1173</v>
      </c>
      <c r="C613" t="s">
        <v>19</v>
      </c>
      <c r="F613" t="s">
        <v>1174</v>
      </c>
      <c r="N613" t="s">
        <v>22</v>
      </c>
      <c r="O613" t="s">
        <v>22</v>
      </c>
    </row>
    <row r="614" spans="1:15" x14ac:dyDescent="0.25">
      <c r="A614" t="s">
        <v>18</v>
      </c>
      <c r="B614" t="s">
        <v>1179</v>
      </c>
      <c r="C614" t="s">
        <v>19</v>
      </c>
      <c r="F614" t="s">
        <v>1180</v>
      </c>
      <c r="N614" t="s">
        <v>22</v>
      </c>
      <c r="O614" t="s">
        <v>22</v>
      </c>
    </row>
    <row r="615" spans="1:15" x14ac:dyDescent="0.25">
      <c r="A615" t="s">
        <v>18</v>
      </c>
      <c r="B615" t="s">
        <v>2051</v>
      </c>
      <c r="C615" t="s">
        <v>19</v>
      </c>
      <c r="F615" t="s">
        <v>2052</v>
      </c>
      <c r="N615" t="s">
        <v>22</v>
      </c>
      <c r="O615" t="s">
        <v>22</v>
      </c>
    </row>
    <row r="616" spans="1:15" x14ac:dyDescent="0.25">
      <c r="A616" t="s">
        <v>18</v>
      </c>
      <c r="B616" t="s">
        <v>1351</v>
      </c>
      <c r="C616" t="s">
        <v>19</v>
      </c>
      <c r="F616" t="s">
        <v>1352</v>
      </c>
      <c r="N616" t="s">
        <v>22</v>
      </c>
      <c r="O616" t="s">
        <v>22</v>
      </c>
    </row>
    <row r="617" spans="1:15" x14ac:dyDescent="0.25">
      <c r="A617" t="s">
        <v>18</v>
      </c>
      <c r="B617" t="s">
        <v>2038</v>
      </c>
      <c r="C617" t="s">
        <v>19</v>
      </c>
      <c r="F617" t="s">
        <v>2039</v>
      </c>
      <c r="N617" t="s">
        <v>22</v>
      </c>
      <c r="O617" t="s">
        <v>22</v>
      </c>
    </row>
    <row r="618" spans="1:15" x14ac:dyDescent="0.25">
      <c r="A618" t="s">
        <v>18</v>
      </c>
      <c r="B618" t="s">
        <v>2040</v>
      </c>
      <c r="C618" t="s">
        <v>19</v>
      </c>
      <c r="F618" t="s">
        <v>2041</v>
      </c>
      <c r="N618" t="s">
        <v>22</v>
      </c>
      <c r="O618" t="s">
        <v>22</v>
      </c>
    </row>
    <row r="619" spans="1:15" x14ac:dyDescent="0.25">
      <c r="A619" t="s">
        <v>18</v>
      </c>
      <c r="B619" t="s">
        <v>2059</v>
      </c>
      <c r="C619" t="s">
        <v>19</v>
      </c>
      <c r="F619" t="s">
        <v>2060</v>
      </c>
      <c r="N619" t="s">
        <v>22</v>
      </c>
      <c r="O619" t="s">
        <v>22</v>
      </c>
    </row>
    <row r="620" spans="1:15" x14ac:dyDescent="0.25">
      <c r="A620" t="s">
        <v>18</v>
      </c>
      <c r="B620" t="s">
        <v>2043</v>
      </c>
      <c r="C620" t="s">
        <v>19</v>
      </c>
      <c r="F620" t="s">
        <v>2044</v>
      </c>
      <c r="N620" t="s">
        <v>22</v>
      </c>
      <c r="O620" t="s">
        <v>22</v>
      </c>
    </row>
    <row r="621" spans="1:15" x14ac:dyDescent="0.25">
      <c r="A621" t="s">
        <v>18</v>
      </c>
      <c r="B621" t="s">
        <v>2028</v>
      </c>
      <c r="C621" t="s">
        <v>19</v>
      </c>
      <c r="F621" t="s">
        <v>2029</v>
      </c>
      <c r="N621" t="s">
        <v>22</v>
      </c>
      <c r="O621" t="s">
        <v>22</v>
      </c>
    </row>
    <row r="622" spans="1:15" x14ac:dyDescent="0.25">
      <c r="A622" t="s">
        <v>18</v>
      </c>
      <c r="B622" t="s">
        <v>2034</v>
      </c>
      <c r="C622" t="s">
        <v>19</v>
      </c>
      <c r="F622" t="s">
        <v>2035</v>
      </c>
      <c r="N622" t="s">
        <v>22</v>
      </c>
      <c r="O622" t="s">
        <v>22</v>
      </c>
    </row>
    <row r="623" spans="1:15" x14ac:dyDescent="0.25">
      <c r="A623" t="s">
        <v>18</v>
      </c>
      <c r="B623" t="s">
        <v>2049</v>
      </c>
      <c r="C623" t="s">
        <v>19</v>
      </c>
      <c r="F623" t="s">
        <v>2050</v>
      </c>
      <c r="N623" t="s">
        <v>22</v>
      </c>
      <c r="O623" t="s">
        <v>22</v>
      </c>
    </row>
    <row r="624" spans="1:15" x14ac:dyDescent="0.25">
      <c r="A624" t="s">
        <v>18</v>
      </c>
      <c r="B624" t="s">
        <v>2032</v>
      </c>
      <c r="C624" t="s">
        <v>19</v>
      </c>
      <c r="F624" t="s">
        <v>2033</v>
      </c>
      <c r="N624" t="s">
        <v>22</v>
      </c>
      <c r="O624" t="s">
        <v>22</v>
      </c>
    </row>
    <row r="625" spans="1:15" x14ac:dyDescent="0.25">
      <c r="A625" t="s">
        <v>18</v>
      </c>
      <c r="B625" t="s">
        <v>2053</v>
      </c>
      <c r="C625" t="s">
        <v>19</v>
      </c>
      <c r="F625" t="s">
        <v>2054</v>
      </c>
      <c r="N625" t="s">
        <v>22</v>
      </c>
      <c r="O625" t="s">
        <v>22</v>
      </c>
    </row>
    <row r="626" spans="1:15" x14ac:dyDescent="0.25">
      <c r="A626" t="s">
        <v>18</v>
      </c>
      <c r="B626" t="s">
        <v>2055</v>
      </c>
      <c r="C626" t="s">
        <v>19</v>
      </c>
      <c r="F626" t="s">
        <v>2056</v>
      </c>
      <c r="N626" t="s">
        <v>22</v>
      </c>
      <c r="O626" t="s">
        <v>22</v>
      </c>
    </row>
    <row r="627" spans="1:15" x14ac:dyDescent="0.25">
      <c r="A627" t="s">
        <v>18</v>
      </c>
      <c r="B627" t="s">
        <v>2057</v>
      </c>
      <c r="C627" t="s">
        <v>19</v>
      </c>
      <c r="F627" t="s">
        <v>2058</v>
      </c>
      <c r="N627" t="s">
        <v>22</v>
      </c>
      <c r="O627" t="s">
        <v>22</v>
      </c>
    </row>
    <row r="628" spans="1:15" x14ac:dyDescent="0.25">
      <c r="A628" t="s">
        <v>18</v>
      </c>
      <c r="B628" t="s">
        <v>1605</v>
      </c>
      <c r="C628" t="s">
        <v>19</v>
      </c>
      <c r="F628" t="s">
        <v>1606</v>
      </c>
      <c r="N628" t="s">
        <v>22</v>
      </c>
      <c r="O628" t="s">
        <v>22</v>
      </c>
    </row>
    <row r="629" spans="1:15" x14ac:dyDescent="0.25">
      <c r="A629" t="s">
        <v>18</v>
      </c>
      <c r="B629" t="s">
        <v>1229</v>
      </c>
      <c r="C629" t="s">
        <v>19</v>
      </c>
      <c r="F629" t="s">
        <v>1230</v>
      </c>
      <c r="N629" t="s">
        <v>22</v>
      </c>
      <c r="O629" t="s">
        <v>22</v>
      </c>
    </row>
    <row r="630" spans="1:15" x14ac:dyDescent="0.25">
      <c r="A630" t="s">
        <v>18</v>
      </c>
      <c r="B630" t="s">
        <v>1729</v>
      </c>
      <c r="C630" t="s">
        <v>19</v>
      </c>
      <c r="F630" t="s">
        <v>1730</v>
      </c>
      <c r="N630" t="s">
        <v>22</v>
      </c>
      <c r="O630" t="s">
        <v>22</v>
      </c>
    </row>
    <row r="631" spans="1:15" x14ac:dyDescent="0.25">
      <c r="A631" t="s">
        <v>18</v>
      </c>
      <c r="B631" t="s">
        <v>1415</v>
      </c>
      <c r="C631" t="s">
        <v>19</v>
      </c>
      <c r="F631" t="s">
        <v>1317</v>
      </c>
      <c r="H631" t="s">
        <v>1414</v>
      </c>
      <c r="N631" t="s">
        <v>22</v>
      </c>
      <c r="O631" t="s">
        <v>22</v>
      </c>
    </row>
    <row r="632" spans="1:15" x14ac:dyDescent="0.25">
      <c r="A632" t="s">
        <v>18</v>
      </c>
      <c r="B632" t="s">
        <v>2047</v>
      </c>
      <c r="C632" t="s">
        <v>19</v>
      </c>
      <c r="F632" t="s">
        <v>2048</v>
      </c>
      <c r="N632" t="s">
        <v>22</v>
      </c>
      <c r="O632" t="s">
        <v>22</v>
      </c>
    </row>
    <row r="633" spans="1:15" x14ac:dyDescent="0.25">
      <c r="A633" t="s">
        <v>18</v>
      </c>
      <c r="B633" t="s">
        <v>2084</v>
      </c>
      <c r="C633" t="s">
        <v>19</v>
      </c>
      <c r="F633" t="s">
        <v>2085</v>
      </c>
      <c r="N633" t="s">
        <v>22</v>
      </c>
      <c r="O633" t="s">
        <v>22</v>
      </c>
    </row>
    <row r="634" spans="1:15" x14ac:dyDescent="0.25">
      <c r="A634" t="s">
        <v>18</v>
      </c>
      <c r="B634" t="s">
        <v>2068</v>
      </c>
      <c r="C634" t="s">
        <v>19</v>
      </c>
      <c r="F634" t="s">
        <v>2069</v>
      </c>
      <c r="N634" t="s">
        <v>22</v>
      </c>
      <c r="O634" t="s">
        <v>22</v>
      </c>
    </row>
    <row r="635" spans="1:15" x14ac:dyDescent="0.25">
      <c r="A635" t="s">
        <v>18</v>
      </c>
      <c r="B635" t="s">
        <v>2070</v>
      </c>
      <c r="C635" t="s">
        <v>19</v>
      </c>
      <c r="F635" t="s">
        <v>2071</v>
      </c>
      <c r="N635" t="s">
        <v>22</v>
      </c>
      <c r="O635" t="s">
        <v>22</v>
      </c>
    </row>
    <row r="636" spans="1:15" x14ac:dyDescent="0.25">
      <c r="A636" t="s">
        <v>18</v>
      </c>
      <c r="B636" t="s">
        <v>2072</v>
      </c>
      <c r="C636" t="s">
        <v>19</v>
      </c>
      <c r="F636" t="s">
        <v>2073</v>
      </c>
      <c r="N636" t="s">
        <v>22</v>
      </c>
      <c r="O636" t="s">
        <v>22</v>
      </c>
    </row>
    <row r="637" spans="1:15" x14ac:dyDescent="0.25">
      <c r="A637" t="s">
        <v>18</v>
      </c>
      <c r="B637" t="s">
        <v>2094</v>
      </c>
      <c r="C637" t="s">
        <v>19</v>
      </c>
      <c r="F637" t="s">
        <v>2095</v>
      </c>
      <c r="N637" t="s">
        <v>22</v>
      </c>
      <c r="O637" t="s">
        <v>22</v>
      </c>
    </row>
    <row r="638" spans="1:15" x14ac:dyDescent="0.25">
      <c r="A638" t="s">
        <v>18</v>
      </c>
      <c r="B638" t="s">
        <v>2076</v>
      </c>
      <c r="C638" t="s">
        <v>19</v>
      </c>
      <c r="F638" t="s">
        <v>2077</v>
      </c>
      <c r="N638" t="s">
        <v>22</v>
      </c>
      <c r="O638" t="s">
        <v>22</v>
      </c>
    </row>
    <row r="639" spans="1:15" x14ac:dyDescent="0.25">
      <c r="A639" t="s">
        <v>18</v>
      </c>
      <c r="B639" t="s">
        <v>2061</v>
      </c>
      <c r="C639" t="s">
        <v>19</v>
      </c>
      <c r="F639" t="s">
        <v>2062</v>
      </c>
      <c r="N639" t="s">
        <v>22</v>
      </c>
      <c r="O639" t="s">
        <v>22</v>
      </c>
    </row>
    <row r="640" spans="1:15" x14ac:dyDescent="0.25">
      <c r="A640" t="s">
        <v>18</v>
      </c>
      <c r="B640" t="s">
        <v>2036</v>
      </c>
      <c r="C640" t="s">
        <v>19</v>
      </c>
      <c r="F640" t="s">
        <v>2037</v>
      </c>
      <c r="N640" t="s">
        <v>22</v>
      </c>
      <c r="O640" t="s">
        <v>22</v>
      </c>
    </row>
    <row r="641" spans="1:15" x14ac:dyDescent="0.25">
      <c r="A641" t="s">
        <v>18</v>
      </c>
      <c r="B641" t="s">
        <v>2082</v>
      </c>
      <c r="C641" t="s">
        <v>19</v>
      </c>
      <c r="F641" t="s">
        <v>2083</v>
      </c>
      <c r="N641" t="s">
        <v>22</v>
      </c>
      <c r="O641" t="s">
        <v>22</v>
      </c>
    </row>
    <row r="642" spans="1:15" x14ac:dyDescent="0.25">
      <c r="A642" t="s">
        <v>18</v>
      </c>
      <c r="B642" t="s">
        <v>1353</v>
      </c>
      <c r="C642" t="s">
        <v>19</v>
      </c>
      <c r="F642" t="s">
        <v>1354</v>
      </c>
      <c r="N642" t="s">
        <v>22</v>
      </c>
      <c r="O642" t="s">
        <v>22</v>
      </c>
    </row>
    <row r="643" spans="1:15" x14ac:dyDescent="0.25">
      <c r="A643" t="s">
        <v>18</v>
      </c>
      <c r="B643" t="s">
        <v>2086</v>
      </c>
      <c r="C643" t="s">
        <v>19</v>
      </c>
      <c r="F643" t="s">
        <v>2087</v>
      </c>
      <c r="N643" t="s">
        <v>22</v>
      </c>
      <c r="O643" t="s">
        <v>22</v>
      </c>
    </row>
    <row r="644" spans="1:15" x14ac:dyDescent="0.25">
      <c r="A644" t="s">
        <v>18</v>
      </c>
      <c r="B644" t="s">
        <v>2088</v>
      </c>
      <c r="C644" t="s">
        <v>19</v>
      </c>
      <c r="F644" t="s">
        <v>2089</v>
      </c>
      <c r="N644" t="s">
        <v>22</v>
      </c>
      <c r="O644" t="s">
        <v>22</v>
      </c>
    </row>
    <row r="645" spans="1:15" x14ac:dyDescent="0.25">
      <c r="A645" t="s">
        <v>18</v>
      </c>
      <c r="B645" t="s">
        <v>2090</v>
      </c>
      <c r="C645" t="s">
        <v>19</v>
      </c>
      <c r="F645" t="s">
        <v>2091</v>
      </c>
      <c r="N645" t="s">
        <v>22</v>
      </c>
      <c r="O645" t="s">
        <v>22</v>
      </c>
    </row>
    <row r="646" spans="1:15" x14ac:dyDescent="0.25">
      <c r="A646" t="s">
        <v>18</v>
      </c>
      <c r="B646" t="s">
        <v>2045</v>
      </c>
      <c r="C646" t="s">
        <v>19</v>
      </c>
      <c r="F646" t="s">
        <v>2046</v>
      </c>
      <c r="N646" t="s">
        <v>22</v>
      </c>
      <c r="O646" t="s">
        <v>22</v>
      </c>
    </row>
    <row r="647" spans="1:15" x14ac:dyDescent="0.25">
      <c r="A647" t="s">
        <v>18</v>
      </c>
      <c r="B647" t="s">
        <v>2078</v>
      </c>
      <c r="C647" t="s">
        <v>19</v>
      </c>
      <c r="F647" t="s">
        <v>2079</v>
      </c>
      <c r="N647" t="s">
        <v>22</v>
      </c>
      <c r="O647" t="s">
        <v>22</v>
      </c>
    </row>
    <row r="648" spans="1:15" x14ac:dyDescent="0.25">
      <c r="A648" t="s">
        <v>18</v>
      </c>
      <c r="B648" t="s">
        <v>2074</v>
      </c>
      <c r="C648" t="s">
        <v>19</v>
      </c>
      <c r="F648" t="s">
        <v>2075</v>
      </c>
      <c r="N648" t="s">
        <v>22</v>
      </c>
      <c r="O648" t="s">
        <v>22</v>
      </c>
    </row>
    <row r="649" spans="1:15" x14ac:dyDescent="0.25">
      <c r="A649" t="s">
        <v>18</v>
      </c>
      <c r="B649" t="s">
        <v>2030</v>
      </c>
      <c r="C649" t="s">
        <v>19</v>
      </c>
      <c r="F649" t="s">
        <v>2031</v>
      </c>
      <c r="N649" t="s">
        <v>22</v>
      </c>
      <c r="O649" t="s">
        <v>22</v>
      </c>
    </row>
    <row r="650" spans="1:15" x14ac:dyDescent="0.25">
      <c r="A650" t="s">
        <v>18</v>
      </c>
      <c r="B650" t="s">
        <v>2080</v>
      </c>
      <c r="C650" t="s">
        <v>19</v>
      </c>
      <c r="F650" t="s">
        <v>2081</v>
      </c>
      <c r="G650" t="s">
        <v>2568</v>
      </c>
      <c r="N650" t="s">
        <v>22</v>
      </c>
      <c r="O650" t="s">
        <v>22</v>
      </c>
    </row>
    <row r="651" spans="1:15" x14ac:dyDescent="0.25">
      <c r="A651" t="s">
        <v>18</v>
      </c>
      <c r="B651" t="s">
        <v>1338</v>
      </c>
      <c r="C651" t="s">
        <v>19</v>
      </c>
      <c r="F651" t="s">
        <v>1317</v>
      </c>
      <c r="H651" t="s">
        <v>1337</v>
      </c>
      <c r="N651" t="s">
        <v>22</v>
      </c>
      <c r="O651" t="s">
        <v>22</v>
      </c>
    </row>
    <row r="652" spans="1:15" x14ac:dyDescent="0.25">
      <c r="A652" t="s">
        <v>18</v>
      </c>
      <c r="B652" t="s">
        <v>1349</v>
      </c>
      <c r="C652" t="s">
        <v>19</v>
      </c>
      <c r="F652" t="s">
        <v>1350</v>
      </c>
      <c r="N652" t="s">
        <v>22</v>
      </c>
      <c r="O652" t="s">
        <v>22</v>
      </c>
    </row>
    <row r="653" spans="1:15" x14ac:dyDescent="0.25">
      <c r="A653" t="s">
        <v>18</v>
      </c>
      <c r="B653" t="s">
        <v>1326</v>
      </c>
      <c r="C653" t="s">
        <v>19</v>
      </c>
      <c r="F653" t="s">
        <v>1317</v>
      </c>
      <c r="H653" t="s">
        <v>1327</v>
      </c>
      <c r="N653" t="s">
        <v>22</v>
      </c>
      <c r="O653" t="s">
        <v>22</v>
      </c>
    </row>
    <row r="654" spans="1:15" x14ac:dyDescent="0.25">
      <c r="A654" t="s">
        <v>18</v>
      </c>
      <c r="B654" t="s">
        <v>1328</v>
      </c>
      <c r="C654" t="s">
        <v>19</v>
      </c>
      <c r="F654" t="s">
        <v>1317</v>
      </c>
      <c r="H654" t="s">
        <v>1327</v>
      </c>
      <c r="N654" t="s">
        <v>22</v>
      </c>
      <c r="O654" t="s">
        <v>22</v>
      </c>
    </row>
    <row r="655" spans="1:15" x14ac:dyDescent="0.25">
      <c r="A655" t="s">
        <v>18</v>
      </c>
      <c r="B655" t="s">
        <v>1344</v>
      </c>
      <c r="C655" t="s">
        <v>19</v>
      </c>
      <c r="F655" t="s">
        <v>1317</v>
      </c>
      <c r="H655" t="s">
        <v>1332</v>
      </c>
      <c r="N655" t="s">
        <v>22</v>
      </c>
      <c r="O655" t="s">
        <v>22</v>
      </c>
    </row>
    <row r="656" spans="1:15" x14ac:dyDescent="0.25">
      <c r="A656" t="s">
        <v>18</v>
      </c>
      <c r="B656" t="s">
        <v>1331</v>
      </c>
      <c r="C656" t="s">
        <v>19</v>
      </c>
      <c r="F656" t="s">
        <v>1317</v>
      </c>
      <c r="H656" t="s">
        <v>1332</v>
      </c>
      <c r="N656" t="s">
        <v>22</v>
      </c>
      <c r="O656" t="s">
        <v>22</v>
      </c>
    </row>
    <row r="657" spans="1:15" x14ac:dyDescent="0.25">
      <c r="A657" t="s">
        <v>18</v>
      </c>
      <c r="B657" t="s">
        <v>1316</v>
      </c>
      <c r="C657" t="s">
        <v>19</v>
      </c>
      <c r="F657" t="s">
        <v>1317</v>
      </c>
      <c r="H657" t="s">
        <v>1318</v>
      </c>
      <c r="N657" t="s">
        <v>22</v>
      </c>
      <c r="O657" t="s">
        <v>22</v>
      </c>
    </row>
    <row r="658" spans="1:15" x14ac:dyDescent="0.25">
      <c r="A658" t="s">
        <v>18</v>
      </c>
      <c r="B658" t="s">
        <v>1323</v>
      </c>
      <c r="C658" t="s">
        <v>19</v>
      </c>
      <c r="F658" t="s">
        <v>1317</v>
      </c>
      <c r="H658" t="s">
        <v>1324</v>
      </c>
      <c r="N658" t="s">
        <v>22</v>
      </c>
      <c r="O658" t="s">
        <v>22</v>
      </c>
    </row>
    <row r="659" spans="1:15" x14ac:dyDescent="0.25">
      <c r="A659" t="s">
        <v>18</v>
      </c>
      <c r="B659" t="s">
        <v>1336</v>
      </c>
      <c r="C659" t="s">
        <v>19</v>
      </c>
      <c r="F659" t="s">
        <v>1317</v>
      </c>
      <c r="H659" t="s">
        <v>1337</v>
      </c>
      <c r="N659" t="s">
        <v>22</v>
      </c>
      <c r="O659" t="s">
        <v>22</v>
      </c>
    </row>
    <row r="660" spans="1:15" x14ac:dyDescent="0.25">
      <c r="A660" t="s">
        <v>18</v>
      </c>
      <c r="B660" t="s">
        <v>1320</v>
      </c>
      <c r="C660" t="s">
        <v>19</v>
      </c>
      <c r="D660" t="s">
        <v>1321</v>
      </c>
      <c r="F660" t="s">
        <v>1322</v>
      </c>
      <c r="N660" t="s">
        <v>22</v>
      </c>
      <c r="O660" t="s">
        <v>22</v>
      </c>
    </row>
    <row r="661" spans="1:15" x14ac:dyDescent="0.25">
      <c r="A661" t="s">
        <v>18</v>
      </c>
      <c r="B661" t="s">
        <v>1339</v>
      </c>
      <c r="C661" t="s">
        <v>19</v>
      </c>
      <c r="F661" t="s">
        <v>1317</v>
      </c>
      <c r="H661" t="s">
        <v>1340</v>
      </c>
      <c r="N661" t="s">
        <v>22</v>
      </c>
      <c r="O661" t="s">
        <v>22</v>
      </c>
    </row>
    <row r="662" spans="1:15" x14ac:dyDescent="0.25">
      <c r="A662" t="s">
        <v>18</v>
      </c>
      <c r="B662" t="s">
        <v>1341</v>
      </c>
      <c r="C662" t="s">
        <v>19</v>
      </c>
      <c r="F662" t="s">
        <v>1317</v>
      </c>
      <c r="H662" t="s">
        <v>1340</v>
      </c>
      <c r="N662" t="s">
        <v>22</v>
      </c>
      <c r="O662" t="s">
        <v>22</v>
      </c>
    </row>
    <row r="663" spans="1:15" x14ac:dyDescent="0.25">
      <c r="A663" t="s">
        <v>18</v>
      </c>
      <c r="B663" t="s">
        <v>1342</v>
      </c>
      <c r="C663" t="s">
        <v>19</v>
      </c>
      <c r="F663" t="s">
        <v>1317</v>
      </c>
      <c r="H663" t="s">
        <v>1343</v>
      </c>
      <c r="N663" t="s">
        <v>22</v>
      </c>
      <c r="O663" t="s">
        <v>22</v>
      </c>
    </row>
    <row r="664" spans="1:15" x14ac:dyDescent="0.25">
      <c r="A664" t="s">
        <v>18</v>
      </c>
      <c r="B664" t="s">
        <v>1391</v>
      </c>
      <c r="C664" t="s">
        <v>19</v>
      </c>
      <c r="F664" t="s">
        <v>1317</v>
      </c>
      <c r="H664" t="s">
        <v>1343</v>
      </c>
      <c r="N664" t="s">
        <v>22</v>
      </c>
      <c r="O664" t="s">
        <v>22</v>
      </c>
    </row>
    <row r="665" spans="1:15" x14ac:dyDescent="0.25">
      <c r="A665" t="s">
        <v>18</v>
      </c>
      <c r="B665" t="s">
        <v>1433</v>
      </c>
      <c r="C665" t="s">
        <v>19</v>
      </c>
      <c r="F665" t="s">
        <v>1317</v>
      </c>
      <c r="H665" t="s">
        <v>1364</v>
      </c>
      <c r="N665" t="s">
        <v>22</v>
      </c>
      <c r="O665" t="s">
        <v>22</v>
      </c>
    </row>
    <row r="666" spans="1:15" x14ac:dyDescent="0.25">
      <c r="A666" t="s">
        <v>18</v>
      </c>
      <c r="B666" t="s">
        <v>1363</v>
      </c>
      <c r="C666" t="s">
        <v>19</v>
      </c>
      <c r="F666" t="s">
        <v>1317</v>
      </c>
      <c r="H666" t="s">
        <v>1364</v>
      </c>
      <c r="N666" t="s">
        <v>22</v>
      </c>
      <c r="O666" t="s">
        <v>22</v>
      </c>
    </row>
    <row r="667" spans="1:15" x14ac:dyDescent="0.25">
      <c r="A667" t="s">
        <v>18</v>
      </c>
      <c r="B667" t="s">
        <v>1806</v>
      </c>
      <c r="C667" t="s">
        <v>19</v>
      </c>
      <c r="F667" t="s">
        <v>1807</v>
      </c>
      <c r="N667" t="s">
        <v>22</v>
      </c>
      <c r="O667" t="s">
        <v>22</v>
      </c>
    </row>
    <row r="668" spans="1:15" x14ac:dyDescent="0.25">
      <c r="A668" t="s">
        <v>18</v>
      </c>
      <c r="B668" t="s">
        <v>1335</v>
      </c>
      <c r="C668" t="s">
        <v>19</v>
      </c>
      <c r="F668" t="s">
        <v>1317</v>
      </c>
      <c r="H668" t="s">
        <v>1318</v>
      </c>
      <c r="N668" t="s">
        <v>22</v>
      </c>
      <c r="O668" t="s">
        <v>22</v>
      </c>
    </row>
    <row r="669" spans="1:15" x14ac:dyDescent="0.25">
      <c r="A669" t="s">
        <v>18</v>
      </c>
      <c r="B669" t="s">
        <v>1369</v>
      </c>
      <c r="C669" t="s">
        <v>19</v>
      </c>
      <c r="F669" t="s">
        <v>1370</v>
      </c>
      <c r="N669" t="s">
        <v>22</v>
      </c>
      <c r="O669" t="s">
        <v>22</v>
      </c>
    </row>
    <row r="670" spans="1:15" x14ac:dyDescent="0.25">
      <c r="A670" t="s">
        <v>18</v>
      </c>
      <c r="B670" t="s">
        <v>1355</v>
      </c>
      <c r="C670" t="s">
        <v>19</v>
      </c>
      <c r="F670" t="s">
        <v>1356</v>
      </c>
      <c r="N670" t="s">
        <v>22</v>
      </c>
      <c r="O670" t="s">
        <v>22</v>
      </c>
    </row>
    <row r="671" spans="1:15" x14ac:dyDescent="0.25">
      <c r="A671" t="s">
        <v>18</v>
      </c>
      <c r="B671" t="s">
        <v>1357</v>
      </c>
      <c r="C671" t="s">
        <v>19</v>
      </c>
      <c r="F671" t="s">
        <v>1358</v>
      </c>
      <c r="N671" t="s">
        <v>22</v>
      </c>
      <c r="O671" t="s">
        <v>22</v>
      </c>
    </row>
    <row r="672" spans="1:15" x14ac:dyDescent="0.25">
      <c r="A672" t="s">
        <v>18</v>
      </c>
      <c r="B672" t="s">
        <v>1377</v>
      </c>
      <c r="C672" t="s">
        <v>19</v>
      </c>
      <c r="F672" t="s">
        <v>1378</v>
      </c>
      <c r="N672" t="s">
        <v>22</v>
      </c>
      <c r="O672" t="s">
        <v>22</v>
      </c>
    </row>
    <row r="673" spans="1:18" x14ac:dyDescent="0.25">
      <c r="A673" t="s">
        <v>18</v>
      </c>
      <c r="B673" t="s">
        <v>1361</v>
      </c>
      <c r="C673" t="s">
        <v>19</v>
      </c>
      <c r="F673" t="s">
        <v>1362</v>
      </c>
      <c r="N673" t="s">
        <v>22</v>
      </c>
      <c r="O673" t="s">
        <v>22</v>
      </c>
    </row>
    <row r="674" spans="1:18" x14ac:dyDescent="0.25">
      <c r="A674" t="s">
        <v>18</v>
      </c>
      <c r="B674" t="s">
        <v>1345</v>
      </c>
      <c r="C674" t="s">
        <v>19</v>
      </c>
      <c r="F674" t="s">
        <v>1346</v>
      </c>
      <c r="N674" t="s">
        <v>22</v>
      </c>
      <c r="O674" t="s">
        <v>22</v>
      </c>
    </row>
    <row r="675" spans="1:18" x14ac:dyDescent="0.25">
      <c r="A675" t="s">
        <v>18</v>
      </c>
      <c r="B675" t="s">
        <v>2541</v>
      </c>
      <c r="C675" t="s">
        <v>19</v>
      </c>
      <c r="F675" t="s">
        <v>548</v>
      </c>
      <c r="N675" t="s">
        <v>22</v>
      </c>
      <c r="O675" t="s">
        <v>23</v>
      </c>
      <c r="Q675" t="s">
        <v>22</v>
      </c>
      <c r="R675" t="s">
        <v>23</v>
      </c>
    </row>
    <row r="676" spans="1:18" x14ac:dyDescent="0.25">
      <c r="A676" t="s">
        <v>18</v>
      </c>
      <c r="B676" t="s">
        <v>1325</v>
      </c>
      <c r="C676" t="s">
        <v>19</v>
      </c>
      <c r="F676" t="s">
        <v>1317</v>
      </c>
      <c r="H676" t="s">
        <v>1324</v>
      </c>
      <c r="N676" t="s">
        <v>22</v>
      </c>
      <c r="O676" t="s">
        <v>22</v>
      </c>
    </row>
    <row r="677" spans="1:18" x14ac:dyDescent="0.25">
      <c r="A677" t="s">
        <v>18</v>
      </c>
      <c r="B677" t="s">
        <v>1367</v>
      </c>
      <c r="C677" t="s">
        <v>19</v>
      </c>
      <c r="F677" t="s">
        <v>1368</v>
      </c>
      <c r="N677" t="s">
        <v>22</v>
      </c>
      <c r="O677" t="s">
        <v>22</v>
      </c>
    </row>
    <row r="678" spans="1:18" x14ac:dyDescent="0.25">
      <c r="A678" t="s">
        <v>18</v>
      </c>
      <c r="B678" t="s">
        <v>2013</v>
      </c>
      <c r="C678" t="s">
        <v>19</v>
      </c>
      <c r="F678" t="s">
        <v>2540</v>
      </c>
      <c r="N678" t="s">
        <v>22</v>
      </c>
      <c r="O678" t="s">
        <v>22</v>
      </c>
      <c r="P678" t="s">
        <v>2620</v>
      </c>
      <c r="Q678" t="s">
        <v>22</v>
      </c>
      <c r="R678" t="s">
        <v>23</v>
      </c>
    </row>
    <row r="679" spans="1:18" x14ac:dyDescent="0.25">
      <c r="A679" t="s">
        <v>18</v>
      </c>
      <c r="B679" t="s">
        <v>1371</v>
      </c>
      <c r="C679" t="s">
        <v>19</v>
      </c>
      <c r="F679" t="s">
        <v>1372</v>
      </c>
      <c r="N679" t="s">
        <v>22</v>
      </c>
      <c r="O679" t="s">
        <v>22</v>
      </c>
    </row>
    <row r="680" spans="1:18" x14ac:dyDescent="0.25">
      <c r="A680" t="s">
        <v>18</v>
      </c>
      <c r="B680" t="s">
        <v>1373</v>
      </c>
      <c r="C680" t="s">
        <v>19</v>
      </c>
      <c r="F680" t="s">
        <v>1374</v>
      </c>
      <c r="N680" t="s">
        <v>22</v>
      </c>
      <c r="O680" t="s">
        <v>22</v>
      </c>
    </row>
    <row r="681" spans="1:18" x14ac:dyDescent="0.25">
      <c r="A681" t="s">
        <v>18</v>
      </c>
      <c r="B681" t="s">
        <v>1375</v>
      </c>
      <c r="C681" t="s">
        <v>19</v>
      </c>
      <c r="F681" t="s">
        <v>1376</v>
      </c>
      <c r="N681" t="s">
        <v>22</v>
      </c>
      <c r="O681" t="s">
        <v>22</v>
      </c>
    </row>
    <row r="682" spans="1:18" x14ac:dyDescent="0.25">
      <c r="A682" t="s">
        <v>18</v>
      </c>
      <c r="B682" t="s">
        <v>2542</v>
      </c>
      <c r="C682" t="s">
        <v>19</v>
      </c>
      <c r="F682" t="s">
        <v>548</v>
      </c>
      <c r="N682" t="s">
        <v>22</v>
      </c>
      <c r="O682" t="s">
        <v>23</v>
      </c>
      <c r="Q682" t="s">
        <v>22</v>
      </c>
      <c r="R682" t="s">
        <v>23</v>
      </c>
    </row>
    <row r="683" spans="1:18" x14ac:dyDescent="0.25">
      <c r="A683" t="s">
        <v>18</v>
      </c>
      <c r="B683" t="s">
        <v>1333</v>
      </c>
      <c r="C683" t="s">
        <v>19</v>
      </c>
      <c r="D683" t="s">
        <v>1321</v>
      </c>
      <c r="F683" t="s">
        <v>1334</v>
      </c>
      <c r="N683" t="s">
        <v>22</v>
      </c>
      <c r="O683" t="s">
        <v>22</v>
      </c>
    </row>
    <row r="684" spans="1:18" x14ac:dyDescent="0.25">
      <c r="A684" t="s">
        <v>18</v>
      </c>
      <c r="B684" t="s">
        <v>1329</v>
      </c>
      <c r="C684" t="s">
        <v>19</v>
      </c>
      <c r="D684" t="s">
        <v>1321</v>
      </c>
      <c r="F684" t="s">
        <v>1330</v>
      </c>
      <c r="N684" t="s">
        <v>22</v>
      </c>
      <c r="O684" t="s">
        <v>22</v>
      </c>
    </row>
    <row r="685" spans="1:18" x14ac:dyDescent="0.25">
      <c r="A685" t="s">
        <v>18</v>
      </c>
      <c r="B685" t="s">
        <v>1359</v>
      </c>
      <c r="C685" t="s">
        <v>19</v>
      </c>
      <c r="D685" t="s">
        <v>1321</v>
      </c>
      <c r="F685" t="s">
        <v>1360</v>
      </c>
      <c r="N685" t="s">
        <v>22</v>
      </c>
      <c r="O685" t="s">
        <v>22</v>
      </c>
    </row>
    <row r="686" spans="1:18" x14ac:dyDescent="0.25">
      <c r="A686" t="s">
        <v>18</v>
      </c>
      <c r="B686" t="s">
        <v>1365</v>
      </c>
      <c r="C686" t="s">
        <v>19</v>
      </c>
      <c r="F686" t="s">
        <v>1366</v>
      </c>
      <c r="N686" t="s">
        <v>22</v>
      </c>
      <c r="O686" t="s">
        <v>22</v>
      </c>
    </row>
    <row r="687" spans="1:18" x14ac:dyDescent="0.25">
      <c r="A687" t="s">
        <v>18</v>
      </c>
      <c r="B687" t="s">
        <v>2190</v>
      </c>
      <c r="C687" t="s">
        <v>19</v>
      </c>
      <c r="F687" t="s">
        <v>2191</v>
      </c>
      <c r="N687" t="s">
        <v>22</v>
      </c>
      <c r="O687" t="s">
        <v>22</v>
      </c>
    </row>
    <row r="688" spans="1:18" x14ac:dyDescent="0.25">
      <c r="A688" t="s">
        <v>18</v>
      </c>
      <c r="B688" t="s">
        <v>66</v>
      </c>
      <c r="C688" t="s">
        <v>19</v>
      </c>
      <c r="F688" t="s">
        <v>2067</v>
      </c>
      <c r="N688" t="s">
        <v>22</v>
      </c>
      <c r="O688" t="s">
        <v>22</v>
      </c>
    </row>
    <row r="689" spans="1:18" x14ac:dyDescent="0.25">
      <c r="A689" t="s">
        <v>18</v>
      </c>
      <c r="B689" t="s">
        <v>2177</v>
      </c>
      <c r="C689" t="s">
        <v>19</v>
      </c>
      <c r="F689" t="s">
        <v>2178</v>
      </c>
      <c r="G689" t="s">
        <v>2179</v>
      </c>
      <c r="N689" t="s">
        <v>22</v>
      </c>
      <c r="O689" t="s">
        <v>22</v>
      </c>
    </row>
    <row r="690" spans="1:18" x14ac:dyDescent="0.25">
      <c r="A690" t="s">
        <v>18</v>
      </c>
      <c r="B690" t="s">
        <v>2198</v>
      </c>
      <c r="C690" t="s">
        <v>19</v>
      </c>
      <c r="F690" t="s">
        <v>2199</v>
      </c>
      <c r="G690" t="s">
        <v>2569</v>
      </c>
      <c r="N690" t="s">
        <v>22</v>
      </c>
      <c r="O690" t="s">
        <v>22</v>
      </c>
    </row>
    <row r="691" spans="1:18" x14ac:dyDescent="0.25">
      <c r="A691" t="s">
        <v>18</v>
      </c>
      <c r="B691" t="s">
        <v>2182</v>
      </c>
      <c r="C691" t="s">
        <v>19</v>
      </c>
      <c r="F691" t="s">
        <v>2183</v>
      </c>
      <c r="N691" t="s">
        <v>22</v>
      </c>
      <c r="O691" t="s">
        <v>22</v>
      </c>
    </row>
    <row r="692" spans="1:18" x14ac:dyDescent="0.25">
      <c r="A692" t="s">
        <v>18</v>
      </c>
      <c r="B692" t="s">
        <v>2165</v>
      </c>
      <c r="C692" t="s">
        <v>19</v>
      </c>
      <c r="F692" t="s">
        <v>2166</v>
      </c>
      <c r="N692" t="s">
        <v>22</v>
      </c>
      <c r="O692" t="s">
        <v>22</v>
      </c>
    </row>
    <row r="693" spans="1:18" x14ac:dyDescent="0.25">
      <c r="A693" t="s">
        <v>18</v>
      </c>
      <c r="B693" t="s">
        <v>2186</v>
      </c>
      <c r="C693" t="s">
        <v>19</v>
      </c>
      <c r="F693" t="s">
        <v>2187</v>
      </c>
      <c r="N693" t="s">
        <v>22</v>
      </c>
      <c r="O693" t="s">
        <v>22</v>
      </c>
    </row>
    <row r="694" spans="1:18" x14ac:dyDescent="0.25">
      <c r="A694" t="s">
        <v>18</v>
      </c>
      <c r="B694" t="s">
        <v>1789</v>
      </c>
      <c r="C694" t="s">
        <v>19</v>
      </c>
      <c r="F694" t="s">
        <v>1790</v>
      </c>
      <c r="N694" t="s">
        <v>22</v>
      </c>
      <c r="O694" t="s">
        <v>22</v>
      </c>
    </row>
    <row r="695" spans="1:18" x14ac:dyDescent="0.25">
      <c r="A695" t="s">
        <v>18</v>
      </c>
      <c r="B695" t="s">
        <v>2527</v>
      </c>
      <c r="C695" t="s">
        <v>19</v>
      </c>
      <c r="F695" t="s">
        <v>2528</v>
      </c>
      <c r="N695" t="s">
        <v>22</v>
      </c>
      <c r="O695" t="s">
        <v>23</v>
      </c>
      <c r="Q695" t="s">
        <v>22</v>
      </c>
      <c r="R695" t="s">
        <v>23</v>
      </c>
    </row>
    <row r="696" spans="1:18" x14ac:dyDescent="0.25">
      <c r="A696" t="s">
        <v>18</v>
      </c>
      <c r="B696" t="s">
        <v>1770</v>
      </c>
      <c r="C696" t="s">
        <v>19</v>
      </c>
      <c r="F696" t="s">
        <v>1771</v>
      </c>
      <c r="N696" t="s">
        <v>22</v>
      </c>
      <c r="O696" t="s">
        <v>22</v>
      </c>
    </row>
    <row r="697" spans="1:18" x14ac:dyDescent="0.25">
      <c r="A697" t="s">
        <v>18</v>
      </c>
      <c r="B697" t="s">
        <v>2192</v>
      </c>
      <c r="C697" t="s">
        <v>19</v>
      </c>
      <c r="F697" t="s">
        <v>2193</v>
      </c>
      <c r="N697" t="s">
        <v>22</v>
      </c>
      <c r="O697" t="s">
        <v>22</v>
      </c>
    </row>
    <row r="698" spans="1:18" x14ac:dyDescent="0.25">
      <c r="A698" t="s">
        <v>18</v>
      </c>
      <c r="B698" t="s">
        <v>2194</v>
      </c>
      <c r="C698" t="s">
        <v>19</v>
      </c>
      <c r="F698" t="s">
        <v>2195</v>
      </c>
      <c r="N698" t="s">
        <v>22</v>
      </c>
      <c r="O698" t="s">
        <v>22</v>
      </c>
    </row>
    <row r="699" spans="1:18" x14ac:dyDescent="0.25">
      <c r="A699" t="s">
        <v>18</v>
      </c>
      <c r="B699" t="s">
        <v>2063</v>
      </c>
      <c r="C699" t="s">
        <v>19</v>
      </c>
      <c r="F699" t="s">
        <v>2064</v>
      </c>
      <c r="G699" t="s">
        <v>2570</v>
      </c>
      <c r="N699" t="s">
        <v>22</v>
      </c>
      <c r="O699" t="s">
        <v>22</v>
      </c>
    </row>
    <row r="700" spans="1:18" x14ac:dyDescent="0.25">
      <c r="A700" t="s">
        <v>18</v>
      </c>
      <c r="B700" t="s">
        <v>2232</v>
      </c>
      <c r="C700" t="s">
        <v>19</v>
      </c>
      <c r="F700" t="s">
        <v>2233</v>
      </c>
      <c r="N700" t="s">
        <v>22</v>
      </c>
      <c r="O700" t="s">
        <v>22</v>
      </c>
    </row>
    <row r="701" spans="1:18" x14ac:dyDescent="0.25">
      <c r="A701" t="s">
        <v>18</v>
      </c>
      <c r="B701" t="s">
        <v>2529</v>
      </c>
      <c r="C701" t="s">
        <v>19</v>
      </c>
      <c r="F701" t="s">
        <v>2530</v>
      </c>
      <c r="N701" t="s">
        <v>22</v>
      </c>
      <c r="O701" t="s">
        <v>23</v>
      </c>
      <c r="Q701" t="s">
        <v>22</v>
      </c>
      <c r="R701" t="s">
        <v>23</v>
      </c>
    </row>
    <row r="702" spans="1:18" x14ac:dyDescent="0.25">
      <c r="A702" t="s">
        <v>18</v>
      </c>
      <c r="B702" t="s">
        <v>2531</v>
      </c>
      <c r="C702" t="s">
        <v>19</v>
      </c>
      <c r="F702" t="s">
        <v>2532</v>
      </c>
      <c r="N702" t="s">
        <v>22</v>
      </c>
      <c r="O702" t="s">
        <v>23</v>
      </c>
      <c r="Q702" t="s">
        <v>22</v>
      </c>
      <c r="R702" t="s">
        <v>23</v>
      </c>
    </row>
    <row r="703" spans="1:18" x14ac:dyDescent="0.25">
      <c r="A703" t="s">
        <v>18</v>
      </c>
      <c r="B703" t="s">
        <v>2126</v>
      </c>
      <c r="C703" t="s">
        <v>19</v>
      </c>
      <c r="F703" t="s">
        <v>2533</v>
      </c>
      <c r="N703" t="s">
        <v>22</v>
      </c>
      <c r="O703" t="s">
        <v>22</v>
      </c>
      <c r="P703" t="s">
        <v>2621</v>
      </c>
      <c r="Q703" t="s">
        <v>22</v>
      </c>
      <c r="R703" t="s">
        <v>23</v>
      </c>
    </row>
    <row r="704" spans="1:18" x14ac:dyDescent="0.25">
      <c r="A704" t="s">
        <v>18</v>
      </c>
      <c r="B704" t="s">
        <v>2188</v>
      </c>
      <c r="C704" t="s">
        <v>19</v>
      </c>
      <c r="F704" t="s">
        <v>2189</v>
      </c>
      <c r="N704" t="s">
        <v>22</v>
      </c>
      <c r="O704" t="s">
        <v>22</v>
      </c>
    </row>
    <row r="705" spans="1:18" x14ac:dyDescent="0.25">
      <c r="A705" t="s">
        <v>18</v>
      </c>
      <c r="B705" t="s">
        <v>2523</v>
      </c>
      <c r="C705" t="s">
        <v>19</v>
      </c>
      <c r="F705" t="s">
        <v>2524</v>
      </c>
      <c r="N705" t="s">
        <v>22</v>
      </c>
      <c r="O705" t="s">
        <v>23</v>
      </c>
      <c r="P705" t="s">
        <v>2622</v>
      </c>
      <c r="Q705" t="s">
        <v>22</v>
      </c>
      <c r="R705" t="s">
        <v>23</v>
      </c>
    </row>
    <row r="706" spans="1:18" x14ac:dyDescent="0.25">
      <c r="A706" t="s">
        <v>18</v>
      </c>
      <c r="B706" t="s">
        <v>402</v>
      </c>
      <c r="C706" t="s">
        <v>19</v>
      </c>
      <c r="F706" t="s">
        <v>403</v>
      </c>
      <c r="N706" t="s">
        <v>22</v>
      </c>
      <c r="O706" t="s">
        <v>22</v>
      </c>
    </row>
    <row r="707" spans="1:18" x14ac:dyDescent="0.25">
      <c r="A707" t="s">
        <v>18</v>
      </c>
      <c r="B707" t="s">
        <v>1810</v>
      </c>
      <c r="C707" t="s">
        <v>19</v>
      </c>
      <c r="F707" t="s">
        <v>1811</v>
      </c>
      <c r="N707" t="s">
        <v>22</v>
      </c>
      <c r="O707" t="s">
        <v>22</v>
      </c>
    </row>
    <row r="708" spans="1:18" x14ac:dyDescent="0.25">
      <c r="A708" t="s">
        <v>18</v>
      </c>
      <c r="B708" t="s">
        <v>1812</v>
      </c>
      <c r="C708" t="s">
        <v>19</v>
      </c>
      <c r="F708" t="s">
        <v>1813</v>
      </c>
      <c r="N708" t="s">
        <v>22</v>
      </c>
      <c r="O708" t="s">
        <v>22</v>
      </c>
    </row>
    <row r="709" spans="1:18" x14ac:dyDescent="0.25">
      <c r="A709" t="s">
        <v>18</v>
      </c>
      <c r="B709" t="s">
        <v>1814</v>
      </c>
      <c r="C709" t="s">
        <v>19</v>
      </c>
      <c r="F709" t="s">
        <v>1815</v>
      </c>
      <c r="N709" t="s">
        <v>22</v>
      </c>
      <c r="O709" t="s">
        <v>22</v>
      </c>
    </row>
    <row r="710" spans="1:18" x14ac:dyDescent="0.25">
      <c r="A710" t="s">
        <v>18</v>
      </c>
      <c r="B710" t="s">
        <v>1816</v>
      </c>
      <c r="C710" t="s">
        <v>19</v>
      </c>
      <c r="F710" t="s">
        <v>1817</v>
      </c>
      <c r="N710" t="s">
        <v>22</v>
      </c>
      <c r="O710" t="s">
        <v>22</v>
      </c>
    </row>
    <row r="711" spans="1:18" x14ac:dyDescent="0.25">
      <c r="A711" t="s">
        <v>18</v>
      </c>
      <c r="B711" t="s">
        <v>1818</v>
      </c>
      <c r="C711" t="s">
        <v>19</v>
      </c>
      <c r="F711" t="s">
        <v>1819</v>
      </c>
      <c r="G711" t="s">
        <v>2571</v>
      </c>
      <c r="N711" t="s">
        <v>22</v>
      </c>
      <c r="O711" t="s">
        <v>22</v>
      </c>
    </row>
    <row r="712" spans="1:18" x14ac:dyDescent="0.25">
      <c r="A712" t="s">
        <v>18</v>
      </c>
      <c r="B712" t="s">
        <v>1774</v>
      </c>
      <c r="C712" t="s">
        <v>19</v>
      </c>
      <c r="F712" t="s">
        <v>1775</v>
      </c>
      <c r="N712" t="s">
        <v>22</v>
      </c>
      <c r="O712" t="s">
        <v>22</v>
      </c>
    </row>
    <row r="713" spans="1:18" x14ac:dyDescent="0.25">
      <c r="A713" t="s">
        <v>18</v>
      </c>
      <c r="B713" t="s">
        <v>1776</v>
      </c>
      <c r="C713" t="s">
        <v>19</v>
      </c>
      <c r="F713" t="s">
        <v>2522</v>
      </c>
      <c r="N713" t="s">
        <v>22</v>
      </c>
      <c r="O713" t="s">
        <v>22</v>
      </c>
      <c r="Q713" t="s">
        <v>22</v>
      </c>
      <c r="R713" t="s">
        <v>23</v>
      </c>
    </row>
    <row r="714" spans="1:18" x14ac:dyDescent="0.25">
      <c r="A714" t="s">
        <v>18</v>
      </c>
      <c r="B714" t="s">
        <v>1999</v>
      </c>
      <c r="C714" t="s">
        <v>19</v>
      </c>
      <c r="F714" t="s">
        <v>2000</v>
      </c>
      <c r="N714" t="s">
        <v>22</v>
      </c>
      <c r="O714" t="s">
        <v>22</v>
      </c>
    </row>
    <row r="715" spans="1:18" x14ac:dyDescent="0.25">
      <c r="A715" t="s">
        <v>18</v>
      </c>
      <c r="B715" t="s">
        <v>1808</v>
      </c>
      <c r="C715" t="s">
        <v>19</v>
      </c>
      <c r="F715" t="s">
        <v>1809</v>
      </c>
      <c r="N715" t="s">
        <v>22</v>
      </c>
      <c r="O715" t="s">
        <v>22</v>
      </c>
    </row>
    <row r="716" spans="1:18" x14ac:dyDescent="0.25">
      <c r="A716" t="s">
        <v>18</v>
      </c>
      <c r="B716" t="s">
        <v>1805</v>
      </c>
      <c r="C716" t="s">
        <v>19</v>
      </c>
      <c r="F716" t="s">
        <v>2525</v>
      </c>
      <c r="N716" t="s">
        <v>22</v>
      </c>
      <c r="O716" t="s">
        <v>22</v>
      </c>
      <c r="P716" t="s">
        <v>2623</v>
      </c>
      <c r="Q716" t="s">
        <v>22</v>
      </c>
      <c r="R716" t="s">
        <v>23</v>
      </c>
    </row>
    <row r="717" spans="1:18" x14ac:dyDescent="0.25">
      <c r="A717" t="s">
        <v>18</v>
      </c>
      <c r="B717" t="s">
        <v>1761</v>
      </c>
      <c r="C717" t="s">
        <v>19</v>
      </c>
      <c r="F717" t="s">
        <v>2526</v>
      </c>
      <c r="N717" t="s">
        <v>22</v>
      </c>
      <c r="O717" t="s">
        <v>22</v>
      </c>
      <c r="P717" t="s">
        <v>2624</v>
      </c>
      <c r="Q717" t="s">
        <v>22</v>
      </c>
      <c r="R717" t="s">
        <v>23</v>
      </c>
    </row>
    <row r="718" spans="1:18" x14ac:dyDescent="0.25">
      <c r="A718" t="s">
        <v>18</v>
      </c>
      <c r="B718" t="s">
        <v>1762</v>
      </c>
      <c r="C718" t="s">
        <v>19</v>
      </c>
      <c r="F718" t="s">
        <v>1763</v>
      </c>
      <c r="N718" t="s">
        <v>22</v>
      </c>
      <c r="O718" t="s">
        <v>22</v>
      </c>
    </row>
    <row r="719" spans="1:18" x14ac:dyDescent="0.25">
      <c r="A719" t="s">
        <v>18</v>
      </c>
      <c r="B719" t="s">
        <v>1764</v>
      </c>
      <c r="C719" t="s">
        <v>19</v>
      </c>
      <c r="F719" t="s">
        <v>1765</v>
      </c>
      <c r="N719" t="s">
        <v>22</v>
      </c>
      <c r="O719" t="s">
        <v>22</v>
      </c>
    </row>
    <row r="720" spans="1:18" x14ac:dyDescent="0.25">
      <c r="A720" t="s">
        <v>18</v>
      </c>
      <c r="B720" t="s">
        <v>1766</v>
      </c>
      <c r="C720" t="s">
        <v>19</v>
      </c>
      <c r="F720" t="s">
        <v>1767</v>
      </c>
      <c r="N720" t="s">
        <v>22</v>
      </c>
      <c r="O720" t="s">
        <v>22</v>
      </c>
    </row>
    <row r="721" spans="1:18" x14ac:dyDescent="0.25">
      <c r="A721" t="s">
        <v>18</v>
      </c>
      <c r="B721" t="s">
        <v>1768</v>
      </c>
      <c r="C721" t="s">
        <v>19</v>
      </c>
      <c r="F721" t="s">
        <v>1769</v>
      </c>
      <c r="N721" t="s">
        <v>22</v>
      </c>
      <c r="O721" t="s">
        <v>22</v>
      </c>
    </row>
    <row r="722" spans="1:18" x14ac:dyDescent="0.25">
      <c r="A722" t="s">
        <v>18</v>
      </c>
      <c r="B722" t="s">
        <v>1820</v>
      </c>
      <c r="C722" t="s">
        <v>19</v>
      </c>
      <c r="F722" t="s">
        <v>1821</v>
      </c>
      <c r="N722" t="s">
        <v>22</v>
      </c>
      <c r="O722" t="s">
        <v>22</v>
      </c>
    </row>
    <row r="723" spans="1:18" x14ac:dyDescent="0.25">
      <c r="A723" t="s">
        <v>18</v>
      </c>
      <c r="B723" t="s">
        <v>1985</v>
      </c>
      <c r="C723" t="s">
        <v>19</v>
      </c>
      <c r="F723" t="s">
        <v>1986</v>
      </c>
      <c r="N723" t="s">
        <v>22</v>
      </c>
      <c r="O723" t="s">
        <v>22</v>
      </c>
    </row>
    <row r="724" spans="1:18" x14ac:dyDescent="0.25">
      <c r="A724" t="s">
        <v>18</v>
      </c>
      <c r="B724" t="s">
        <v>1970</v>
      </c>
      <c r="C724" t="s">
        <v>19</v>
      </c>
      <c r="F724" t="s">
        <v>2536</v>
      </c>
      <c r="N724" t="s">
        <v>22</v>
      </c>
      <c r="O724" t="s">
        <v>22</v>
      </c>
      <c r="Q724" t="s">
        <v>22</v>
      </c>
      <c r="R724" t="s">
        <v>23</v>
      </c>
    </row>
    <row r="725" spans="1:18" x14ac:dyDescent="0.25">
      <c r="A725" t="s">
        <v>18</v>
      </c>
      <c r="B725" t="s">
        <v>1971</v>
      </c>
      <c r="C725" t="s">
        <v>19</v>
      </c>
      <c r="F725" t="s">
        <v>1972</v>
      </c>
      <c r="N725" t="s">
        <v>22</v>
      </c>
      <c r="O725" t="s">
        <v>22</v>
      </c>
    </row>
    <row r="726" spans="1:18" x14ac:dyDescent="0.25">
      <c r="A726" t="s">
        <v>18</v>
      </c>
      <c r="B726" t="s">
        <v>1973</v>
      </c>
      <c r="C726" t="s">
        <v>19</v>
      </c>
      <c r="F726" t="s">
        <v>1974</v>
      </c>
      <c r="N726" t="s">
        <v>22</v>
      </c>
      <c r="O726" t="s">
        <v>22</v>
      </c>
    </row>
    <row r="727" spans="1:18" x14ac:dyDescent="0.25">
      <c r="A727" t="s">
        <v>18</v>
      </c>
      <c r="B727" t="s">
        <v>1993</v>
      </c>
      <c r="C727" t="s">
        <v>19</v>
      </c>
      <c r="F727" t="s">
        <v>1994</v>
      </c>
      <c r="N727" t="s">
        <v>22</v>
      </c>
      <c r="O727" t="s">
        <v>22</v>
      </c>
    </row>
    <row r="728" spans="1:18" x14ac:dyDescent="0.25">
      <c r="A728" t="s">
        <v>18</v>
      </c>
      <c r="B728" t="s">
        <v>1977</v>
      </c>
      <c r="C728" t="s">
        <v>19</v>
      </c>
      <c r="F728" t="s">
        <v>1978</v>
      </c>
      <c r="N728" t="s">
        <v>22</v>
      </c>
      <c r="O728" t="s">
        <v>22</v>
      </c>
    </row>
    <row r="729" spans="1:18" x14ac:dyDescent="0.25">
      <c r="A729" t="s">
        <v>18</v>
      </c>
      <c r="B729" t="s">
        <v>1961</v>
      </c>
      <c r="C729" t="s">
        <v>19</v>
      </c>
      <c r="F729" t="s">
        <v>1962</v>
      </c>
      <c r="N729" t="s">
        <v>22</v>
      </c>
      <c r="O729" t="s">
        <v>22</v>
      </c>
    </row>
    <row r="730" spans="1:18" x14ac:dyDescent="0.25">
      <c r="A730" t="s">
        <v>18</v>
      </c>
      <c r="B730" t="s">
        <v>2534</v>
      </c>
      <c r="C730" t="s">
        <v>19</v>
      </c>
      <c r="F730" t="s">
        <v>2535</v>
      </c>
      <c r="N730" t="s">
        <v>22</v>
      </c>
      <c r="O730" t="s">
        <v>23</v>
      </c>
      <c r="Q730" t="s">
        <v>22</v>
      </c>
      <c r="R730" t="s">
        <v>23</v>
      </c>
    </row>
    <row r="731" spans="1:18" x14ac:dyDescent="0.25">
      <c r="A731" t="s">
        <v>18</v>
      </c>
      <c r="B731" t="s">
        <v>1983</v>
      </c>
      <c r="C731" t="s">
        <v>19</v>
      </c>
      <c r="F731" t="s">
        <v>1984</v>
      </c>
      <c r="N731" t="s">
        <v>22</v>
      </c>
      <c r="O731" t="s">
        <v>22</v>
      </c>
    </row>
    <row r="732" spans="1:18" x14ac:dyDescent="0.25">
      <c r="A732" t="s">
        <v>18</v>
      </c>
      <c r="B732" t="s">
        <v>2009</v>
      </c>
      <c r="C732" t="s">
        <v>19</v>
      </c>
      <c r="F732" t="s">
        <v>2010</v>
      </c>
      <c r="N732" t="s">
        <v>22</v>
      </c>
      <c r="O732" t="s">
        <v>22</v>
      </c>
    </row>
    <row r="733" spans="1:18" x14ac:dyDescent="0.25">
      <c r="A733" t="s">
        <v>18</v>
      </c>
      <c r="B733" t="s">
        <v>1987</v>
      </c>
      <c r="C733" t="s">
        <v>19</v>
      </c>
      <c r="F733" t="s">
        <v>1988</v>
      </c>
      <c r="N733" t="s">
        <v>22</v>
      </c>
      <c r="O733" t="s">
        <v>22</v>
      </c>
    </row>
    <row r="734" spans="1:18" x14ac:dyDescent="0.25">
      <c r="A734" t="s">
        <v>18</v>
      </c>
      <c r="B734" t="s">
        <v>1989</v>
      </c>
      <c r="C734" t="s">
        <v>19</v>
      </c>
      <c r="F734" t="s">
        <v>1990</v>
      </c>
      <c r="G734" t="s">
        <v>2572</v>
      </c>
      <c r="N734" t="s">
        <v>22</v>
      </c>
      <c r="O734" t="s">
        <v>22</v>
      </c>
    </row>
    <row r="735" spans="1:18" x14ac:dyDescent="0.25">
      <c r="A735" t="s">
        <v>18</v>
      </c>
      <c r="B735" t="s">
        <v>1991</v>
      </c>
      <c r="C735" t="s">
        <v>19</v>
      </c>
      <c r="F735" t="s">
        <v>1992</v>
      </c>
      <c r="N735" t="s">
        <v>22</v>
      </c>
      <c r="O735" t="s">
        <v>22</v>
      </c>
    </row>
    <row r="736" spans="1:18" x14ac:dyDescent="0.25">
      <c r="A736" t="s">
        <v>18</v>
      </c>
      <c r="B736" t="s">
        <v>2042</v>
      </c>
      <c r="C736" t="s">
        <v>19</v>
      </c>
      <c r="F736" t="s">
        <v>2537</v>
      </c>
      <c r="N736" t="s">
        <v>22</v>
      </c>
      <c r="O736" t="s">
        <v>22</v>
      </c>
      <c r="Q736" t="s">
        <v>22</v>
      </c>
      <c r="R736" t="s">
        <v>23</v>
      </c>
    </row>
    <row r="737" spans="1:18" x14ac:dyDescent="0.25">
      <c r="A737" t="s">
        <v>18</v>
      </c>
      <c r="B737" t="s">
        <v>2538</v>
      </c>
      <c r="C737" t="s">
        <v>19</v>
      </c>
      <c r="F737" t="s">
        <v>2539</v>
      </c>
      <c r="N737" t="s">
        <v>22</v>
      </c>
      <c r="O737" t="s">
        <v>23</v>
      </c>
      <c r="Q737" t="s">
        <v>22</v>
      </c>
      <c r="R737" t="s">
        <v>23</v>
      </c>
    </row>
    <row r="738" spans="1:18" x14ac:dyDescent="0.25">
      <c r="A738" t="s">
        <v>18</v>
      </c>
      <c r="B738" t="s">
        <v>2092</v>
      </c>
      <c r="C738" t="s">
        <v>19</v>
      </c>
      <c r="F738" t="s">
        <v>2093</v>
      </c>
      <c r="N738" t="s">
        <v>22</v>
      </c>
      <c r="O738" t="s">
        <v>22</v>
      </c>
    </row>
    <row r="739" spans="1:18" x14ac:dyDescent="0.25">
      <c r="A739" t="s">
        <v>18</v>
      </c>
      <c r="B739" t="s">
        <v>1416</v>
      </c>
      <c r="C739" t="s">
        <v>19</v>
      </c>
      <c r="F739" t="s">
        <v>1317</v>
      </c>
      <c r="H739" t="s">
        <v>1417</v>
      </c>
      <c r="N739" t="s">
        <v>22</v>
      </c>
      <c r="O739" t="s">
        <v>22</v>
      </c>
    </row>
    <row r="740" spans="1:18" x14ac:dyDescent="0.25">
      <c r="A740" t="s">
        <v>18</v>
      </c>
      <c r="B740" t="s">
        <v>1981</v>
      </c>
      <c r="C740" t="s">
        <v>19</v>
      </c>
      <c r="F740" t="s">
        <v>1982</v>
      </c>
      <c r="N740" t="s">
        <v>22</v>
      </c>
      <c r="O740" t="s">
        <v>22</v>
      </c>
    </row>
    <row r="741" spans="1:18" x14ac:dyDescent="0.25">
      <c r="A741" t="s">
        <v>18</v>
      </c>
      <c r="B741" t="s">
        <v>2016</v>
      </c>
      <c r="C741" t="s">
        <v>19</v>
      </c>
      <c r="F741" t="s">
        <v>2017</v>
      </c>
      <c r="J741" t="s">
        <v>1800</v>
      </c>
      <c r="N741" t="s">
        <v>22</v>
      </c>
      <c r="O741" t="s">
        <v>22</v>
      </c>
    </row>
    <row r="742" spans="1:18" x14ac:dyDescent="0.25">
      <c r="A742" t="s">
        <v>18</v>
      </c>
      <c r="B742" t="s">
        <v>2065</v>
      </c>
      <c r="C742" t="s">
        <v>19</v>
      </c>
      <c r="F742" t="s">
        <v>2066</v>
      </c>
      <c r="G742" t="s">
        <v>2573</v>
      </c>
      <c r="N742" t="s">
        <v>22</v>
      </c>
      <c r="O742" t="s">
        <v>22</v>
      </c>
    </row>
    <row r="743" spans="1:18" x14ac:dyDescent="0.25">
      <c r="A743" t="s">
        <v>18</v>
      </c>
      <c r="B743" t="s">
        <v>2001</v>
      </c>
      <c r="C743" t="s">
        <v>19</v>
      </c>
      <c r="F743" t="s">
        <v>2002</v>
      </c>
      <c r="N743" t="s">
        <v>22</v>
      </c>
      <c r="O743" t="s">
        <v>22</v>
      </c>
    </row>
    <row r="744" spans="1:18" x14ac:dyDescent="0.25">
      <c r="A744" t="s">
        <v>18</v>
      </c>
      <c r="B744" t="s">
        <v>2003</v>
      </c>
      <c r="C744" t="s">
        <v>19</v>
      </c>
      <c r="F744" t="s">
        <v>2004</v>
      </c>
      <c r="N744" t="s">
        <v>22</v>
      </c>
      <c r="O744" t="s">
        <v>22</v>
      </c>
    </row>
    <row r="745" spans="1:18" x14ac:dyDescent="0.25">
      <c r="A745" t="s">
        <v>18</v>
      </c>
      <c r="B745" t="s">
        <v>2005</v>
      </c>
      <c r="C745" t="s">
        <v>19</v>
      </c>
      <c r="F745" t="s">
        <v>2006</v>
      </c>
      <c r="N745" t="s">
        <v>22</v>
      </c>
      <c r="O745" t="s">
        <v>22</v>
      </c>
    </row>
    <row r="746" spans="1:18" x14ac:dyDescent="0.25">
      <c r="A746" t="s">
        <v>18</v>
      </c>
      <c r="B746" t="s">
        <v>2007</v>
      </c>
      <c r="C746" t="s">
        <v>19</v>
      </c>
      <c r="F746" t="s">
        <v>2008</v>
      </c>
      <c r="N746" t="s">
        <v>22</v>
      </c>
      <c r="O746" t="s">
        <v>22</v>
      </c>
    </row>
    <row r="747" spans="1:18" x14ac:dyDescent="0.25">
      <c r="A747" t="s">
        <v>18</v>
      </c>
      <c r="B747" t="s">
        <v>2026</v>
      </c>
      <c r="C747" t="s">
        <v>19</v>
      </c>
      <c r="F747" t="s">
        <v>2027</v>
      </c>
      <c r="N747" t="s">
        <v>22</v>
      </c>
      <c r="O747" t="s">
        <v>22</v>
      </c>
    </row>
    <row r="748" spans="1:18" x14ac:dyDescent="0.25">
      <c r="A748" t="s">
        <v>18</v>
      </c>
      <c r="B748" t="s">
        <v>2011</v>
      </c>
      <c r="C748" t="s">
        <v>19</v>
      </c>
      <c r="F748" t="s">
        <v>2012</v>
      </c>
      <c r="N748" t="s">
        <v>22</v>
      </c>
      <c r="O748" t="s">
        <v>22</v>
      </c>
    </row>
    <row r="749" spans="1:18" x14ac:dyDescent="0.25">
      <c r="A749" t="s">
        <v>18</v>
      </c>
      <c r="B749" t="s">
        <v>1967</v>
      </c>
      <c r="C749" t="s">
        <v>19</v>
      </c>
      <c r="F749" t="s">
        <v>1968</v>
      </c>
      <c r="G749" t="s">
        <v>1969</v>
      </c>
      <c r="N749" t="s">
        <v>22</v>
      </c>
      <c r="O749" t="s">
        <v>22</v>
      </c>
    </row>
    <row r="750" spans="1:18" x14ac:dyDescent="0.25">
      <c r="A750" t="s">
        <v>18</v>
      </c>
      <c r="B750" t="s">
        <v>2014</v>
      </c>
      <c r="C750" t="s">
        <v>19</v>
      </c>
      <c r="F750" t="s">
        <v>2015</v>
      </c>
      <c r="N750" t="s">
        <v>22</v>
      </c>
      <c r="O750" t="s">
        <v>22</v>
      </c>
    </row>
    <row r="751" spans="1:18" x14ac:dyDescent="0.25">
      <c r="A751" t="s">
        <v>18</v>
      </c>
      <c r="B751" t="s">
        <v>1965</v>
      </c>
      <c r="C751" t="s">
        <v>19</v>
      </c>
      <c r="F751" t="s">
        <v>1966</v>
      </c>
      <c r="N751" t="s">
        <v>22</v>
      </c>
      <c r="O751" t="s">
        <v>22</v>
      </c>
    </row>
    <row r="752" spans="1:18" x14ac:dyDescent="0.25">
      <c r="A752" t="s">
        <v>18</v>
      </c>
      <c r="B752" t="s">
        <v>2018</v>
      </c>
      <c r="C752" t="s">
        <v>19</v>
      </c>
      <c r="F752" t="s">
        <v>2019</v>
      </c>
      <c r="N752" t="s">
        <v>22</v>
      </c>
      <c r="O752" t="s">
        <v>22</v>
      </c>
    </row>
    <row r="753" spans="1:15" x14ac:dyDescent="0.25">
      <c r="A753" t="s">
        <v>18</v>
      </c>
      <c r="B753" t="s">
        <v>2020</v>
      </c>
      <c r="C753" t="s">
        <v>19</v>
      </c>
      <c r="F753" t="s">
        <v>2021</v>
      </c>
      <c r="N753" t="s">
        <v>22</v>
      </c>
      <c r="O753" t="s">
        <v>22</v>
      </c>
    </row>
    <row r="754" spans="1:15" x14ac:dyDescent="0.25">
      <c r="A754" t="s">
        <v>18</v>
      </c>
      <c r="B754" t="s">
        <v>2022</v>
      </c>
      <c r="C754" t="s">
        <v>19</v>
      </c>
      <c r="F754" t="s">
        <v>2023</v>
      </c>
      <c r="N754" t="s">
        <v>22</v>
      </c>
      <c r="O754" t="s">
        <v>22</v>
      </c>
    </row>
    <row r="755" spans="1:15" x14ac:dyDescent="0.25">
      <c r="A755" t="s">
        <v>18</v>
      </c>
      <c r="B755" t="s">
        <v>2024</v>
      </c>
      <c r="C755" t="s">
        <v>19</v>
      </c>
      <c r="F755" t="s">
        <v>2025</v>
      </c>
      <c r="N755" t="s">
        <v>22</v>
      </c>
      <c r="O755" t="s">
        <v>22</v>
      </c>
    </row>
    <row r="756" spans="1:15" x14ac:dyDescent="0.25">
      <c r="A756" t="s">
        <v>18</v>
      </c>
      <c r="B756" t="s">
        <v>1979</v>
      </c>
      <c r="C756" t="s">
        <v>19</v>
      </c>
      <c r="F756" t="s">
        <v>1980</v>
      </c>
      <c r="N756" t="s">
        <v>22</v>
      </c>
      <c r="O756" t="s">
        <v>22</v>
      </c>
    </row>
    <row r="757" spans="1:15" x14ac:dyDescent="0.25">
      <c r="A757" t="s">
        <v>18</v>
      </c>
      <c r="B757" t="s">
        <v>1975</v>
      </c>
      <c r="C757" t="s">
        <v>19</v>
      </c>
      <c r="F757" t="s">
        <v>1976</v>
      </c>
      <c r="N757" t="s">
        <v>22</v>
      </c>
      <c r="O757" t="s">
        <v>22</v>
      </c>
    </row>
    <row r="758" spans="1:15" x14ac:dyDescent="0.25">
      <c r="A758" t="s">
        <v>18</v>
      </c>
      <c r="B758" t="s">
        <v>1997</v>
      </c>
      <c r="C758" t="s">
        <v>19</v>
      </c>
      <c r="F758" t="s">
        <v>1998</v>
      </c>
      <c r="N758" t="s">
        <v>22</v>
      </c>
      <c r="O758" t="s">
        <v>22</v>
      </c>
    </row>
    <row r="759" spans="1:15" x14ac:dyDescent="0.25">
      <c r="A759" t="s">
        <v>18</v>
      </c>
      <c r="B759" t="s">
        <v>1995</v>
      </c>
      <c r="C759" t="s">
        <v>19</v>
      </c>
      <c r="F759" t="s">
        <v>1996</v>
      </c>
      <c r="N759" t="s">
        <v>22</v>
      </c>
      <c r="O759" t="s">
        <v>22</v>
      </c>
    </row>
    <row r="760" spans="1:15" x14ac:dyDescent="0.25">
      <c r="A760" t="s">
        <v>18</v>
      </c>
      <c r="B760" t="s">
        <v>1284</v>
      </c>
      <c r="C760" t="s">
        <v>19</v>
      </c>
      <c r="F760" t="s">
        <v>70</v>
      </c>
      <c r="J760" t="s">
        <v>659</v>
      </c>
      <c r="N760" t="s">
        <v>22</v>
      </c>
      <c r="O760" t="s">
        <v>23</v>
      </c>
    </row>
    <row r="761" spans="1:15" x14ac:dyDescent="0.25">
      <c r="A761" t="s">
        <v>18</v>
      </c>
      <c r="B761" t="s">
        <v>1613</v>
      </c>
      <c r="C761" t="s">
        <v>19</v>
      </c>
      <c r="D761" t="s">
        <v>38</v>
      </c>
      <c r="F761" t="s">
        <v>1614</v>
      </c>
      <c r="N761" t="s">
        <v>22</v>
      </c>
      <c r="O761" t="s">
        <v>23</v>
      </c>
    </row>
    <row r="762" spans="1:15" x14ac:dyDescent="0.25">
      <c r="A762" t="s">
        <v>18</v>
      </c>
      <c r="B762" t="s">
        <v>1274</v>
      </c>
      <c r="C762" t="s">
        <v>19</v>
      </c>
      <c r="F762" t="s">
        <v>1275</v>
      </c>
      <c r="N762" t="s">
        <v>22</v>
      </c>
      <c r="O762" t="s">
        <v>22</v>
      </c>
    </row>
    <row r="763" spans="1:15" x14ac:dyDescent="0.25">
      <c r="A763" t="s">
        <v>18</v>
      </c>
      <c r="B763" t="s">
        <v>1259</v>
      </c>
      <c r="C763" t="s">
        <v>19</v>
      </c>
      <c r="F763" t="s">
        <v>1260</v>
      </c>
      <c r="J763" t="s">
        <v>1261</v>
      </c>
      <c r="N763" t="s">
        <v>22</v>
      </c>
      <c r="O763" t="s">
        <v>22</v>
      </c>
    </row>
    <row r="764" spans="1:15" x14ac:dyDescent="0.25">
      <c r="A764" t="s">
        <v>18</v>
      </c>
      <c r="B764" t="s">
        <v>1277</v>
      </c>
      <c r="C764" t="s">
        <v>19</v>
      </c>
      <c r="F764" t="s">
        <v>1260</v>
      </c>
      <c r="J764" t="s">
        <v>1278</v>
      </c>
      <c r="N764" t="s">
        <v>22</v>
      </c>
      <c r="O764" t="s">
        <v>22</v>
      </c>
    </row>
    <row r="765" spans="1:15" x14ac:dyDescent="0.25">
      <c r="A765" t="s">
        <v>18</v>
      </c>
      <c r="B765" t="s">
        <v>1279</v>
      </c>
      <c r="C765" t="s">
        <v>19</v>
      </c>
      <c r="F765" t="s">
        <v>1260</v>
      </c>
      <c r="J765" t="s">
        <v>1251</v>
      </c>
      <c r="N765" t="s">
        <v>22</v>
      </c>
      <c r="O765" t="s">
        <v>22</v>
      </c>
    </row>
    <row r="766" spans="1:15" x14ac:dyDescent="0.25">
      <c r="A766" t="s">
        <v>18</v>
      </c>
      <c r="B766" t="s">
        <v>1280</v>
      </c>
      <c r="C766" t="s">
        <v>19</v>
      </c>
      <c r="F766" t="s">
        <v>1281</v>
      </c>
      <c r="N766" t="s">
        <v>22</v>
      </c>
      <c r="O766" t="s">
        <v>22</v>
      </c>
    </row>
    <row r="767" spans="1:15" x14ac:dyDescent="0.25">
      <c r="A767" t="s">
        <v>18</v>
      </c>
      <c r="B767" t="s">
        <v>1271</v>
      </c>
      <c r="C767" t="s">
        <v>19</v>
      </c>
      <c r="F767" t="s">
        <v>1260</v>
      </c>
      <c r="J767" t="s">
        <v>659</v>
      </c>
      <c r="N767" t="s">
        <v>22</v>
      </c>
      <c r="O767" t="s">
        <v>22</v>
      </c>
    </row>
    <row r="768" spans="1:15" x14ac:dyDescent="0.25">
      <c r="A768" t="s">
        <v>18</v>
      </c>
      <c r="B768" t="s">
        <v>1283</v>
      </c>
      <c r="C768" t="s">
        <v>19</v>
      </c>
      <c r="F768" t="s">
        <v>70</v>
      </c>
      <c r="J768" t="s">
        <v>1270</v>
      </c>
      <c r="N768" t="s">
        <v>22</v>
      </c>
      <c r="O768" t="s">
        <v>22</v>
      </c>
    </row>
    <row r="769" spans="1:16" x14ac:dyDescent="0.25">
      <c r="A769" t="s">
        <v>18</v>
      </c>
      <c r="B769" t="s">
        <v>1269</v>
      </c>
      <c r="C769" t="s">
        <v>19</v>
      </c>
      <c r="F769" t="s">
        <v>1260</v>
      </c>
      <c r="J769" t="s">
        <v>1270</v>
      </c>
      <c r="N769" t="s">
        <v>22</v>
      </c>
      <c r="O769" t="s">
        <v>22</v>
      </c>
    </row>
    <row r="770" spans="1:16" x14ac:dyDescent="0.25">
      <c r="A770" t="s">
        <v>18</v>
      </c>
      <c r="B770" t="s">
        <v>1437</v>
      </c>
      <c r="C770" t="s">
        <v>19</v>
      </c>
      <c r="F770" t="s">
        <v>1438</v>
      </c>
      <c r="N770" t="s">
        <v>22</v>
      </c>
      <c r="O770" t="s">
        <v>22</v>
      </c>
    </row>
    <row r="771" spans="1:16" x14ac:dyDescent="0.25">
      <c r="A771" t="s">
        <v>18</v>
      </c>
      <c r="B771" t="s">
        <v>1662</v>
      </c>
      <c r="C771" t="s">
        <v>19</v>
      </c>
      <c r="F771" t="s">
        <v>70</v>
      </c>
      <c r="J771" t="s">
        <v>1278</v>
      </c>
      <c r="N771" t="s">
        <v>22</v>
      </c>
      <c r="O771" t="s">
        <v>22</v>
      </c>
    </row>
    <row r="772" spans="1:16" x14ac:dyDescent="0.25">
      <c r="A772" t="s">
        <v>18</v>
      </c>
      <c r="B772" t="s">
        <v>1412</v>
      </c>
      <c r="C772" t="s">
        <v>19</v>
      </c>
      <c r="F772" t="s">
        <v>70</v>
      </c>
      <c r="J772" t="s">
        <v>1251</v>
      </c>
      <c r="N772" t="s">
        <v>22</v>
      </c>
      <c r="O772" t="s">
        <v>23</v>
      </c>
    </row>
    <row r="773" spans="1:16" x14ac:dyDescent="0.25">
      <c r="A773" t="s">
        <v>18</v>
      </c>
      <c r="B773" t="s">
        <v>1607</v>
      </c>
      <c r="C773" t="s">
        <v>19</v>
      </c>
      <c r="F773" t="s">
        <v>70</v>
      </c>
      <c r="J773" t="s">
        <v>1608</v>
      </c>
      <c r="N773" t="s">
        <v>22</v>
      </c>
      <c r="O773" t="s">
        <v>22</v>
      </c>
    </row>
    <row r="774" spans="1:16" x14ac:dyDescent="0.25">
      <c r="A774" t="s">
        <v>18</v>
      </c>
      <c r="B774" t="s">
        <v>1609</v>
      </c>
      <c r="C774" t="s">
        <v>19</v>
      </c>
      <c r="H774" t="s">
        <v>1610</v>
      </c>
      <c r="N774" t="s">
        <v>22</v>
      </c>
      <c r="O774" t="s">
        <v>23</v>
      </c>
    </row>
    <row r="775" spans="1:16" x14ac:dyDescent="0.25">
      <c r="A775" t="s">
        <v>18</v>
      </c>
      <c r="B775" t="s">
        <v>1611</v>
      </c>
      <c r="C775" t="s">
        <v>19</v>
      </c>
      <c r="D775" t="s">
        <v>38</v>
      </c>
      <c r="F775" t="s">
        <v>39</v>
      </c>
      <c r="N775" t="s">
        <v>22</v>
      </c>
      <c r="O775" t="s">
        <v>23</v>
      </c>
    </row>
    <row r="776" spans="1:16" x14ac:dyDescent="0.25">
      <c r="A776" t="s">
        <v>18</v>
      </c>
      <c r="B776" t="s">
        <v>1413</v>
      </c>
      <c r="C776" t="s">
        <v>19</v>
      </c>
      <c r="F776" t="s">
        <v>1317</v>
      </c>
      <c r="H776" t="s">
        <v>1414</v>
      </c>
      <c r="N776" t="s">
        <v>22</v>
      </c>
      <c r="O776" t="s">
        <v>22</v>
      </c>
    </row>
    <row r="777" spans="1:16" x14ac:dyDescent="0.25">
      <c r="A777" t="s">
        <v>18</v>
      </c>
      <c r="B777" t="s">
        <v>1282</v>
      </c>
      <c r="C777" t="s">
        <v>19</v>
      </c>
      <c r="F777" t="s">
        <v>70</v>
      </c>
      <c r="N777" t="s">
        <v>22</v>
      </c>
      <c r="O777" t="s">
        <v>22</v>
      </c>
    </row>
    <row r="778" spans="1:16" x14ac:dyDescent="0.25">
      <c r="A778" t="s">
        <v>18</v>
      </c>
      <c r="B778" t="s">
        <v>1312</v>
      </c>
      <c r="C778" t="s">
        <v>19</v>
      </c>
      <c r="F778" t="s">
        <v>1313</v>
      </c>
      <c r="N778" t="s">
        <v>22</v>
      </c>
      <c r="O778" t="s">
        <v>23</v>
      </c>
    </row>
    <row r="779" spans="1:16" x14ac:dyDescent="0.25">
      <c r="A779" t="s">
        <v>18</v>
      </c>
      <c r="B779" t="s">
        <v>1315</v>
      </c>
      <c r="C779" t="s">
        <v>19</v>
      </c>
      <c r="D779" t="s">
        <v>682</v>
      </c>
      <c r="F779" t="s">
        <v>37</v>
      </c>
      <c r="N779" t="s">
        <v>22</v>
      </c>
      <c r="O779" t="s">
        <v>23</v>
      </c>
    </row>
    <row r="780" spans="1:16" x14ac:dyDescent="0.25">
      <c r="A780" t="s">
        <v>18</v>
      </c>
      <c r="B780" t="s">
        <v>1301</v>
      </c>
      <c r="C780" t="s">
        <v>19</v>
      </c>
      <c r="D780" t="s">
        <v>680</v>
      </c>
      <c r="F780" t="s">
        <v>37</v>
      </c>
      <c r="N780" t="s">
        <v>22</v>
      </c>
      <c r="O780" t="s">
        <v>23</v>
      </c>
    </row>
    <row r="781" spans="1:16" x14ac:dyDescent="0.25">
      <c r="A781" t="s">
        <v>18</v>
      </c>
      <c r="B781" t="s">
        <v>1287</v>
      </c>
      <c r="C781" t="s">
        <v>19</v>
      </c>
      <c r="D781" t="s">
        <v>1288</v>
      </c>
      <c r="F781" t="s">
        <v>37</v>
      </c>
      <c r="N781" t="s">
        <v>22</v>
      </c>
      <c r="O781" t="s">
        <v>23</v>
      </c>
    </row>
    <row r="782" spans="1:16" x14ac:dyDescent="0.25">
      <c r="A782" t="s">
        <v>18</v>
      </c>
      <c r="B782" t="s">
        <v>1304</v>
      </c>
      <c r="C782" t="s">
        <v>19</v>
      </c>
      <c r="D782" t="s">
        <v>1305</v>
      </c>
      <c r="F782" t="s">
        <v>37</v>
      </c>
      <c r="N782" t="s">
        <v>22</v>
      </c>
      <c r="O782" t="s">
        <v>23</v>
      </c>
    </row>
    <row r="783" spans="1:16" x14ac:dyDescent="0.25">
      <c r="A783" t="s">
        <v>18</v>
      </c>
      <c r="B783" t="s">
        <v>1306</v>
      </c>
      <c r="C783" t="s">
        <v>19</v>
      </c>
      <c r="D783" t="s">
        <v>1307</v>
      </c>
      <c r="F783" t="s">
        <v>1298</v>
      </c>
      <c r="N783" t="s">
        <v>22</v>
      </c>
      <c r="O783" t="s">
        <v>23</v>
      </c>
      <c r="P783" t="s">
        <v>2625</v>
      </c>
    </row>
    <row r="784" spans="1:16" x14ac:dyDescent="0.25">
      <c r="A784" t="s">
        <v>18</v>
      </c>
      <c r="B784" t="s">
        <v>1308</v>
      </c>
      <c r="C784" t="s">
        <v>19</v>
      </c>
      <c r="D784" t="s">
        <v>1309</v>
      </c>
      <c r="F784" t="s">
        <v>37</v>
      </c>
      <c r="N784" t="s">
        <v>22</v>
      </c>
      <c r="O784" t="s">
        <v>23</v>
      </c>
    </row>
    <row r="785" spans="1:15" x14ac:dyDescent="0.25">
      <c r="A785" t="s">
        <v>18</v>
      </c>
      <c r="B785" t="s">
        <v>1285</v>
      </c>
      <c r="C785" t="s">
        <v>19</v>
      </c>
      <c r="F785" t="s">
        <v>1286</v>
      </c>
      <c r="N785" t="s">
        <v>22</v>
      </c>
      <c r="O785" t="s">
        <v>22</v>
      </c>
    </row>
    <row r="786" spans="1:15" x14ac:dyDescent="0.25">
      <c r="A786" t="s">
        <v>18</v>
      </c>
      <c r="B786" t="s">
        <v>1311</v>
      </c>
      <c r="C786" t="s">
        <v>19</v>
      </c>
      <c r="D786" t="s">
        <v>1309</v>
      </c>
      <c r="F786" t="s">
        <v>37</v>
      </c>
      <c r="N786" t="s">
        <v>22</v>
      </c>
      <c r="O786" t="s">
        <v>23</v>
      </c>
    </row>
    <row r="787" spans="1:15" x14ac:dyDescent="0.25">
      <c r="A787" t="s">
        <v>18</v>
      </c>
      <c r="B787" t="s">
        <v>1634</v>
      </c>
      <c r="C787" t="s">
        <v>19</v>
      </c>
      <c r="D787" t="s">
        <v>38</v>
      </c>
      <c r="F787" t="s">
        <v>1635</v>
      </c>
      <c r="G787" t="s">
        <v>1636</v>
      </c>
      <c r="N787" t="s">
        <v>22</v>
      </c>
      <c r="O787" t="s">
        <v>23</v>
      </c>
    </row>
    <row r="788" spans="1:15" x14ac:dyDescent="0.25">
      <c r="A788" t="s">
        <v>18</v>
      </c>
      <c r="B788" t="s">
        <v>1276</v>
      </c>
      <c r="C788" t="s">
        <v>19</v>
      </c>
      <c r="F788" t="s">
        <v>1263</v>
      </c>
      <c r="N788" t="s">
        <v>22</v>
      </c>
      <c r="O788" t="s">
        <v>22</v>
      </c>
    </row>
    <row r="789" spans="1:15" x14ac:dyDescent="0.25">
      <c r="A789" t="s">
        <v>18</v>
      </c>
      <c r="B789" t="s">
        <v>1302</v>
      </c>
      <c r="C789" t="s">
        <v>19</v>
      </c>
      <c r="F789" t="s">
        <v>1263</v>
      </c>
      <c r="H789" t="s">
        <v>1303</v>
      </c>
      <c r="N789" t="s">
        <v>22</v>
      </c>
      <c r="O789" t="s">
        <v>22</v>
      </c>
    </row>
    <row r="790" spans="1:15" x14ac:dyDescent="0.25">
      <c r="A790" t="s">
        <v>18</v>
      </c>
      <c r="B790" t="s">
        <v>1299</v>
      </c>
      <c r="C790" t="s">
        <v>19</v>
      </c>
      <c r="F790" t="s">
        <v>1300</v>
      </c>
      <c r="N790" t="s">
        <v>22</v>
      </c>
      <c r="O790" t="s">
        <v>22</v>
      </c>
    </row>
    <row r="791" spans="1:15" x14ac:dyDescent="0.25">
      <c r="A791" t="s">
        <v>18</v>
      </c>
      <c r="B791" t="s">
        <v>1262</v>
      </c>
      <c r="C791" t="s">
        <v>19</v>
      </c>
      <c r="F791" t="s">
        <v>1263</v>
      </c>
      <c r="H791" t="s">
        <v>151</v>
      </c>
      <c r="N791" t="s">
        <v>22</v>
      </c>
      <c r="O791" t="s">
        <v>23</v>
      </c>
    </row>
    <row r="792" spans="1:15" x14ac:dyDescent="0.25">
      <c r="A792" t="s">
        <v>18</v>
      </c>
      <c r="B792" t="s">
        <v>1264</v>
      </c>
      <c r="C792" t="s">
        <v>19</v>
      </c>
      <c r="F792" t="s">
        <v>1265</v>
      </c>
      <c r="N792" t="s">
        <v>22</v>
      </c>
      <c r="O792" t="s">
        <v>22</v>
      </c>
    </row>
    <row r="793" spans="1:15" x14ac:dyDescent="0.25">
      <c r="A793" t="s">
        <v>18</v>
      </c>
      <c r="B793" t="s">
        <v>1266</v>
      </c>
      <c r="C793" t="s">
        <v>19</v>
      </c>
      <c r="F793" t="s">
        <v>1260</v>
      </c>
      <c r="N793" t="s">
        <v>22</v>
      </c>
      <c r="O793" t="s">
        <v>22</v>
      </c>
    </row>
    <row r="794" spans="1:15" x14ac:dyDescent="0.25">
      <c r="A794" t="s">
        <v>18</v>
      </c>
      <c r="B794" t="s">
        <v>1267</v>
      </c>
      <c r="C794" t="s">
        <v>19</v>
      </c>
      <c r="F794" t="s">
        <v>1260</v>
      </c>
      <c r="J794" t="s">
        <v>1268</v>
      </c>
      <c r="N794" t="s">
        <v>22</v>
      </c>
      <c r="O794" t="s">
        <v>22</v>
      </c>
    </row>
    <row r="795" spans="1:15" x14ac:dyDescent="0.25">
      <c r="A795" t="s">
        <v>18</v>
      </c>
      <c r="B795" t="s">
        <v>1310</v>
      </c>
      <c r="C795" t="s">
        <v>19</v>
      </c>
      <c r="D795" t="s">
        <v>1309</v>
      </c>
      <c r="F795" t="s">
        <v>37</v>
      </c>
      <c r="N795" t="s">
        <v>22</v>
      </c>
      <c r="O795" t="s">
        <v>23</v>
      </c>
    </row>
    <row r="796" spans="1:15" x14ac:dyDescent="0.25">
      <c r="A796" t="s">
        <v>18</v>
      </c>
      <c r="B796" t="s">
        <v>1584</v>
      </c>
      <c r="C796" t="s">
        <v>19</v>
      </c>
      <c r="F796" t="s">
        <v>1585</v>
      </c>
      <c r="N796" t="s">
        <v>22</v>
      </c>
      <c r="O796" t="s">
        <v>22</v>
      </c>
    </row>
    <row r="797" spans="1:15" x14ac:dyDescent="0.25">
      <c r="A797" t="s">
        <v>18</v>
      </c>
      <c r="B797" t="s">
        <v>1612</v>
      </c>
      <c r="C797" t="s">
        <v>19</v>
      </c>
      <c r="D797" t="s">
        <v>38</v>
      </c>
      <c r="F797" t="s">
        <v>596</v>
      </c>
      <c r="N797" t="s">
        <v>22</v>
      </c>
      <c r="O797" t="s">
        <v>23</v>
      </c>
    </row>
    <row r="798" spans="1:15" x14ac:dyDescent="0.25">
      <c r="A798" t="s">
        <v>18</v>
      </c>
      <c r="B798" t="s">
        <v>1570</v>
      </c>
      <c r="C798" t="s">
        <v>19</v>
      </c>
      <c r="F798" t="s">
        <v>1571</v>
      </c>
      <c r="N798" t="s">
        <v>22</v>
      </c>
      <c r="O798" t="s">
        <v>22</v>
      </c>
    </row>
    <row r="799" spans="1:15" x14ac:dyDescent="0.25">
      <c r="A799" t="s">
        <v>18</v>
      </c>
      <c r="B799" t="s">
        <v>1590</v>
      </c>
      <c r="C799" t="s">
        <v>19</v>
      </c>
      <c r="J799" t="s">
        <v>1591</v>
      </c>
      <c r="N799" t="s">
        <v>22</v>
      </c>
      <c r="O799" t="s">
        <v>23</v>
      </c>
    </row>
    <row r="800" spans="1:15" x14ac:dyDescent="0.25">
      <c r="A800" t="s">
        <v>18</v>
      </c>
      <c r="B800" t="s">
        <v>1592</v>
      </c>
      <c r="C800" t="s">
        <v>19</v>
      </c>
      <c r="F800" t="s">
        <v>1593</v>
      </c>
      <c r="N800" t="s">
        <v>22</v>
      </c>
      <c r="O800" t="s">
        <v>22</v>
      </c>
    </row>
    <row r="801" spans="1:15" x14ac:dyDescent="0.25">
      <c r="A801" t="s">
        <v>18</v>
      </c>
      <c r="B801" t="s">
        <v>1594</v>
      </c>
      <c r="C801" t="s">
        <v>19</v>
      </c>
      <c r="F801" t="s">
        <v>1595</v>
      </c>
      <c r="N801" t="s">
        <v>22</v>
      </c>
      <c r="O801" t="s">
        <v>22</v>
      </c>
    </row>
    <row r="802" spans="1:15" x14ac:dyDescent="0.25">
      <c r="A802" t="s">
        <v>18</v>
      </c>
      <c r="B802" t="s">
        <v>1596</v>
      </c>
      <c r="C802" t="s">
        <v>19</v>
      </c>
      <c r="F802" t="s">
        <v>1597</v>
      </c>
      <c r="N802" t="s">
        <v>22</v>
      </c>
      <c r="O802" t="s">
        <v>22</v>
      </c>
    </row>
    <row r="803" spans="1:15" x14ac:dyDescent="0.25">
      <c r="A803" t="s">
        <v>18</v>
      </c>
      <c r="B803" t="s">
        <v>1601</v>
      </c>
      <c r="C803" t="s">
        <v>19</v>
      </c>
      <c r="F803" t="s">
        <v>1602</v>
      </c>
      <c r="N803" t="s">
        <v>22</v>
      </c>
      <c r="O803" t="s">
        <v>22</v>
      </c>
    </row>
    <row r="804" spans="1:15" x14ac:dyDescent="0.25">
      <c r="A804" t="s">
        <v>18</v>
      </c>
      <c r="B804" t="s">
        <v>1649</v>
      </c>
      <c r="C804" t="s">
        <v>19</v>
      </c>
      <c r="F804" t="s">
        <v>1595</v>
      </c>
      <c r="N804" t="s">
        <v>22</v>
      </c>
      <c r="O804" t="s">
        <v>22</v>
      </c>
    </row>
    <row r="805" spans="1:15" x14ac:dyDescent="0.25">
      <c r="A805" t="s">
        <v>18</v>
      </c>
      <c r="B805" t="s">
        <v>1582</v>
      </c>
      <c r="C805" t="s">
        <v>19</v>
      </c>
      <c r="F805" t="s">
        <v>1583</v>
      </c>
      <c r="N805" t="s">
        <v>22</v>
      </c>
      <c r="O805" t="s">
        <v>22</v>
      </c>
    </row>
    <row r="806" spans="1:15" x14ac:dyDescent="0.25">
      <c r="A806" t="s">
        <v>18</v>
      </c>
      <c r="B806" t="s">
        <v>1632</v>
      </c>
      <c r="C806" t="s">
        <v>19</v>
      </c>
      <c r="J806" t="s">
        <v>1633</v>
      </c>
      <c r="N806" t="s">
        <v>22</v>
      </c>
      <c r="O806" t="s">
        <v>23</v>
      </c>
    </row>
    <row r="807" spans="1:15" x14ac:dyDescent="0.25">
      <c r="A807" t="s">
        <v>18</v>
      </c>
      <c r="B807" t="s">
        <v>1667</v>
      </c>
      <c r="C807" t="s">
        <v>19</v>
      </c>
      <c r="J807" t="s">
        <v>1668</v>
      </c>
      <c r="N807" t="s">
        <v>22</v>
      </c>
      <c r="O807" t="s">
        <v>23</v>
      </c>
    </row>
    <row r="808" spans="1:15" x14ac:dyDescent="0.25">
      <c r="A808" t="s">
        <v>18</v>
      </c>
      <c r="B808" t="s">
        <v>1669</v>
      </c>
      <c r="C808" t="s">
        <v>19</v>
      </c>
      <c r="F808" t="s">
        <v>1670</v>
      </c>
      <c r="N808" t="s">
        <v>22</v>
      </c>
      <c r="O808" t="s">
        <v>22</v>
      </c>
    </row>
    <row r="809" spans="1:15" x14ac:dyDescent="0.25">
      <c r="A809" t="s">
        <v>18</v>
      </c>
      <c r="B809" t="s">
        <v>1671</v>
      </c>
      <c r="C809" t="s">
        <v>19</v>
      </c>
      <c r="J809" t="s">
        <v>1672</v>
      </c>
      <c r="N809" t="s">
        <v>22</v>
      </c>
      <c r="O809" t="s">
        <v>23</v>
      </c>
    </row>
    <row r="810" spans="1:15" x14ac:dyDescent="0.25">
      <c r="A810" t="s">
        <v>18</v>
      </c>
      <c r="B810" t="s">
        <v>1673</v>
      </c>
      <c r="C810" t="s">
        <v>19</v>
      </c>
      <c r="F810" t="s">
        <v>1666</v>
      </c>
      <c r="N810" t="s">
        <v>22</v>
      </c>
      <c r="O810" t="s">
        <v>22</v>
      </c>
    </row>
    <row r="811" spans="1:15" x14ac:dyDescent="0.25">
      <c r="A811" t="s">
        <v>18</v>
      </c>
      <c r="B811" t="s">
        <v>1674</v>
      </c>
      <c r="C811" t="s">
        <v>19</v>
      </c>
      <c r="F811" t="s">
        <v>1585</v>
      </c>
      <c r="J811" t="s">
        <v>1538</v>
      </c>
      <c r="N811" t="s">
        <v>22</v>
      </c>
      <c r="O811" t="s">
        <v>23</v>
      </c>
    </row>
    <row r="812" spans="1:15" x14ac:dyDescent="0.25">
      <c r="A812" t="s">
        <v>18</v>
      </c>
      <c r="B812" t="s">
        <v>1675</v>
      </c>
      <c r="C812" t="s">
        <v>19</v>
      </c>
      <c r="J812" t="s">
        <v>1676</v>
      </c>
      <c r="N812" t="s">
        <v>22</v>
      </c>
      <c r="O812" t="s">
        <v>23</v>
      </c>
    </row>
    <row r="813" spans="1:15" x14ac:dyDescent="0.25">
      <c r="A813" t="s">
        <v>18</v>
      </c>
      <c r="B813" t="s">
        <v>1598</v>
      </c>
      <c r="C813" t="s">
        <v>19</v>
      </c>
      <c r="F813" t="s">
        <v>1571</v>
      </c>
      <c r="J813" t="s">
        <v>1499</v>
      </c>
      <c r="N813" t="s">
        <v>22</v>
      </c>
      <c r="O813" t="s">
        <v>23</v>
      </c>
    </row>
    <row r="814" spans="1:15" x14ac:dyDescent="0.25">
      <c r="A814" t="s">
        <v>18</v>
      </c>
      <c r="B814" t="s">
        <v>1588</v>
      </c>
      <c r="C814" t="s">
        <v>19</v>
      </c>
      <c r="D814" t="s">
        <v>38</v>
      </c>
      <c r="F814" t="s">
        <v>1589</v>
      </c>
      <c r="N814" t="s">
        <v>22</v>
      </c>
      <c r="O814" t="s">
        <v>23</v>
      </c>
    </row>
    <row r="815" spans="1:15" x14ac:dyDescent="0.25">
      <c r="A815" t="s">
        <v>18</v>
      </c>
      <c r="B815" t="s">
        <v>1617</v>
      </c>
      <c r="C815" t="s">
        <v>19</v>
      </c>
      <c r="D815" t="s">
        <v>38</v>
      </c>
      <c r="F815" t="s">
        <v>1618</v>
      </c>
      <c r="N815" t="s">
        <v>22</v>
      </c>
      <c r="O815" t="s">
        <v>23</v>
      </c>
    </row>
    <row r="816" spans="1:15" x14ac:dyDescent="0.25">
      <c r="A816" t="s">
        <v>18</v>
      </c>
      <c r="B816" t="s">
        <v>1603</v>
      </c>
      <c r="C816" t="s">
        <v>19</v>
      </c>
      <c r="D816" t="s">
        <v>38</v>
      </c>
      <c r="F816" t="s">
        <v>1604</v>
      </c>
      <c r="N816" t="s">
        <v>22</v>
      </c>
      <c r="O816" t="s">
        <v>23</v>
      </c>
    </row>
    <row r="817" spans="1:15" x14ac:dyDescent="0.25">
      <c r="A817" t="s">
        <v>18</v>
      </c>
      <c r="B817" t="s">
        <v>1620</v>
      </c>
      <c r="C817" t="s">
        <v>19</v>
      </c>
      <c r="D817" t="s">
        <v>38</v>
      </c>
      <c r="F817" t="s">
        <v>1621</v>
      </c>
      <c r="N817" t="s">
        <v>22</v>
      </c>
      <c r="O817" t="s">
        <v>23</v>
      </c>
    </row>
    <row r="818" spans="1:15" x14ac:dyDescent="0.25">
      <c r="A818" t="s">
        <v>18</v>
      </c>
      <c r="B818" t="s">
        <v>1622</v>
      </c>
      <c r="C818" t="s">
        <v>19</v>
      </c>
      <c r="D818" t="s">
        <v>38</v>
      </c>
      <c r="F818" t="s">
        <v>1623</v>
      </c>
      <c r="N818" t="s">
        <v>22</v>
      </c>
      <c r="O818" t="s">
        <v>23</v>
      </c>
    </row>
    <row r="819" spans="1:15" x14ac:dyDescent="0.25">
      <c r="A819" t="s">
        <v>18</v>
      </c>
      <c r="B819" t="s">
        <v>1624</v>
      </c>
      <c r="C819" t="s">
        <v>19</v>
      </c>
      <c r="D819" t="s">
        <v>38</v>
      </c>
      <c r="F819" t="s">
        <v>1625</v>
      </c>
      <c r="N819" t="s">
        <v>22</v>
      </c>
      <c r="O819" t="s">
        <v>23</v>
      </c>
    </row>
    <row r="820" spans="1:15" x14ac:dyDescent="0.25">
      <c r="A820" t="s">
        <v>18</v>
      </c>
      <c r="B820" t="s">
        <v>1626</v>
      </c>
      <c r="C820" t="s">
        <v>19</v>
      </c>
      <c r="D820" t="s">
        <v>38</v>
      </c>
      <c r="F820" t="s">
        <v>1627</v>
      </c>
      <c r="N820" t="s">
        <v>22</v>
      </c>
      <c r="O820" t="s">
        <v>23</v>
      </c>
    </row>
    <row r="821" spans="1:15" x14ac:dyDescent="0.25">
      <c r="A821" t="s">
        <v>18</v>
      </c>
      <c r="B821" t="s">
        <v>1586</v>
      </c>
      <c r="C821" t="s">
        <v>19</v>
      </c>
      <c r="J821" t="s">
        <v>1587</v>
      </c>
      <c r="N821" t="s">
        <v>22</v>
      </c>
      <c r="O821" t="s">
        <v>23</v>
      </c>
    </row>
    <row r="822" spans="1:15" x14ac:dyDescent="0.25">
      <c r="A822" t="s">
        <v>18</v>
      </c>
      <c r="B822" t="s">
        <v>1630</v>
      </c>
      <c r="C822" t="s">
        <v>19</v>
      </c>
      <c r="D822" t="s">
        <v>38</v>
      </c>
      <c r="F822" t="s">
        <v>1631</v>
      </c>
      <c r="N822" t="s">
        <v>22</v>
      </c>
      <c r="O822" t="s">
        <v>23</v>
      </c>
    </row>
    <row r="823" spans="1:15" x14ac:dyDescent="0.25">
      <c r="A823" t="s">
        <v>18</v>
      </c>
      <c r="B823" t="s">
        <v>1294</v>
      </c>
      <c r="C823" t="s">
        <v>19</v>
      </c>
      <c r="D823" t="s">
        <v>680</v>
      </c>
      <c r="F823" t="s">
        <v>37</v>
      </c>
      <c r="N823" t="s">
        <v>22</v>
      </c>
      <c r="O823" t="s">
        <v>23</v>
      </c>
    </row>
    <row r="824" spans="1:15" x14ac:dyDescent="0.25">
      <c r="A824" t="s">
        <v>18</v>
      </c>
      <c r="B824" t="s">
        <v>1619</v>
      </c>
      <c r="C824" t="s">
        <v>19</v>
      </c>
      <c r="D824" t="s">
        <v>38</v>
      </c>
      <c r="E824" t="s">
        <v>2584</v>
      </c>
      <c r="F824" t="s">
        <v>596</v>
      </c>
      <c r="G824" t="s">
        <v>2574</v>
      </c>
      <c r="N824" t="s">
        <v>22</v>
      </c>
      <c r="O824" t="s">
        <v>23</v>
      </c>
    </row>
    <row r="825" spans="1:15" x14ac:dyDescent="0.25">
      <c r="A825" t="s">
        <v>18</v>
      </c>
      <c r="B825" t="s">
        <v>1615</v>
      </c>
      <c r="C825" t="s">
        <v>19</v>
      </c>
      <c r="D825" t="s">
        <v>38</v>
      </c>
      <c r="F825" t="s">
        <v>1616</v>
      </c>
      <c r="N825" t="s">
        <v>22</v>
      </c>
      <c r="O825" t="s">
        <v>23</v>
      </c>
    </row>
    <row r="826" spans="1:15" x14ac:dyDescent="0.25">
      <c r="A826" t="s">
        <v>18</v>
      </c>
      <c r="B826" t="s">
        <v>1572</v>
      </c>
      <c r="C826" t="s">
        <v>19</v>
      </c>
      <c r="D826" t="s">
        <v>38</v>
      </c>
      <c r="F826" t="s">
        <v>1573</v>
      </c>
      <c r="N826" t="s">
        <v>22</v>
      </c>
      <c r="O826" t="s">
        <v>23</v>
      </c>
    </row>
    <row r="827" spans="1:15" x14ac:dyDescent="0.25">
      <c r="A827" t="s">
        <v>18</v>
      </c>
      <c r="B827" t="s">
        <v>1574</v>
      </c>
      <c r="C827" t="s">
        <v>19</v>
      </c>
      <c r="D827" t="s">
        <v>38</v>
      </c>
      <c r="F827" t="s">
        <v>1575</v>
      </c>
      <c r="N827" t="s">
        <v>22</v>
      </c>
      <c r="O827" t="s">
        <v>23</v>
      </c>
    </row>
    <row r="828" spans="1:15" x14ac:dyDescent="0.25">
      <c r="A828" t="s">
        <v>18</v>
      </c>
      <c r="B828" t="s">
        <v>1576</v>
      </c>
      <c r="C828" t="s">
        <v>19</v>
      </c>
      <c r="D828" t="s">
        <v>38</v>
      </c>
      <c r="F828" t="s">
        <v>1577</v>
      </c>
      <c r="N828" t="s">
        <v>22</v>
      </c>
      <c r="O828" t="s">
        <v>23</v>
      </c>
    </row>
    <row r="829" spans="1:15" x14ac:dyDescent="0.25">
      <c r="A829" t="s">
        <v>18</v>
      </c>
      <c r="B829" t="s">
        <v>1578</v>
      </c>
      <c r="C829" t="s">
        <v>19</v>
      </c>
      <c r="D829" t="s">
        <v>38</v>
      </c>
      <c r="F829" t="s">
        <v>1579</v>
      </c>
      <c r="N829" t="s">
        <v>22</v>
      </c>
      <c r="O829" t="s">
        <v>23</v>
      </c>
    </row>
    <row r="830" spans="1:15" x14ac:dyDescent="0.25">
      <c r="A830" t="s">
        <v>18</v>
      </c>
      <c r="B830" t="s">
        <v>1580</v>
      </c>
      <c r="C830" t="s">
        <v>19</v>
      </c>
      <c r="F830" t="s">
        <v>1581</v>
      </c>
      <c r="N830" t="s">
        <v>22</v>
      </c>
      <c r="O830" t="s">
        <v>22</v>
      </c>
    </row>
    <row r="831" spans="1:15" x14ac:dyDescent="0.25">
      <c r="A831" t="s">
        <v>18</v>
      </c>
      <c r="B831" t="s">
        <v>1628</v>
      </c>
      <c r="C831" t="s">
        <v>19</v>
      </c>
      <c r="D831" t="s">
        <v>38</v>
      </c>
      <c r="F831" t="s">
        <v>1629</v>
      </c>
      <c r="N831" t="s">
        <v>22</v>
      </c>
      <c r="O831" t="s">
        <v>23</v>
      </c>
    </row>
    <row r="832" spans="1:15" x14ac:dyDescent="0.25">
      <c r="A832" t="s">
        <v>18</v>
      </c>
      <c r="B832" t="s">
        <v>1403</v>
      </c>
      <c r="C832" t="s">
        <v>19</v>
      </c>
      <c r="D832" t="s">
        <v>1393</v>
      </c>
      <c r="F832" t="s">
        <v>654</v>
      </c>
      <c r="N832" t="s">
        <v>22</v>
      </c>
      <c r="O832" t="s">
        <v>22</v>
      </c>
    </row>
    <row r="833" spans="1:16" x14ac:dyDescent="0.25">
      <c r="A833" t="s">
        <v>18</v>
      </c>
      <c r="B833" t="s">
        <v>1296</v>
      </c>
      <c r="C833" t="s">
        <v>19</v>
      </c>
      <c r="D833" t="s">
        <v>1297</v>
      </c>
      <c r="F833" t="s">
        <v>1298</v>
      </c>
      <c r="N833" t="s">
        <v>22</v>
      </c>
      <c r="O833" t="s">
        <v>23</v>
      </c>
      <c r="P833" t="s">
        <v>2625</v>
      </c>
    </row>
    <row r="834" spans="1:16" x14ac:dyDescent="0.25">
      <c r="A834" t="s">
        <v>18</v>
      </c>
      <c r="B834" t="s">
        <v>1389</v>
      </c>
      <c r="C834" t="s">
        <v>19</v>
      </c>
      <c r="F834" t="s">
        <v>1390</v>
      </c>
      <c r="N834" t="s">
        <v>22</v>
      </c>
      <c r="O834" t="s">
        <v>23</v>
      </c>
    </row>
    <row r="835" spans="1:16" x14ac:dyDescent="0.25">
      <c r="A835" t="s">
        <v>18</v>
      </c>
      <c r="B835" t="s">
        <v>1408</v>
      </c>
      <c r="C835" t="s">
        <v>19</v>
      </c>
      <c r="F835" t="s">
        <v>1409</v>
      </c>
      <c r="N835" t="s">
        <v>22</v>
      </c>
      <c r="O835" t="s">
        <v>23</v>
      </c>
    </row>
    <row r="836" spans="1:16" x14ac:dyDescent="0.25">
      <c r="A836" t="s">
        <v>18</v>
      </c>
      <c r="B836" t="s">
        <v>1392</v>
      </c>
      <c r="C836" t="s">
        <v>19</v>
      </c>
      <c r="D836" t="s">
        <v>1393</v>
      </c>
      <c r="F836" t="s">
        <v>1394</v>
      </c>
      <c r="N836" t="s">
        <v>22</v>
      </c>
      <c r="O836" t="s">
        <v>22</v>
      </c>
    </row>
    <row r="837" spans="1:16" x14ac:dyDescent="0.25">
      <c r="A837" t="s">
        <v>18</v>
      </c>
      <c r="B837" t="s">
        <v>1379</v>
      </c>
      <c r="C837" t="s">
        <v>19</v>
      </c>
      <c r="D837" t="s">
        <v>1321</v>
      </c>
      <c r="F837" t="s">
        <v>1380</v>
      </c>
      <c r="N837" t="s">
        <v>22</v>
      </c>
      <c r="O837" t="s">
        <v>22</v>
      </c>
    </row>
    <row r="838" spans="1:16" x14ac:dyDescent="0.25">
      <c r="A838" t="s">
        <v>18</v>
      </c>
      <c r="B838" t="s">
        <v>1397</v>
      </c>
      <c r="C838" t="s">
        <v>19</v>
      </c>
      <c r="F838" t="s">
        <v>1398</v>
      </c>
      <c r="N838" t="s">
        <v>22</v>
      </c>
      <c r="O838" t="s">
        <v>22</v>
      </c>
    </row>
    <row r="839" spans="1:16" x14ac:dyDescent="0.25">
      <c r="A839" t="s">
        <v>18</v>
      </c>
      <c r="B839" t="s">
        <v>1386</v>
      </c>
      <c r="C839" t="s">
        <v>19</v>
      </c>
      <c r="F839" t="s">
        <v>1317</v>
      </c>
      <c r="H839" t="s">
        <v>1387</v>
      </c>
      <c r="N839" t="s">
        <v>22</v>
      </c>
      <c r="O839" t="s">
        <v>22</v>
      </c>
    </row>
    <row r="840" spans="1:16" x14ac:dyDescent="0.25">
      <c r="A840" t="s">
        <v>18</v>
      </c>
      <c r="B840" t="s">
        <v>1401</v>
      </c>
      <c r="C840" t="s">
        <v>19</v>
      </c>
      <c r="F840" t="s">
        <v>1402</v>
      </c>
      <c r="N840" t="s">
        <v>22</v>
      </c>
      <c r="O840" t="s">
        <v>23</v>
      </c>
      <c r="P840" t="s">
        <v>2626</v>
      </c>
    </row>
    <row r="841" spans="1:16" x14ac:dyDescent="0.25">
      <c r="A841" t="s">
        <v>18</v>
      </c>
      <c r="B841" t="s">
        <v>1385</v>
      </c>
      <c r="C841" t="s">
        <v>19</v>
      </c>
      <c r="F841" t="s">
        <v>1317</v>
      </c>
      <c r="H841" t="s">
        <v>1384</v>
      </c>
      <c r="N841" t="s">
        <v>22</v>
      </c>
      <c r="O841" t="s">
        <v>22</v>
      </c>
    </row>
    <row r="842" spans="1:16" x14ac:dyDescent="0.25">
      <c r="A842" t="s">
        <v>18</v>
      </c>
      <c r="B842" t="s">
        <v>1404</v>
      </c>
      <c r="C842" t="s">
        <v>19</v>
      </c>
      <c r="D842" t="s">
        <v>1393</v>
      </c>
      <c r="F842" t="s">
        <v>1405</v>
      </c>
      <c r="N842" t="s">
        <v>22</v>
      </c>
      <c r="O842" t="s">
        <v>22</v>
      </c>
    </row>
    <row r="843" spans="1:16" x14ac:dyDescent="0.25">
      <c r="A843" t="s">
        <v>18</v>
      </c>
      <c r="B843" t="s">
        <v>1406</v>
      </c>
      <c r="C843" t="s">
        <v>19</v>
      </c>
      <c r="F843" t="s">
        <v>1407</v>
      </c>
      <c r="N843" t="s">
        <v>22</v>
      </c>
      <c r="O843" t="s">
        <v>22</v>
      </c>
    </row>
    <row r="844" spans="1:16" x14ac:dyDescent="0.25">
      <c r="A844" t="s">
        <v>18</v>
      </c>
      <c r="B844" t="s">
        <v>1289</v>
      </c>
      <c r="C844" t="s">
        <v>19</v>
      </c>
      <c r="D844" t="s">
        <v>38</v>
      </c>
      <c r="F844" t="s">
        <v>48</v>
      </c>
      <c r="N844" t="s">
        <v>22</v>
      </c>
      <c r="O844" t="s">
        <v>23</v>
      </c>
    </row>
    <row r="845" spans="1:16" x14ac:dyDescent="0.25">
      <c r="A845" t="s">
        <v>18</v>
      </c>
      <c r="B845" t="s">
        <v>1197</v>
      </c>
      <c r="C845" t="s">
        <v>19</v>
      </c>
      <c r="H845" t="s">
        <v>1198</v>
      </c>
      <c r="N845" t="s">
        <v>22</v>
      </c>
      <c r="O845" t="s">
        <v>23</v>
      </c>
    </row>
    <row r="846" spans="1:16" x14ac:dyDescent="0.25">
      <c r="A846" t="s">
        <v>18</v>
      </c>
      <c r="B846" t="s">
        <v>1319</v>
      </c>
      <c r="C846" t="s">
        <v>19</v>
      </c>
      <c r="F846" t="s">
        <v>71</v>
      </c>
      <c r="N846" t="s">
        <v>22</v>
      </c>
      <c r="O846" t="s">
        <v>22</v>
      </c>
    </row>
    <row r="847" spans="1:16" x14ac:dyDescent="0.25">
      <c r="A847" t="s">
        <v>18</v>
      </c>
      <c r="B847" t="s">
        <v>1231</v>
      </c>
      <c r="C847" t="s">
        <v>19</v>
      </c>
      <c r="F847" t="s">
        <v>1232</v>
      </c>
      <c r="N847" t="s">
        <v>22</v>
      </c>
      <c r="O847" t="s">
        <v>22</v>
      </c>
    </row>
    <row r="848" spans="1:16" x14ac:dyDescent="0.25">
      <c r="A848" t="s">
        <v>18</v>
      </c>
      <c r="B848" t="s">
        <v>1233</v>
      </c>
      <c r="C848" t="s">
        <v>19</v>
      </c>
      <c r="F848" t="s">
        <v>1234</v>
      </c>
      <c r="N848" t="s">
        <v>22</v>
      </c>
      <c r="O848" t="s">
        <v>22</v>
      </c>
    </row>
    <row r="849" spans="1:15" x14ac:dyDescent="0.25">
      <c r="A849" t="s">
        <v>18</v>
      </c>
      <c r="B849" t="s">
        <v>1399</v>
      </c>
      <c r="C849" t="s">
        <v>19</v>
      </c>
      <c r="H849" t="s">
        <v>1400</v>
      </c>
      <c r="N849" t="s">
        <v>22</v>
      </c>
      <c r="O849" t="s">
        <v>23</v>
      </c>
    </row>
    <row r="850" spans="1:15" x14ac:dyDescent="0.25">
      <c r="A850" t="s">
        <v>18</v>
      </c>
      <c r="B850" t="s">
        <v>1429</v>
      </c>
      <c r="C850" t="s">
        <v>19</v>
      </c>
      <c r="F850" t="s">
        <v>1317</v>
      </c>
      <c r="H850" t="s">
        <v>1428</v>
      </c>
      <c r="N850" t="s">
        <v>22</v>
      </c>
      <c r="O850" t="s">
        <v>22</v>
      </c>
    </row>
    <row r="851" spans="1:15" x14ac:dyDescent="0.25">
      <c r="A851" t="s">
        <v>18</v>
      </c>
      <c r="B851" t="s">
        <v>1418</v>
      </c>
      <c r="C851" t="s">
        <v>19</v>
      </c>
      <c r="F851" t="s">
        <v>1317</v>
      </c>
      <c r="H851" t="s">
        <v>1417</v>
      </c>
      <c r="N851" t="s">
        <v>22</v>
      </c>
      <c r="O851" t="s">
        <v>22</v>
      </c>
    </row>
    <row r="852" spans="1:15" x14ac:dyDescent="0.25">
      <c r="A852" t="s">
        <v>18</v>
      </c>
      <c r="B852" t="s">
        <v>1419</v>
      </c>
      <c r="C852" t="s">
        <v>19</v>
      </c>
      <c r="F852" t="s">
        <v>1317</v>
      </c>
      <c r="H852" t="s">
        <v>1420</v>
      </c>
      <c r="N852" t="s">
        <v>22</v>
      </c>
      <c r="O852" t="s">
        <v>22</v>
      </c>
    </row>
    <row r="853" spans="1:15" x14ac:dyDescent="0.25">
      <c r="A853" t="s">
        <v>18</v>
      </c>
      <c r="B853" t="s">
        <v>1434</v>
      </c>
      <c r="C853" t="s">
        <v>19</v>
      </c>
      <c r="F853" t="s">
        <v>1317</v>
      </c>
      <c r="H853" t="s">
        <v>1420</v>
      </c>
      <c r="N853" t="s">
        <v>22</v>
      </c>
      <c r="O853" t="s">
        <v>22</v>
      </c>
    </row>
    <row r="854" spans="1:15" x14ac:dyDescent="0.25">
      <c r="A854" t="s">
        <v>18</v>
      </c>
      <c r="B854" t="s">
        <v>1422</v>
      </c>
      <c r="C854" t="s">
        <v>19</v>
      </c>
      <c r="F854" t="s">
        <v>1317</v>
      </c>
      <c r="H854" t="s">
        <v>1411</v>
      </c>
      <c r="N854" t="s">
        <v>22</v>
      </c>
      <c r="O854" t="s">
        <v>22</v>
      </c>
    </row>
    <row r="855" spans="1:15" x14ac:dyDescent="0.25">
      <c r="A855" t="s">
        <v>18</v>
      </c>
      <c r="B855" t="s">
        <v>1410</v>
      </c>
      <c r="C855" t="s">
        <v>19</v>
      </c>
      <c r="F855" t="s">
        <v>1317</v>
      </c>
      <c r="H855" t="s">
        <v>1411</v>
      </c>
      <c r="N855" t="s">
        <v>22</v>
      </c>
      <c r="O855" t="s">
        <v>22</v>
      </c>
    </row>
    <row r="856" spans="1:15" x14ac:dyDescent="0.25">
      <c r="A856" t="s">
        <v>18</v>
      </c>
      <c r="B856" t="s">
        <v>1424</v>
      </c>
      <c r="C856" t="s">
        <v>19</v>
      </c>
      <c r="F856" t="s">
        <v>1317</v>
      </c>
      <c r="H856" t="s">
        <v>1425</v>
      </c>
      <c r="N856" t="s">
        <v>22</v>
      </c>
      <c r="O856" t="s">
        <v>22</v>
      </c>
    </row>
    <row r="857" spans="1:15" x14ac:dyDescent="0.25">
      <c r="A857" t="s">
        <v>18</v>
      </c>
      <c r="B857" t="s">
        <v>1388</v>
      </c>
      <c r="C857" t="s">
        <v>19</v>
      </c>
      <c r="F857" t="s">
        <v>1317</v>
      </c>
      <c r="H857" t="s">
        <v>1387</v>
      </c>
      <c r="N857" t="s">
        <v>22</v>
      </c>
      <c r="O857" t="s">
        <v>22</v>
      </c>
    </row>
    <row r="858" spans="1:15" x14ac:dyDescent="0.25">
      <c r="A858" t="s">
        <v>18</v>
      </c>
      <c r="B858" t="s">
        <v>1427</v>
      </c>
      <c r="C858" t="s">
        <v>19</v>
      </c>
      <c r="F858" t="s">
        <v>1317</v>
      </c>
      <c r="H858" t="s">
        <v>1428</v>
      </c>
      <c r="N858" t="s">
        <v>22</v>
      </c>
      <c r="O858" t="s">
        <v>22</v>
      </c>
    </row>
    <row r="859" spans="1:15" x14ac:dyDescent="0.25">
      <c r="A859" t="s">
        <v>18</v>
      </c>
      <c r="B859" t="s">
        <v>1239</v>
      </c>
      <c r="C859" t="s">
        <v>19</v>
      </c>
      <c r="F859" t="s">
        <v>1240</v>
      </c>
      <c r="N859" t="s">
        <v>22</v>
      </c>
      <c r="O859" t="s">
        <v>22</v>
      </c>
    </row>
    <row r="860" spans="1:15" x14ac:dyDescent="0.25">
      <c r="A860" t="s">
        <v>18</v>
      </c>
      <c r="B860" t="s">
        <v>1430</v>
      </c>
      <c r="C860" t="s">
        <v>19</v>
      </c>
      <c r="F860" t="s">
        <v>1317</v>
      </c>
      <c r="H860" t="s">
        <v>1431</v>
      </c>
      <c r="N860" t="s">
        <v>22</v>
      </c>
      <c r="O860" t="s">
        <v>22</v>
      </c>
    </row>
    <row r="861" spans="1:15" x14ac:dyDescent="0.25">
      <c r="A861" t="s">
        <v>18</v>
      </c>
      <c r="B861" t="s">
        <v>1432</v>
      </c>
      <c r="C861" t="s">
        <v>19</v>
      </c>
      <c r="F861" t="s">
        <v>1317</v>
      </c>
      <c r="H861" t="s">
        <v>1431</v>
      </c>
      <c r="N861" t="s">
        <v>22</v>
      </c>
      <c r="O861" t="s">
        <v>22</v>
      </c>
    </row>
    <row r="862" spans="1:15" x14ac:dyDescent="0.25">
      <c r="A862" t="s">
        <v>18</v>
      </c>
      <c r="B862" t="s">
        <v>1395</v>
      </c>
      <c r="C862" t="s">
        <v>19</v>
      </c>
      <c r="F862" t="s">
        <v>1317</v>
      </c>
      <c r="H862" t="s">
        <v>1396</v>
      </c>
      <c r="N862" t="s">
        <v>22</v>
      </c>
      <c r="O862" t="s">
        <v>22</v>
      </c>
    </row>
    <row r="863" spans="1:15" x14ac:dyDescent="0.25">
      <c r="A863" t="s">
        <v>18</v>
      </c>
      <c r="B863" t="s">
        <v>1423</v>
      </c>
      <c r="C863" t="s">
        <v>19</v>
      </c>
      <c r="F863" t="s">
        <v>1317</v>
      </c>
      <c r="H863" t="s">
        <v>1396</v>
      </c>
      <c r="N863" t="s">
        <v>22</v>
      </c>
      <c r="O863" t="s">
        <v>22</v>
      </c>
    </row>
    <row r="864" spans="1:15" x14ac:dyDescent="0.25">
      <c r="A864" t="s">
        <v>18</v>
      </c>
      <c r="B864" t="s">
        <v>1421</v>
      </c>
      <c r="C864" t="s">
        <v>19</v>
      </c>
      <c r="F864" t="s">
        <v>1317</v>
      </c>
      <c r="H864" t="s">
        <v>1382</v>
      </c>
      <c r="N864" t="s">
        <v>22</v>
      </c>
      <c r="O864" t="s">
        <v>22</v>
      </c>
    </row>
    <row r="865" spans="1:18" x14ac:dyDescent="0.25">
      <c r="A865" t="s">
        <v>18</v>
      </c>
      <c r="B865" t="s">
        <v>1381</v>
      </c>
      <c r="C865" t="s">
        <v>19</v>
      </c>
      <c r="F865" t="s">
        <v>1317</v>
      </c>
      <c r="H865" t="s">
        <v>1382</v>
      </c>
      <c r="N865" t="s">
        <v>22</v>
      </c>
      <c r="O865" t="s">
        <v>22</v>
      </c>
    </row>
    <row r="866" spans="1:18" x14ac:dyDescent="0.25">
      <c r="A866" t="s">
        <v>18</v>
      </c>
      <c r="B866" t="s">
        <v>1383</v>
      </c>
      <c r="C866" t="s">
        <v>19</v>
      </c>
      <c r="F866" t="s">
        <v>1317</v>
      </c>
      <c r="H866" t="s">
        <v>1384</v>
      </c>
      <c r="N866" t="s">
        <v>22</v>
      </c>
      <c r="O866" t="s">
        <v>22</v>
      </c>
    </row>
    <row r="867" spans="1:18" x14ac:dyDescent="0.25">
      <c r="A867" t="s">
        <v>18</v>
      </c>
      <c r="B867" t="s">
        <v>1426</v>
      </c>
      <c r="C867" t="s">
        <v>19</v>
      </c>
      <c r="F867" t="s">
        <v>1317</v>
      </c>
      <c r="H867" t="s">
        <v>1425</v>
      </c>
      <c r="N867" t="s">
        <v>22</v>
      </c>
      <c r="O867" t="s">
        <v>22</v>
      </c>
    </row>
    <row r="868" spans="1:18" x14ac:dyDescent="0.25">
      <c r="A868" t="s">
        <v>18</v>
      </c>
      <c r="B868" t="s">
        <v>1224</v>
      </c>
      <c r="C868" t="s">
        <v>19</v>
      </c>
      <c r="F868" t="s">
        <v>1225</v>
      </c>
      <c r="N868" t="s">
        <v>22</v>
      </c>
      <c r="O868" t="s">
        <v>23</v>
      </c>
    </row>
    <row r="869" spans="1:18" x14ac:dyDescent="0.25">
      <c r="A869" t="s">
        <v>18</v>
      </c>
      <c r="B869" t="s">
        <v>1226</v>
      </c>
      <c r="C869" t="s">
        <v>19</v>
      </c>
      <c r="F869" t="s">
        <v>1227</v>
      </c>
      <c r="N869" t="s">
        <v>22</v>
      </c>
      <c r="O869" t="s">
        <v>22</v>
      </c>
    </row>
    <row r="870" spans="1:18" x14ac:dyDescent="0.25">
      <c r="A870" t="s">
        <v>18</v>
      </c>
      <c r="B870" t="s">
        <v>1211</v>
      </c>
      <c r="C870" t="s">
        <v>19</v>
      </c>
      <c r="F870" t="s">
        <v>1212</v>
      </c>
      <c r="N870" t="s">
        <v>22</v>
      </c>
      <c r="O870" t="s">
        <v>22</v>
      </c>
    </row>
    <row r="871" spans="1:18" x14ac:dyDescent="0.25">
      <c r="A871" t="s">
        <v>18</v>
      </c>
      <c r="B871" t="s">
        <v>1195</v>
      </c>
      <c r="C871" t="s">
        <v>19</v>
      </c>
      <c r="F871" t="s">
        <v>1196</v>
      </c>
      <c r="N871" t="s">
        <v>22</v>
      </c>
      <c r="O871" t="s">
        <v>22</v>
      </c>
    </row>
    <row r="872" spans="1:18" x14ac:dyDescent="0.25">
      <c r="A872" t="s">
        <v>18</v>
      </c>
      <c r="B872" t="s">
        <v>1214</v>
      </c>
      <c r="C872" t="s">
        <v>19</v>
      </c>
      <c r="F872" t="s">
        <v>1215</v>
      </c>
      <c r="N872" t="s">
        <v>22</v>
      </c>
      <c r="O872" t="s">
        <v>22</v>
      </c>
    </row>
    <row r="873" spans="1:18" x14ac:dyDescent="0.25">
      <c r="A873" t="s">
        <v>18</v>
      </c>
      <c r="B873" t="s">
        <v>1216</v>
      </c>
      <c r="C873" t="s">
        <v>19</v>
      </c>
      <c r="F873" t="s">
        <v>1217</v>
      </c>
      <c r="N873" t="s">
        <v>22</v>
      </c>
      <c r="O873" t="s">
        <v>22</v>
      </c>
    </row>
    <row r="874" spans="1:18" x14ac:dyDescent="0.25">
      <c r="A874" t="s">
        <v>18</v>
      </c>
      <c r="B874" t="s">
        <v>1218</v>
      </c>
      <c r="C874" t="s">
        <v>19</v>
      </c>
      <c r="F874" t="s">
        <v>1219</v>
      </c>
      <c r="N874" t="s">
        <v>22</v>
      </c>
      <c r="O874" t="s">
        <v>22</v>
      </c>
    </row>
    <row r="875" spans="1:18" x14ac:dyDescent="0.25">
      <c r="A875" t="s">
        <v>18</v>
      </c>
      <c r="B875" t="s">
        <v>1235</v>
      </c>
      <c r="C875" t="s">
        <v>19</v>
      </c>
      <c r="F875" t="s">
        <v>1236</v>
      </c>
      <c r="N875" t="s">
        <v>22</v>
      </c>
      <c r="O875" t="s">
        <v>22</v>
      </c>
    </row>
    <row r="876" spans="1:18" x14ac:dyDescent="0.25">
      <c r="A876" t="s">
        <v>18</v>
      </c>
      <c r="B876" t="s">
        <v>1222</v>
      </c>
      <c r="C876" t="s">
        <v>19</v>
      </c>
      <c r="F876" t="s">
        <v>1223</v>
      </c>
      <c r="N876" t="s">
        <v>22</v>
      </c>
      <c r="O876" t="s">
        <v>22</v>
      </c>
    </row>
    <row r="877" spans="1:18" x14ac:dyDescent="0.25">
      <c r="A877" t="s">
        <v>18</v>
      </c>
      <c r="B877" t="s">
        <v>1203</v>
      </c>
      <c r="C877" t="s">
        <v>19</v>
      </c>
      <c r="F877" t="s">
        <v>1204</v>
      </c>
      <c r="N877" t="s">
        <v>22</v>
      </c>
      <c r="O877" t="s">
        <v>22</v>
      </c>
    </row>
    <row r="878" spans="1:18" x14ac:dyDescent="0.25">
      <c r="A878" t="s">
        <v>18</v>
      </c>
      <c r="B878" t="s">
        <v>2545</v>
      </c>
      <c r="C878" t="s">
        <v>19</v>
      </c>
      <c r="D878" t="s">
        <v>1309</v>
      </c>
      <c r="F878" t="s">
        <v>37</v>
      </c>
      <c r="N878" t="s">
        <v>22</v>
      </c>
      <c r="O878" t="s">
        <v>23</v>
      </c>
      <c r="Q878" t="s">
        <v>22</v>
      </c>
      <c r="R878" t="s">
        <v>23</v>
      </c>
    </row>
    <row r="879" spans="1:18" x14ac:dyDescent="0.25">
      <c r="A879" t="s">
        <v>18</v>
      </c>
      <c r="B879" t="s">
        <v>1272</v>
      </c>
      <c r="C879" t="s">
        <v>19</v>
      </c>
      <c r="D879" t="s">
        <v>1273</v>
      </c>
      <c r="F879" t="s">
        <v>37</v>
      </c>
      <c r="N879" t="s">
        <v>22</v>
      </c>
      <c r="O879" t="s">
        <v>23</v>
      </c>
    </row>
    <row r="880" spans="1:18" x14ac:dyDescent="0.25">
      <c r="A880" t="s">
        <v>18</v>
      </c>
      <c r="B880" t="s">
        <v>1314</v>
      </c>
      <c r="C880" t="s">
        <v>19</v>
      </c>
      <c r="D880" t="s">
        <v>1309</v>
      </c>
      <c r="F880" t="s">
        <v>37</v>
      </c>
      <c r="N880" t="s">
        <v>22</v>
      </c>
      <c r="O880" t="s">
        <v>23</v>
      </c>
    </row>
    <row r="881" spans="1:18" x14ac:dyDescent="0.25">
      <c r="A881" t="s">
        <v>18</v>
      </c>
      <c r="B881" t="s">
        <v>1245</v>
      </c>
      <c r="C881" t="s">
        <v>19</v>
      </c>
      <c r="D881" t="s">
        <v>1246</v>
      </c>
      <c r="F881" t="s">
        <v>37</v>
      </c>
      <c r="N881" t="s">
        <v>22</v>
      </c>
      <c r="O881" t="s">
        <v>23</v>
      </c>
    </row>
    <row r="882" spans="1:18" x14ac:dyDescent="0.25">
      <c r="A882" t="s">
        <v>18</v>
      </c>
      <c r="B882" t="s">
        <v>1290</v>
      </c>
      <c r="C882" t="s">
        <v>19</v>
      </c>
      <c r="D882" t="s">
        <v>1291</v>
      </c>
      <c r="F882" t="s">
        <v>37</v>
      </c>
      <c r="N882" t="s">
        <v>22</v>
      </c>
      <c r="O882" t="s">
        <v>23</v>
      </c>
    </row>
    <row r="883" spans="1:18" x14ac:dyDescent="0.25">
      <c r="A883" t="s">
        <v>18</v>
      </c>
      <c r="B883" t="s">
        <v>1292</v>
      </c>
      <c r="C883" t="s">
        <v>19</v>
      </c>
      <c r="D883" t="s">
        <v>1293</v>
      </c>
      <c r="F883" t="s">
        <v>37</v>
      </c>
      <c r="N883" t="s">
        <v>22</v>
      </c>
      <c r="O883" t="s">
        <v>23</v>
      </c>
    </row>
    <row r="884" spans="1:18" x14ac:dyDescent="0.25">
      <c r="A884" t="s">
        <v>18</v>
      </c>
      <c r="B884" t="s">
        <v>1824</v>
      </c>
      <c r="C884" t="s">
        <v>19</v>
      </c>
      <c r="F884" t="s">
        <v>1825</v>
      </c>
      <c r="N884" t="s">
        <v>22</v>
      </c>
      <c r="O884" t="s">
        <v>22</v>
      </c>
    </row>
    <row r="885" spans="1:18" x14ac:dyDescent="0.25">
      <c r="A885" t="s">
        <v>18</v>
      </c>
      <c r="B885" t="s">
        <v>1220</v>
      </c>
      <c r="C885" t="s">
        <v>19</v>
      </c>
      <c r="F885" t="s">
        <v>1221</v>
      </c>
      <c r="N885" t="s">
        <v>22</v>
      </c>
      <c r="O885" t="s">
        <v>23</v>
      </c>
    </row>
    <row r="886" spans="1:18" x14ac:dyDescent="0.25">
      <c r="A886" t="s">
        <v>18</v>
      </c>
      <c r="B886" t="s">
        <v>1254</v>
      </c>
      <c r="C886" t="s">
        <v>19</v>
      </c>
      <c r="F886" t="s">
        <v>701</v>
      </c>
      <c r="J886" t="s">
        <v>143</v>
      </c>
      <c r="N886" t="s">
        <v>22</v>
      </c>
      <c r="O886" t="s">
        <v>23</v>
      </c>
    </row>
    <row r="887" spans="1:18" x14ac:dyDescent="0.25">
      <c r="A887" t="s">
        <v>18</v>
      </c>
      <c r="B887" t="s">
        <v>1295</v>
      </c>
      <c r="C887" t="s">
        <v>19</v>
      </c>
      <c r="D887" t="s">
        <v>682</v>
      </c>
      <c r="F887" t="s">
        <v>37</v>
      </c>
      <c r="N887" t="s">
        <v>22</v>
      </c>
      <c r="O887" t="s">
        <v>23</v>
      </c>
    </row>
    <row r="888" spans="1:18" x14ac:dyDescent="0.25">
      <c r="A888" t="s">
        <v>18</v>
      </c>
      <c r="B888" t="s">
        <v>1257</v>
      </c>
      <c r="C888" t="s">
        <v>19</v>
      </c>
      <c r="F888" t="s">
        <v>1258</v>
      </c>
      <c r="N888" t="s">
        <v>22</v>
      </c>
      <c r="O888" t="s">
        <v>22</v>
      </c>
    </row>
    <row r="889" spans="1:18" x14ac:dyDescent="0.25">
      <c r="A889" t="s">
        <v>18</v>
      </c>
      <c r="B889" t="s">
        <v>1243</v>
      </c>
      <c r="C889" t="s">
        <v>19</v>
      </c>
      <c r="F889" t="s">
        <v>33</v>
      </c>
      <c r="G889" t="s">
        <v>1244</v>
      </c>
      <c r="N889" t="s">
        <v>22</v>
      </c>
      <c r="O889" t="s">
        <v>23</v>
      </c>
    </row>
    <row r="890" spans="1:18" x14ac:dyDescent="0.25">
      <c r="A890" t="s">
        <v>18</v>
      </c>
      <c r="B890" t="s">
        <v>2543</v>
      </c>
      <c r="C890" t="s">
        <v>19</v>
      </c>
      <c r="F890" t="s">
        <v>2544</v>
      </c>
      <c r="N890" t="s">
        <v>22</v>
      </c>
      <c r="O890" t="s">
        <v>23</v>
      </c>
      <c r="Q890" t="s">
        <v>22</v>
      </c>
      <c r="R890" t="s">
        <v>23</v>
      </c>
    </row>
    <row r="891" spans="1:18" x14ac:dyDescent="0.25">
      <c r="A891" t="s">
        <v>18</v>
      </c>
      <c r="B891" t="s">
        <v>1228</v>
      </c>
      <c r="C891" t="s">
        <v>19</v>
      </c>
      <c r="F891" t="s">
        <v>33</v>
      </c>
      <c r="J891" t="s">
        <v>659</v>
      </c>
      <c r="N891" t="s">
        <v>22</v>
      </c>
      <c r="O891" t="s">
        <v>23</v>
      </c>
    </row>
    <row r="892" spans="1:18" x14ac:dyDescent="0.25">
      <c r="A892" t="s">
        <v>18</v>
      </c>
      <c r="B892" t="s">
        <v>1247</v>
      </c>
      <c r="C892" t="s">
        <v>19</v>
      </c>
      <c r="F892" t="s">
        <v>136</v>
      </c>
      <c r="N892" t="s">
        <v>22</v>
      </c>
      <c r="O892" t="s">
        <v>23</v>
      </c>
    </row>
    <row r="893" spans="1:18" x14ac:dyDescent="0.25">
      <c r="A893" t="s">
        <v>18</v>
      </c>
      <c r="B893" t="s">
        <v>1248</v>
      </c>
      <c r="C893" t="s">
        <v>19</v>
      </c>
      <c r="F893" t="s">
        <v>33</v>
      </c>
      <c r="J893" t="s">
        <v>1249</v>
      </c>
      <c r="N893" t="s">
        <v>22</v>
      </c>
      <c r="O893" t="s">
        <v>23</v>
      </c>
    </row>
    <row r="894" spans="1:18" x14ac:dyDescent="0.25">
      <c r="A894" t="s">
        <v>18</v>
      </c>
      <c r="B894" t="s">
        <v>1207</v>
      </c>
      <c r="C894" t="s">
        <v>19</v>
      </c>
      <c r="F894" t="s">
        <v>1208</v>
      </c>
      <c r="N894" t="s">
        <v>22</v>
      </c>
      <c r="O894" t="s">
        <v>22</v>
      </c>
    </row>
    <row r="895" spans="1:18" x14ac:dyDescent="0.25">
      <c r="A895" t="s">
        <v>18</v>
      </c>
      <c r="B895" t="s">
        <v>1252</v>
      </c>
      <c r="C895" t="s">
        <v>19</v>
      </c>
      <c r="F895" t="s">
        <v>1253</v>
      </c>
      <c r="N895" t="s">
        <v>22</v>
      </c>
      <c r="O895" t="s">
        <v>23</v>
      </c>
      <c r="Q895" t="s">
        <v>22</v>
      </c>
      <c r="R895" t="s">
        <v>23</v>
      </c>
    </row>
    <row r="896" spans="1:18" x14ac:dyDescent="0.25">
      <c r="A896" t="s">
        <v>18</v>
      </c>
      <c r="B896" t="s">
        <v>1205</v>
      </c>
      <c r="C896" t="s">
        <v>19</v>
      </c>
      <c r="F896" t="s">
        <v>1206</v>
      </c>
      <c r="H896" t="s">
        <v>68</v>
      </c>
      <c r="N896" t="s">
        <v>22</v>
      </c>
      <c r="O896" t="s">
        <v>23</v>
      </c>
    </row>
    <row r="897" spans="1:18" x14ac:dyDescent="0.25">
      <c r="A897" t="s">
        <v>18</v>
      </c>
      <c r="B897" t="s">
        <v>1255</v>
      </c>
      <c r="C897" t="s">
        <v>19</v>
      </c>
      <c r="F897" t="s">
        <v>1256</v>
      </c>
      <c r="N897" t="s">
        <v>22</v>
      </c>
      <c r="O897" t="s">
        <v>23</v>
      </c>
    </row>
    <row r="898" spans="1:18" x14ac:dyDescent="0.25">
      <c r="A898" t="s">
        <v>18</v>
      </c>
      <c r="B898" t="s">
        <v>1213</v>
      </c>
      <c r="C898" t="s">
        <v>19</v>
      </c>
      <c r="F898" t="s">
        <v>1206</v>
      </c>
      <c r="N898" t="s">
        <v>22</v>
      </c>
      <c r="O898" t="s">
        <v>22</v>
      </c>
    </row>
    <row r="899" spans="1:18" x14ac:dyDescent="0.25">
      <c r="A899" t="s">
        <v>18</v>
      </c>
      <c r="B899" t="s">
        <v>1209</v>
      </c>
      <c r="C899" t="s">
        <v>19</v>
      </c>
      <c r="F899" t="s">
        <v>1210</v>
      </c>
      <c r="N899" t="s">
        <v>22</v>
      </c>
      <c r="O899" t="s">
        <v>22</v>
      </c>
    </row>
    <row r="900" spans="1:18" x14ac:dyDescent="0.25">
      <c r="A900" t="s">
        <v>18</v>
      </c>
      <c r="B900" t="s">
        <v>1241</v>
      </c>
      <c r="C900" t="s">
        <v>19</v>
      </c>
      <c r="F900" t="s">
        <v>1242</v>
      </c>
      <c r="N900" t="s">
        <v>22</v>
      </c>
      <c r="O900" t="s">
        <v>22</v>
      </c>
    </row>
    <row r="901" spans="1:18" x14ac:dyDescent="0.25">
      <c r="A901" t="s">
        <v>18</v>
      </c>
      <c r="B901" t="s">
        <v>1199</v>
      </c>
      <c r="C901" t="s">
        <v>19</v>
      </c>
      <c r="F901" t="s">
        <v>1200</v>
      </c>
      <c r="N901" t="s">
        <v>22</v>
      </c>
      <c r="O901" t="s">
        <v>22</v>
      </c>
    </row>
    <row r="902" spans="1:18" x14ac:dyDescent="0.25">
      <c r="A902" t="s">
        <v>18</v>
      </c>
      <c r="B902" t="s">
        <v>1201</v>
      </c>
      <c r="C902" t="s">
        <v>19</v>
      </c>
      <c r="F902" t="s">
        <v>1202</v>
      </c>
      <c r="N902" t="s">
        <v>22</v>
      </c>
      <c r="O902" t="s">
        <v>22</v>
      </c>
    </row>
    <row r="903" spans="1:18" x14ac:dyDescent="0.25">
      <c r="A903" t="s">
        <v>18</v>
      </c>
      <c r="B903" t="s">
        <v>1237</v>
      </c>
      <c r="C903" t="s">
        <v>19</v>
      </c>
      <c r="F903" t="s">
        <v>1238</v>
      </c>
      <c r="N903" t="s">
        <v>22</v>
      </c>
      <c r="O903" t="s">
        <v>22</v>
      </c>
    </row>
    <row r="904" spans="1:18" x14ac:dyDescent="0.25">
      <c r="A904" t="s">
        <v>18</v>
      </c>
      <c r="B904" t="s">
        <v>1250</v>
      </c>
      <c r="C904" t="s">
        <v>19</v>
      </c>
      <c r="F904" t="s">
        <v>33</v>
      </c>
      <c r="J904" t="s">
        <v>1251</v>
      </c>
      <c r="N904" t="s">
        <v>22</v>
      </c>
      <c r="O904" t="s">
        <v>23</v>
      </c>
    </row>
    <row r="905" spans="1:18" x14ac:dyDescent="0.25">
      <c r="A905" t="s">
        <v>18</v>
      </c>
      <c r="B905" t="s">
        <v>585</v>
      </c>
      <c r="C905" t="s">
        <v>19</v>
      </c>
      <c r="F905" t="s">
        <v>586</v>
      </c>
      <c r="N905" t="s">
        <v>22</v>
      </c>
      <c r="O905" t="s">
        <v>22</v>
      </c>
    </row>
    <row r="906" spans="1:18" x14ac:dyDescent="0.25">
      <c r="A906" t="s">
        <v>18</v>
      </c>
      <c r="B906" t="s">
        <v>1865</v>
      </c>
      <c r="C906" t="s">
        <v>19</v>
      </c>
      <c r="F906" t="s">
        <v>1866</v>
      </c>
      <c r="N906" t="s">
        <v>22</v>
      </c>
      <c r="O906" t="s">
        <v>22</v>
      </c>
    </row>
    <row r="907" spans="1:18" x14ac:dyDescent="0.25">
      <c r="A907" t="s">
        <v>18</v>
      </c>
      <c r="B907" t="s">
        <v>537</v>
      </c>
      <c r="C907" t="s">
        <v>19</v>
      </c>
      <c r="F907" t="s">
        <v>538</v>
      </c>
      <c r="N907" t="s">
        <v>22</v>
      </c>
      <c r="O907" t="s">
        <v>22</v>
      </c>
    </row>
    <row r="908" spans="1:18" x14ac:dyDescent="0.25">
      <c r="A908" t="s">
        <v>18</v>
      </c>
      <c r="B908" t="s">
        <v>535</v>
      </c>
      <c r="C908" t="s">
        <v>19</v>
      </c>
      <c r="F908" t="s">
        <v>536</v>
      </c>
      <c r="N908" t="s">
        <v>22</v>
      </c>
      <c r="O908" t="s">
        <v>22</v>
      </c>
    </row>
    <row r="909" spans="1:18" x14ac:dyDescent="0.25">
      <c r="A909" t="s">
        <v>18</v>
      </c>
      <c r="B909" t="s">
        <v>533</v>
      </c>
      <c r="C909" t="s">
        <v>19</v>
      </c>
      <c r="F909" t="s">
        <v>534</v>
      </c>
      <c r="N909" t="s">
        <v>22</v>
      </c>
      <c r="O909" t="s">
        <v>22</v>
      </c>
    </row>
    <row r="910" spans="1:18" x14ac:dyDescent="0.25">
      <c r="A910" t="s">
        <v>18</v>
      </c>
      <c r="B910" t="s">
        <v>574</v>
      </c>
      <c r="C910" t="s">
        <v>19</v>
      </c>
      <c r="F910" t="s">
        <v>2496</v>
      </c>
      <c r="N910" t="s">
        <v>22</v>
      </c>
      <c r="O910" t="s">
        <v>22</v>
      </c>
      <c r="Q910" t="s">
        <v>22</v>
      </c>
      <c r="R910" t="s">
        <v>23</v>
      </c>
    </row>
    <row r="911" spans="1:18" x14ac:dyDescent="0.25">
      <c r="A911" t="s">
        <v>18</v>
      </c>
      <c r="B911" t="s">
        <v>541</v>
      </c>
      <c r="C911" t="s">
        <v>19</v>
      </c>
      <c r="F911" t="s">
        <v>542</v>
      </c>
      <c r="N911" t="s">
        <v>22</v>
      </c>
      <c r="O911" t="s">
        <v>22</v>
      </c>
    </row>
    <row r="912" spans="1:18" x14ac:dyDescent="0.25">
      <c r="A912" t="s">
        <v>18</v>
      </c>
      <c r="B912" t="s">
        <v>530</v>
      </c>
      <c r="C912" t="s">
        <v>19</v>
      </c>
      <c r="F912" t="s">
        <v>531</v>
      </c>
      <c r="N912" t="s">
        <v>22</v>
      </c>
      <c r="O912" t="s">
        <v>22</v>
      </c>
    </row>
    <row r="913" spans="1:18" x14ac:dyDescent="0.25">
      <c r="A913" t="s">
        <v>18</v>
      </c>
      <c r="B913" t="s">
        <v>587</v>
      </c>
      <c r="C913" t="s">
        <v>19</v>
      </c>
      <c r="F913" t="s">
        <v>588</v>
      </c>
      <c r="N913" t="s">
        <v>22</v>
      </c>
      <c r="O913" t="s">
        <v>22</v>
      </c>
    </row>
    <row r="914" spans="1:18" x14ac:dyDescent="0.25">
      <c r="A914" t="s">
        <v>18</v>
      </c>
      <c r="B914" t="s">
        <v>549</v>
      </c>
      <c r="C914" t="s">
        <v>19</v>
      </c>
      <c r="F914" t="s">
        <v>550</v>
      </c>
      <c r="N914" t="s">
        <v>22</v>
      </c>
      <c r="O914" t="s">
        <v>22</v>
      </c>
    </row>
    <row r="915" spans="1:18" x14ac:dyDescent="0.25">
      <c r="A915" t="s">
        <v>18</v>
      </c>
      <c r="B915" t="s">
        <v>583</v>
      </c>
      <c r="C915" t="s">
        <v>19</v>
      </c>
      <c r="F915" t="s">
        <v>584</v>
      </c>
      <c r="G915" t="s">
        <v>2575</v>
      </c>
      <c r="N915" t="s">
        <v>22</v>
      </c>
      <c r="O915" t="s">
        <v>22</v>
      </c>
    </row>
    <row r="916" spans="1:18" x14ac:dyDescent="0.25">
      <c r="A916" t="s">
        <v>18</v>
      </c>
      <c r="B916" t="s">
        <v>581</v>
      </c>
      <c r="C916" t="s">
        <v>19</v>
      </c>
      <c r="F916" t="s">
        <v>582</v>
      </c>
      <c r="N916" t="s">
        <v>22</v>
      </c>
      <c r="O916" t="s">
        <v>22</v>
      </c>
    </row>
    <row r="917" spans="1:18" x14ac:dyDescent="0.25">
      <c r="A917" t="s">
        <v>18</v>
      </c>
      <c r="B917" t="s">
        <v>579</v>
      </c>
      <c r="C917" t="s">
        <v>19</v>
      </c>
      <c r="F917" t="s">
        <v>580</v>
      </c>
      <c r="N917" t="s">
        <v>22</v>
      </c>
      <c r="O917" t="s">
        <v>22</v>
      </c>
    </row>
    <row r="918" spans="1:18" x14ac:dyDescent="0.25">
      <c r="A918" t="s">
        <v>18</v>
      </c>
      <c r="B918" t="s">
        <v>64</v>
      </c>
      <c r="C918" t="s">
        <v>19</v>
      </c>
      <c r="F918" t="s">
        <v>1008</v>
      </c>
      <c r="N918" t="s">
        <v>22</v>
      </c>
      <c r="O918" t="s">
        <v>22</v>
      </c>
    </row>
    <row r="919" spans="1:18" x14ac:dyDescent="0.25">
      <c r="A919" t="s">
        <v>18</v>
      </c>
      <c r="B919" t="s">
        <v>2131</v>
      </c>
      <c r="C919" t="s">
        <v>19</v>
      </c>
      <c r="F919" t="s">
        <v>2132</v>
      </c>
      <c r="N919" t="s">
        <v>22</v>
      </c>
      <c r="O919" t="s">
        <v>22</v>
      </c>
    </row>
    <row r="920" spans="1:18" x14ac:dyDescent="0.25">
      <c r="A920" t="s">
        <v>18</v>
      </c>
      <c r="B920" t="s">
        <v>1861</v>
      </c>
      <c r="C920" t="s">
        <v>19</v>
      </c>
      <c r="F920" t="s">
        <v>1862</v>
      </c>
      <c r="N920" t="s">
        <v>22</v>
      </c>
      <c r="O920" t="s">
        <v>22</v>
      </c>
    </row>
    <row r="921" spans="1:18" x14ac:dyDescent="0.25">
      <c r="A921" t="s">
        <v>18</v>
      </c>
      <c r="B921" t="s">
        <v>1931</v>
      </c>
      <c r="C921" t="s">
        <v>19</v>
      </c>
      <c r="F921" t="s">
        <v>1932</v>
      </c>
      <c r="N921" t="s">
        <v>22</v>
      </c>
      <c r="O921" t="s">
        <v>22</v>
      </c>
    </row>
    <row r="922" spans="1:18" x14ac:dyDescent="0.25">
      <c r="A922" t="s">
        <v>18</v>
      </c>
      <c r="B922" t="s">
        <v>545</v>
      </c>
      <c r="C922" t="s">
        <v>19</v>
      </c>
      <c r="F922" t="s">
        <v>546</v>
      </c>
      <c r="N922" t="s">
        <v>22</v>
      </c>
      <c r="O922" t="s">
        <v>22</v>
      </c>
    </row>
    <row r="923" spans="1:18" x14ac:dyDescent="0.25">
      <c r="A923" t="s">
        <v>18</v>
      </c>
      <c r="B923" t="s">
        <v>564</v>
      </c>
      <c r="C923" t="s">
        <v>19</v>
      </c>
      <c r="F923" t="s">
        <v>565</v>
      </c>
      <c r="N923" t="s">
        <v>22</v>
      </c>
      <c r="O923" t="s">
        <v>22</v>
      </c>
    </row>
    <row r="924" spans="1:18" x14ac:dyDescent="0.25">
      <c r="A924" t="s">
        <v>18</v>
      </c>
      <c r="B924" t="s">
        <v>562</v>
      </c>
      <c r="C924" t="s">
        <v>19</v>
      </c>
      <c r="F924" t="s">
        <v>563</v>
      </c>
      <c r="N924" t="s">
        <v>22</v>
      </c>
      <c r="O924" t="s">
        <v>23</v>
      </c>
    </row>
    <row r="925" spans="1:18" x14ac:dyDescent="0.25">
      <c r="A925" t="s">
        <v>18</v>
      </c>
      <c r="B925" t="s">
        <v>589</v>
      </c>
      <c r="C925" t="s">
        <v>19</v>
      </c>
      <c r="F925" t="s">
        <v>590</v>
      </c>
      <c r="N925" t="s">
        <v>22</v>
      </c>
      <c r="O925" t="s">
        <v>23</v>
      </c>
    </row>
    <row r="926" spans="1:18" x14ac:dyDescent="0.25">
      <c r="A926" t="s">
        <v>18</v>
      </c>
      <c r="B926" t="s">
        <v>572</v>
      </c>
      <c r="C926" t="s">
        <v>19</v>
      </c>
      <c r="H926" t="s">
        <v>573</v>
      </c>
      <c r="N926" t="s">
        <v>22</v>
      </c>
      <c r="O926" t="s">
        <v>23</v>
      </c>
    </row>
    <row r="927" spans="1:18" x14ac:dyDescent="0.25">
      <c r="A927" t="s">
        <v>18</v>
      </c>
      <c r="B927" t="s">
        <v>570</v>
      </c>
      <c r="C927" t="s">
        <v>19</v>
      </c>
      <c r="F927" t="s">
        <v>571</v>
      </c>
      <c r="N927" t="s">
        <v>22</v>
      </c>
      <c r="O927" t="s">
        <v>23</v>
      </c>
    </row>
    <row r="928" spans="1:18" x14ac:dyDescent="0.25">
      <c r="A928" t="s">
        <v>18</v>
      </c>
      <c r="B928" t="s">
        <v>2492</v>
      </c>
      <c r="C928" t="s">
        <v>19</v>
      </c>
      <c r="F928" t="s">
        <v>2493</v>
      </c>
      <c r="N928" t="s">
        <v>22</v>
      </c>
      <c r="O928" t="s">
        <v>23</v>
      </c>
      <c r="Q928" t="s">
        <v>22</v>
      </c>
      <c r="R928" t="s">
        <v>23</v>
      </c>
    </row>
    <row r="929" spans="1:18" x14ac:dyDescent="0.25">
      <c r="A929" t="s">
        <v>18</v>
      </c>
      <c r="B929" t="s">
        <v>2494</v>
      </c>
      <c r="C929" t="s">
        <v>19</v>
      </c>
      <c r="F929" t="s">
        <v>2495</v>
      </c>
      <c r="N929" t="s">
        <v>22</v>
      </c>
      <c r="O929" t="s">
        <v>23</v>
      </c>
      <c r="Q929" t="s">
        <v>22</v>
      </c>
      <c r="R929" t="s">
        <v>23</v>
      </c>
    </row>
    <row r="930" spans="1:18" x14ac:dyDescent="0.25">
      <c r="A930" t="s">
        <v>18</v>
      </c>
      <c r="B930" t="s">
        <v>559</v>
      </c>
      <c r="C930" t="s">
        <v>19</v>
      </c>
      <c r="F930" t="s">
        <v>560</v>
      </c>
      <c r="G930" t="s">
        <v>561</v>
      </c>
      <c r="N930" t="s">
        <v>22</v>
      </c>
      <c r="O930" t="s">
        <v>22</v>
      </c>
    </row>
    <row r="931" spans="1:18" x14ac:dyDescent="0.25">
      <c r="A931" t="s">
        <v>18</v>
      </c>
      <c r="B931" t="s">
        <v>566</v>
      </c>
      <c r="C931" t="s">
        <v>19</v>
      </c>
      <c r="F931" t="s">
        <v>567</v>
      </c>
      <c r="N931" t="s">
        <v>22</v>
      </c>
      <c r="O931" t="s">
        <v>22</v>
      </c>
    </row>
    <row r="932" spans="1:18" x14ac:dyDescent="0.25">
      <c r="A932" t="s">
        <v>18</v>
      </c>
      <c r="B932" t="s">
        <v>1867</v>
      </c>
      <c r="C932" t="s">
        <v>19</v>
      </c>
      <c r="F932" t="s">
        <v>1868</v>
      </c>
      <c r="N932" t="s">
        <v>22</v>
      </c>
      <c r="O932" t="s">
        <v>22</v>
      </c>
    </row>
    <row r="933" spans="1:18" x14ac:dyDescent="0.25">
      <c r="A933" t="s">
        <v>18</v>
      </c>
      <c r="B933" t="s">
        <v>366</v>
      </c>
      <c r="C933" t="s">
        <v>19</v>
      </c>
      <c r="F933" t="s">
        <v>367</v>
      </c>
      <c r="N933" t="s">
        <v>22</v>
      </c>
      <c r="O933" t="s">
        <v>22</v>
      </c>
    </row>
    <row r="934" spans="1:18" x14ac:dyDescent="0.25">
      <c r="A934" t="s">
        <v>18</v>
      </c>
      <c r="B934" t="s">
        <v>168</v>
      </c>
      <c r="C934" t="s">
        <v>19</v>
      </c>
      <c r="F934" t="s">
        <v>169</v>
      </c>
      <c r="N934" t="s">
        <v>22</v>
      </c>
      <c r="O934" t="s">
        <v>22</v>
      </c>
    </row>
    <row r="935" spans="1:18" x14ac:dyDescent="0.25">
      <c r="A935" t="s">
        <v>18</v>
      </c>
      <c r="B935" t="s">
        <v>429</v>
      </c>
      <c r="C935" t="s">
        <v>19</v>
      </c>
      <c r="F935" t="s">
        <v>430</v>
      </c>
      <c r="N935" t="s">
        <v>22</v>
      </c>
      <c r="O935" t="s">
        <v>22</v>
      </c>
    </row>
    <row r="936" spans="1:18" x14ac:dyDescent="0.25">
      <c r="A936" t="s">
        <v>18</v>
      </c>
      <c r="B936" t="s">
        <v>219</v>
      </c>
      <c r="C936" t="s">
        <v>19</v>
      </c>
      <c r="F936" t="s">
        <v>220</v>
      </c>
      <c r="N936" t="s">
        <v>22</v>
      </c>
      <c r="O936" t="s">
        <v>22</v>
      </c>
    </row>
    <row r="937" spans="1:18" x14ac:dyDescent="0.25">
      <c r="A937" t="s">
        <v>18</v>
      </c>
      <c r="B937" t="s">
        <v>575</v>
      </c>
      <c r="C937" t="s">
        <v>19</v>
      </c>
      <c r="F937" t="s">
        <v>220</v>
      </c>
      <c r="N937" t="s">
        <v>22</v>
      </c>
      <c r="O937" t="s">
        <v>22</v>
      </c>
    </row>
    <row r="938" spans="1:18" x14ac:dyDescent="0.25">
      <c r="A938" t="s">
        <v>18</v>
      </c>
      <c r="B938" t="s">
        <v>553</v>
      </c>
      <c r="C938" t="s">
        <v>19</v>
      </c>
      <c r="F938" t="s">
        <v>554</v>
      </c>
      <c r="N938" t="s">
        <v>22</v>
      </c>
      <c r="O938" t="s">
        <v>22</v>
      </c>
    </row>
    <row r="939" spans="1:18" x14ac:dyDescent="0.25">
      <c r="A939" t="s">
        <v>18</v>
      </c>
      <c r="B939" t="s">
        <v>551</v>
      </c>
      <c r="C939" t="s">
        <v>19</v>
      </c>
      <c r="F939" t="s">
        <v>552</v>
      </c>
      <c r="N939" t="s">
        <v>22</v>
      </c>
      <c r="O939" t="s">
        <v>22</v>
      </c>
    </row>
    <row r="940" spans="1:18" x14ac:dyDescent="0.25">
      <c r="A940" t="s">
        <v>18</v>
      </c>
      <c r="B940" t="s">
        <v>568</v>
      </c>
      <c r="C940" t="s">
        <v>19</v>
      </c>
      <c r="F940" t="s">
        <v>569</v>
      </c>
      <c r="N940" t="s">
        <v>22</v>
      </c>
      <c r="O940" t="s">
        <v>22</v>
      </c>
    </row>
    <row r="941" spans="1:18" x14ac:dyDescent="0.25">
      <c r="A941" t="s">
        <v>18</v>
      </c>
      <c r="B941" t="s">
        <v>1851</v>
      </c>
      <c r="C941" t="s">
        <v>19</v>
      </c>
      <c r="F941" t="s">
        <v>1852</v>
      </c>
      <c r="N941" t="s">
        <v>22</v>
      </c>
      <c r="O941" t="s">
        <v>22</v>
      </c>
    </row>
    <row r="942" spans="1:18" x14ac:dyDescent="0.25">
      <c r="A942" t="s">
        <v>18</v>
      </c>
      <c r="B942" t="s">
        <v>1863</v>
      </c>
      <c r="C942" t="s">
        <v>19</v>
      </c>
      <c r="F942" t="s">
        <v>1864</v>
      </c>
      <c r="N942" t="s">
        <v>22</v>
      </c>
      <c r="O942" t="s">
        <v>22</v>
      </c>
    </row>
    <row r="943" spans="1:18" x14ac:dyDescent="0.25">
      <c r="A943" t="s">
        <v>18</v>
      </c>
      <c r="B943" t="s">
        <v>1838</v>
      </c>
      <c r="C943" t="s">
        <v>19</v>
      </c>
      <c r="F943" t="s">
        <v>1839</v>
      </c>
      <c r="N943" t="s">
        <v>22</v>
      </c>
      <c r="O943" t="s">
        <v>22</v>
      </c>
    </row>
    <row r="944" spans="1:18" x14ac:dyDescent="0.25">
      <c r="A944" t="s">
        <v>18</v>
      </c>
      <c r="B944" t="s">
        <v>1857</v>
      </c>
      <c r="C944" t="s">
        <v>19</v>
      </c>
      <c r="F944" t="s">
        <v>1858</v>
      </c>
      <c r="N944" t="s">
        <v>22</v>
      </c>
      <c r="O944" t="s">
        <v>22</v>
      </c>
    </row>
    <row r="945" spans="1:18" x14ac:dyDescent="0.25">
      <c r="A945" t="s">
        <v>18</v>
      </c>
      <c r="B945" t="s">
        <v>1842</v>
      </c>
      <c r="C945" t="s">
        <v>19</v>
      </c>
      <c r="F945" t="s">
        <v>1843</v>
      </c>
      <c r="N945" t="s">
        <v>22</v>
      </c>
      <c r="O945" t="s">
        <v>22</v>
      </c>
    </row>
    <row r="946" spans="1:18" x14ac:dyDescent="0.25">
      <c r="A946" t="s">
        <v>18</v>
      </c>
      <c r="B946" t="s">
        <v>1826</v>
      </c>
      <c r="C946" t="s">
        <v>19</v>
      </c>
      <c r="F946" t="s">
        <v>1827</v>
      </c>
      <c r="N946" t="s">
        <v>22</v>
      </c>
      <c r="O946" t="s">
        <v>22</v>
      </c>
    </row>
    <row r="947" spans="1:18" x14ac:dyDescent="0.25">
      <c r="A947" t="s">
        <v>18</v>
      </c>
      <c r="B947" t="s">
        <v>1845</v>
      </c>
      <c r="C947" t="s">
        <v>19</v>
      </c>
      <c r="F947" t="s">
        <v>1846</v>
      </c>
      <c r="N947" t="s">
        <v>22</v>
      </c>
      <c r="O947" t="s">
        <v>22</v>
      </c>
    </row>
    <row r="948" spans="1:18" x14ac:dyDescent="0.25">
      <c r="A948" t="s">
        <v>18</v>
      </c>
      <c r="B948" t="s">
        <v>1835</v>
      </c>
      <c r="C948" t="s">
        <v>19</v>
      </c>
      <c r="F948" t="s">
        <v>1836</v>
      </c>
      <c r="N948" t="s">
        <v>22</v>
      </c>
      <c r="O948" t="s">
        <v>22</v>
      </c>
    </row>
    <row r="949" spans="1:18" x14ac:dyDescent="0.25">
      <c r="A949" t="s">
        <v>18</v>
      </c>
      <c r="B949" t="s">
        <v>1849</v>
      </c>
      <c r="C949" t="s">
        <v>19</v>
      </c>
      <c r="F949" t="s">
        <v>1850</v>
      </c>
      <c r="N949" t="s">
        <v>22</v>
      </c>
      <c r="O949" t="s">
        <v>22</v>
      </c>
    </row>
    <row r="950" spans="1:18" x14ac:dyDescent="0.25">
      <c r="A950" t="s">
        <v>18</v>
      </c>
      <c r="B950" t="s">
        <v>1833</v>
      </c>
      <c r="C950" t="s">
        <v>19</v>
      </c>
      <c r="F950" t="s">
        <v>1834</v>
      </c>
      <c r="G950" t="s">
        <v>2576</v>
      </c>
      <c r="N950" t="s">
        <v>22</v>
      </c>
      <c r="O950" t="s">
        <v>22</v>
      </c>
    </row>
    <row r="951" spans="1:18" x14ac:dyDescent="0.25">
      <c r="A951" t="s">
        <v>18</v>
      </c>
      <c r="B951" t="s">
        <v>1853</v>
      </c>
      <c r="C951" t="s">
        <v>19</v>
      </c>
      <c r="F951" t="s">
        <v>1854</v>
      </c>
      <c r="N951" t="s">
        <v>22</v>
      </c>
      <c r="O951" t="s">
        <v>22</v>
      </c>
    </row>
    <row r="952" spans="1:18" x14ac:dyDescent="0.25">
      <c r="A952" t="s">
        <v>18</v>
      </c>
      <c r="B952" t="s">
        <v>1855</v>
      </c>
      <c r="C952" t="s">
        <v>19</v>
      </c>
      <c r="F952" t="s">
        <v>1856</v>
      </c>
      <c r="G952" t="s">
        <v>2577</v>
      </c>
      <c r="N952" t="s">
        <v>22</v>
      </c>
      <c r="O952" t="s">
        <v>22</v>
      </c>
    </row>
    <row r="953" spans="1:18" x14ac:dyDescent="0.25">
      <c r="A953" t="s">
        <v>18</v>
      </c>
      <c r="B953" t="s">
        <v>1906</v>
      </c>
      <c r="C953" t="s">
        <v>19</v>
      </c>
      <c r="F953" t="s">
        <v>1907</v>
      </c>
      <c r="N953" t="s">
        <v>22</v>
      </c>
      <c r="O953" t="s">
        <v>22</v>
      </c>
    </row>
    <row r="954" spans="1:18" x14ac:dyDescent="0.25">
      <c r="A954" t="s">
        <v>18</v>
      </c>
      <c r="B954" t="s">
        <v>2498</v>
      </c>
      <c r="C954" t="s">
        <v>19</v>
      </c>
      <c r="F954" t="s">
        <v>2499</v>
      </c>
      <c r="N954" t="s">
        <v>22</v>
      </c>
      <c r="O954" t="s">
        <v>23</v>
      </c>
      <c r="Q954" t="s">
        <v>22</v>
      </c>
      <c r="R954" t="s">
        <v>23</v>
      </c>
    </row>
    <row r="955" spans="1:18" x14ac:dyDescent="0.25">
      <c r="A955" t="s">
        <v>18</v>
      </c>
      <c r="B955" t="s">
        <v>1958</v>
      </c>
      <c r="C955" t="s">
        <v>19</v>
      </c>
      <c r="F955" t="s">
        <v>2500</v>
      </c>
      <c r="N955" t="s">
        <v>22</v>
      </c>
      <c r="O955" t="s">
        <v>22</v>
      </c>
      <c r="P955" t="s">
        <v>2627</v>
      </c>
      <c r="Q955" t="s">
        <v>22</v>
      </c>
      <c r="R955" t="s">
        <v>23</v>
      </c>
    </row>
    <row r="956" spans="1:18" x14ac:dyDescent="0.25">
      <c r="A956" t="s">
        <v>18</v>
      </c>
      <c r="B956" t="s">
        <v>1877</v>
      </c>
      <c r="C956" t="s">
        <v>19</v>
      </c>
      <c r="F956" t="s">
        <v>1878</v>
      </c>
      <c r="N956" t="s">
        <v>22</v>
      </c>
      <c r="O956" t="s">
        <v>22</v>
      </c>
    </row>
    <row r="957" spans="1:18" x14ac:dyDescent="0.25">
      <c r="A957" t="s">
        <v>18</v>
      </c>
      <c r="B957" t="s">
        <v>1791</v>
      </c>
      <c r="C957" t="s">
        <v>19</v>
      </c>
      <c r="F957" t="s">
        <v>1792</v>
      </c>
      <c r="N957" t="s">
        <v>22</v>
      </c>
      <c r="O957" t="s">
        <v>22</v>
      </c>
    </row>
    <row r="958" spans="1:18" x14ac:dyDescent="0.25">
      <c r="A958" t="s">
        <v>18</v>
      </c>
      <c r="B958" t="s">
        <v>1847</v>
      </c>
      <c r="C958" t="s">
        <v>19</v>
      </c>
      <c r="F958" t="s">
        <v>1848</v>
      </c>
      <c r="N958" t="s">
        <v>22</v>
      </c>
      <c r="O958" t="s">
        <v>22</v>
      </c>
    </row>
    <row r="959" spans="1:18" x14ac:dyDescent="0.25">
      <c r="A959" t="s">
        <v>18</v>
      </c>
      <c r="B959" t="s">
        <v>1885</v>
      </c>
      <c r="C959" t="s">
        <v>19</v>
      </c>
      <c r="F959" t="s">
        <v>1886</v>
      </c>
      <c r="N959" t="s">
        <v>22</v>
      </c>
      <c r="O959" t="s">
        <v>22</v>
      </c>
    </row>
    <row r="960" spans="1:18" x14ac:dyDescent="0.25">
      <c r="A960" t="s">
        <v>18</v>
      </c>
      <c r="B960" t="s">
        <v>1869</v>
      </c>
      <c r="C960" t="s">
        <v>19</v>
      </c>
      <c r="F960" t="s">
        <v>1870</v>
      </c>
      <c r="N960" t="s">
        <v>22</v>
      </c>
      <c r="O960" t="s">
        <v>22</v>
      </c>
    </row>
    <row r="961" spans="1:18" x14ac:dyDescent="0.25">
      <c r="A961" t="s">
        <v>18</v>
      </c>
      <c r="B961" t="s">
        <v>1871</v>
      </c>
      <c r="C961" t="s">
        <v>19</v>
      </c>
      <c r="F961" t="s">
        <v>1872</v>
      </c>
      <c r="N961" t="s">
        <v>22</v>
      </c>
      <c r="O961" t="s">
        <v>22</v>
      </c>
    </row>
    <row r="962" spans="1:18" x14ac:dyDescent="0.25">
      <c r="A962" t="s">
        <v>18</v>
      </c>
      <c r="B962" t="s">
        <v>1891</v>
      </c>
      <c r="C962" t="s">
        <v>19</v>
      </c>
      <c r="F962" t="s">
        <v>1892</v>
      </c>
      <c r="N962" t="s">
        <v>22</v>
      </c>
      <c r="O962" t="s">
        <v>22</v>
      </c>
    </row>
    <row r="963" spans="1:18" x14ac:dyDescent="0.25">
      <c r="A963" t="s">
        <v>18</v>
      </c>
      <c r="B963" t="s">
        <v>1875</v>
      </c>
      <c r="C963" t="s">
        <v>19</v>
      </c>
      <c r="F963" t="s">
        <v>1876</v>
      </c>
      <c r="N963" t="s">
        <v>22</v>
      </c>
      <c r="O963" t="s">
        <v>22</v>
      </c>
    </row>
    <row r="964" spans="1:18" x14ac:dyDescent="0.25">
      <c r="A964" t="s">
        <v>18</v>
      </c>
      <c r="B964" t="s">
        <v>1859</v>
      </c>
      <c r="C964" t="s">
        <v>19</v>
      </c>
      <c r="F964" t="s">
        <v>1860</v>
      </c>
      <c r="N964" t="s">
        <v>22</v>
      </c>
      <c r="O964" t="s">
        <v>22</v>
      </c>
    </row>
    <row r="965" spans="1:18" x14ac:dyDescent="0.25">
      <c r="A965" t="s">
        <v>18</v>
      </c>
      <c r="B965" t="s">
        <v>1879</v>
      </c>
      <c r="C965" t="s">
        <v>19</v>
      </c>
      <c r="F965" t="s">
        <v>1880</v>
      </c>
      <c r="N965" t="s">
        <v>22</v>
      </c>
      <c r="O965" t="s">
        <v>22</v>
      </c>
    </row>
    <row r="966" spans="1:18" x14ac:dyDescent="0.25">
      <c r="A966" t="s">
        <v>18</v>
      </c>
      <c r="B966" t="s">
        <v>1837</v>
      </c>
      <c r="C966" t="s">
        <v>19</v>
      </c>
      <c r="F966" t="s">
        <v>2497</v>
      </c>
      <c r="N966" t="s">
        <v>22</v>
      </c>
      <c r="O966" t="s">
        <v>22</v>
      </c>
      <c r="Q966" t="s">
        <v>22</v>
      </c>
      <c r="R966" t="s">
        <v>23</v>
      </c>
    </row>
    <row r="967" spans="1:18" x14ac:dyDescent="0.25">
      <c r="A967" t="s">
        <v>18</v>
      </c>
      <c r="B967" t="s">
        <v>1883</v>
      </c>
      <c r="C967" t="s">
        <v>19</v>
      </c>
      <c r="F967" t="s">
        <v>1884</v>
      </c>
      <c r="N967" t="s">
        <v>22</v>
      </c>
      <c r="O967" t="s">
        <v>22</v>
      </c>
    </row>
    <row r="968" spans="1:18" x14ac:dyDescent="0.25">
      <c r="A968" t="s">
        <v>18</v>
      </c>
      <c r="B968" t="s">
        <v>620</v>
      </c>
      <c r="C968" t="s">
        <v>19</v>
      </c>
      <c r="H968" t="s">
        <v>621</v>
      </c>
      <c r="N968" t="s">
        <v>22</v>
      </c>
      <c r="O968" t="s">
        <v>23</v>
      </c>
    </row>
    <row r="969" spans="1:18" x14ac:dyDescent="0.25">
      <c r="A969" t="s">
        <v>18</v>
      </c>
      <c r="B969" t="s">
        <v>1887</v>
      </c>
      <c r="C969" t="s">
        <v>19</v>
      </c>
      <c r="F969" t="s">
        <v>1888</v>
      </c>
      <c r="N969" t="s">
        <v>22</v>
      </c>
      <c r="O969" t="s">
        <v>22</v>
      </c>
    </row>
    <row r="970" spans="1:18" x14ac:dyDescent="0.25">
      <c r="A970" t="s">
        <v>18</v>
      </c>
      <c r="B970" t="s">
        <v>1347</v>
      </c>
      <c r="C970" t="s">
        <v>19</v>
      </c>
      <c r="F970" t="s">
        <v>1348</v>
      </c>
      <c r="N970" t="s">
        <v>22</v>
      </c>
      <c r="O970" t="s">
        <v>22</v>
      </c>
    </row>
    <row r="971" spans="1:18" x14ac:dyDescent="0.25">
      <c r="A971" t="s">
        <v>18</v>
      </c>
      <c r="B971" t="s">
        <v>1889</v>
      </c>
      <c r="C971" t="s">
        <v>19</v>
      </c>
      <c r="F971" t="s">
        <v>1890</v>
      </c>
      <c r="N971" t="s">
        <v>22</v>
      </c>
      <c r="O971" t="s">
        <v>22</v>
      </c>
    </row>
    <row r="972" spans="1:18" x14ac:dyDescent="0.25">
      <c r="A972" t="s">
        <v>18</v>
      </c>
      <c r="B972" t="s">
        <v>1004</v>
      </c>
      <c r="C972" t="s">
        <v>19</v>
      </c>
      <c r="F972" t="s">
        <v>1005</v>
      </c>
      <c r="N972" t="s">
        <v>22</v>
      </c>
      <c r="O972" t="s">
        <v>22</v>
      </c>
    </row>
    <row r="973" spans="1:18" x14ac:dyDescent="0.25">
      <c r="A973" t="s">
        <v>18</v>
      </c>
      <c r="B973" t="s">
        <v>1840</v>
      </c>
      <c r="C973" t="s">
        <v>19</v>
      </c>
      <c r="F973" t="s">
        <v>1841</v>
      </c>
      <c r="N973" t="s">
        <v>22</v>
      </c>
      <c r="O973" t="s">
        <v>22</v>
      </c>
    </row>
    <row r="974" spans="1:18" x14ac:dyDescent="0.25">
      <c r="A974" t="s">
        <v>18</v>
      </c>
      <c r="B974" t="s">
        <v>1873</v>
      </c>
      <c r="C974" t="s">
        <v>19</v>
      </c>
      <c r="F974" t="s">
        <v>1874</v>
      </c>
      <c r="N974" t="s">
        <v>22</v>
      </c>
      <c r="O974" t="s">
        <v>22</v>
      </c>
    </row>
    <row r="975" spans="1:18" x14ac:dyDescent="0.25">
      <c r="A975" t="s">
        <v>18</v>
      </c>
      <c r="B975" t="s">
        <v>1830</v>
      </c>
      <c r="C975" t="s">
        <v>19</v>
      </c>
      <c r="F975" t="s">
        <v>1831</v>
      </c>
      <c r="G975" t="s">
        <v>1832</v>
      </c>
      <c r="N975" t="s">
        <v>22</v>
      </c>
      <c r="O975" t="s">
        <v>22</v>
      </c>
    </row>
    <row r="976" spans="1:18" x14ac:dyDescent="0.25">
      <c r="A976" t="s">
        <v>18</v>
      </c>
      <c r="B976" t="s">
        <v>1881</v>
      </c>
      <c r="C976" t="s">
        <v>19</v>
      </c>
      <c r="F976" t="s">
        <v>1882</v>
      </c>
      <c r="N976" t="s">
        <v>22</v>
      </c>
      <c r="O976" t="s">
        <v>22</v>
      </c>
    </row>
    <row r="977" spans="1:18" x14ac:dyDescent="0.25">
      <c r="A977" t="s">
        <v>18</v>
      </c>
      <c r="B977" t="s">
        <v>414</v>
      </c>
      <c r="C977" t="s">
        <v>19</v>
      </c>
      <c r="F977" t="s">
        <v>415</v>
      </c>
      <c r="N977" t="s">
        <v>22</v>
      </c>
      <c r="O977" t="s">
        <v>22</v>
      </c>
    </row>
    <row r="978" spans="1:18" x14ac:dyDescent="0.25">
      <c r="A978" t="s">
        <v>18</v>
      </c>
      <c r="B978" t="s">
        <v>578</v>
      </c>
      <c r="C978" t="s">
        <v>19</v>
      </c>
      <c r="F978" t="s">
        <v>65</v>
      </c>
      <c r="N978" t="s">
        <v>22</v>
      </c>
      <c r="O978" t="s">
        <v>23</v>
      </c>
    </row>
    <row r="979" spans="1:18" x14ac:dyDescent="0.25">
      <c r="A979" t="s">
        <v>18</v>
      </c>
      <c r="B979" t="s">
        <v>426</v>
      </c>
      <c r="C979" t="s">
        <v>19</v>
      </c>
      <c r="F979" t="s">
        <v>2477</v>
      </c>
      <c r="N979" t="s">
        <v>22</v>
      </c>
      <c r="O979" t="s">
        <v>22</v>
      </c>
      <c r="P979" t="s">
        <v>2628</v>
      </c>
      <c r="Q979" t="s">
        <v>22</v>
      </c>
      <c r="R979" t="s">
        <v>23</v>
      </c>
    </row>
    <row r="980" spans="1:18" x14ac:dyDescent="0.25">
      <c r="A980" t="s">
        <v>18</v>
      </c>
      <c r="B980" t="s">
        <v>2478</v>
      </c>
      <c r="C980" t="s">
        <v>19</v>
      </c>
      <c r="F980" t="s">
        <v>2479</v>
      </c>
      <c r="N980" t="s">
        <v>22</v>
      </c>
      <c r="O980" t="s">
        <v>23</v>
      </c>
      <c r="P980" t="s">
        <v>2629</v>
      </c>
      <c r="Q980" t="s">
        <v>22</v>
      </c>
      <c r="R980" t="s">
        <v>23</v>
      </c>
    </row>
    <row r="981" spans="1:18" x14ac:dyDescent="0.25">
      <c r="A981" t="s">
        <v>18</v>
      </c>
      <c r="B981" t="s">
        <v>424</v>
      </c>
      <c r="C981" t="s">
        <v>19</v>
      </c>
      <c r="F981" t="s">
        <v>425</v>
      </c>
      <c r="N981" t="s">
        <v>22</v>
      </c>
      <c r="O981" t="s">
        <v>22</v>
      </c>
    </row>
    <row r="982" spans="1:18" x14ac:dyDescent="0.25">
      <c r="A982" t="s">
        <v>18</v>
      </c>
      <c r="B982" t="s">
        <v>422</v>
      </c>
      <c r="C982" t="s">
        <v>19</v>
      </c>
      <c r="F982" t="s">
        <v>423</v>
      </c>
      <c r="N982" t="s">
        <v>22</v>
      </c>
      <c r="O982" t="s">
        <v>22</v>
      </c>
    </row>
    <row r="983" spans="1:18" x14ac:dyDescent="0.25">
      <c r="A983" t="s">
        <v>18</v>
      </c>
      <c r="B983" t="s">
        <v>420</v>
      </c>
      <c r="C983" t="s">
        <v>19</v>
      </c>
      <c r="F983" t="s">
        <v>421</v>
      </c>
      <c r="N983" t="s">
        <v>22</v>
      </c>
      <c r="O983" t="s">
        <v>22</v>
      </c>
    </row>
    <row r="984" spans="1:18" x14ac:dyDescent="0.25">
      <c r="A984" t="s">
        <v>18</v>
      </c>
      <c r="B984" t="s">
        <v>2473</v>
      </c>
      <c r="C984" t="s">
        <v>19</v>
      </c>
      <c r="F984" t="s">
        <v>2474</v>
      </c>
      <c r="N984" t="s">
        <v>22</v>
      </c>
      <c r="O984" t="s">
        <v>23</v>
      </c>
      <c r="Q984" t="s">
        <v>22</v>
      </c>
      <c r="R984" t="s">
        <v>23</v>
      </c>
    </row>
    <row r="985" spans="1:18" x14ac:dyDescent="0.25">
      <c r="A985" t="s">
        <v>18</v>
      </c>
      <c r="B985" t="s">
        <v>416</v>
      </c>
      <c r="C985" t="s">
        <v>19</v>
      </c>
      <c r="F985" t="s">
        <v>417</v>
      </c>
      <c r="N985" t="s">
        <v>22</v>
      </c>
      <c r="O985" t="s">
        <v>22</v>
      </c>
    </row>
    <row r="986" spans="1:18" x14ac:dyDescent="0.25">
      <c r="A986" t="s">
        <v>18</v>
      </c>
      <c r="B986" t="s">
        <v>427</v>
      </c>
      <c r="C986" t="s">
        <v>19</v>
      </c>
      <c r="F986" t="s">
        <v>428</v>
      </c>
      <c r="N986" t="s">
        <v>22</v>
      </c>
      <c r="O986" t="s">
        <v>22</v>
      </c>
    </row>
    <row r="987" spans="1:18" x14ac:dyDescent="0.25">
      <c r="A987" t="s">
        <v>18</v>
      </c>
      <c r="B987" t="s">
        <v>412</v>
      </c>
      <c r="C987" t="s">
        <v>19</v>
      </c>
      <c r="F987" t="s">
        <v>413</v>
      </c>
      <c r="N987" t="s">
        <v>22</v>
      </c>
      <c r="O987" t="s">
        <v>22</v>
      </c>
    </row>
    <row r="988" spans="1:18" x14ac:dyDescent="0.25">
      <c r="A988" t="s">
        <v>18</v>
      </c>
      <c r="B988" t="s">
        <v>410</v>
      </c>
      <c r="C988" t="s">
        <v>19</v>
      </c>
      <c r="F988" t="s">
        <v>411</v>
      </c>
      <c r="N988" t="s">
        <v>22</v>
      </c>
      <c r="O988" t="s">
        <v>22</v>
      </c>
    </row>
    <row r="989" spans="1:18" x14ac:dyDescent="0.25">
      <c r="A989" t="s">
        <v>18</v>
      </c>
      <c r="B989" t="s">
        <v>408</v>
      </c>
      <c r="C989" t="s">
        <v>19</v>
      </c>
      <c r="F989" t="s">
        <v>409</v>
      </c>
      <c r="N989" t="s">
        <v>22</v>
      </c>
      <c r="O989" t="s">
        <v>22</v>
      </c>
    </row>
    <row r="990" spans="1:18" x14ac:dyDescent="0.25">
      <c r="A990" t="s">
        <v>18</v>
      </c>
      <c r="B990" t="s">
        <v>406</v>
      </c>
      <c r="C990" t="s">
        <v>19</v>
      </c>
      <c r="F990" t="s">
        <v>407</v>
      </c>
      <c r="N990" t="s">
        <v>22</v>
      </c>
      <c r="O990" t="s">
        <v>22</v>
      </c>
    </row>
    <row r="991" spans="1:18" x14ac:dyDescent="0.25">
      <c r="A991" t="s">
        <v>18</v>
      </c>
      <c r="B991" t="s">
        <v>404</v>
      </c>
      <c r="C991" t="s">
        <v>19</v>
      </c>
      <c r="F991" t="s">
        <v>405</v>
      </c>
      <c r="N991" t="s">
        <v>22</v>
      </c>
      <c r="O991" t="s">
        <v>22</v>
      </c>
    </row>
    <row r="992" spans="1:18" x14ac:dyDescent="0.25">
      <c r="A992" t="s">
        <v>18</v>
      </c>
      <c r="B992" t="s">
        <v>467</v>
      </c>
      <c r="C992" t="s">
        <v>19</v>
      </c>
      <c r="F992" t="s">
        <v>468</v>
      </c>
      <c r="N992" t="s">
        <v>22</v>
      </c>
      <c r="O992" t="s">
        <v>22</v>
      </c>
    </row>
    <row r="993" spans="1:18" x14ac:dyDescent="0.25">
      <c r="A993" t="s">
        <v>18</v>
      </c>
      <c r="B993" t="s">
        <v>515</v>
      </c>
      <c r="C993" t="s">
        <v>19</v>
      </c>
      <c r="F993" t="s">
        <v>516</v>
      </c>
      <c r="N993" t="s">
        <v>22</v>
      </c>
      <c r="O993" t="s">
        <v>22</v>
      </c>
    </row>
    <row r="994" spans="1:18" x14ac:dyDescent="0.25">
      <c r="A994" t="s">
        <v>18</v>
      </c>
      <c r="B994" t="s">
        <v>418</v>
      </c>
      <c r="C994" t="s">
        <v>19</v>
      </c>
      <c r="F994" t="s">
        <v>419</v>
      </c>
      <c r="N994" t="s">
        <v>22</v>
      </c>
      <c r="O994" t="s">
        <v>22</v>
      </c>
    </row>
    <row r="995" spans="1:18" x14ac:dyDescent="0.25">
      <c r="A995" t="s">
        <v>18</v>
      </c>
      <c r="B995" t="s">
        <v>2471</v>
      </c>
      <c r="C995" t="s">
        <v>19</v>
      </c>
      <c r="F995" t="s">
        <v>2472</v>
      </c>
      <c r="N995" t="s">
        <v>22</v>
      </c>
      <c r="O995" t="s">
        <v>23</v>
      </c>
      <c r="Q995" t="s">
        <v>22</v>
      </c>
      <c r="R995" t="s">
        <v>23</v>
      </c>
    </row>
    <row r="996" spans="1:18" x14ac:dyDescent="0.25">
      <c r="A996" t="s">
        <v>18</v>
      </c>
      <c r="B996" t="s">
        <v>433</v>
      </c>
      <c r="C996" t="s">
        <v>19</v>
      </c>
      <c r="F996" t="s">
        <v>434</v>
      </c>
      <c r="N996" t="s">
        <v>22</v>
      </c>
      <c r="O996" t="s">
        <v>22</v>
      </c>
    </row>
    <row r="997" spans="1:18" x14ac:dyDescent="0.25">
      <c r="A997" t="s">
        <v>18</v>
      </c>
      <c r="B997" t="s">
        <v>435</v>
      </c>
      <c r="C997" t="s">
        <v>19</v>
      </c>
      <c r="F997" t="s">
        <v>436</v>
      </c>
      <c r="N997" t="s">
        <v>22</v>
      </c>
      <c r="O997" t="s">
        <v>22</v>
      </c>
    </row>
    <row r="998" spans="1:18" x14ac:dyDescent="0.25">
      <c r="A998" t="s">
        <v>18</v>
      </c>
      <c r="B998" t="s">
        <v>437</v>
      </c>
      <c r="C998" t="s">
        <v>19</v>
      </c>
      <c r="F998" t="s">
        <v>438</v>
      </c>
      <c r="N998" t="s">
        <v>22</v>
      </c>
      <c r="O998" t="s">
        <v>22</v>
      </c>
    </row>
    <row r="999" spans="1:18" x14ac:dyDescent="0.25">
      <c r="A999" t="s">
        <v>18</v>
      </c>
      <c r="B999" t="s">
        <v>439</v>
      </c>
      <c r="C999" t="s">
        <v>19</v>
      </c>
      <c r="F999" t="s">
        <v>440</v>
      </c>
      <c r="N999" t="s">
        <v>22</v>
      </c>
      <c r="O999" t="s">
        <v>22</v>
      </c>
    </row>
    <row r="1000" spans="1:18" x14ac:dyDescent="0.25">
      <c r="A1000" t="s">
        <v>18</v>
      </c>
      <c r="B1000" t="s">
        <v>441</v>
      </c>
      <c r="C1000" t="s">
        <v>19</v>
      </c>
      <c r="F1000" t="s">
        <v>442</v>
      </c>
      <c r="N1000" t="s">
        <v>22</v>
      </c>
      <c r="O1000" t="s">
        <v>22</v>
      </c>
    </row>
    <row r="1001" spans="1:18" x14ac:dyDescent="0.25">
      <c r="A1001" t="s">
        <v>18</v>
      </c>
      <c r="B1001" t="s">
        <v>462</v>
      </c>
      <c r="C1001" t="s">
        <v>19</v>
      </c>
      <c r="F1001" t="s">
        <v>463</v>
      </c>
      <c r="G1001" t="s">
        <v>464</v>
      </c>
      <c r="N1001" t="s">
        <v>22</v>
      </c>
      <c r="O1001" t="s">
        <v>22</v>
      </c>
    </row>
    <row r="1002" spans="1:18" x14ac:dyDescent="0.25">
      <c r="A1002" t="s">
        <v>18</v>
      </c>
      <c r="B1002" t="s">
        <v>2475</v>
      </c>
      <c r="C1002" t="s">
        <v>19</v>
      </c>
      <c r="F1002" t="s">
        <v>2476</v>
      </c>
      <c r="N1002" t="s">
        <v>22</v>
      </c>
      <c r="O1002" t="s">
        <v>23</v>
      </c>
      <c r="Q1002" t="s">
        <v>22</v>
      </c>
      <c r="R1002" t="s">
        <v>23</v>
      </c>
    </row>
    <row r="1003" spans="1:18" x14ac:dyDescent="0.25">
      <c r="A1003" t="s">
        <v>18</v>
      </c>
      <c r="B1003" t="s">
        <v>431</v>
      </c>
      <c r="C1003" t="s">
        <v>19</v>
      </c>
      <c r="F1003" t="s">
        <v>432</v>
      </c>
      <c r="N1003" t="s">
        <v>22</v>
      </c>
      <c r="O1003" t="s">
        <v>22</v>
      </c>
    </row>
    <row r="1004" spans="1:18" x14ac:dyDescent="0.25">
      <c r="A1004" t="s">
        <v>18</v>
      </c>
      <c r="B1004" t="s">
        <v>505</v>
      </c>
      <c r="C1004" t="s">
        <v>19</v>
      </c>
      <c r="F1004" t="s">
        <v>506</v>
      </c>
      <c r="N1004" t="s">
        <v>22</v>
      </c>
      <c r="O1004" t="s">
        <v>22</v>
      </c>
    </row>
    <row r="1005" spans="1:18" x14ac:dyDescent="0.25">
      <c r="A1005" t="s">
        <v>18</v>
      </c>
      <c r="B1005" t="s">
        <v>449</v>
      </c>
      <c r="C1005" t="s">
        <v>19</v>
      </c>
      <c r="F1005" t="s">
        <v>450</v>
      </c>
      <c r="N1005" t="s">
        <v>22</v>
      </c>
      <c r="O1005" t="s">
        <v>22</v>
      </c>
    </row>
    <row r="1006" spans="1:18" x14ac:dyDescent="0.25">
      <c r="A1006" t="s">
        <v>18</v>
      </c>
      <c r="B1006" t="s">
        <v>451</v>
      </c>
      <c r="C1006" t="s">
        <v>19</v>
      </c>
      <c r="F1006" t="s">
        <v>452</v>
      </c>
      <c r="N1006" t="s">
        <v>22</v>
      </c>
      <c r="O1006" t="s">
        <v>22</v>
      </c>
    </row>
    <row r="1007" spans="1:18" x14ac:dyDescent="0.25">
      <c r="A1007" t="s">
        <v>18</v>
      </c>
      <c r="B1007" t="s">
        <v>453</v>
      </c>
      <c r="C1007" t="s">
        <v>19</v>
      </c>
      <c r="F1007" t="s">
        <v>454</v>
      </c>
      <c r="N1007" t="s">
        <v>22</v>
      </c>
      <c r="O1007" t="s">
        <v>22</v>
      </c>
    </row>
    <row r="1008" spans="1:18" x14ac:dyDescent="0.25">
      <c r="A1008" t="s">
        <v>18</v>
      </c>
      <c r="B1008" t="s">
        <v>455</v>
      </c>
      <c r="C1008" t="s">
        <v>19</v>
      </c>
      <c r="F1008" t="s">
        <v>456</v>
      </c>
      <c r="N1008" t="s">
        <v>22</v>
      </c>
      <c r="O1008" t="s">
        <v>22</v>
      </c>
    </row>
    <row r="1009" spans="1:18" x14ac:dyDescent="0.25">
      <c r="A1009" t="s">
        <v>18</v>
      </c>
      <c r="B1009" t="s">
        <v>457</v>
      </c>
      <c r="C1009" t="s">
        <v>19</v>
      </c>
      <c r="F1009" t="s">
        <v>458</v>
      </c>
      <c r="N1009" t="s">
        <v>22</v>
      </c>
      <c r="O1009" t="s">
        <v>22</v>
      </c>
    </row>
    <row r="1010" spans="1:18" x14ac:dyDescent="0.25">
      <c r="A1010" t="s">
        <v>18</v>
      </c>
      <c r="B1010" t="s">
        <v>447</v>
      </c>
      <c r="C1010" t="s">
        <v>19</v>
      </c>
      <c r="F1010" t="s">
        <v>448</v>
      </c>
      <c r="N1010" t="s">
        <v>22</v>
      </c>
      <c r="O1010" t="s">
        <v>22</v>
      </c>
    </row>
    <row r="1011" spans="1:18" x14ac:dyDescent="0.25">
      <c r="A1011" t="s">
        <v>18</v>
      </c>
      <c r="B1011" t="s">
        <v>1696</v>
      </c>
      <c r="C1011" t="s">
        <v>19</v>
      </c>
      <c r="F1011" t="s">
        <v>1697</v>
      </c>
      <c r="N1011" t="s">
        <v>22</v>
      </c>
      <c r="O1011" t="s">
        <v>22</v>
      </c>
    </row>
    <row r="1012" spans="1:18" x14ac:dyDescent="0.25">
      <c r="A1012" t="s">
        <v>18</v>
      </c>
      <c r="B1012" t="s">
        <v>445</v>
      </c>
      <c r="C1012" t="s">
        <v>19</v>
      </c>
      <c r="F1012" t="s">
        <v>446</v>
      </c>
      <c r="G1012" t="s">
        <v>2578</v>
      </c>
      <c r="N1012" t="s">
        <v>22</v>
      </c>
      <c r="O1012" t="s">
        <v>22</v>
      </c>
      <c r="P1012" t="s">
        <v>2630</v>
      </c>
    </row>
    <row r="1013" spans="1:18" x14ac:dyDescent="0.25">
      <c r="A1013" t="s">
        <v>18</v>
      </c>
      <c r="B1013" t="s">
        <v>486</v>
      </c>
      <c r="C1013" t="s">
        <v>19</v>
      </c>
      <c r="F1013" t="s">
        <v>487</v>
      </c>
      <c r="N1013" t="s">
        <v>22</v>
      </c>
      <c r="O1013" t="s">
        <v>22</v>
      </c>
    </row>
    <row r="1014" spans="1:18" x14ac:dyDescent="0.25">
      <c r="A1014" t="s">
        <v>18</v>
      </c>
      <c r="B1014" t="s">
        <v>469</v>
      </c>
      <c r="C1014" t="s">
        <v>19</v>
      </c>
      <c r="F1014" t="s">
        <v>470</v>
      </c>
      <c r="N1014" t="s">
        <v>22</v>
      </c>
      <c r="O1014" t="s">
        <v>22</v>
      </c>
    </row>
    <row r="1015" spans="1:18" x14ac:dyDescent="0.25">
      <c r="A1015" t="s">
        <v>18</v>
      </c>
      <c r="B1015" t="s">
        <v>471</v>
      </c>
      <c r="C1015" t="s">
        <v>19</v>
      </c>
      <c r="F1015" t="s">
        <v>472</v>
      </c>
      <c r="N1015" t="s">
        <v>22</v>
      </c>
      <c r="O1015" t="s">
        <v>22</v>
      </c>
    </row>
    <row r="1016" spans="1:18" x14ac:dyDescent="0.25">
      <c r="A1016" t="s">
        <v>18</v>
      </c>
      <c r="B1016" t="s">
        <v>473</v>
      </c>
      <c r="C1016" t="s">
        <v>19</v>
      </c>
      <c r="F1016" t="s">
        <v>474</v>
      </c>
      <c r="G1016" t="s">
        <v>475</v>
      </c>
      <c r="N1016" t="s">
        <v>22</v>
      </c>
      <c r="O1016" t="s">
        <v>22</v>
      </c>
    </row>
    <row r="1017" spans="1:18" x14ac:dyDescent="0.25">
      <c r="A1017" t="s">
        <v>18</v>
      </c>
      <c r="B1017" t="s">
        <v>476</v>
      </c>
      <c r="C1017" t="s">
        <v>19</v>
      </c>
      <c r="F1017" t="s">
        <v>477</v>
      </c>
      <c r="N1017" t="s">
        <v>22</v>
      </c>
      <c r="O1017" t="s">
        <v>22</v>
      </c>
    </row>
    <row r="1018" spans="1:18" x14ac:dyDescent="0.25">
      <c r="A1018" t="s">
        <v>18</v>
      </c>
      <c r="B1018" t="s">
        <v>497</v>
      </c>
      <c r="C1018" t="s">
        <v>19</v>
      </c>
      <c r="F1018" t="s">
        <v>498</v>
      </c>
      <c r="N1018" t="s">
        <v>22</v>
      </c>
      <c r="O1018" t="s">
        <v>22</v>
      </c>
    </row>
    <row r="1019" spans="1:18" x14ac:dyDescent="0.25">
      <c r="A1019" t="s">
        <v>18</v>
      </c>
      <c r="B1019" t="s">
        <v>480</v>
      </c>
      <c r="C1019" t="s">
        <v>19</v>
      </c>
      <c r="F1019" t="s">
        <v>481</v>
      </c>
      <c r="N1019" t="s">
        <v>22</v>
      </c>
      <c r="O1019" t="s">
        <v>22</v>
      </c>
    </row>
    <row r="1020" spans="1:18" x14ac:dyDescent="0.25">
      <c r="A1020" t="s">
        <v>18</v>
      </c>
      <c r="B1020" t="s">
        <v>459</v>
      </c>
      <c r="C1020" t="s">
        <v>19</v>
      </c>
      <c r="F1020" t="s">
        <v>460</v>
      </c>
      <c r="G1020" t="s">
        <v>461</v>
      </c>
      <c r="N1020" t="s">
        <v>22</v>
      </c>
      <c r="O1020" t="s">
        <v>22</v>
      </c>
    </row>
    <row r="1021" spans="1:18" x14ac:dyDescent="0.25">
      <c r="A1021" t="s">
        <v>18</v>
      </c>
      <c r="B1021" t="s">
        <v>484</v>
      </c>
      <c r="C1021" t="s">
        <v>19</v>
      </c>
      <c r="F1021" t="s">
        <v>485</v>
      </c>
      <c r="N1021" t="s">
        <v>22</v>
      </c>
      <c r="O1021" t="s">
        <v>22</v>
      </c>
    </row>
    <row r="1022" spans="1:18" x14ac:dyDescent="0.25">
      <c r="A1022" t="s">
        <v>18</v>
      </c>
      <c r="B1022" t="s">
        <v>482</v>
      </c>
      <c r="C1022" t="s">
        <v>19</v>
      </c>
      <c r="F1022" t="s">
        <v>483</v>
      </c>
      <c r="N1022" t="s">
        <v>22</v>
      </c>
      <c r="O1022" t="s">
        <v>22</v>
      </c>
    </row>
    <row r="1023" spans="1:18" x14ac:dyDescent="0.25">
      <c r="A1023" t="s">
        <v>18</v>
      </c>
      <c r="B1023" t="s">
        <v>2488</v>
      </c>
      <c r="C1023" t="s">
        <v>19</v>
      </c>
      <c r="F1023" t="s">
        <v>2489</v>
      </c>
      <c r="N1023" t="s">
        <v>22</v>
      </c>
      <c r="O1023" t="s">
        <v>23</v>
      </c>
      <c r="Q1023" t="s">
        <v>22</v>
      </c>
      <c r="R1023" t="s">
        <v>23</v>
      </c>
    </row>
    <row r="1024" spans="1:18" x14ac:dyDescent="0.25">
      <c r="A1024" t="s">
        <v>18</v>
      </c>
      <c r="B1024" t="s">
        <v>2490</v>
      </c>
      <c r="C1024" t="s">
        <v>19</v>
      </c>
      <c r="F1024" t="s">
        <v>2491</v>
      </c>
      <c r="N1024" t="s">
        <v>22</v>
      </c>
      <c r="O1024" t="s">
        <v>23</v>
      </c>
      <c r="Q1024" t="s">
        <v>22</v>
      </c>
      <c r="R1024" t="s">
        <v>23</v>
      </c>
    </row>
    <row r="1025" spans="1:18" x14ac:dyDescent="0.25">
      <c r="A1025" t="s">
        <v>18</v>
      </c>
      <c r="B1025" t="s">
        <v>488</v>
      </c>
      <c r="C1025" t="s">
        <v>19</v>
      </c>
      <c r="H1025" t="s">
        <v>489</v>
      </c>
      <c r="N1025" t="s">
        <v>22</v>
      </c>
      <c r="O1025" t="s">
        <v>23</v>
      </c>
    </row>
    <row r="1026" spans="1:18" x14ac:dyDescent="0.25">
      <c r="A1026" t="s">
        <v>18</v>
      </c>
      <c r="B1026" t="s">
        <v>490</v>
      </c>
      <c r="C1026" t="s">
        <v>19</v>
      </c>
      <c r="F1026" t="s">
        <v>491</v>
      </c>
      <c r="G1026" t="s">
        <v>492</v>
      </c>
      <c r="N1026" t="s">
        <v>22</v>
      </c>
      <c r="O1026" t="s">
        <v>23</v>
      </c>
      <c r="P1026" t="s">
        <v>2631</v>
      </c>
    </row>
    <row r="1027" spans="1:18" x14ac:dyDescent="0.25">
      <c r="A1027" t="s">
        <v>18</v>
      </c>
      <c r="B1027" t="s">
        <v>493</v>
      </c>
      <c r="C1027" t="s">
        <v>19</v>
      </c>
      <c r="F1027" t="s">
        <v>494</v>
      </c>
      <c r="N1027" t="s">
        <v>22</v>
      </c>
      <c r="O1027" t="s">
        <v>23</v>
      </c>
    </row>
    <row r="1028" spans="1:18" x14ac:dyDescent="0.25">
      <c r="A1028" t="s">
        <v>18</v>
      </c>
      <c r="B1028" t="s">
        <v>495</v>
      </c>
      <c r="C1028" t="s">
        <v>19</v>
      </c>
      <c r="F1028" t="s">
        <v>496</v>
      </c>
      <c r="J1028" t="s">
        <v>145</v>
      </c>
      <c r="N1028" t="s">
        <v>22</v>
      </c>
      <c r="O1028" t="s">
        <v>23</v>
      </c>
    </row>
    <row r="1029" spans="1:18" x14ac:dyDescent="0.25">
      <c r="A1029" t="s">
        <v>18</v>
      </c>
      <c r="B1029" t="s">
        <v>1933</v>
      </c>
      <c r="C1029" t="s">
        <v>19</v>
      </c>
      <c r="F1029" t="s">
        <v>1934</v>
      </c>
      <c r="N1029" t="s">
        <v>22</v>
      </c>
      <c r="O1029" t="s">
        <v>22</v>
      </c>
    </row>
    <row r="1030" spans="1:18" x14ac:dyDescent="0.25">
      <c r="A1030" t="s">
        <v>18</v>
      </c>
      <c r="B1030" t="s">
        <v>465</v>
      </c>
      <c r="C1030" t="s">
        <v>19</v>
      </c>
      <c r="F1030" t="s">
        <v>466</v>
      </c>
      <c r="N1030" t="s">
        <v>22</v>
      </c>
      <c r="O1030" t="s">
        <v>22</v>
      </c>
    </row>
    <row r="1031" spans="1:18" x14ac:dyDescent="0.25">
      <c r="A1031" t="s">
        <v>18</v>
      </c>
      <c r="B1031" t="s">
        <v>521</v>
      </c>
      <c r="C1031" t="s">
        <v>19</v>
      </c>
      <c r="F1031" t="s">
        <v>522</v>
      </c>
      <c r="G1031" t="s">
        <v>2579</v>
      </c>
      <c r="N1031" t="s">
        <v>22</v>
      </c>
      <c r="O1031" t="s">
        <v>22</v>
      </c>
    </row>
    <row r="1032" spans="1:18" x14ac:dyDescent="0.25">
      <c r="A1032" t="s">
        <v>18</v>
      </c>
      <c r="B1032" t="s">
        <v>547</v>
      </c>
      <c r="C1032" t="s">
        <v>19</v>
      </c>
      <c r="F1032" t="s">
        <v>548</v>
      </c>
      <c r="N1032" t="s">
        <v>22</v>
      </c>
      <c r="O1032" t="s">
        <v>23</v>
      </c>
    </row>
    <row r="1033" spans="1:18" x14ac:dyDescent="0.25">
      <c r="A1033" t="s">
        <v>18</v>
      </c>
      <c r="B1033" t="s">
        <v>2480</v>
      </c>
      <c r="C1033" t="s">
        <v>19</v>
      </c>
      <c r="F1033" t="s">
        <v>2481</v>
      </c>
      <c r="N1033" t="s">
        <v>22</v>
      </c>
      <c r="O1033" t="s">
        <v>23</v>
      </c>
      <c r="Q1033" t="s">
        <v>22</v>
      </c>
      <c r="R1033" t="s">
        <v>23</v>
      </c>
    </row>
    <row r="1034" spans="1:18" x14ac:dyDescent="0.25">
      <c r="A1034" t="s">
        <v>18</v>
      </c>
      <c r="B1034" t="s">
        <v>507</v>
      </c>
      <c r="C1034" t="s">
        <v>19</v>
      </c>
      <c r="F1034" t="s">
        <v>508</v>
      </c>
      <c r="N1034" t="s">
        <v>22</v>
      </c>
      <c r="O1034" t="s">
        <v>22</v>
      </c>
    </row>
    <row r="1035" spans="1:18" x14ac:dyDescent="0.25">
      <c r="A1035" t="s">
        <v>18</v>
      </c>
      <c r="B1035" t="s">
        <v>509</v>
      </c>
      <c r="C1035" t="s">
        <v>19</v>
      </c>
      <c r="F1035" t="s">
        <v>510</v>
      </c>
      <c r="N1035" t="s">
        <v>22</v>
      </c>
      <c r="O1035" t="s">
        <v>22</v>
      </c>
    </row>
    <row r="1036" spans="1:18" x14ac:dyDescent="0.25">
      <c r="A1036" t="s">
        <v>18</v>
      </c>
      <c r="B1036" t="s">
        <v>528</v>
      </c>
      <c r="C1036" t="s">
        <v>19</v>
      </c>
      <c r="F1036" t="s">
        <v>529</v>
      </c>
      <c r="N1036" t="s">
        <v>22</v>
      </c>
      <c r="O1036" t="s">
        <v>22</v>
      </c>
    </row>
    <row r="1037" spans="1:18" x14ac:dyDescent="0.25">
      <c r="A1037" t="s">
        <v>18</v>
      </c>
      <c r="B1037" t="s">
        <v>513</v>
      </c>
      <c r="C1037" t="s">
        <v>19</v>
      </c>
      <c r="F1037" t="s">
        <v>514</v>
      </c>
      <c r="N1037" t="s">
        <v>22</v>
      </c>
      <c r="O1037" t="s">
        <v>22</v>
      </c>
    </row>
    <row r="1038" spans="1:18" x14ac:dyDescent="0.25">
      <c r="A1038" t="s">
        <v>18</v>
      </c>
      <c r="B1038" t="s">
        <v>499</v>
      </c>
      <c r="C1038" t="s">
        <v>19</v>
      </c>
      <c r="F1038" t="s">
        <v>500</v>
      </c>
      <c r="N1038" t="s">
        <v>22</v>
      </c>
      <c r="O1038" t="s">
        <v>22</v>
      </c>
    </row>
    <row r="1039" spans="1:18" x14ac:dyDescent="0.25">
      <c r="A1039" t="s">
        <v>18</v>
      </c>
      <c r="B1039" t="s">
        <v>511</v>
      </c>
      <c r="C1039" t="s">
        <v>19</v>
      </c>
      <c r="F1039" t="s">
        <v>512</v>
      </c>
      <c r="N1039" t="s">
        <v>22</v>
      </c>
      <c r="O1039" t="s">
        <v>22</v>
      </c>
    </row>
    <row r="1040" spans="1:18" x14ac:dyDescent="0.25">
      <c r="A1040" t="s">
        <v>18</v>
      </c>
      <c r="B1040" t="s">
        <v>519</v>
      </c>
      <c r="C1040" t="s">
        <v>19</v>
      </c>
      <c r="F1040" t="s">
        <v>520</v>
      </c>
      <c r="N1040" t="s">
        <v>22</v>
      </c>
      <c r="O1040" t="s">
        <v>22</v>
      </c>
    </row>
    <row r="1041" spans="1:18" x14ac:dyDescent="0.25">
      <c r="A1041" t="s">
        <v>18</v>
      </c>
      <c r="B1041" t="s">
        <v>478</v>
      </c>
      <c r="C1041" t="s">
        <v>19</v>
      </c>
      <c r="F1041" t="s">
        <v>479</v>
      </c>
      <c r="N1041" t="s">
        <v>22</v>
      </c>
      <c r="O1041" t="s">
        <v>22</v>
      </c>
    </row>
    <row r="1042" spans="1:18" x14ac:dyDescent="0.25">
      <c r="A1042" t="s">
        <v>18</v>
      </c>
      <c r="B1042" t="s">
        <v>523</v>
      </c>
      <c r="C1042" t="s">
        <v>19</v>
      </c>
      <c r="F1042" t="s">
        <v>524</v>
      </c>
      <c r="N1042" t="s">
        <v>22</v>
      </c>
      <c r="O1042" t="s">
        <v>22</v>
      </c>
    </row>
    <row r="1043" spans="1:18" x14ac:dyDescent="0.25">
      <c r="A1043" t="s">
        <v>18</v>
      </c>
      <c r="B1043" t="s">
        <v>2482</v>
      </c>
      <c r="C1043" t="s">
        <v>19</v>
      </c>
      <c r="F1043" t="s">
        <v>2483</v>
      </c>
      <c r="N1043" t="s">
        <v>22</v>
      </c>
      <c r="O1043" t="s">
        <v>23</v>
      </c>
      <c r="Q1043" t="s">
        <v>22</v>
      </c>
      <c r="R1043" t="s">
        <v>23</v>
      </c>
    </row>
    <row r="1044" spans="1:18" x14ac:dyDescent="0.25">
      <c r="A1044" t="s">
        <v>18</v>
      </c>
      <c r="B1044" t="s">
        <v>525</v>
      </c>
      <c r="C1044" t="s">
        <v>19</v>
      </c>
      <c r="F1044" t="s">
        <v>2484</v>
      </c>
      <c r="N1044" t="s">
        <v>22</v>
      </c>
      <c r="O1044" t="s">
        <v>22</v>
      </c>
      <c r="P1044" t="s">
        <v>2632</v>
      </c>
      <c r="Q1044" t="s">
        <v>22</v>
      </c>
      <c r="R1044" t="s">
        <v>23</v>
      </c>
    </row>
    <row r="1045" spans="1:18" x14ac:dyDescent="0.25">
      <c r="A1045" t="s">
        <v>18</v>
      </c>
      <c r="B1045" t="s">
        <v>2485</v>
      </c>
      <c r="C1045" t="s">
        <v>19</v>
      </c>
      <c r="F1045" t="s">
        <v>2486</v>
      </c>
      <c r="N1045" t="s">
        <v>22</v>
      </c>
      <c r="O1045" t="s">
        <v>23</v>
      </c>
      <c r="P1045" t="s">
        <v>2633</v>
      </c>
      <c r="Q1045" t="s">
        <v>22</v>
      </c>
      <c r="R1045" t="s">
        <v>23</v>
      </c>
    </row>
    <row r="1046" spans="1:18" x14ac:dyDescent="0.25">
      <c r="A1046" t="s">
        <v>18</v>
      </c>
      <c r="B1046" t="s">
        <v>2487</v>
      </c>
      <c r="C1046" t="s">
        <v>19</v>
      </c>
      <c r="F1046" t="s">
        <v>491</v>
      </c>
      <c r="N1046" t="s">
        <v>22</v>
      </c>
      <c r="O1046" t="s">
        <v>23</v>
      </c>
      <c r="Q1046" t="s">
        <v>22</v>
      </c>
      <c r="R1046" t="s">
        <v>23</v>
      </c>
    </row>
    <row r="1047" spans="1:18" x14ac:dyDescent="0.25">
      <c r="A1047" t="s">
        <v>18</v>
      </c>
      <c r="B1047" t="s">
        <v>526</v>
      </c>
      <c r="C1047" t="s">
        <v>19</v>
      </c>
      <c r="F1047" t="s">
        <v>527</v>
      </c>
      <c r="N1047" t="s">
        <v>22</v>
      </c>
      <c r="O1047" t="s">
        <v>22</v>
      </c>
    </row>
    <row r="1048" spans="1:18" x14ac:dyDescent="0.25">
      <c r="A1048" t="s">
        <v>18</v>
      </c>
      <c r="B1048" t="s">
        <v>503</v>
      </c>
      <c r="C1048" t="s">
        <v>19</v>
      </c>
      <c r="F1048" t="s">
        <v>504</v>
      </c>
      <c r="G1048" t="s">
        <v>2580</v>
      </c>
      <c r="N1048" t="s">
        <v>22</v>
      </c>
      <c r="O1048" t="s">
        <v>22</v>
      </c>
      <c r="P1048" t="s">
        <v>2634</v>
      </c>
    </row>
    <row r="1049" spans="1:18" x14ac:dyDescent="0.25">
      <c r="A1049" t="s">
        <v>18</v>
      </c>
      <c r="B1049" t="s">
        <v>517</v>
      </c>
      <c r="C1049" t="s">
        <v>19</v>
      </c>
      <c r="F1049" t="s">
        <v>518</v>
      </c>
      <c r="N1049" t="s">
        <v>22</v>
      </c>
      <c r="O1049" t="s">
        <v>22</v>
      </c>
    </row>
    <row r="1050" spans="1:18" x14ac:dyDescent="0.25">
      <c r="A1050" t="s">
        <v>18</v>
      </c>
      <c r="B1050" t="s">
        <v>1699</v>
      </c>
      <c r="C1050" t="s">
        <v>19</v>
      </c>
      <c r="F1050" t="s">
        <v>2508</v>
      </c>
      <c r="N1050" t="s">
        <v>22</v>
      </c>
      <c r="O1050" t="s">
        <v>22</v>
      </c>
      <c r="P1050" t="s">
        <v>2635</v>
      </c>
      <c r="Q1050" t="s">
        <v>22</v>
      </c>
      <c r="R1050" t="s">
        <v>23</v>
      </c>
    </row>
    <row r="1051" spans="1:18" x14ac:dyDescent="0.25">
      <c r="A1051" t="s">
        <v>18</v>
      </c>
      <c r="B1051" t="s">
        <v>1737</v>
      </c>
      <c r="C1051" t="s">
        <v>19</v>
      </c>
      <c r="F1051" t="s">
        <v>1738</v>
      </c>
      <c r="N1051" t="s">
        <v>22</v>
      </c>
      <c r="O1051" t="s">
        <v>22</v>
      </c>
    </row>
    <row r="1052" spans="1:18" x14ac:dyDescent="0.25">
      <c r="A1052" t="s">
        <v>18</v>
      </c>
      <c r="B1052" t="s">
        <v>1911</v>
      </c>
      <c r="C1052" t="s">
        <v>19</v>
      </c>
      <c r="F1052" t="s">
        <v>1912</v>
      </c>
      <c r="N1052" t="s">
        <v>22</v>
      </c>
      <c r="O1052" t="s">
        <v>22</v>
      </c>
    </row>
    <row r="1053" spans="1:18" x14ac:dyDescent="0.25">
      <c r="A1053" t="s">
        <v>18</v>
      </c>
      <c r="B1053" t="s">
        <v>1913</v>
      </c>
      <c r="C1053" t="s">
        <v>19</v>
      </c>
      <c r="F1053" t="s">
        <v>1914</v>
      </c>
      <c r="N1053" t="s">
        <v>22</v>
      </c>
      <c r="O1053" t="s">
        <v>22</v>
      </c>
    </row>
    <row r="1054" spans="1:18" x14ac:dyDescent="0.25">
      <c r="A1054" t="s">
        <v>18</v>
      </c>
      <c r="B1054" t="s">
        <v>1915</v>
      </c>
      <c r="C1054" t="s">
        <v>19</v>
      </c>
      <c r="F1054" t="s">
        <v>1916</v>
      </c>
      <c r="N1054" t="s">
        <v>22</v>
      </c>
      <c r="O1054" t="s">
        <v>22</v>
      </c>
    </row>
    <row r="1055" spans="1:18" x14ac:dyDescent="0.25">
      <c r="A1055" t="s">
        <v>18</v>
      </c>
      <c r="B1055" t="s">
        <v>1917</v>
      </c>
      <c r="C1055" t="s">
        <v>19</v>
      </c>
      <c r="F1055" t="s">
        <v>1918</v>
      </c>
      <c r="N1055" t="s">
        <v>22</v>
      </c>
      <c r="O1055" t="s">
        <v>22</v>
      </c>
    </row>
    <row r="1056" spans="1:18" x14ac:dyDescent="0.25">
      <c r="A1056" t="s">
        <v>18</v>
      </c>
      <c r="B1056" t="s">
        <v>1919</v>
      </c>
      <c r="C1056" t="s">
        <v>19</v>
      </c>
      <c r="F1056" t="s">
        <v>1920</v>
      </c>
      <c r="G1056" t="s">
        <v>2581</v>
      </c>
      <c r="N1056" t="s">
        <v>22</v>
      </c>
      <c r="O1056" t="s">
        <v>22</v>
      </c>
    </row>
    <row r="1057" spans="1:18" x14ac:dyDescent="0.25">
      <c r="A1057" t="s">
        <v>18</v>
      </c>
      <c r="B1057" t="s">
        <v>1908</v>
      </c>
      <c r="C1057" t="s">
        <v>19</v>
      </c>
      <c r="F1057" t="s">
        <v>1909</v>
      </c>
      <c r="N1057" t="s">
        <v>22</v>
      </c>
      <c r="O1057" t="s">
        <v>22</v>
      </c>
    </row>
    <row r="1058" spans="1:18" x14ac:dyDescent="0.25">
      <c r="A1058" t="s">
        <v>18</v>
      </c>
      <c r="B1058" t="s">
        <v>1793</v>
      </c>
      <c r="C1058" t="s">
        <v>19</v>
      </c>
      <c r="F1058" t="s">
        <v>2507</v>
      </c>
      <c r="N1058" t="s">
        <v>22</v>
      </c>
      <c r="O1058" t="s">
        <v>22</v>
      </c>
      <c r="P1058" t="s">
        <v>2636</v>
      </c>
      <c r="Q1058" t="s">
        <v>22</v>
      </c>
      <c r="R1058" t="s">
        <v>23</v>
      </c>
    </row>
    <row r="1059" spans="1:18" x14ac:dyDescent="0.25">
      <c r="A1059" t="s">
        <v>18</v>
      </c>
      <c r="B1059" t="s">
        <v>1923</v>
      </c>
      <c r="C1059" t="s">
        <v>19</v>
      </c>
      <c r="F1059" t="s">
        <v>1924</v>
      </c>
      <c r="N1059" t="s">
        <v>22</v>
      </c>
      <c r="O1059" t="s">
        <v>22</v>
      </c>
    </row>
    <row r="1060" spans="1:18" x14ac:dyDescent="0.25">
      <c r="A1060" t="s">
        <v>18</v>
      </c>
      <c r="B1060" t="s">
        <v>1828</v>
      </c>
      <c r="C1060" t="s">
        <v>19</v>
      </c>
      <c r="F1060" t="s">
        <v>1829</v>
      </c>
      <c r="N1060" t="s">
        <v>22</v>
      </c>
      <c r="O1060" t="s">
        <v>22</v>
      </c>
    </row>
    <row r="1061" spans="1:18" x14ac:dyDescent="0.25">
      <c r="A1061" t="s">
        <v>18</v>
      </c>
      <c r="B1061" t="s">
        <v>2509</v>
      </c>
      <c r="C1061" t="s">
        <v>19</v>
      </c>
      <c r="F1061" t="s">
        <v>2510</v>
      </c>
      <c r="N1061" t="s">
        <v>22</v>
      </c>
      <c r="O1061" t="s">
        <v>23</v>
      </c>
      <c r="P1061" t="s">
        <v>2637</v>
      </c>
      <c r="Q1061" t="s">
        <v>22</v>
      </c>
      <c r="R1061" t="s">
        <v>23</v>
      </c>
    </row>
    <row r="1062" spans="1:18" x14ac:dyDescent="0.25">
      <c r="A1062" t="s">
        <v>18</v>
      </c>
      <c r="B1062" t="s">
        <v>1731</v>
      </c>
      <c r="C1062" t="s">
        <v>19</v>
      </c>
      <c r="F1062" t="s">
        <v>2511</v>
      </c>
      <c r="N1062" t="s">
        <v>22</v>
      </c>
      <c r="O1062" t="s">
        <v>22</v>
      </c>
      <c r="P1062" t="s">
        <v>2638</v>
      </c>
      <c r="Q1062" t="s">
        <v>22</v>
      </c>
      <c r="R1062" t="s">
        <v>23</v>
      </c>
    </row>
    <row r="1063" spans="1:18" x14ac:dyDescent="0.25">
      <c r="A1063" t="s">
        <v>18</v>
      </c>
      <c r="B1063" t="s">
        <v>1732</v>
      </c>
      <c r="C1063" t="s">
        <v>19</v>
      </c>
      <c r="F1063" t="s">
        <v>2512</v>
      </c>
      <c r="N1063" t="s">
        <v>22</v>
      </c>
      <c r="O1063" t="s">
        <v>22</v>
      </c>
      <c r="P1063" t="s">
        <v>2639</v>
      </c>
      <c r="Q1063" t="s">
        <v>22</v>
      </c>
      <c r="R1063" t="s">
        <v>23</v>
      </c>
    </row>
    <row r="1064" spans="1:18" x14ac:dyDescent="0.25">
      <c r="A1064" t="s">
        <v>18</v>
      </c>
      <c r="B1064" t="s">
        <v>2513</v>
      </c>
      <c r="C1064" t="s">
        <v>19</v>
      </c>
      <c r="F1064" t="s">
        <v>590</v>
      </c>
      <c r="N1064" t="s">
        <v>22</v>
      </c>
      <c r="O1064" t="s">
        <v>23</v>
      </c>
      <c r="Q1064" t="s">
        <v>22</v>
      </c>
      <c r="R1064" t="s">
        <v>23</v>
      </c>
    </row>
    <row r="1065" spans="1:18" x14ac:dyDescent="0.25">
      <c r="A1065" t="s">
        <v>18</v>
      </c>
      <c r="B1065" t="s">
        <v>1733</v>
      </c>
      <c r="C1065" t="s">
        <v>19</v>
      </c>
      <c r="F1065" t="s">
        <v>1734</v>
      </c>
      <c r="N1065" t="s">
        <v>22</v>
      </c>
      <c r="O1065" t="s">
        <v>22</v>
      </c>
    </row>
    <row r="1066" spans="1:18" x14ac:dyDescent="0.25">
      <c r="A1066" t="s">
        <v>18</v>
      </c>
      <c r="B1066" t="s">
        <v>1929</v>
      </c>
      <c r="C1066" t="s">
        <v>19</v>
      </c>
      <c r="F1066" t="s">
        <v>1930</v>
      </c>
      <c r="N1066" t="s">
        <v>22</v>
      </c>
      <c r="O1066" t="s">
        <v>22</v>
      </c>
    </row>
    <row r="1067" spans="1:18" x14ac:dyDescent="0.25">
      <c r="A1067" t="s">
        <v>18</v>
      </c>
      <c r="B1067" t="s">
        <v>1921</v>
      </c>
      <c r="C1067" t="s">
        <v>19</v>
      </c>
      <c r="F1067" t="s">
        <v>1922</v>
      </c>
      <c r="N1067" t="s">
        <v>22</v>
      </c>
      <c r="O1067" t="s">
        <v>22</v>
      </c>
    </row>
    <row r="1068" spans="1:18" x14ac:dyDescent="0.25">
      <c r="A1068" t="s">
        <v>18</v>
      </c>
      <c r="B1068" t="s">
        <v>1943</v>
      </c>
      <c r="C1068" t="s">
        <v>19</v>
      </c>
      <c r="F1068" t="s">
        <v>1944</v>
      </c>
      <c r="N1068" t="s">
        <v>22</v>
      </c>
      <c r="O1068" t="s">
        <v>22</v>
      </c>
    </row>
    <row r="1069" spans="1:18" x14ac:dyDescent="0.25">
      <c r="A1069" t="s">
        <v>18</v>
      </c>
      <c r="B1069" t="s">
        <v>1925</v>
      </c>
      <c r="C1069" t="s">
        <v>19</v>
      </c>
      <c r="F1069" t="s">
        <v>1926</v>
      </c>
      <c r="N1069" t="s">
        <v>22</v>
      </c>
      <c r="O1069" t="s">
        <v>22</v>
      </c>
    </row>
    <row r="1070" spans="1:18" x14ac:dyDescent="0.25">
      <c r="A1070" t="s">
        <v>18</v>
      </c>
      <c r="B1070" t="s">
        <v>1945</v>
      </c>
      <c r="C1070" t="s">
        <v>19</v>
      </c>
      <c r="F1070" t="s">
        <v>1946</v>
      </c>
      <c r="N1070" t="s">
        <v>22</v>
      </c>
      <c r="O1070" t="s">
        <v>22</v>
      </c>
    </row>
    <row r="1071" spans="1:18" x14ac:dyDescent="0.25">
      <c r="A1071" t="s">
        <v>18</v>
      </c>
      <c r="B1071" t="s">
        <v>1947</v>
      </c>
      <c r="C1071" t="s">
        <v>19</v>
      </c>
      <c r="F1071" t="s">
        <v>1948</v>
      </c>
      <c r="N1071" t="s">
        <v>22</v>
      </c>
      <c r="O1071" t="s">
        <v>22</v>
      </c>
    </row>
    <row r="1072" spans="1:18" x14ac:dyDescent="0.25">
      <c r="A1072" t="s">
        <v>18</v>
      </c>
      <c r="B1072" t="s">
        <v>1949</v>
      </c>
      <c r="C1072" t="s">
        <v>19</v>
      </c>
      <c r="F1072" t="s">
        <v>1950</v>
      </c>
      <c r="N1072" t="s">
        <v>22</v>
      </c>
      <c r="O1072" t="s">
        <v>22</v>
      </c>
    </row>
    <row r="1073" spans="1:18" x14ac:dyDescent="0.25">
      <c r="A1073" t="s">
        <v>18</v>
      </c>
      <c r="B1073" t="s">
        <v>1951</v>
      </c>
      <c r="C1073" t="s">
        <v>19</v>
      </c>
      <c r="F1073" t="s">
        <v>1952</v>
      </c>
      <c r="N1073" t="s">
        <v>22</v>
      </c>
      <c r="O1073" t="s">
        <v>22</v>
      </c>
    </row>
    <row r="1074" spans="1:18" x14ac:dyDescent="0.25">
      <c r="A1074" t="s">
        <v>18</v>
      </c>
      <c r="B1074" t="s">
        <v>1953</v>
      </c>
      <c r="C1074" t="s">
        <v>19</v>
      </c>
      <c r="F1074" t="s">
        <v>1954</v>
      </c>
      <c r="N1074" t="s">
        <v>22</v>
      </c>
      <c r="O1074" t="s">
        <v>22</v>
      </c>
    </row>
    <row r="1075" spans="1:18" x14ac:dyDescent="0.25">
      <c r="A1075" t="s">
        <v>18</v>
      </c>
      <c r="B1075" t="s">
        <v>1893</v>
      </c>
      <c r="C1075" t="s">
        <v>19</v>
      </c>
      <c r="F1075" t="s">
        <v>1894</v>
      </c>
      <c r="N1075" t="s">
        <v>22</v>
      </c>
      <c r="O1075" t="s">
        <v>22</v>
      </c>
    </row>
    <row r="1076" spans="1:18" x14ac:dyDescent="0.25">
      <c r="A1076" t="s">
        <v>18</v>
      </c>
      <c r="B1076" t="s">
        <v>1910</v>
      </c>
      <c r="C1076" t="s">
        <v>19</v>
      </c>
      <c r="F1076" t="s">
        <v>2505</v>
      </c>
      <c r="N1076" t="s">
        <v>22</v>
      </c>
      <c r="O1076" t="s">
        <v>22</v>
      </c>
      <c r="P1076" t="s">
        <v>2640</v>
      </c>
      <c r="Q1076" t="s">
        <v>22</v>
      </c>
      <c r="R1076" t="s">
        <v>23</v>
      </c>
    </row>
    <row r="1077" spans="1:18" x14ac:dyDescent="0.25">
      <c r="A1077" t="s">
        <v>18</v>
      </c>
      <c r="B1077" t="s">
        <v>1757</v>
      </c>
      <c r="C1077" t="s">
        <v>19</v>
      </c>
      <c r="F1077" t="s">
        <v>1758</v>
      </c>
      <c r="N1077" t="s">
        <v>22</v>
      </c>
      <c r="O1077" t="s">
        <v>22</v>
      </c>
    </row>
    <row r="1078" spans="1:18" x14ac:dyDescent="0.25">
      <c r="A1078" t="s">
        <v>18</v>
      </c>
      <c r="B1078" t="s">
        <v>1939</v>
      </c>
      <c r="C1078" t="s">
        <v>19</v>
      </c>
      <c r="F1078" t="s">
        <v>1940</v>
      </c>
      <c r="N1078" t="s">
        <v>22</v>
      </c>
      <c r="O1078" t="s">
        <v>22</v>
      </c>
    </row>
    <row r="1079" spans="1:18" x14ac:dyDescent="0.25">
      <c r="A1079" t="s">
        <v>18</v>
      </c>
      <c r="B1079" t="s">
        <v>1895</v>
      </c>
      <c r="C1079" t="s">
        <v>19</v>
      </c>
      <c r="F1079" t="s">
        <v>1896</v>
      </c>
      <c r="N1079" t="s">
        <v>22</v>
      </c>
      <c r="O1079" t="s">
        <v>22</v>
      </c>
    </row>
    <row r="1080" spans="1:18" x14ac:dyDescent="0.25">
      <c r="A1080" t="s">
        <v>18</v>
      </c>
      <c r="B1080" t="s">
        <v>1897</v>
      </c>
      <c r="C1080" t="s">
        <v>19</v>
      </c>
      <c r="F1080" t="s">
        <v>1898</v>
      </c>
      <c r="N1080" t="s">
        <v>22</v>
      </c>
      <c r="O1080" t="s">
        <v>22</v>
      </c>
    </row>
    <row r="1081" spans="1:18" x14ac:dyDescent="0.25">
      <c r="A1081" t="s">
        <v>18</v>
      </c>
      <c r="B1081" t="s">
        <v>1899</v>
      </c>
      <c r="C1081" t="s">
        <v>19</v>
      </c>
      <c r="F1081" t="s">
        <v>2506</v>
      </c>
      <c r="N1081" t="s">
        <v>22</v>
      </c>
      <c r="O1081" t="s">
        <v>22</v>
      </c>
      <c r="Q1081" t="s">
        <v>22</v>
      </c>
      <c r="R1081" t="s">
        <v>23</v>
      </c>
    </row>
    <row r="1082" spans="1:18" x14ac:dyDescent="0.25">
      <c r="A1082" t="s">
        <v>18</v>
      </c>
      <c r="B1082" t="s">
        <v>1900</v>
      </c>
      <c r="C1082" t="s">
        <v>19</v>
      </c>
      <c r="F1082" t="s">
        <v>1901</v>
      </c>
      <c r="N1082" t="s">
        <v>22</v>
      </c>
      <c r="O1082" t="s">
        <v>22</v>
      </c>
    </row>
    <row r="1083" spans="1:18" x14ac:dyDescent="0.25">
      <c r="A1083" t="s">
        <v>18</v>
      </c>
      <c r="B1083" t="s">
        <v>1902</v>
      </c>
      <c r="C1083" t="s">
        <v>19</v>
      </c>
      <c r="F1083" t="s">
        <v>1903</v>
      </c>
      <c r="N1083" t="s">
        <v>22</v>
      </c>
      <c r="O1083" t="s">
        <v>22</v>
      </c>
    </row>
    <row r="1084" spans="1:18" x14ac:dyDescent="0.25">
      <c r="A1084" t="s">
        <v>18</v>
      </c>
      <c r="B1084" t="s">
        <v>1904</v>
      </c>
      <c r="C1084" t="s">
        <v>19</v>
      </c>
      <c r="F1084" t="s">
        <v>1905</v>
      </c>
      <c r="N1084" t="s">
        <v>22</v>
      </c>
      <c r="O1084" t="s">
        <v>22</v>
      </c>
    </row>
    <row r="1085" spans="1:18" x14ac:dyDescent="0.25">
      <c r="A1085" t="s">
        <v>18</v>
      </c>
      <c r="B1085" t="s">
        <v>1955</v>
      </c>
      <c r="C1085" t="s">
        <v>19</v>
      </c>
      <c r="F1085" t="s">
        <v>1956</v>
      </c>
      <c r="G1085" t="s">
        <v>1957</v>
      </c>
      <c r="N1085" t="s">
        <v>22</v>
      </c>
      <c r="O1085" t="s">
        <v>22</v>
      </c>
    </row>
    <row r="1086" spans="1:18" x14ac:dyDescent="0.25">
      <c r="A1086" t="s">
        <v>18</v>
      </c>
      <c r="B1086" t="s">
        <v>1772</v>
      </c>
      <c r="C1086" t="s">
        <v>19</v>
      </c>
      <c r="F1086" t="s">
        <v>1773</v>
      </c>
      <c r="N1086" t="s">
        <v>22</v>
      </c>
      <c r="O1086" t="s">
        <v>22</v>
      </c>
    </row>
    <row r="1087" spans="1:18" x14ac:dyDescent="0.25">
      <c r="A1087" t="s">
        <v>18</v>
      </c>
      <c r="B1087" t="s">
        <v>1735</v>
      </c>
      <c r="C1087" t="s">
        <v>19</v>
      </c>
      <c r="F1087" t="s">
        <v>1736</v>
      </c>
      <c r="N1087" t="s">
        <v>22</v>
      </c>
      <c r="O1087" t="s">
        <v>22</v>
      </c>
    </row>
    <row r="1088" spans="1:18" x14ac:dyDescent="0.25">
      <c r="A1088" t="s">
        <v>18</v>
      </c>
      <c r="B1088" t="s">
        <v>2517</v>
      </c>
      <c r="C1088" t="s">
        <v>19</v>
      </c>
      <c r="F1088" t="s">
        <v>2518</v>
      </c>
      <c r="N1088" t="s">
        <v>22</v>
      </c>
      <c r="O1088" t="s">
        <v>23</v>
      </c>
      <c r="P1088" t="s">
        <v>2641</v>
      </c>
      <c r="Q1088" t="s">
        <v>22</v>
      </c>
      <c r="R1088" t="s">
        <v>23</v>
      </c>
    </row>
    <row r="1089" spans="1:18" x14ac:dyDescent="0.25">
      <c r="A1089" t="s">
        <v>18</v>
      </c>
      <c r="B1089" t="s">
        <v>1715</v>
      </c>
      <c r="C1089" t="s">
        <v>19</v>
      </c>
      <c r="F1089" t="s">
        <v>1716</v>
      </c>
      <c r="N1089" t="s">
        <v>22</v>
      </c>
      <c r="O1089" t="s">
        <v>22</v>
      </c>
    </row>
    <row r="1090" spans="1:18" x14ac:dyDescent="0.25">
      <c r="A1090" t="s">
        <v>18</v>
      </c>
      <c r="B1090" t="s">
        <v>1717</v>
      </c>
      <c r="C1090" t="s">
        <v>19</v>
      </c>
      <c r="F1090" t="s">
        <v>2519</v>
      </c>
      <c r="N1090" t="s">
        <v>22</v>
      </c>
      <c r="O1090" t="s">
        <v>22</v>
      </c>
      <c r="P1090" t="s">
        <v>2642</v>
      </c>
      <c r="Q1090" t="s">
        <v>22</v>
      </c>
      <c r="R1090" t="s">
        <v>23</v>
      </c>
    </row>
    <row r="1091" spans="1:18" x14ac:dyDescent="0.25">
      <c r="A1091" t="s">
        <v>18</v>
      </c>
      <c r="B1091" t="s">
        <v>1718</v>
      </c>
      <c r="C1091" t="s">
        <v>19</v>
      </c>
      <c r="F1091" t="s">
        <v>2520</v>
      </c>
      <c r="N1091" t="s">
        <v>22</v>
      </c>
      <c r="O1091" t="s">
        <v>22</v>
      </c>
      <c r="P1091" t="s">
        <v>2643</v>
      </c>
      <c r="Q1091" t="s">
        <v>22</v>
      </c>
      <c r="R1091" t="s">
        <v>23</v>
      </c>
    </row>
    <row r="1092" spans="1:18" x14ac:dyDescent="0.25">
      <c r="A1092" t="s">
        <v>18</v>
      </c>
      <c r="B1092" t="s">
        <v>1719</v>
      </c>
      <c r="C1092" t="s">
        <v>19</v>
      </c>
      <c r="F1092" t="s">
        <v>1720</v>
      </c>
      <c r="N1092" t="s">
        <v>22</v>
      </c>
      <c r="O1092" t="s">
        <v>22</v>
      </c>
    </row>
    <row r="1093" spans="1:18" x14ac:dyDescent="0.25">
      <c r="A1093" t="s">
        <v>18</v>
      </c>
      <c r="B1093" t="s">
        <v>1712</v>
      </c>
      <c r="C1093" t="s">
        <v>19</v>
      </c>
      <c r="F1093" t="s">
        <v>1713</v>
      </c>
      <c r="N1093" t="s">
        <v>22</v>
      </c>
      <c r="O1093" t="s">
        <v>22</v>
      </c>
    </row>
    <row r="1094" spans="1:18" x14ac:dyDescent="0.25">
      <c r="A1094" t="s">
        <v>18</v>
      </c>
      <c r="B1094" t="s">
        <v>1723</v>
      </c>
      <c r="C1094" t="s">
        <v>19</v>
      </c>
      <c r="F1094" t="s">
        <v>1724</v>
      </c>
      <c r="N1094" t="s">
        <v>22</v>
      </c>
      <c r="O1094" t="s">
        <v>22</v>
      </c>
    </row>
    <row r="1095" spans="1:18" x14ac:dyDescent="0.25">
      <c r="A1095" t="s">
        <v>18</v>
      </c>
      <c r="B1095" t="s">
        <v>1725</v>
      </c>
      <c r="C1095" t="s">
        <v>19</v>
      </c>
      <c r="F1095" t="s">
        <v>1726</v>
      </c>
      <c r="G1095" t="s">
        <v>2582</v>
      </c>
      <c r="N1095" t="s">
        <v>22</v>
      </c>
      <c r="O1095" t="s">
        <v>22</v>
      </c>
    </row>
    <row r="1096" spans="1:18" x14ac:dyDescent="0.25">
      <c r="A1096" t="s">
        <v>18</v>
      </c>
      <c r="B1096" t="s">
        <v>1822</v>
      </c>
      <c r="C1096" t="s">
        <v>19</v>
      </c>
      <c r="F1096" t="s">
        <v>1823</v>
      </c>
      <c r="N1096" t="s">
        <v>22</v>
      </c>
      <c r="O1096" t="s">
        <v>22</v>
      </c>
    </row>
    <row r="1097" spans="1:18" x14ac:dyDescent="0.25">
      <c r="A1097" t="s">
        <v>18</v>
      </c>
      <c r="B1097" t="s">
        <v>1743</v>
      </c>
      <c r="C1097" t="s">
        <v>19</v>
      </c>
      <c r="F1097" t="s">
        <v>1744</v>
      </c>
      <c r="N1097" t="s">
        <v>22</v>
      </c>
      <c r="O1097" t="s">
        <v>22</v>
      </c>
    </row>
    <row r="1098" spans="1:18" x14ac:dyDescent="0.25">
      <c r="A1098" t="s">
        <v>18</v>
      </c>
      <c r="B1098" t="s">
        <v>1794</v>
      </c>
      <c r="C1098" t="s">
        <v>19</v>
      </c>
      <c r="F1098" t="s">
        <v>1795</v>
      </c>
      <c r="N1098" t="s">
        <v>22</v>
      </c>
      <c r="O1098" t="s">
        <v>22</v>
      </c>
    </row>
    <row r="1099" spans="1:18" x14ac:dyDescent="0.25">
      <c r="A1099" t="s">
        <v>18</v>
      </c>
      <c r="B1099" t="s">
        <v>1796</v>
      </c>
      <c r="C1099" t="s">
        <v>19</v>
      </c>
      <c r="F1099" t="s">
        <v>1797</v>
      </c>
      <c r="G1099" t="s">
        <v>1798</v>
      </c>
      <c r="N1099" t="s">
        <v>22</v>
      </c>
      <c r="O1099" t="s">
        <v>22</v>
      </c>
    </row>
    <row r="1100" spans="1:18" x14ac:dyDescent="0.25">
      <c r="A1100" t="s">
        <v>18</v>
      </c>
      <c r="B1100" t="s">
        <v>1799</v>
      </c>
      <c r="C1100" t="s">
        <v>19</v>
      </c>
      <c r="F1100" t="s">
        <v>2521</v>
      </c>
      <c r="N1100" t="s">
        <v>22</v>
      </c>
      <c r="O1100" t="s">
        <v>22</v>
      </c>
      <c r="Q1100" t="s">
        <v>22</v>
      </c>
      <c r="R1100" t="s">
        <v>23</v>
      </c>
    </row>
    <row r="1101" spans="1:18" x14ac:dyDescent="0.25">
      <c r="A1101" t="s">
        <v>18</v>
      </c>
      <c r="B1101" t="s">
        <v>1801</v>
      </c>
      <c r="C1101" t="s">
        <v>19</v>
      </c>
      <c r="F1101" t="s">
        <v>1802</v>
      </c>
      <c r="N1101" t="s">
        <v>22</v>
      </c>
      <c r="O1101" t="s">
        <v>22</v>
      </c>
    </row>
    <row r="1102" spans="1:18" x14ac:dyDescent="0.25">
      <c r="A1102" t="s">
        <v>18</v>
      </c>
      <c r="B1102" t="s">
        <v>1803</v>
      </c>
      <c r="C1102" t="s">
        <v>19</v>
      </c>
      <c r="F1102" t="s">
        <v>1804</v>
      </c>
      <c r="N1102" t="s">
        <v>22</v>
      </c>
      <c r="O1102" t="s">
        <v>22</v>
      </c>
    </row>
    <row r="1103" spans="1:18" x14ac:dyDescent="0.25">
      <c r="A1103" t="s">
        <v>18</v>
      </c>
      <c r="B1103" t="s">
        <v>1721</v>
      </c>
      <c r="C1103" t="s">
        <v>19</v>
      </c>
      <c r="F1103" t="s">
        <v>1722</v>
      </c>
      <c r="N1103" t="s">
        <v>22</v>
      </c>
      <c r="O1103" t="s">
        <v>22</v>
      </c>
    </row>
    <row r="1104" spans="1:18" x14ac:dyDescent="0.25">
      <c r="A1104" t="s">
        <v>18</v>
      </c>
      <c r="B1104" t="s">
        <v>1714</v>
      </c>
      <c r="C1104" t="s">
        <v>19</v>
      </c>
      <c r="F1104" t="s">
        <v>2515</v>
      </c>
      <c r="N1104" t="s">
        <v>22</v>
      </c>
      <c r="O1104" t="s">
        <v>22</v>
      </c>
      <c r="Q1104" t="s">
        <v>22</v>
      </c>
      <c r="R1104" t="s">
        <v>23</v>
      </c>
    </row>
    <row r="1105" spans="1:18" x14ac:dyDescent="0.25">
      <c r="A1105" t="s">
        <v>18</v>
      </c>
      <c r="B1105" t="s">
        <v>1741</v>
      </c>
      <c r="C1105" t="s">
        <v>19</v>
      </c>
      <c r="F1105" t="s">
        <v>1742</v>
      </c>
      <c r="N1105" t="s">
        <v>22</v>
      </c>
      <c r="O1105" t="s">
        <v>22</v>
      </c>
    </row>
    <row r="1106" spans="1:18" x14ac:dyDescent="0.25">
      <c r="A1106" t="s">
        <v>18</v>
      </c>
      <c r="B1106" t="s">
        <v>1727</v>
      </c>
      <c r="C1106" t="s">
        <v>19</v>
      </c>
      <c r="F1106" t="s">
        <v>1728</v>
      </c>
      <c r="N1106" t="s">
        <v>22</v>
      </c>
      <c r="O1106" t="s">
        <v>22</v>
      </c>
    </row>
    <row r="1107" spans="1:18" x14ac:dyDescent="0.25">
      <c r="A1107" t="s">
        <v>18</v>
      </c>
      <c r="B1107" t="s">
        <v>1745</v>
      </c>
      <c r="C1107" t="s">
        <v>19</v>
      </c>
      <c r="F1107" t="s">
        <v>1746</v>
      </c>
      <c r="N1107" t="s">
        <v>22</v>
      </c>
      <c r="O1107" t="s">
        <v>22</v>
      </c>
    </row>
    <row r="1108" spans="1:18" x14ac:dyDescent="0.25">
      <c r="A1108" t="s">
        <v>18</v>
      </c>
      <c r="B1108" t="s">
        <v>1747</v>
      </c>
      <c r="C1108" t="s">
        <v>19</v>
      </c>
      <c r="F1108" t="s">
        <v>1748</v>
      </c>
      <c r="N1108" t="s">
        <v>22</v>
      </c>
      <c r="O1108" t="s">
        <v>22</v>
      </c>
    </row>
    <row r="1109" spans="1:18" x14ac:dyDescent="0.25">
      <c r="A1109" t="s">
        <v>18</v>
      </c>
      <c r="B1109" t="s">
        <v>1749</v>
      </c>
      <c r="C1109" t="s">
        <v>19</v>
      </c>
      <c r="F1109" t="s">
        <v>1750</v>
      </c>
      <c r="G1109" t="s">
        <v>1751</v>
      </c>
      <c r="N1109" t="s">
        <v>22</v>
      </c>
      <c r="O1109" t="s">
        <v>22</v>
      </c>
    </row>
    <row r="1110" spans="1:18" x14ac:dyDescent="0.25">
      <c r="A1110" t="s">
        <v>18</v>
      </c>
      <c r="B1110" t="s">
        <v>1752</v>
      </c>
      <c r="C1110" t="s">
        <v>19</v>
      </c>
      <c r="F1110" t="s">
        <v>2514</v>
      </c>
      <c r="N1110" t="s">
        <v>22</v>
      </c>
      <c r="O1110" t="s">
        <v>22</v>
      </c>
      <c r="Q1110" t="s">
        <v>22</v>
      </c>
      <c r="R1110" t="s">
        <v>23</v>
      </c>
    </row>
    <row r="1111" spans="1:18" x14ac:dyDescent="0.25">
      <c r="A1111" t="s">
        <v>18</v>
      </c>
      <c r="B1111" t="s">
        <v>1698</v>
      </c>
      <c r="C1111" t="s">
        <v>19</v>
      </c>
      <c r="F1111" t="s">
        <v>2516</v>
      </c>
      <c r="N1111" t="s">
        <v>22</v>
      </c>
      <c r="O1111" t="s">
        <v>22</v>
      </c>
      <c r="P1111" t="s">
        <v>2644</v>
      </c>
      <c r="Q1111" t="s">
        <v>22</v>
      </c>
      <c r="R1111" t="s">
        <v>23</v>
      </c>
    </row>
    <row r="1112" spans="1:18" x14ac:dyDescent="0.25">
      <c r="A1112" t="s">
        <v>18</v>
      </c>
      <c r="B1112" t="s">
        <v>1755</v>
      </c>
      <c r="C1112" t="s">
        <v>19</v>
      </c>
      <c r="F1112" t="s">
        <v>1756</v>
      </c>
      <c r="N1112" t="s">
        <v>22</v>
      </c>
      <c r="O1112" t="s">
        <v>22</v>
      </c>
    </row>
    <row r="1113" spans="1:18" x14ac:dyDescent="0.25">
      <c r="A1113" t="s">
        <v>18</v>
      </c>
      <c r="B1113" t="s">
        <v>2171</v>
      </c>
      <c r="C1113" t="s">
        <v>19</v>
      </c>
      <c r="F1113" t="s">
        <v>2172</v>
      </c>
      <c r="N1113" t="s">
        <v>22</v>
      </c>
      <c r="O1113" t="s">
        <v>22</v>
      </c>
    </row>
    <row r="1114" spans="1:18" x14ac:dyDescent="0.25">
      <c r="A1114" t="s">
        <v>18</v>
      </c>
      <c r="B1114" t="s">
        <v>1710</v>
      </c>
      <c r="C1114" t="s">
        <v>19</v>
      </c>
      <c r="F1114" t="s">
        <v>1711</v>
      </c>
      <c r="N1114" t="s">
        <v>22</v>
      </c>
      <c r="O1114" t="s">
        <v>22</v>
      </c>
    </row>
    <row r="1115" spans="1:18" x14ac:dyDescent="0.25">
      <c r="A1115" t="s">
        <v>18</v>
      </c>
      <c r="B1115" t="s">
        <v>1739</v>
      </c>
      <c r="C1115" t="s">
        <v>19</v>
      </c>
      <c r="F1115" t="s">
        <v>1740</v>
      </c>
      <c r="N1115" t="s">
        <v>22</v>
      </c>
      <c r="O1115" t="s">
        <v>22</v>
      </c>
    </row>
    <row r="1116" spans="1:18" x14ac:dyDescent="0.25">
      <c r="A1116" t="s">
        <v>18</v>
      </c>
      <c r="B1116" t="s">
        <v>1700</v>
      </c>
      <c r="C1116" t="s">
        <v>19</v>
      </c>
      <c r="F1116" t="s">
        <v>1701</v>
      </c>
      <c r="N1116" t="s">
        <v>22</v>
      </c>
      <c r="O1116" t="s">
        <v>22</v>
      </c>
    </row>
    <row r="1117" spans="1:18" x14ac:dyDescent="0.25">
      <c r="A1117" t="s">
        <v>18</v>
      </c>
      <c r="B1117" t="s">
        <v>1702</v>
      </c>
      <c r="C1117" t="s">
        <v>19</v>
      </c>
      <c r="F1117" t="s">
        <v>1703</v>
      </c>
      <c r="N1117" t="s">
        <v>22</v>
      </c>
      <c r="O1117" t="s">
        <v>22</v>
      </c>
    </row>
    <row r="1118" spans="1:18" x14ac:dyDescent="0.25">
      <c r="A1118" t="s">
        <v>18</v>
      </c>
      <c r="B1118" t="s">
        <v>1704</v>
      </c>
      <c r="C1118" t="s">
        <v>19</v>
      </c>
      <c r="F1118" t="s">
        <v>1705</v>
      </c>
      <c r="N1118" t="s">
        <v>22</v>
      </c>
      <c r="O1118" t="s">
        <v>22</v>
      </c>
    </row>
    <row r="1119" spans="1:18" x14ac:dyDescent="0.25">
      <c r="A1119" t="s">
        <v>18</v>
      </c>
      <c r="B1119" t="s">
        <v>1706</v>
      </c>
      <c r="C1119" t="s">
        <v>19</v>
      </c>
      <c r="F1119" t="s">
        <v>1707</v>
      </c>
      <c r="N1119" t="s">
        <v>22</v>
      </c>
      <c r="O1119" t="s">
        <v>22</v>
      </c>
    </row>
    <row r="1120" spans="1:18" x14ac:dyDescent="0.25">
      <c r="A1120" t="s">
        <v>18</v>
      </c>
      <c r="B1120" t="s">
        <v>1708</v>
      </c>
      <c r="C1120" t="s">
        <v>19</v>
      </c>
      <c r="F1120" t="s">
        <v>1709</v>
      </c>
      <c r="N1120" t="s">
        <v>22</v>
      </c>
      <c r="O1120" t="s">
        <v>22</v>
      </c>
    </row>
    <row r="1121" spans="1:15" x14ac:dyDescent="0.25">
      <c r="A1121" t="s">
        <v>18</v>
      </c>
      <c r="B1121" t="s">
        <v>1753</v>
      </c>
      <c r="C1121" t="s">
        <v>19</v>
      </c>
      <c r="F1121" t="s">
        <v>1754</v>
      </c>
      <c r="N1121" t="s">
        <v>22</v>
      </c>
      <c r="O1121" t="s">
        <v>22</v>
      </c>
    </row>
    <row r="1122" spans="1:15" x14ac:dyDescent="0.25">
      <c r="A1122" t="s">
        <v>18</v>
      </c>
      <c r="B1122" t="s">
        <v>2155</v>
      </c>
      <c r="C1122" t="s">
        <v>19</v>
      </c>
      <c r="F1122" t="s">
        <v>2156</v>
      </c>
      <c r="N1122" t="s">
        <v>22</v>
      </c>
      <c r="O1122" t="s">
        <v>22</v>
      </c>
    </row>
    <row r="1123" spans="1:15" x14ac:dyDescent="0.25">
      <c r="A1123" t="s">
        <v>18</v>
      </c>
      <c r="B1123" t="s">
        <v>2175</v>
      </c>
      <c r="C1123" t="s">
        <v>19</v>
      </c>
      <c r="F1123" t="s">
        <v>2176</v>
      </c>
      <c r="N1123" t="s">
        <v>22</v>
      </c>
      <c r="O1123" t="s">
        <v>22</v>
      </c>
    </row>
    <row r="1124" spans="1:15" x14ac:dyDescent="0.25">
      <c r="A1124" t="s">
        <v>18</v>
      </c>
      <c r="B1124" t="s">
        <v>2141</v>
      </c>
      <c r="C1124" t="s">
        <v>19</v>
      </c>
      <c r="F1124" t="s">
        <v>2142</v>
      </c>
      <c r="N1124" t="s">
        <v>22</v>
      </c>
      <c r="O1124" t="s">
        <v>22</v>
      </c>
    </row>
    <row r="1125" spans="1:15" x14ac:dyDescent="0.25">
      <c r="A1125" t="s">
        <v>18</v>
      </c>
      <c r="B1125" t="s">
        <v>2163</v>
      </c>
      <c r="C1125" t="s">
        <v>19</v>
      </c>
      <c r="F1125" t="s">
        <v>2164</v>
      </c>
      <c r="N1125" t="s">
        <v>22</v>
      </c>
      <c r="O1125" t="s">
        <v>22</v>
      </c>
    </row>
    <row r="1126" spans="1:15" x14ac:dyDescent="0.25">
      <c r="A1126" t="s">
        <v>18</v>
      </c>
      <c r="B1126" t="s">
        <v>2145</v>
      </c>
      <c r="C1126" t="s">
        <v>19</v>
      </c>
      <c r="F1126" t="s">
        <v>2146</v>
      </c>
      <c r="N1126" t="s">
        <v>22</v>
      </c>
      <c r="O1126" t="s">
        <v>22</v>
      </c>
    </row>
    <row r="1127" spans="1:15" x14ac:dyDescent="0.25">
      <c r="A1127" t="s">
        <v>18</v>
      </c>
      <c r="B1127" t="s">
        <v>2129</v>
      </c>
      <c r="C1127" t="s">
        <v>19</v>
      </c>
      <c r="F1127" t="s">
        <v>2130</v>
      </c>
      <c r="N1127" t="s">
        <v>22</v>
      </c>
      <c r="O1127" t="s">
        <v>22</v>
      </c>
    </row>
    <row r="1128" spans="1:15" x14ac:dyDescent="0.25">
      <c r="A1128" t="s">
        <v>18</v>
      </c>
      <c r="B1128" t="s">
        <v>2149</v>
      </c>
      <c r="C1128" t="s">
        <v>19</v>
      </c>
      <c r="F1128" t="s">
        <v>2150</v>
      </c>
      <c r="N1128" t="s">
        <v>22</v>
      </c>
      <c r="O1128" t="s">
        <v>22</v>
      </c>
    </row>
    <row r="1129" spans="1:15" x14ac:dyDescent="0.25">
      <c r="A1129" t="s">
        <v>18</v>
      </c>
      <c r="B1129" t="s">
        <v>2137</v>
      </c>
      <c r="C1129" t="s">
        <v>19</v>
      </c>
      <c r="F1129" t="s">
        <v>2138</v>
      </c>
      <c r="N1129" t="s">
        <v>22</v>
      </c>
      <c r="O1129" t="s">
        <v>22</v>
      </c>
    </row>
    <row r="1130" spans="1:15" x14ac:dyDescent="0.25">
      <c r="A1130" t="s">
        <v>18</v>
      </c>
      <c r="B1130" t="s">
        <v>2153</v>
      </c>
      <c r="C1130" t="s">
        <v>19</v>
      </c>
      <c r="F1130" t="s">
        <v>2154</v>
      </c>
      <c r="N1130" t="s">
        <v>22</v>
      </c>
      <c r="O1130" t="s">
        <v>22</v>
      </c>
    </row>
    <row r="1131" spans="1:15" x14ac:dyDescent="0.25">
      <c r="A1131" t="s">
        <v>18</v>
      </c>
      <c r="B1131" t="s">
        <v>2135</v>
      </c>
      <c r="C1131" t="s">
        <v>19</v>
      </c>
      <c r="F1131" t="s">
        <v>2136</v>
      </c>
      <c r="N1131" t="s">
        <v>22</v>
      </c>
      <c r="O1131" t="s">
        <v>22</v>
      </c>
    </row>
    <row r="1132" spans="1:15" x14ac:dyDescent="0.25">
      <c r="A1132" t="s">
        <v>18</v>
      </c>
      <c r="B1132" t="s">
        <v>2157</v>
      </c>
      <c r="C1132" t="s">
        <v>19</v>
      </c>
      <c r="F1132" t="s">
        <v>2158</v>
      </c>
      <c r="N1132" t="s">
        <v>22</v>
      </c>
      <c r="O1132" t="s">
        <v>22</v>
      </c>
    </row>
    <row r="1133" spans="1:15" x14ac:dyDescent="0.25">
      <c r="A1133" t="s">
        <v>18</v>
      </c>
      <c r="B1133" t="s">
        <v>2159</v>
      </c>
      <c r="C1133" t="s">
        <v>19</v>
      </c>
      <c r="F1133" t="s">
        <v>2160</v>
      </c>
      <c r="N1133" t="s">
        <v>22</v>
      </c>
      <c r="O1133" t="s">
        <v>22</v>
      </c>
    </row>
    <row r="1134" spans="1:15" x14ac:dyDescent="0.25">
      <c r="A1134" t="s">
        <v>18</v>
      </c>
      <c r="B1134" t="s">
        <v>2114</v>
      </c>
      <c r="C1134" t="s">
        <v>19</v>
      </c>
      <c r="F1134" t="s">
        <v>2115</v>
      </c>
      <c r="N1134" t="s">
        <v>22</v>
      </c>
      <c r="O1134" t="s">
        <v>22</v>
      </c>
    </row>
    <row r="1135" spans="1:15" x14ac:dyDescent="0.25">
      <c r="A1135" t="s">
        <v>18</v>
      </c>
      <c r="B1135" t="s">
        <v>2147</v>
      </c>
      <c r="C1135" t="s">
        <v>19</v>
      </c>
      <c r="F1135" t="s">
        <v>2148</v>
      </c>
      <c r="N1135" t="s">
        <v>22</v>
      </c>
      <c r="O1135" t="s">
        <v>22</v>
      </c>
    </row>
    <row r="1136" spans="1:15" x14ac:dyDescent="0.25">
      <c r="A1136" t="s">
        <v>18</v>
      </c>
      <c r="B1136" t="s">
        <v>2143</v>
      </c>
      <c r="C1136" t="s">
        <v>19</v>
      </c>
      <c r="F1136" t="s">
        <v>2144</v>
      </c>
      <c r="N1136" t="s">
        <v>22</v>
      </c>
      <c r="O1136" t="s">
        <v>22</v>
      </c>
    </row>
    <row r="1137" spans="1:18" x14ac:dyDescent="0.25">
      <c r="A1137" t="s">
        <v>18</v>
      </c>
      <c r="B1137" t="s">
        <v>2098</v>
      </c>
      <c r="C1137" t="s">
        <v>19</v>
      </c>
      <c r="F1137" t="s">
        <v>2099</v>
      </c>
      <c r="N1137" t="s">
        <v>22</v>
      </c>
      <c r="O1137" t="s">
        <v>22</v>
      </c>
    </row>
    <row r="1138" spans="1:18" x14ac:dyDescent="0.25">
      <c r="A1138" t="s">
        <v>18</v>
      </c>
      <c r="B1138" t="s">
        <v>2100</v>
      </c>
      <c r="C1138" t="s">
        <v>19</v>
      </c>
      <c r="F1138" t="s">
        <v>2101</v>
      </c>
      <c r="N1138" t="s">
        <v>22</v>
      </c>
      <c r="O1138" t="s">
        <v>22</v>
      </c>
    </row>
    <row r="1139" spans="1:18" x14ac:dyDescent="0.25">
      <c r="A1139" t="s">
        <v>18</v>
      </c>
      <c r="B1139" t="s">
        <v>2151</v>
      </c>
      <c r="C1139" t="s">
        <v>19</v>
      </c>
      <c r="F1139" t="s">
        <v>2152</v>
      </c>
      <c r="N1139" t="s">
        <v>22</v>
      </c>
      <c r="O1139" t="s">
        <v>22</v>
      </c>
    </row>
    <row r="1140" spans="1:18" x14ac:dyDescent="0.25">
      <c r="A1140" t="s">
        <v>18</v>
      </c>
      <c r="B1140" t="s">
        <v>1783</v>
      </c>
      <c r="C1140" t="s">
        <v>19</v>
      </c>
      <c r="F1140" t="s">
        <v>1784</v>
      </c>
      <c r="N1140" t="s">
        <v>22</v>
      </c>
      <c r="O1140" t="s">
        <v>22</v>
      </c>
    </row>
    <row r="1141" spans="1:18" x14ac:dyDescent="0.25">
      <c r="A1141" t="s">
        <v>18</v>
      </c>
      <c r="B1141" t="s">
        <v>1935</v>
      </c>
      <c r="C1141" t="s">
        <v>19</v>
      </c>
      <c r="F1141" t="s">
        <v>1936</v>
      </c>
      <c r="N1141" t="s">
        <v>22</v>
      </c>
      <c r="O1141" t="s">
        <v>22</v>
      </c>
    </row>
    <row r="1142" spans="1:18" x14ac:dyDescent="0.25">
      <c r="A1142" t="s">
        <v>18</v>
      </c>
      <c r="B1142" t="s">
        <v>1937</v>
      </c>
      <c r="C1142" t="s">
        <v>19</v>
      </c>
      <c r="F1142" t="s">
        <v>1938</v>
      </c>
      <c r="N1142" t="s">
        <v>22</v>
      </c>
      <c r="O1142" t="s">
        <v>22</v>
      </c>
    </row>
    <row r="1143" spans="1:18" x14ac:dyDescent="0.25">
      <c r="A1143" t="s">
        <v>18</v>
      </c>
      <c r="B1143" t="s">
        <v>1959</v>
      </c>
      <c r="C1143" t="s">
        <v>19</v>
      </c>
      <c r="F1143" t="s">
        <v>1960</v>
      </c>
      <c r="N1143" t="s">
        <v>22</v>
      </c>
      <c r="O1143" t="s">
        <v>22</v>
      </c>
    </row>
    <row r="1144" spans="1:18" x14ac:dyDescent="0.25">
      <c r="A1144" t="s">
        <v>18</v>
      </c>
      <c r="B1144" t="s">
        <v>1941</v>
      </c>
      <c r="C1144" t="s">
        <v>19</v>
      </c>
      <c r="F1144" t="s">
        <v>1942</v>
      </c>
      <c r="N1144" t="s">
        <v>22</v>
      </c>
      <c r="O1144" t="s">
        <v>22</v>
      </c>
    </row>
    <row r="1145" spans="1:18" x14ac:dyDescent="0.25">
      <c r="A1145" t="s">
        <v>18</v>
      </c>
      <c r="B1145" t="s">
        <v>1759</v>
      </c>
      <c r="C1145" t="s">
        <v>19</v>
      </c>
      <c r="F1145" t="s">
        <v>1760</v>
      </c>
      <c r="N1145" t="s">
        <v>22</v>
      </c>
      <c r="O1145" t="s">
        <v>22</v>
      </c>
    </row>
    <row r="1146" spans="1:18" x14ac:dyDescent="0.25">
      <c r="A1146" t="s">
        <v>18</v>
      </c>
      <c r="B1146" t="s">
        <v>1777</v>
      </c>
      <c r="C1146" t="s">
        <v>19</v>
      </c>
      <c r="F1146" t="s">
        <v>1778</v>
      </c>
      <c r="N1146" t="s">
        <v>22</v>
      </c>
      <c r="O1146" t="s">
        <v>22</v>
      </c>
    </row>
    <row r="1147" spans="1:18" x14ac:dyDescent="0.25">
      <c r="A1147" t="s">
        <v>18</v>
      </c>
      <c r="B1147" t="s">
        <v>2139</v>
      </c>
      <c r="C1147" t="s">
        <v>19</v>
      </c>
      <c r="F1147" t="s">
        <v>2140</v>
      </c>
      <c r="N1147" t="s">
        <v>22</v>
      </c>
      <c r="O1147" t="s">
        <v>22</v>
      </c>
    </row>
    <row r="1148" spans="1:18" x14ac:dyDescent="0.25">
      <c r="A1148" t="s">
        <v>18</v>
      </c>
      <c r="B1148" t="s">
        <v>1781</v>
      </c>
      <c r="C1148" t="s">
        <v>19</v>
      </c>
      <c r="F1148" t="s">
        <v>1782</v>
      </c>
      <c r="N1148" t="s">
        <v>22</v>
      </c>
      <c r="O1148" t="s">
        <v>22</v>
      </c>
    </row>
    <row r="1149" spans="1:18" x14ac:dyDescent="0.25">
      <c r="A1149" t="s">
        <v>18</v>
      </c>
      <c r="B1149" t="s">
        <v>2106</v>
      </c>
      <c r="C1149" t="s">
        <v>19</v>
      </c>
      <c r="F1149" t="s">
        <v>2107</v>
      </c>
      <c r="N1149" t="s">
        <v>22</v>
      </c>
      <c r="O1149" t="s">
        <v>22</v>
      </c>
    </row>
    <row r="1150" spans="1:18" x14ac:dyDescent="0.25">
      <c r="A1150" t="s">
        <v>18</v>
      </c>
      <c r="B1150" t="s">
        <v>2501</v>
      </c>
      <c r="C1150" t="s">
        <v>19</v>
      </c>
      <c r="F1150" t="s">
        <v>2502</v>
      </c>
      <c r="N1150" t="s">
        <v>22</v>
      </c>
      <c r="O1150" t="s">
        <v>23</v>
      </c>
      <c r="Q1150" t="s">
        <v>22</v>
      </c>
      <c r="R1150" t="s">
        <v>23</v>
      </c>
    </row>
    <row r="1151" spans="1:18" x14ac:dyDescent="0.25">
      <c r="A1151" t="s">
        <v>18</v>
      </c>
      <c r="B1151" t="s">
        <v>1785</v>
      </c>
      <c r="C1151" t="s">
        <v>19</v>
      </c>
      <c r="F1151" t="s">
        <v>1786</v>
      </c>
      <c r="N1151" t="s">
        <v>22</v>
      </c>
      <c r="O1151" t="s">
        <v>22</v>
      </c>
    </row>
    <row r="1152" spans="1:18" x14ac:dyDescent="0.25">
      <c r="A1152" t="s">
        <v>18</v>
      </c>
      <c r="B1152" t="s">
        <v>1787</v>
      </c>
      <c r="C1152" t="s">
        <v>19</v>
      </c>
      <c r="F1152" t="s">
        <v>1788</v>
      </c>
      <c r="N1152" t="s">
        <v>22</v>
      </c>
      <c r="O1152" t="s">
        <v>22</v>
      </c>
    </row>
    <row r="1153" spans="1:18" x14ac:dyDescent="0.25">
      <c r="A1153" t="s">
        <v>18</v>
      </c>
      <c r="B1153" t="s">
        <v>1963</v>
      </c>
      <c r="C1153" t="s">
        <v>19</v>
      </c>
      <c r="F1153" t="s">
        <v>1964</v>
      </c>
      <c r="N1153" t="s">
        <v>22</v>
      </c>
      <c r="O1153" t="s">
        <v>22</v>
      </c>
    </row>
    <row r="1154" spans="1:18" x14ac:dyDescent="0.25">
      <c r="A1154" t="s">
        <v>18</v>
      </c>
      <c r="B1154" t="s">
        <v>2196</v>
      </c>
      <c r="C1154" t="s">
        <v>19</v>
      </c>
      <c r="F1154" t="s">
        <v>2197</v>
      </c>
      <c r="N1154" t="s">
        <v>22</v>
      </c>
      <c r="O1154" t="s">
        <v>22</v>
      </c>
    </row>
    <row r="1155" spans="1:18" x14ac:dyDescent="0.25">
      <c r="A1155" t="s">
        <v>18</v>
      </c>
      <c r="B1155" t="s">
        <v>1927</v>
      </c>
      <c r="C1155" t="s">
        <v>19</v>
      </c>
      <c r="F1155" t="s">
        <v>1928</v>
      </c>
      <c r="N1155" t="s">
        <v>22</v>
      </c>
      <c r="O1155" t="s">
        <v>22</v>
      </c>
    </row>
    <row r="1156" spans="1:18" x14ac:dyDescent="0.25">
      <c r="A1156" t="s">
        <v>18</v>
      </c>
      <c r="B1156" t="s">
        <v>2133</v>
      </c>
      <c r="C1156" t="s">
        <v>19</v>
      </c>
      <c r="F1156" t="s">
        <v>2134</v>
      </c>
      <c r="N1156" t="s">
        <v>22</v>
      </c>
      <c r="O1156" t="s">
        <v>22</v>
      </c>
    </row>
    <row r="1157" spans="1:18" x14ac:dyDescent="0.25">
      <c r="A1157" t="s">
        <v>18</v>
      </c>
      <c r="B1157" t="s">
        <v>1779</v>
      </c>
      <c r="C1157" t="s">
        <v>19</v>
      </c>
      <c r="F1157" t="s">
        <v>1780</v>
      </c>
      <c r="N1157" t="s">
        <v>22</v>
      </c>
      <c r="O1157" t="s">
        <v>22</v>
      </c>
    </row>
    <row r="1158" spans="1:18" x14ac:dyDescent="0.25">
      <c r="A1158" t="s">
        <v>18</v>
      </c>
      <c r="B1158" t="s">
        <v>2228</v>
      </c>
      <c r="C1158" t="s">
        <v>19</v>
      </c>
      <c r="F1158" t="s">
        <v>2229</v>
      </c>
      <c r="N1158" t="s">
        <v>22</v>
      </c>
      <c r="O1158" t="s">
        <v>22</v>
      </c>
    </row>
    <row r="1159" spans="1:18" x14ac:dyDescent="0.25">
      <c r="A1159" t="s">
        <v>18</v>
      </c>
      <c r="B1159" t="s">
        <v>2234</v>
      </c>
      <c r="C1159" t="s">
        <v>19</v>
      </c>
      <c r="F1159" t="s">
        <v>2235</v>
      </c>
      <c r="N1159" t="s">
        <v>22</v>
      </c>
      <c r="O1159" t="s">
        <v>22</v>
      </c>
    </row>
    <row r="1160" spans="1:18" x14ac:dyDescent="0.25">
      <c r="A1160" t="s">
        <v>18</v>
      </c>
      <c r="B1160" t="s">
        <v>2503</v>
      </c>
      <c r="C1160" t="s">
        <v>19</v>
      </c>
      <c r="F1160" t="s">
        <v>2504</v>
      </c>
      <c r="N1160" t="s">
        <v>22</v>
      </c>
      <c r="O1160" t="s">
        <v>23</v>
      </c>
      <c r="Q1160" t="s">
        <v>22</v>
      </c>
      <c r="R1160" t="s">
        <v>23</v>
      </c>
    </row>
    <row r="1161" spans="1:18" x14ac:dyDescent="0.25">
      <c r="A1161" t="s">
        <v>18</v>
      </c>
      <c r="B1161" t="s">
        <v>2216</v>
      </c>
      <c r="C1161" t="s">
        <v>19</v>
      </c>
      <c r="F1161" t="s">
        <v>2217</v>
      </c>
      <c r="N1161" t="s">
        <v>22</v>
      </c>
      <c r="O1161" t="s">
        <v>22</v>
      </c>
    </row>
    <row r="1162" spans="1:18" x14ac:dyDescent="0.25">
      <c r="A1162" t="s">
        <v>18</v>
      </c>
      <c r="B1162" t="s">
        <v>2200</v>
      </c>
      <c r="C1162" t="s">
        <v>19</v>
      </c>
      <c r="F1162" t="s">
        <v>2201</v>
      </c>
      <c r="N1162" t="s">
        <v>22</v>
      </c>
      <c r="O1162" t="s">
        <v>22</v>
      </c>
    </row>
    <row r="1163" spans="1:18" x14ac:dyDescent="0.25">
      <c r="A1163" t="s">
        <v>18</v>
      </c>
      <c r="B1163" t="s">
        <v>2220</v>
      </c>
      <c r="C1163" t="s">
        <v>19</v>
      </c>
      <c r="F1163" t="s">
        <v>2221</v>
      </c>
      <c r="N1163" t="s">
        <v>22</v>
      </c>
      <c r="O1163" t="s">
        <v>22</v>
      </c>
    </row>
    <row r="1164" spans="1:18" x14ac:dyDescent="0.25">
      <c r="A1164" t="s">
        <v>18</v>
      </c>
      <c r="B1164" t="s">
        <v>2222</v>
      </c>
      <c r="C1164" t="s">
        <v>19</v>
      </c>
      <c r="F1164" t="s">
        <v>2223</v>
      </c>
      <c r="N1164" t="s">
        <v>22</v>
      </c>
      <c r="O1164" t="s">
        <v>22</v>
      </c>
    </row>
    <row r="1165" spans="1:18" x14ac:dyDescent="0.25">
      <c r="A1165" t="s">
        <v>18</v>
      </c>
      <c r="B1165" t="s">
        <v>2102</v>
      </c>
      <c r="C1165" t="s">
        <v>19</v>
      </c>
      <c r="F1165" t="s">
        <v>2103</v>
      </c>
      <c r="N1165" t="s">
        <v>22</v>
      </c>
      <c r="O1165" t="s">
        <v>22</v>
      </c>
    </row>
    <row r="1166" spans="1:18" x14ac:dyDescent="0.25">
      <c r="A1166" t="s">
        <v>18</v>
      </c>
      <c r="B1166" t="s">
        <v>2226</v>
      </c>
      <c r="C1166" t="s">
        <v>19</v>
      </c>
      <c r="F1166" t="s">
        <v>2227</v>
      </c>
      <c r="N1166" t="s">
        <v>22</v>
      </c>
      <c r="O1166" t="s">
        <v>22</v>
      </c>
    </row>
    <row r="1167" spans="1:18" x14ac:dyDescent="0.25">
      <c r="A1167" t="s">
        <v>18</v>
      </c>
      <c r="B1167" t="s">
        <v>2208</v>
      </c>
      <c r="C1167" t="s">
        <v>19</v>
      </c>
      <c r="F1167" t="s">
        <v>2209</v>
      </c>
      <c r="N1167" t="s">
        <v>22</v>
      </c>
      <c r="O1167" t="s">
        <v>22</v>
      </c>
    </row>
    <row r="1168" spans="1:18" x14ac:dyDescent="0.25">
      <c r="A1168" t="s">
        <v>18</v>
      </c>
      <c r="B1168" t="s">
        <v>2230</v>
      </c>
      <c r="C1168" t="s">
        <v>19</v>
      </c>
      <c r="F1168" t="s">
        <v>2231</v>
      </c>
      <c r="N1168" t="s">
        <v>22</v>
      </c>
      <c r="O1168" t="s">
        <v>22</v>
      </c>
    </row>
    <row r="1169" spans="1:15" x14ac:dyDescent="0.25">
      <c r="A1169" t="s">
        <v>18</v>
      </c>
      <c r="B1169" t="s">
        <v>2184</v>
      </c>
      <c r="C1169" t="s">
        <v>19</v>
      </c>
      <c r="F1169" t="s">
        <v>2185</v>
      </c>
      <c r="N1169" t="s">
        <v>22</v>
      </c>
      <c r="O1169" t="s">
        <v>22</v>
      </c>
    </row>
    <row r="1170" spans="1:15" x14ac:dyDescent="0.25">
      <c r="A1170" t="s">
        <v>18</v>
      </c>
      <c r="B1170" t="s">
        <v>2218</v>
      </c>
      <c r="C1170" t="s">
        <v>19</v>
      </c>
      <c r="F1170" t="s">
        <v>2219</v>
      </c>
      <c r="N1170" t="s">
        <v>22</v>
      </c>
      <c r="O1170" t="s">
        <v>22</v>
      </c>
    </row>
    <row r="1171" spans="1:15" x14ac:dyDescent="0.25">
      <c r="A1171" t="s">
        <v>18</v>
      </c>
      <c r="B1171" t="s">
        <v>2214</v>
      </c>
      <c r="C1171" t="s">
        <v>19</v>
      </c>
      <c r="F1171" t="s">
        <v>2215</v>
      </c>
      <c r="N1171" t="s">
        <v>22</v>
      </c>
      <c r="O1171" t="s">
        <v>22</v>
      </c>
    </row>
    <row r="1172" spans="1:15" x14ac:dyDescent="0.25">
      <c r="A1172" t="s">
        <v>18</v>
      </c>
      <c r="B1172" t="s">
        <v>2167</v>
      </c>
      <c r="C1172" t="s">
        <v>19</v>
      </c>
      <c r="F1172" t="s">
        <v>2168</v>
      </c>
      <c r="N1172" t="s">
        <v>22</v>
      </c>
      <c r="O1172" t="s">
        <v>22</v>
      </c>
    </row>
    <row r="1173" spans="1:15" x14ac:dyDescent="0.25">
      <c r="A1173" t="s">
        <v>18</v>
      </c>
      <c r="B1173" t="s">
        <v>2169</v>
      </c>
      <c r="C1173" t="s">
        <v>19</v>
      </c>
      <c r="F1173" t="s">
        <v>2170</v>
      </c>
      <c r="N1173" t="s">
        <v>22</v>
      </c>
      <c r="O1173" t="s">
        <v>22</v>
      </c>
    </row>
    <row r="1174" spans="1:15" x14ac:dyDescent="0.25">
      <c r="A1174" t="s">
        <v>18</v>
      </c>
      <c r="B1174" t="s">
        <v>557</v>
      </c>
      <c r="C1174" t="s">
        <v>19</v>
      </c>
      <c r="F1174" t="s">
        <v>558</v>
      </c>
      <c r="N1174" t="s">
        <v>22</v>
      </c>
      <c r="O1174" t="s">
        <v>22</v>
      </c>
    </row>
    <row r="1175" spans="1:15" x14ac:dyDescent="0.25">
      <c r="A1175" t="s">
        <v>18</v>
      </c>
      <c r="B1175" t="s">
        <v>2224</v>
      </c>
      <c r="C1175" t="s">
        <v>19</v>
      </c>
      <c r="F1175" t="s">
        <v>2225</v>
      </c>
      <c r="N1175" t="s">
        <v>22</v>
      </c>
      <c r="O1175" t="s">
        <v>22</v>
      </c>
    </row>
    <row r="1176" spans="1:15" x14ac:dyDescent="0.25">
      <c r="A1176" t="s">
        <v>18</v>
      </c>
      <c r="B1176" t="s">
        <v>2124</v>
      </c>
      <c r="C1176" t="s">
        <v>19</v>
      </c>
      <c r="F1176" t="s">
        <v>2125</v>
      </c>
      <c r="N1176" t="s">
        <v>22</v>
      </c>
      <c r="O1176" t="s">
        <v>22</v>
      </c>
    </row>
    <row r="1177" spans="1:15" x14ac:dyDescent="0.25">
      <c r="A1177" t="s">
        <v>18</v>
      </c>
      <c r="B1177" t="s">
        <v>2173</v>
      </c>
      <c r="C1177" t="s">
        <v>19</v>
      </c>
      <c r="F1177" t="s">
        <v>2174</v>
      </c>
      <c r="N1177" t="s">
        <v>22</v>
      </c>
      <c r="O1177" t="s">
        <v>22</v>
      </c>
    </row>
    <row r="1178" spans="1:15" x14ac:dyDescent="0.25">
      <c r="A1178" t="s">
        <v>18</v>
      </c>
      <c r="B1178" t="s">
        <v>2108</v>
      </c>
      <c r="C1178" t="s">
        <v>19</v>
      </c>
      <c r="F1178" t="s">
        <v>2109</v>
      </c>
      <c r="N1178" t="s">
        <v>22</v>
      </c>
      <c r="O1178" t="s">
        <v>22</v>
      </c>
    </row>
    <row r="1179" spans="1:15" x14ac:dyDescent="0.25">
      <c r="A1179" t="s">
        <v>18</v>
      </c>
      <c r="B1179" t="s">
        <v>2127</v>
      </c>
      <c r="C1179" t="s">
        <v>19</v>
      </c>
      <c r="F1179" t="s">
        <v>2128</v>
      </c>
      <c r="N1179" t="s">
        <v>22</v>
      </c>
      <c r="O1179" t="s">
        <v>22</v>
      </c>
    </row>
    <row r="1180" spans="1:15" x14ac:dyDescent="0.25">
      <c r="A1180" t="s">
        <v>18</v>
      </c>
      <c r="B1180" t="s">
        <v>2112</v>
      </c>
      <c r="C1180" t="s">
        <v>19</v>
      </c>
      <c r="F1180" t="s">
        <v>2113</v>
      </c>
      <c r="N1180" t="s">
        <v>22</v>
      </c>
      <c r="O1180" t="s">
        <v>22</v>
      </c>
    </row>
    <row r="1181" spans="1:15" x14ac:dyDescent="0.25">
      <c r="A1181" t="s">
        <v>18</v>
      </c>
      <c r="B1181" t="s">
        <v>2096</v>
      </c>
      <c r="C1181" t="s">
        <v>19</v>
      </c>
      <c r="F1181" t="s">
        <v>2097</v>
      </c>
      <c r="N1181" t="s">
        <v>22</v>
      </c>
      <c r="O1181" t="s">
        <v>22</v>
      </c>
    </row>
    <row r="1182" spans="1:15" x14ac:dyDescent="0.25">
      <c r="A1182" t="s">
        <v>18</v>
      </c>
      <c r="B1182" t="s">
        <v>2116</v>
      </c>
      <c r="C1182" t="s">
        <v>19</v>
      </c>
      <c r="F1182" t="s">
        <v>2117</v>
      </c>
      <c r="N1182" t="s">
        <v>22</v>
      </c>
      <c r="O1182" t="s">
        <v>22</v>
      </c>
    </row>
    <row r="1183" spans="1:15" x14ac:dyDescent="0.25">
      <c r="A1183" t="s">
        <v>18</v>
      </c>
      <c r="B1183" t="s">
        <v>2118</v>
      </c>
      <c r="C1183" t="s">
        <v>19</v>
      </c>
      <c r="F1183" t="s">
        <v>2119</v>
      </c>
      <c r="N1183" t="s">
        <v>22</v>
      </c>
      <c r="O1183" t="s">
        <v>22</v>
      </c>
    </row>
    <row r="1184" spans="1:15" x14ac:dyDescent="0.25">
      <c r="A1184" t="s">
        <v>18</v>
      </c>
      <c r="B1184" t="s">
        <v>2212</v>
      </c>
      <c r="C1184" t="s">
        <v>19</v>
      </c>
      <c r="F1184" t="s">
        <v>2213</v>
      </c>
      <c r="N1184" t="s">
        <v>22</v>
      </c>
      <c r="O1184" t="s">
        <v>22</v>
      </c>
    </row>
    <row r="1185" spans="1:15" x14ac:dyDescent="0.25">
      <c r="A1185" t="s">
        <v>18</v>
      </c>
      <c r="B1185" t="s">
        <v>2122</v>
      </c>
      <c r="C1185" t="s">
        <v>19</v>
      </c>
      <c r="F1185" t="s">
        <v>2123</v>
      </c>
      <c r="N1185" t="s">
        <v>22</v>
      </c>
      <c r="O1185" t="s">
        <v>22</v>
      </c>
    </row>
    <row r="1186" spans="1:15" x14ac:dyDescent="0.25">
      <c r="A1186" t="s">
        <v>18</v>
      </c>
      <c r="B1186" t="s">
        <v>2210</v>
      </c>
      <c r="C1186" t="s">
        <v>19</v>
      </c>
      <c r="F1186" t="s">
        <v>2211</v>
      </c>
      <c r="N1186" t="s">
        <v>22</v>
      </c>
      <c r="O1186" t="s">
        <v>22</v>
      </c>
    </row>
    <row r="1187" spans="1:15" x14ac:dyDescent="0.25">
      <c r="A1187" t="s">
        <v>18</v>
      </c>
      <c r="B1187" t="s">
        <v>2180</v>
      </c>
      <c r="C1187" t="s">
        <v>19</v>
      </c>
      <c r="F1187" t="s">
        <v>2181</v>
      </c>
      <c r="N1187" t="s">
        <v>22</v>
      </c>
      <c r="O1187" t="s">
        <v>22</v>
      </c>
    </row>
    <row r="1188" spans="1:15" x14ac:dyDescent="0.25">
      <c r="A1188" t="s">
        <v>18</v>
      </c>
      <c r="B1188" t="s">
        <v>2110</v>
      </c>
      <c r="C1188" t="s">
        <v>19</v>
      </c>
      <c r="F1188" t="s">
        <v>2111</v>
      </c>
      <c r="N1188" t="s">
        <v>22</v>
      </c>
      <c r="O1188" t="s">
        <v>22</v>
      </c>
    </row>
    <row r="1189" spans="1:15" x14ac:dyDescent="0.25">
      <c r="A1189" t="s">
        <v>18</v>
      </c>
      <c r="B1189" t="s">
        <v>2161</v>
      </c>
      <c r="C1189" t="s">
        <v>19</v>
      </c>
      <c r="F1189" t="s">
        <v>2162</v>
      </c>
      <c r="N1189" t="s">
        <v>22</v>
      </c>
      <c r="O1189" t="s">
        <v>22</v>
      </c>
    </row>
    <row r="1190" spans="1:15" x14ac:dyDescent="0.25">
      <c r="A1190" t="s">
        <v>18</v>
      </c>
      <c r="B1190" t="s">
        <v>2202</v>
      </c>
      <c r="C1190" t="s">
        <v>19</v>
      </c>
      <c r="F1190" t="s">
        <v>2203</v>
      </c>
      <c r="N1190" t="s">
        <v>22</v>
      </c>
      <c r="O1190" t="s">
        <v>22</v>
      </c>
    </row>
    <row r="1191" spans="1:15" x14ac:dyDescent="0.25">
      <c r="A1191" t="s">
        <v>18</v>
      </c>
      <c r="B1191" t="s">
        <v>2204</v>
      </c>
      <c r="C1191" t="s">
        <v>19</v>
      </c>
      <c r="F1191" t="s">
        <v>2205</v>
      </c>
      <c r="N1191" t="s">
        <v>22</v>
      </c>
      <c r="O1191" t="s">
        <v>22</v>
      </c>
    </row>
    <row r="1192" spans="1:15" x14ac:dyDescent="0.25">
      <c r="A1192" t="s">
        <v>18</v>
      </c>
      <c r="B1192" t="s">
        <v>2206</v>
      </c>
      <c r="C1192" t="s">
        <v>19</v>
      </c>
      <c r="F1192" t="s">
        <v>2207</v>
      </c>
      <c r="N1192" t="s">
        <v>22</v>
      </c>
      <c r="O1192" t="s">
        <v>22</v>
      </c>
    </row>
    <row r="1193" spans="1:15" x14ac:dyDescent="0.25">
      <c r="A1193" t="s">
        <v>18</v>
      </c>
      <c r="B1193" t="s">
        <v>2104</v>
      </c>
      <c r="C1193" t="s">
        <v>19</v>
      </c>
      <c r="F1193" t="s">
        <v>2105</v>
      </c>
      <c r="N1193" t="s">
        <v>22</v>
      </c>
      <c r="O1193" t="s">
        <v>22</v>
      </c>
    </row>
    <row r="1194" spans="1:15" x14ac:dyDescent="0.25">
      <c r="A1194" t="s">
        <v>18</v>
      </c>
      <c r="B1194" t="s">
        <v>2120</v>
      </c>
      <c r="C1194" t="s">
        <v>19</v>
      </c>
      <c r="F1194" t="s">
        <v>2121</v>
      </c>
      <c r="N1194" t="s">
        <v>22</v>
      </c>
      <c r="O119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F7BB-8E81-45AA-AD03-645375919C60}">
  <dimension ref="A1:P50"/>
  <sheetViews>
    <sheetView workbookViewId="0">
      <pane ySplit="2" topLeftCell="A39" activePane="bottomLeft" state="frozen"/>
      <selection pane="bottomLeft" activeCell="G51" sqref="G51"/>
    </sheetView>
  </sheetViews>
  <sheetFormatPr defaultRowHeight="15" x14ac:dyDescent="0.25"/>
  <cols>
    <col min="1" max="1" width="11.42578125" bestFit="1" customWidth="1"/>
    <col min="2" max="2" width="8.7109375" bestFit="1" customWidth="1"/>
    <col min="3" max="3" width="8.5703125" bestFit="1" customWidth="1"/>
    <col min="4" max="4" width="7.85546875" bestFit="1" customWidth="1"/>
    <col min="5" max="5" width="8.7109375" bestFit="1" customWidth="1"/>
    <col min="6" max="6" width="13.7109375" bestFit="1" customWidth="1"/>
    <col min="7" max="7" width="8" bestFit="1" customWidth="1"/>
  </cols>
  <sheetData>
    <row r="1" spans="1:16" x14ac:dyDescent="0.25">
      <c r="A1" t="s">
        <v>60</v>
      </c>
    </row>
    <row r="2" spans="1:16" x14ac:dyDescent="0.25">
      <c r="A2" s="3" t="s">
        <v>59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1</v>
      </c>
      <c r="G2" t="s">
        <v>53</v>
      </c>
    </row>
    <row r="3" spans="1:16" x14ac:dyDescent="0.25">
      <c r="A3" s="4" t="s">
        <v>2321</v>
      </c>
      <c r="B3" s="3"/>
      <c r="C3" s="3"/>
      <c r="D3" s="3"/>
      <c r="E3" s="3" t="str">
        <f>O3</f>
        <v>CCK</v>
      </c>
      <c r="F3" s="3" t="str">
        <f>"dd_"&amp;LEFT(O3,1)&amp;"_"&amp;O3</f>
        <v>dd_C_CCK</v>
      </c>
      <c r="G3" t="str">
        <f>P3&amp;" - demand devices"</f>
        <v>Commercial Cooking - demand devices</v>
      </c>
      <c r="O3" t="s">
        <v>2236</v>
      </c>
      <c r="P3" t="s">
        <v>2237</v>
      </c>
    </row>
    <row r="4" spans="1:16" x14ac:dyDescent="0.25">
      <c r="A4" s="4" t="s">
        <v>2321</v>
      </c>
      <c r="B4" s="3"/>
      <c r="C4" s="3"/>
      <c r="D4" s="3"/>
      <c r="E4" s="3" t="str">
        <f t="shared" ref="E4:E49" si="0">O4</f>
        <v>CLT</v>
      </c>
      <c r="F4" s="3" t="str">
        <f t="shared" ref="F4:F49" si="1">"dd_"&amp;LEFT(O4,1)&amp;"_"&amp;O4</f>
        <v>dd_C_CLT</v>
      </c>
      <c r="G4" t="str">
        <f t="shared" ref="G4:G49" si="2">P4&amp;" - demand devices"</f>
        <v>Commercial Lighting - demand devices</v>
      </c>
      <c r="O4" t="s">
        <v>2238</v>
      </c>
      <c r="P4" t="s">
        <v>2239</v>
      </c>
    </row>
    <row r="5" spans="1:16" x14ac:dyDescent="0.25">
      <c r="A5" s="4" t="s">
        <v>2321</v>
      </c>
      <c r="B5" s="3"/>
      <c r="C5" s="3"/>
      <c r="D5" s="3"/>
      <c r="E5" s="3" t="s">
        <v>2367</v>
      </c>
      <c r="F5" s="3" t="s">
        <v>2368</v>
      </c>
      <c r="G5" t="str">
        <f t="shared" si="2"/>
        <v>Commercial Miscellaneous - demand devices</v>
      </c>
      <c r="O5" t="s">
        <v>2367</v>
      </c>
      <c r="P5" t="s">
        <v>2369</v>
      </c>
    </row>
    <row r="6" spans="1:16" x14ac:dyDescent="0.25">
      <c r="A6" s="4" t="s">
        <v>2321</v>
      </c>
      <c r="B6" s="3"/>
      <c r="C6" s="3"/>
      <c r="D6" s="3"/>
      <c r="E6" s="3" t="str">
        <f t="shared" si="0"/>
        <v>COF</v>
      </c>
      <c r="F6" s="3" t="str">
        <f t="shared" si="1"/>
        <v>dd_C_COF</v>
      </c>
      <c r="G6" t="str">
        <f t="shared" si="2"/>
        <v>Commercial Office Equipment - demand devices</v>
      </c>
      <c r="O6" t="s">
        <v>2240</v>
      </c>
      <c r="P6" t="s">
        <v>2241</v>
      </c>
    </row>
    <row r="7" spans="1:16" x14ac:dyDescent="0.25">
      <c r="A7" s="4" t="s">
        <v>2321</v>
      </c>
      <c r="B7" s="3"/>
      <c r="C7" s="3"/>
      <c r="D7" s="3"/>
      <c r="E7" s="3" t="str">
        <f t="shared" si="0"/>
        <v>CRF</v>
      </c>
      <c r="F7" s="3" t="str">
        <f t="shared" si="1"/>
        <v>dd_C_CRF</v>
      </c>
      <c r="G7" t="str">
        <f t="shared" si="2"/>
        <v>Commercial Refrigeration - demand devices</v>
      </c>
      <c r="O7" t="s">
        <v>2242</v>
      </c>
      <c r="P7" t="s">
        <v>2243</v>
      </c>
    </row>
    <row r="8" spans="1:16" x14ac:dyDescent="0.25">
      <c r="A8" s="4" t="s">
        <v>2321</v>
      </c>
      <c r="B8" s="3"/>
      <c r="C8" s="3"/>
      <c r="D8" s="3"/>
      <c r="E8" s="3" t="str">
        <f t="shared" si="0"/>
        <v>CSC</v>
      </c>
      <c r="F8" s="3" t="str">
        <f t="shared" si="1"/>
        <v>dd_C_CSC</v>
      </c>
      <c r="G8" t="str">
        <f t="shared" si="2"/>
        <v>Commercial Cooling - demand devices</v>
      </c>
      <c r="O8" t="s">
        <v>2244</v>
      </c>
      <c r="P8" t="s">
        <v>2245</v>
      </c>
    </row>
    <row r="9" spans="1:16" x14ac:dyDescent="0.25">
      <c r="A9" s="4" t="s">
        <v>2321</v>
      </c>
      <c r="B9" s="3"/>
      <c r="C9" s="3"/>
      <c r="D9" s="3"/>
      <c r="E9" s="3" t="str">
        <f t="shared" si="0"/>
        <v>CSH</v>
      </c>
      <c r="F9" s="3" t="str">
        <f t="shared" si="1"/>
        <v>dd_C_CSH</v>
      </c>
      <c r="G9" t="str">
        <f t="shared" si="2"/>
        <v>Commercial Heating - demand devices</v>
      </c>
      <c r="O9" t="s">
        <v>2246</v>
      </c>
      <c r="P9" t="s">
        <v>2247</v>
      </c>
    </row>
    <row r="10" spans="1:16" x14ac:dyDescent="0.25">
      <c r="A10" s="4" t="s">
        <v>2321</v>
      </c>
      <c r="B10" s="3"/>
      <c r="C10" s="3"/>
      <c r="D10" s="3"/>
      <c r="E10" s="3" t="str">
        <f t="shared" si="0"/>
        <v>CVT</v>
      </c>
      <c r="F10" s="3" t="str">
        <f t="shared" si="1"/>
        <v>dd_C_CVT</v>
      </c>
      <c r="G10" t="str">
        <f t="shared" si="2"/>
        <v>Commercial Ventilation - demand devices</v>
      </c>
      <c r="O10" t="s">
        <v>2248</v>
      </c>
      <c r="P10" t="s">
        <v>2249</v>
      </c>
    </row>
    <row r="11" spans="1:16" x14ac:dyDescent="0.25">
      <c r="A11" s="4" t="s">
        <v>2321</v>
      </c>
      <c r="B11" s="3"/>
      <c r="C11" s="3"/>
      <c r="D11" s="3"/>
      <c r="E11" s="3" t="str">
        <f t="shared" si="0"/>
        <v>CWH</v>
      </c>
      <c r="F11" s="3" t="str">
        <f t="shared" si="1"/>
        <v>dd_C_CWH</v>
      </c>
      <c r="G11" t="str">
        <f t="shared" si="2"/>
        <v>Commercial Water Heating - demand devices</v>
      </c>
      <c r="O11" t="s">
        <v>2250</v>
      </c>
      <c r="P11" t="s">
        <v>2251</v>
      </c>
    </row>
    <row r="12" spans="1:16" x14ac:dyDescent="0.25">
      <c r="A12" s="4"/>
      <c r="B12" s="3" t="str">
        <f t="shared" ref="B12:B30" si="3">O12&amp;"*"</f>
        <v>ICA*</v>
      </c>
      <c r="C12" s="3"/>
      <c r="D12" s="3"/>
      <c r="E12" s="3"/>
      <c r="F12" s="3" t="str">
        <f t="shared" si="1"/>
        <v>dd_I_ICA</v>
      </c>
      <c r="G12" t="str">
        <f t="shared" si="2"/>
        <v>Ag Chemicals Industry End Demand - demand devices</v>
      </c>
      <c r="O12" t="s">
        <v>2252</v>
      </c>
      <c r="P12" t="s">
        <v>2253</v>
      </c>
    </row>
    <row r="13" spans="1:16" x14ac:dyDescent="0.25">
      <c r="A13" s="4"/>
      <c r="B13" s="3" t="str">
        <f t="shared" si="3"/>
        <v>ICI*</v>
      </c>
      <c r="C13" s="3"/>
      <c r="D13" s="3"/>
      <c r="E13" s="3"/>
      <c r="F13" s="3" t="str">
        <f t="shared" si="1"/>
        <v>dd_I_ICI</v>
      </c>
      <c r="G13" t="str">
        <f t="shared" si="2"/>
        <v>Inorganic Chemicals Industry End Demand - demand devices</v>
      </c>
      <c r="O13" t="s">
        <v>2254</v>
      </c>
      <c r="P13" t="s">
        <v>2255</v>
      </c>
    </row>
    <row r="14" spans="1:16" x14ac:dyDescent="0.25">
      <c r="A14" s="4"/>
      <c r="B14" s="3" t="str">
        <f t="shared" si="3"/>
        <v>ICO*</v>
      </c>
      <c r="C14" s="3"/>
      <c r="D14" s="3"/>
      <c r="E14" s="3"/>
      <c r="F14" s="3" t="str">
        <f t="shared" si="1"/>
        <v>dd_I_ICO</v>
      </c>
      <c r="G14" t="str">
        <f t="shared" si="2"/>
        <v>Organic Chemicals Industry End Demand - demand devices</v>
      </c>
      <c r="O14" t="s">
        <v>2256</v>
      </c>
      <c r="P14" t="s">
        <v>2257</v>
      </c>
    </row>
    <row r="15" spans="1:16" x14ac:dyDescent="0.25">
      <c r="A15" s="4"/>
      <c r="B15" s="3" t="str">
        <f t="shared" si="3"/>
        <v>ICP*</v>
      </c>
      <c r="C15" s="3"/>
      <c r="D15" s="3"/>
      <c r="E15" s="3"/>
      <c r="F15" s="3" t="str">
        <f t="shared" si="1"/>
        <v>dd_I_ICP</v>
      </c>
      <c r="G15" t="str">
        <f t="shared" si="2"/>
        <v>PFR Industry End Demand - demand devices</v>
      </c>
      <c r="O15" t="s">
        <v>1135</v>
      </c>
      <c r="P15" t="s">
        <v>2258</v>
      </c>
    </row>
    <row r="16" spans="1:16" x14ac:dyDescent="0.25">
      <c r="A16" s="4"/>
      <c r="B16" s="3" t="str">
        <f t="shared" si="3"/>
        <v>ICT*</v>
      </c>
      <c r="C16" s="3"/>
      <c r="D16" s="3"/>
      <c r="E16" s="3"/>
      <c r="F16" s="3" t="str">
        <f t="shared" si="1"/>
        <v>dd_I_ICT</v>
      </c>
      <c r="G16" t="str">
        <f t="shared" si="2"/>
        <v>Other Chemicals Industry End Demand - demand devices</v>
      </c>
      <c r="O16" t="s">
        <v>2259</v>
      </c>
      <c r="P16" t="s">
        <v>2260</v>
      </c>
    </row>
    <row r="17" spans="1:16" x14ac:dyDescent="0.25">
      <c r="A17" s="4"/>
      <c r="B17" s="3" t="str">
        <f t="shared" si="3"/>
        <v>IFD*</v>
      </c>
      <c r="C17" s="3"/>
      <c r="D17" s="3"/>
      <c r="E17" s="3"/>
      <c r="F17" s="3" t="str">
        <f t="shared" si="1"/>
        <v>dd_I_IFD</v>
      </c>
      <c r="G17" t="str">
        <f t="shared" si="2"/>
        <v>Food Industry End Demand - demand devices</v>
      </c>
      <c r="O17" t="s">
        <v>2261</v>
      </c>
      <c r="P17" t="s">
        <v>2262</v>
      </c>
    </row>
    <row r="18" spans="1:16" x14ac:dyDescent="0.25">
      <c r="A18" s="4"/>
      <c r="B18" s="3" t="str">
        <f t="shared" si="3"/>
        <v>IMA*</v>
      </c>
      <c r="C18" s="3"/>
      <c r="D18" s="3"/>
      <c r="E18" s="3"/>
      <c r="F18" s="3" t="str">
        <f t="shared" si="1"/>
        <v>dd_I_IMA</v>
      </c>
      <c r="G18" t="str">
        <f t="shared" si="2"/>
        <v>Primary Aluminum Industry End Demand - demand devices</v>
      </c>
      <c r="O18" t="s">
        <v>2263</v>
      </c>
      <c r="P18" t="s">
        <v>2264</v>
      </c>
    </row>
    <row r="19" spans="1:16" x14ac:dyDescent="0.25">
      <c r="A19" s="4"/>
      <c r="B19" s="3" t="str">
        <f t="shared" si="3"/>
        <v>IML*</v>
      </c>
      <c r="C19" s="3"/>
      <c r="D19" s="3"/>
      <c r="E19" s="3"/>
      <c r="F19" s="3" t="str">
        <f t="shared" si="1"/>
        <v>dd_I_IML</v>
      </c>
      <c r="G19" t="str">
        <f t="shared" si="2"/>
        <v>Secondary Aluminum Industry End Demand - demand devices</v>
      </c>
      <c r="O19" t="s">
        <v>2265</v>
      </c>
      <c r="P19" t="s">
        <v>2266</v>
      </c>
    </row>
    <row r="20" spans="1:16" x14ac:dyDescent="0.25">
      <c r="A20" s="4"/>
      <c r="B20" s="3" t="str">
        <f t="shared" si="3"/>
        <v>IMO*</v>
      </c>
      <c r="C20" s="3"/>
      <c r="D20" s="3"/>
      <c r="E20" s="3"/>
      <c r="F20" s="3" t="str">
        <f t="shared" si="1"/>
        <v>dd_I_IMO</v>
      </c>
      <c r="G20" t="str">
        <f t="shared" si="2"/>
        <v>Other Metals Industry End Demand - demand devices</v>
      </c>
      <c r="O20" t="s">
        <v>2267</v>
      </c>
      <c r="P20" t="s">
        <v>2268</v>
      </c>
    </row>
    <row r="21" spans="1:16" x14ac:dyDescent="0.25">
      <c r="A21" s="4"/>
      <c r="B21" s="3" t="str">
        <f t="shared" si="3"/>
        <v>IMS*</v>
      </c>
      <c r="C21" s="3"/>
      <c r="D21" s="3"/>
      <c r="E21" s="3"/>
      <c r="F21" s="3" t="str">
        <f t="shared" si="1"/>
        <v>dd_I_IMS</v>
      </c>
      <c r="G21" t="str">
        <f t="shared" si="2"/>
        <v>Primary Steel Industry End Demand - demand devices</v>
      </c>
      <c r="O21" t="s">
        <v>2269</v>
      </c>
      <c r="P21" t="s">
        <v>2270</v>
      </c>
    </row>
    <row r="22" spans="1:16" x14ac:dyDescent="0.25">
      <c r="A22" s="4"/>
      <c r="B22" s="3" t="str">
        <f t="shared" si="3"/>
        <v>IMT*</v>
      </c>
      <c r="C22" s="3"/>
      <c r="D22" s="3"/>
      <c r="E22" s="3"/>
      <c r="F22" s="3" t="str">
        <f t="shared" si="1"/>
        <v>dd_I_IMT</v>
      </c>
      <c r="G22" t="str">
        <f t="shared" si="2"/>
        <v>Secondary Steel Industry End Demand - demand devices</v>
      </c>
      <c r="O22" t="s">
        <v>2271</v>
      </c>
      <c r="P22" t="s">
        <v>2272</v>
      </c>
    </row>
    <row r="23" spans="1:16" x14ac:dyDescent="0.25">
      <c r="A23" s="4"/>
      <c r="B23" s="3" t="str">
        <f t="shared" si="3"/>
        <v>INC*</v>
      </c>
      <c r="C23" s="3"/>
      <c r="D23" s="3"/>
      <c r="E23" s="3"/>
      <c r="F23" s="3" t="str">
        <f t="shared" si="1"/>
        <v>dd_I_INC</v>
      </c>
      <c r="G23" t="str">
        <f t="shared" si="2"/>
        <v>Cement Industry End Demand - demand devices</v>
      </c>
      <c r="O23" t="s">
        <v>2273</v>
      </c>
      <c r="P23" t="s">
        <v>2274</v>
      </c>
    </row>
    <row r="24" spans="1:16" x14ac:dyDescent="0.25">
      <c r="A24" s="4"/>
      <c r="B24" s="3" t="str">
        <f t="shared" si="3"/>
        <v>ING*</v>
      </c>
      <c r="C24" s="3"/>
      <c r="D24" s="3"/>
      <c r="E24" s="3"/>
      <c r="F24" s="3" t="str">
        <f t="shared" si="1"/>
        <v>dd_I_ING</v>
      </c>
      <c r="G24" t="str">
        <f t="shared" si="2"/>
        <v>Glass Industry End Demand - demand devices</v>
      </c>
      <c r="O24" t="s">
        <v>2275</v>
      </c>
      <c r="P24" t="s">
        <v>2276</v>
      </c>
    </row>
    <row r="25" spans="1:16" x14ac:dyDescent="0.25">
      <c r="A25" s="4"/>
      <c r="B25" s="3" t="str">
        <f t="shared" si="3"/>
        <v>INO*</v>
      </c>
      <c r="C25" s="3"/>
      <c r="D25" s="3"/>
      <c r="E25" s="3"/>
      <c r="F25" s="3" t="str">
        <f t="shared" si="1"/>
        <v>dd_I_INO</v>
      </c>
      <c r="G25" t="str">
        <f t="shared" si="2"/>
        <v>Other Non-Metals Industry End Demand - demand devices</v>
      </c>
      <c r="O25" t="s">
        <v>2277</v>
      </c>
      <c r="P25" t="s">
        <v>2278</v>
      </c>
    </row>
    <row r="26" spans="1:16" x14ac:dyDescent="0.25">
      <c r="A26" s="4"/>
      <c r="B26" s="3" t="str">
        <f t="shared" si="3"/>
        <v>IOT*</v>
      </c>
      <c r="C26" s="3"/>
      <c r="D26" s="3"/>
      <c r="E26" s="3"/>
      <c r="F26" s="3" t="str">
        <f t="shared" si="1"/>
        <v>dd_I_IOT</v>
      </c>
      <c r="G26" t="str">
        <f t="shared" si="2"/>
        <v>Other Industry End Demand - demand devices</v>
      </c>
      <c r="O26" t="s">
        <v>2279</v>
      </c>
      <c r="P26" t="s">
        <v>2280</v>
      </c>
    </row>
    <row r="27" spans="1:16" x14ac:dyDescent="0.25">
      <c r="A27" s="4"/>
      <c r="B27" s="3" t="str">
        <f t="shared" si="3"/>
        <v>IPA*</v>
      </c>
      <c r="C27" s="3"/>
      <c r="D27" s="3"/>
      <c r="E27" s="3"/>
      <c r="F27" s="3" t="str">
        <f t="shared" si="1"/>
        <v>dd_I_IPA</v>
      </c>
      <c r="G27" t="str">
        <f t="shared" si="2"/>
        <v>Paper Industry End Demand - demand devices</v>
      </c>
      <c r="O27" t="s">
        <v>2281</v>
      </c>
      <c r="P27" t="s">
        <v>2282</v>
      </c>
    </row>
    <row r="28" spans="1:16" x14ac:dyDescent="0.25">
      <c r="A28" s="4"/>
      <c r="B28" s="3" t="str">
        <f t="shared" si="3"/>
        <v>IPB*</v>
      </c>
      <c r="C28" s="3"/>
      <c r="D28" s="3"/>
      <c r="E28" s="3"/>
      <c r="F28" s="3" t="str">
        <f t="shared" si="1"/>
        <v>dd_I_IPB</v>
      </c>
      <c r="G28" t="str">
        <f t="shared" si="2"/>
        <v>Paperboard Industry End Demand - demand devices</v>
      </c>
      <c r="O28" t="s">
        <v>2283</v>
      </c>
      <c r="P28" t="s">
        <v>2284</v>
      </c>
    </row>
    <row r="29" spans="1:16" x14ac:dyDescent="0.25">
      <c r="A29" s="4"/>
      <c r="B29" s="3" t="str">
        <f t="shared" si="3"/>
        <v>IPL*</v>
      </c>
      <c r="C29" s="3"/>
      <c r="D29" s="3"/>
      <c r="E29" s="3"/>
      <c r="F29" s="3" t="str">
        <f t="shared" si="1"/>
        <v>dd_I_IPL</v>
      </c>
      <c r="G29" t="str">
        <f t="shared" si="2"/>
        <v>Pulp Industry End Demand - demand devices</v>
      </c>
      <c r="O29" t="s">
        <v>2285</v>
      </c>
      <c r="P29" t="s">
        <v>2286</v>
      </c>
    </row>
    <row r="30" spans="1:16" x14ac:dyDescent="0.25">
      <c r="A30" s="4"/>
      <c r="B30" s="3" t="str">
        <f t="shared" si="3"/>
        <v>IPO*</v>
      </c>
      <c r="C30" s="3"/>
      <c r="D30" s="3"/>
      <c r="E30" s="3"/>
      <c r="F30" s="3" t="str">
        <f t="shared" si="1"/>
        <v>dd_I_IPO</v>
      </c>
      <c r="G30" t="str">
        <f t="shared" si="2"/>
        <v>Other Pulp and Paper Industry End Demand - demand devices</v>
      </c>
      <c r="O30" t="s">
        <v>2287</v>
      </c>
      <c r="P30" t="s">
        <v>2288</v>
      </c>
    </row>
    <row r="31" spans="1:16" x14ac:dyDescent="0.25">
      <c r="A31" s="4" t="s">
        <v>2321</v>
      </c>
      <c r="B31" s="3"/>
      <c r="C31" s="3"/>
      <c r="D31" s="3"/>
      <c r="E31" s="3" t="str">
        <f t="shared" si="0"/>
        <v>IXNONM</v>
      </c>
      <c r="F31" s="3" t="str">
        <f t="shared" si="1"/>
        <v>dd_I_IXNONM</v>
      </c>
      <c r="G31" t="str">
        <f t="shared" si="2"/>
        <v>Aggregate Non-Manufacturing Demand - demand devices</v>
      </c>
      <c r="O31" t="s">
        <v>2289</v>
      </c>
      <c r="P31" t="s">
        <v>2290</v>
      </c>
    </row>
    <row r="32" spans="1:16" x14ac:dyDescent="0.25">
      <c r="A32" s="4" t="s">
        <v>2321</v>
      </c>
      <c r="B32" s="3"/>
      <c r="C32" s="3"/>
      <c r="D32" s="3"/>
      <c r="E32" s="3" t="str">
        <f t="shared" si="0"/>
        <v>RFZ</v>
      </c>
      <c r="F32" s="3" t="str">
        <f t="shared" si="1"/>
        <v>dd_R_RFZ</v>
      </c>
      <c r="G32" t="str">
        <f t="shared" si="2"/>
        <v>Residential Freezing - demand devices</v>
      </c>
      <c r="O32" t="s">
        <v>1255</v>
      </c>
      <c r="P32" t="s">
        <v>2291</v>
      </c>
    </row>
    <row r="33" spans="1:16" x14ac:dyDescent="0.25">
      <c r="A33" s="4" t="s">
        <v>2321</v>
      </c>
      <c r="B33" s="3"/>
      <c r="C33" s="3"/>
      <c r="D33" s="3"/>
      <c r="E33" s="3" t="str">
        <f t="shared" si="0"/>
        <v>RLT</v>
      </c>
      <c r="F33" s="3" t="str">
        <f t="shared" si="1"/>
        <v>dd_R_RLT</v>
      </c>
      <c r="G33" t="str">
        <f t="shared" si="2"/>
        <v>Residential Lighting - demand devices</v>
      </c>
      <c r="O33" t="s">
        <v>2292</v>
      </c>
      <c r="P33" t="s">
        <v>2293</v>
      </c>
    </row>
    <row r="34" spans="1:16" x14ac:dyDescent="0.25">
      <c r="A34" s="4" t="s">
        <v>2321</v>
      </c>
      <c r="B34" s="3"/>
      <c r="C34" s="3"/>
      <c r="D34" s="3"/>
      <c r="E34" s="3" t="s">
        <v>2370</v>
      </c>
      <c r="F34" s="3" t="s">
        <v>2371</v>
      </c>
      <c r="G34" t="str">
        <f t="shared" si="2"/>
        <v>Residential Other Appliances - all - demand devices</v>
      </c>
      <c r="O34" t="s">
        <v>2294</v>
      </c>
      <c r="P34" t="s">
        <v>2372</v>
      </c>
    </row>
    <row r="35" spans="1:16" x14ac:dyDescent="0.25">
      <c r="A35" s="4" t="s">
        <v>2321</v>
      </c>
      <c r="B35" s="3"/>
      <c r="C35" s="3"/>
      <c r="D35" s="3"/>
      <c r="E35" s="3" t="str">
        <f t="shared" si="0"/>
        <v>RRF</v>
      </c>
      <c r="F35" s="3" t="str">
        <f t="shared" si="1"/>
        <v>dd_R_RRF</v>
      </c>
      <c r="G35" t="str">
        <f t="shared" si="2"/>
        <v>Residential Refrigeration - demand devices</v>
      </c>
      <c r="O35" t="s">
        <v>1312</v>
      </c>
      <c r="P35" t="s">
        <v>2295</v>
      </c>
    </row>
    <row r="36" spans="1:16" x14ac:dyDescent="0.25">
      <c r="A36" s="4" t="s">
        <v>2321</v>
      </c>
      <c r="B36" s="3"/>
      <c r="C36" s="3"/>
      <c r="D36" s="3"/>
      <c r="E36" s="3" t="str">
        <f t="shared" si="0"/>
        <v>RSC</v>
      </c>
      <c r="F36" s="3" t="str">
        <f t="shared" si="1"/>
        <v>dd_R_RSC</v>
      </c>
      <c r="G36" t="str">
        <f t="shared" si="2"/>
        <v>Residential Cooling - demand devices</v>
      </c>
      <c r="O36" t="s">
        <v>2296</v>
      </c>
      <c r="P36" t="s">
        <v>2297</v>
      </c>
    </row>
    <row r="37" spans="1:16" x14ac:dyDescent="0.25">
      <c r="A37" s="4" t="s">
        <v>2321</v>
      </c>
      <c r="B37" s="3"/>
      <c r="C37" s="3"/>
      <c r="D37" s="3"/>
      <c r="E37" s="3" t="str">
        <f t="shared" si="0"/>
        <v>RSH</v>
      </c>
      <c r="F37" s="3" t="str">
        <f t="shared" si="1"/>
        <v>dd_R_RSH</v>
      </c>
      <c r="G37" t="str">
        <f t="shared" si="2"/>
        <v>Residential Heating - demand devices</v>
      </c>
      <c r="O37" t="s">
        <v>2298</v>
      </c>
      <c r="P37" t="s">
        <v>2299</v>
      </c>
    </row>
    <row r="38" spans="1:16" x14ac:dyDescent="0.25">
      <c r="A38" s="4" t="s">
        <v>2321</v>
      </c>
      <c r="B38" s="3"/>
      <c r="C38" s="3"/>
      <c r="D38" s="3"/>
      <c r="E38" s="3" t="str">
        <f t="shared" si="0"/>
        <v>RWH</v>
      </c>
      <c r="F38" s="3" t="str">
        <f t="shared" si="1"/>
        <v>dd_R_RWH</v>
      </c>
      <c r="G38" t="str">
        <f t="shared" si="2"/>
        <v>Residential Water Heating - demand devices</v>
      </c>
      <c r="O38" t="s">
        <v>2300</v>
      </c>
      <c r="P38" t="s">
        <v>2301</v>
      </c>
    </row>
    <row r="39" spans="1:16" x14ac:dyDescent="0.25">
      <c r="A39" s="4" t="s">
        <v>2321</v>
      </c>
      <c r="B39" s="3"/>
      <c r="C39" s="3"/>
      <c r="D39" s="3"/>
      <c r="E39" s="3" t="str">
        <f t="shared" si="0"/>
        <v>TA</v>
      </c>
      <c r="F39" s="3" t="str">
        <f t="shared" si="1"/>
        <v>dd_T_TA</v>
      </c>
      <c r="G39" t="str">
        <f t="shared" si="2"/>
        <v>TRN.AIR - demand devices</v>
      </c>
      <c r="O39" t="s">
        <v>2302</v>
      </c>
      <c r="P39" t="s">
        <v>2303</v>
      </c>
    </row>
    <row r="40" spans="1:16" x14ac:dyDescent="0.25">
      <c r="A40" s="4" t="s">
        <v>2321</v>
      </c>
      <c r="B40" s="3"/>
      <c r="C40" s="3"/>
      <c r="D40" s="3"/>
      <c r="E40" s="3" t="str">
        <f t="shared" si="0"/>
        <v>TB</v>
      </c>
      <c r="F40" s="3" t="str">
        <f t="shared" si="1"/>
        <v>dd_T_TB</v>
      </c>
      <c r="G40" t="str">
        <f t="shared" si="2"/>
        <v>TRN.BUS - demand devices</v>
      </c>
      <c r="O40" t="s">
        <v>2304</v>
      </c>
      <c r="P40" t="s">
        <v>2305</v>
      </c>
    </row>
    <row r="41" spans="1:16" x14ac:dyDescent="0.25">
      <c r="A41" s="4" t="s">
        <v>2321</v>
      </c>
      <c r="B41" s="3"/>
      <c r="C41" s="3"/>
      <c r="D41" s="3"/>
      <c r="E41" s="3" t="str">
        <f t="shared" si="0"/>
        <v>TC</v>
      </c>
      <c r="F41" s="3" t="str">
        <f t="shared" si="1"/>
        <v>dd_T_TC</v>
      </c>
      <c r="G41" t="str">
        <f t="shared" si="2"/>
        <v>TRN.TRUCK.COMMERCIAL - demand devices</v>
      </c>
      <c r="O41" t="s">
        <v>2306</v>
      </c>
      <c r="P41" t="s">
        <v>2307</v>
      </c>
    </row>
    <row r="42" spans="1:16" x14ac:dyDescent="0.25">
      <c r="A42" s="4" t="s">
        <v>2321</v>
      </c>
      <c r="B42" s="3"/>
      <c r="C42" s="3"/>
      <c r="D42" s="3"/>
      <c r="E42" s="3" t="str">
        <f t="shared" si="0"/>
        <v>THL</v>
      </c>
      <c r="F42" s="3" t="str">
        <f t="shared" si="1"/>
        <v>dd_T_THL</v>
      </c>
      <c r="G42" t="str">
        <f t="shared" si="2"/>
        <v>TRN.TRUCK.HDV Long Haul - demand devices</v>
      </c>
      <c r="O42" t="s">
        <v>2308</v>
      </c>
      <c r="P42" t="s">
        <v>2309</v>
      </c>
    </row>
    <row r="43" spans="1:16" x14ac:dyDescent="0.25">
      <c r="A43" s="4" t="s">
        <v>2321</v>
      </c>
      <c r="B43" s="3"/>
      <c r="C43" s="3"/>
      <c r="D43" s="3"/>
      <c r="E43" s="3" t="str">
        <f t="shared" si="0"/>
        <v>THS</v>
      </c>
      <c r="F43" s="3" t="str">
        <f t="shared" si="1"/>
        <v>dd_T_THS</v>
      </c>
      <c r="G43" t="str">
        <f t="shared" si="2"/>
        <v>TRN.TRUCK.HDV Short Haul - demand devices</v>
      </c>
      <c r="O43" t="s">
        <v>2310</v>
      </c>
      <c r="P43" t="s">
        <v>2311</v>
      </c>
    </row>
    <row r="44" spans="1:16" x14ac:dyDescent="0.25">
      <c r="A44" s="4" t="s">
        <v>2321</v>
      </c>
      <c r="B44" s="3"/>
      <c r="C44" s="3"/>
      <c r="D44" s="3"/>
      <c r="E44" s="3" t="str">
        <f t="shared" si="0"/>
        <v>TL</v>
      </c>
      <c r="F44" s="3" t="str">
        <f t="shared" si="1"/>
        <v>dd_T_TL</v>
      </c>
      <c r="G44" t="str">
        <f t="shared" si="2"/>
        <v>TRN.LDV - demand devices</v>
      </c>
      <c r="O44" t="s">
        <v>2312</v>
      </c>
      <c r="P44" t="s">
        <v>2313</v>
      </c>
    </row>
    <row r="45" spans="1:16" x14ac:dyDescent="0.25">
      <c r="A45" s="4" t="s">
        <v>2321</v>
      </c>
      <c r="B45" s="3"/>
      <c r="C45" s="3"/>
      <c r="D45" s="3"/>
      <c r="E45" s="3" t="str">
        <f t="shared" si="0"/>
        <v>TM</v>
      </c>
      <c r="F45" s="3" t="str">
        <f t="shared" si="1"/>
        <v>dd_T_TM</v>
      </c>
      <c r="G45" t="str">
        <f t="shared" si="2"/>
        <v>TRN.TRUCK.MDV - demand devices</v>
      </c>
      <c r="O45" t="s">
        <v>2314</v>
      </c>
      <c r="P45" t="s">
        <v>2315</v>
      </c>
    </row>
    <row r="46" spans="1:16" x14ac:dyDescent="0.25">
      <c r="A46" s="4" t="s">
        <v>2321</v>
      </c>
      <c r="B46" s="3"/>
      <c r="C46" s="3"/>
      <c r="D46" s="3"/>
      <c r="E46" s="3" t="s">
        <v>2373</v>
      </c>
      <c r="F46" s="3" t="s">
        <v>2374</v>
      </c>
      <c r="G46" t="str">
        <f t="shared" si="2"/>
        <v>TRN.OH - demand devices</v>
      </c>
      <c r="O46" t="s">
        <v>2373</v>
      </c>
      <c r="P46" t="s">
        <v>2375</v>
      </c>
    </row>
    <row r="47" spans="1:16" x14ac:dyDescent="0.25">
      <c r="A47" s="4" t="s">
        <v>2321</v>
      </c>
      <c r="B47" s="3"/>
      <c r="C47" s="3"/>
      <c r="D47" s="3"/>
      <c r="E47" s="3" t="str">
        <f t="shared" si="0"/>
        <v>TRF</v>
      </c>
      <c r="F47" s="3" t="str">
        <f t="shared" si="1"/>
        <v>dd_T_TRF</v>
      </c>
      <c r="G47" t="str">
        <f t="shared" si="2"/>
        <v>TRN.RAIL.FREIGHT - demand devices</v>
      </c>
      <c r="O47" t="s">
        <v>2316</v>
      </c>
      <c r="P47" t="s">
        <v>2317</v>
      </c>
    </row>
    <row r="48" spans="1:16" x14ac:dyDescent="0.25">
      <c r="A48" s="4" t="s">
        <v>2321</v>
      </c>
      <c r="B48" s="3"/>
      <c r="C48" s="3"/>
      <c r="D48" s="3"/>
      <c r="E48" s="3" t="str">
        <f t="shared" si="0"/>
        <v>TRP</v>
      </c>
      <c r="F48" s="3" t="str">
        <f t="shared" si="1"/>
        <v>dd_T_TRP</v>
      </c>
      <c r="G48" t="str">
        <f t="shared" si="2"/>
        <v>TRN.RAIL.PASS - demand devices</v>
      </c>
      <c r="O48" t="s">
        <v>1504</v>
      </c>
      <c r="P48" t="s">
        <v>2318</v>
      </c>
    </row>
    <row r="49" spans="1:16" x14ac:dyDescent="0.25">
      <c r="A49" s="4" t="s">
        <v>2321</v>
      </c>
      <c r="B49" s="3"/>
      <c r="C49" s="3"/>
      <c r="D49" s="3"/>
      <c r="E49" s="3" t="str">
        <f t="shared" si="0"/>
        <v>TS</v>
      </c>
      <c r="F49" s="3" t="str">
        <f t="shared" si="1"/>
        <v>dd_T_TS</v>
      </c>
      <c r="G49" t="str">
        <f t="shared" si="2"/>
        <v>TRN.SHIP - demand devices</v>
      </c>
      <c r="O49" t="s">
        <v>2319</v>
      </c>
      <c r="P49" t="s">
        <v>2320</v>
      </c>
    </row>
    <row r="50" spans="1:16" x14ac:dyDescent="0.25">
      <c r="B50" t="s">
        <v>2546</v>
      </c>
      <c r="F50" t="s">
        <v>2547</v>
      </c>
      <c r="G50" t="s">
        <v>2548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FE1197-BB38-4DE1-861E-8F9A1C56ED0F}"/>
</file>

<file path=customXml/itemProps2.xml><?xml version="1.0" encoding="utf-8"?>
<ds:datastoreItem xmlns:ds="http://schemas.openxmlformats.org/officeDocument/2006/customXml" ds:itemID="{439B8421-CA8D-4DC0-BE91-4A429E000FD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SetsEditor- Proc</vt:lpstr>
      <vt:lpstr>VEDA_Sets-Comm</vt:lpstr>
      <vt:lpstr>VEDA_Sets-Proc</vt:lpstr>
      <vt:lpstr>setrules</vt:lpstr>
      <vt:lpstr>Proc-clean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dcterms:created xsi:type="dcterms:W3CDTF">2018-12-01T14:28:03Z</dcterms:created>
  <dcterms:modified xsi:type="dcterms:W3CDTF">2022-02-11T20:22:57Z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65136134624481</vt:r8>
  </property>
</Properties>
</file>