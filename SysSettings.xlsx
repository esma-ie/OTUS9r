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2.0_localhost_2.18.1.1\Veda\Veda_models\EPAUS9rT_v20.3\"/>
    </mc:Choice>
  </mc:AlternateContent>
  <xr:revisionPtr revIDLastSave="0" documentId="13_ncr:1_{0681C6BF-6F95-4EC1-BE7A-9E833B54EFED}" xr6:coauthVersionLast="47" xr6:coauthVersionMax="47" xr10:uidLastSave="{00000000-0000-0000-0000-000000000000}"/>
  <bookViews>
    <workbookView xWindow="10" yWindow="10" windowWidth="19180" windowHeight="10060" tabRatio="853" activeTab="5" xr2:uid="{00000000-000D-0000-FFFF-FFFF00000000}"/>
  </bookViews>
  <sheets>
    <sheet name="RTT" sheetId="16" r:id="rId1"/>
    <sheet name="Import Settings" sheetId="18" r:id="rId2"/>
    <sheet name="TimePeriods" sheetId="17" r:id="rId3"/>
    <sheet name="SEC_Comm" sheetId="21" r:id="rId4"/>
    <sheet name="Sheet1" sheetId="22" r:id="rId5"/>
    <sheet name="Constants" sheetId="19" r:id="rId6"/>
    <sheet name="Interpolation etc." sheetId="14" r:id="rId7"/>
    <sheet name="defaults" sheetId="20" r:id="rId8"/>
  </sheets>
  <definedNames>
    <definedName name="_xlnm._FilterDatabase" localSheetId="3" hidden="1">SEC_Comm!$B$7:$J$971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19" l="1"/>
  <c r="H10" i="19"/>
  <c r="H11" i="19"/>
  <c r="H8" i="19"/>
  <c r="H12" i="19" s="1"/>
  <c r="H17" i="19" l="1"/>
  <c r="H18" i="19"/>
  <c r="H19" i="19"/>
  <c r="H20" i="19"/>
  <c r="H21" i="19"/>
  <c r="H22" i="19"/>
  <c r="H23" i="19"/>
  <c r="H16" i="19"/>
  <c r="H13" i="19"/>
  <c r="H14" i="19"/>
  <c r="H15" i="19"/>
  <c r="B19" i="14"/>
  <c r="E6" i="14"/>
  <c r="B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Lenox, Carol</author>
    <author>Administrator</author>
  </authors>
  <commentList>
    <comment ref="E11" authorId="0" shapeId="0" xr:uid="{00000000-0006-0000-0500-000001000000}">
      <text>
        <r>
          <rPr>
            <sz val="8"/>
            <color indexed="81"/>
            <rFont val="Tahoma"/>
            <family val="2"/>
          </rPr>
          <t>Set a default price or apply a factor for those IMPorts with "Z" in the name.</t>
        </r>
      </text>
    </comment>
    <comment ref="F14" authorId="1" shapeId="0" xr:uid="{3220A177-0B6C-4EFB-BCC1-51E70A5AA712}">
      <text>
        <r>
          <rPr>
            <sz val="9"/>
            <color indexed="81"/>
            <rFont val="Tahoma"/>
            <family val="2"/>
          </rPr>
          <t>Original value 2222</t>
        </r>
      </text>
    </comment>
    <comment ref="G22" authorId="2" shapeId="0" xr:uid="{00000000-0006-0000-0500-000002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6/8/2013
gas prod quite stable across TS
</t>
        </r>
      </text>
    </comment>
  </commentList>
</comments>
</file>

<file path=xl/sharedStrings.xml><?xml version="1.0" encoding="utf-8"?>
<sst xmlns="http://schemas.openxmlformats.org/spreadsheetml/2006/main" count="5177" uniqueCount="2138">
  <si>
    <t>~TFM_UPD</t>
  </si>
  <si>
    <t>Interpolation Options</t>
  </si>
  <si>
    <t>Dmy Imp Prices</t>
  </si>
  <si>
    <t>IMP*Z</t>
  </si>
  <si>
    <t>AllRegions</t>
  </si>
  <si>
    <t>Other_Indexes</t>
  </si>
  <si>
    <t>ACTCOST</t>
  </si>
  <si>
    <t>IMPDEMZ</t>
  </si>
  <si>
    <t>* set the interpolation rules for key parameters and other data manipulation options.</t>
  </si>
  <si>
    <t>~TimePeriods</t>
  </si>
  <si>
    <t>~TimeSlices</t>
  </si>
  <si>
    <t>Season</t>
  </si>
  <si>
    <t>Weekly</t>
  </si>
  <si>
    <t>DayNite</t>
  </si>
  <si>
    <t>S</t>
  </si>
  <si>
    <t>W</t>
  </si>
  <si>
    <t>UC_RHSRT</t>
  </si>
  <si>
    <t>~BookRegions_Map</t>
  </si>
  <si>
    <t>BookName</t>
  </si>
  <si>
    <t>Region</t>
  </si>
  <si>
    <t>TimeSlice</t>
  </si>
  <si>
    <t>LimType</t>
  </si>
  <si>
    <t>Attribute</t>
  </si>
  <si>
    <t>Year</t>
  </si>
  <si>
    <t>Pset_PN</t>
  </si>
  <si>
    <t>~StartYear</t>
  </si>
  <si>
    <t>~ActivePDef</t>
  </si>
  <si>
    <t>PeriodsDef</t>
  </si>
  <si>
    <t>~ImpSettings</t>
  </si>
  <si>
    <t>Option</t>
  </si>
  <si>
    <t>Value</t>
  </si>
  <si>
    <t>Check #DIV/0 and #REF errors in Templates</t>
  </si>
  <si>
    <t>FLO SHAR</t>
  </si>
  <si>
    <t>User Constratraints</t>
  </si>
  <si>
    <t>Disable the Problematic UC</t>
  </si>
  <si>
    <t>Negative Values of Parameters</t>
  </si>
  <si>
    <t>Activity Bounds</t>
  </si>
  <si>
    <t>Create Dummy Imports for Energy and Material Commodities</t>
  </si>
  <si>
    <t>Create Dummy Imports for Demands</t>
  </si>
  <si>
    <t>Generate Vintage Bounds</t>
  </si>
  <si>
    <t>* Define constants for the model</t>
  </si>
  <si>
    <t>~TFM_INS</t>
  </si>
  <si>
    <t>Tech_Comm_Info</t>
  </si>
  <si>
    <t>Pset_Set</t>
  </si>
  <si>
    <t>Pset_PD</t>
  </si>
  <si>
    <t>Pset_CI</t>
  </si>
  <si>
    <t>Pset_CO</t>
  </si>
  <si>
    <t>Cset_Set</t>
  </si>
  <si>
    <t>Cset_CN</t>
  </si>
  <si>
    <t>Cset_CD</t>
  </si>
  <si>
    <t>Discount</t>
  </si>
  <si>
    <t>YRFR</t>
  </si>
  <si>
    <t>SN</t>
  </si>
  <si>
    <t>WN</t>
  </si>
  <si>
    <t>Share</t>
  </si>
  <si>
    <t>COM_TSL</t>
  </si>
  <si>
    <t>DAYNITE</t>
  </si>
  <si>
    <t>ELC</t>
  </si>
  <si>
    <t>8P</t>
  </si>
  <si>
    <t>PRC_TSL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</si>
  <si>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</si>
  <si>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</si>
  <si>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</si>
  <si>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</si>
  <si>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</si>
  <si>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</si>
  <si>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</si>
  <si>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</si>
  <si>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</si>
  <si>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DumVarforUC</t>
  </si>
  <si>
    <t>SDAM</t>
  </si>
  <si>
    <t>SDPM</t>
  </si>
  <si>
    <t>SP</t>
  </si>
  <si>
    <t>WDAM</t>
  </si>
  <si>
    <t>WDPM</t>
  </si>
  <si>
    <t>WP</t>
  </si>
  <si>
    <t>Top_Check</t>
  </si>
  <si>
    <t>R0</t>
  </si>
  <si>
    <t>~Currencies</t>
  </si>
  <si>
    <t>Currency</t>
  </si>
  <si>
    <t>CUR</t>
  </si>
  <si>
    <t>SEASON</t>
  </si>
  <si>
    <t>GAS*,___NGA*</t>
  </si>
  <si>
    <t>12P</t>
  </si>
  <si>
    <t>9P</t>
  </si>
  <si>
    <t>10P</t>
  </si>
  <si>
    <t>10PWFACETS</t>
  </si>
  <si>
    <t>-MING*</t>
  </si>
  <si>
    <t>FORVVEXPORT</t>
  </si>
  <si>
    <t>chkDoTAGSQC</t>
  </si>
  <si>
    <t>UseSQLDatabase</t>
  </si>
  <si>
    <t>P</t>
  </si>
  <si>
    <t>N</t>
  </si>
  <si>
    <t>DAM</t>
  </si>
  <si>
    <t>DPM</t>
  </si>
  <si>
    <t>-</t>
  </si>
  <si>
    <t>BASE</t>
  </si>
  <si>
    <t>QHR(Z)(Y)</t>
  </si>
  <si>
    <t>S-DAM</t>
  </si>
  <si>
    <t>S-DPM</t>
  </si>
  <si>
    <t>S-N</t>
  </si>
  <si>
    <t>S-P</t>
  </si>
  <si>
    <t>W-DAM</t>
  </si>
  <si>
    <t>W-DPM</t>
  </si>
  <si>
    <t>W-N</t>
  </si>
  <si>
    <t>W-P</t>
  </si>
  <si>
    <t>COM_LIM</t>
  </si>
  <si>
    <t>11P2050</t>
  </si>
  <si>
    <t>F</t>
  </si>
  <si>
    <t>FDAM</t>
  </si>
  <si>
    <t>FDPM</t>
  </si>
  <si>
    <t>FN</t>
  </si>
  <si>
    <t>FP</t>
  </si>
  <si>
    <t>PDAM</t>
  </si>
  <si>
    <t>PDPM</t>
  </si>
  <si>
    <t>PN</t>
  </si>
  <si>
    <t>PP</t>
  </si>
  <si>
    <t>EPAUS9rT</t>
  </si>
  <si>
    <t>USD05</t>
  </si>
  <si>
    <t>* Define the commodities used in this workbook</t>
  </si>
  <si>
    <t>Commodities</t>
  </si>
  <si>
    <t>~FI_Comm</t>
  </si>
  <si>
    <t>Csets</t>
  </si>
  <si>
    <t>CommName</t>
  </si>
  <si>
    <t>CommDesc</t>
  </si>
  <si>
    <t>Unit</t>
  </si>
  <si>
    <t>CTSLvl</t>
  </si>
  <si>
    <t>PeakTS</t>
  </si>
  <si>
    <t>Ctype</t>
  </si>
  <si>
    <t>*Commodity Set Membership</t>
  </si>
  <si>
    <t>Region Name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</si>
  <si>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</si>
  <si>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</si>
  <si>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</si>
  <si>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</si>
  <si>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</si>
  <si>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</si>
  <si>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NRG</t>
  </si>
  <si>
    <t>R1,R2,R3,R4,R5,R6,R7,R8,R9</t>
  </si>
  <si>
    <t>INDLPG</t>
  </si>
  <si>
    <t>LPG to Industrial</t>
  </si>
  <si>
    <t>PJ</t>
  </si>
  <si>
    <t>INDNGA</t>
  </si>
  <si>
    <t>NGA to Industrial</t>
  </si>
  <si>
    <t>INCOA</t>
  </si>
  <si>
    <t>COA to Industrial</t>
  </si>
  <si>
    <t>TRGSLC1</t>
  </si>
  <si>
    <t>CONV GSL to TRN after Collection</t>
  </si>
  <si>
    <t>TRGSLB</t>
  </si>
  <si>
    <t>GSL combo of R and C for blending</t>
  </si>
  <si>
    <t>GSC</t>
  </si>
  <si>
    <t>Conventional Gasoline</t>
  </si>
  <si>
    <t>TRNDSLB</t>
  </si>
  <si>
    <t>TRNDSL</t>
  </si>
  <si>
    <t>DSL to TRN</t>
  </si>
  <si>
    <t>TRNGSL</t>
  </si>
  <si>
    <t>GSL to TRN</t>
  </si>
  <si>
    <t>TRNBDL</t>
  </si>
  <si>
    <t>BDL to Blending</t>
  </si>
  <si>
    <t>LPG</t>
  </si>
  <si>
    <t>H2</t>
  </si>
  <si>
    <t>DSL</t>
  </si>
  <si>
    <t>Distillate-Low Sulfur Highway Diesel (500 ppm)</t>
  </si>
  <si>
    <t>WSYOEA</t>
  </si>
  <si>
    <t>Waste Soybean Oil after CO2 uptake</t>
  </si>
  <si>
    <t>CSYOEA</t>
  </si>
  <si>
    <t>Soybean oil after crushing</t>
  </si>
  <si>
    <t>Mt</t>
  </si>
  <si>
    <t>BSYOC</t>
  </si>
  <si>
    <t>Collected soybean oil</t>
  </si>
  <si>
    <t>R2,R3,R4,R5,R6,R7,R8,R9</t>
  </si>
  <si>
    <t>CRN</t>
  </si>
  <si>
    <t>Delivered corn grain</t>
  </si>
  <si>
    <t>STV</t>
  </si>
  <si>
    <t>AGR</t>
  </si>
  <si>
    <t>Delivered ag residues - other</t>
  </si>
  <si>
    <t>ECG</t>
  </si>
  <si>
    <t>Delivered energy crop - grasses</t>
  </si>
  <si>
    <t>ECW</t>
  </si>
  <si>
    <t>Delivered energy crop - woody</t>
  </si>
  <si>
    <t>FSR</t>
  </si>
  <si>
    <t>PMR</t>
  </si>
  <si>
    <t>UWW</t>
  </si>
  <si>
    <t>Delivered urban wood waste</t>
  </si>
  <si>
    <t>TIM</t>
  </si>
  <si>
    <t>Delivered Timber</t>
  </si>
  <si>
    <t>AGR_PJ</t>
  </si>
  <si>
    <t>Delivered ag residues - other (in PJ)</t>
  </si>
  <si>
    <t>ECG_PJ</t>
  </si>
  <si>
    <t>Delivered energy crop - grasses (in PJ)</t>
  </si>
  <si>
    <t>ECW_PJ</t>
  </si>
  <si>
    <t>Delivered energy crop - woody (in PJ)</t>
  </si>
  <si>
    <t>FSR_PJ</t>
  </si>
  <si>
    <t>Delivered forest residues (in PJ)</t>
  </si>
  <si>
    <t>PMR_PJ</t>
  </si>
  <si>
    <t>Delivered primary mill residues (in PJ)</t>
  </si>
  <si>
    <t>UWW_PJ</t>
  </si>
  <si>
    <t>Delivered urban wood waste (in PJ)</t>
  </si>
  <si>
    <t>STV_PJ</t>
  </si>
  <si>
    <t>Delivered corn stover (in PJ)</t>
  </si>
  <si>
    <t>ELCBIO</t>
  </si>
  <si>
    <t>Biomass to Electric, All</t>
  </si>
  <si>
    <t>RESBIO</t>
  </si>
  <si>
    <t>Biomass to Residential</t>
  </si>
  <si>
    <t>COMBIO</t>
  </si>
  <si>
    <t>Biomass to Commercial</t>
  </si>
  <si>
    <t>INDBIO</t>
  </si>
  <si>
    <t>Biomass to Industrial</t>
  </si>
  <si>
    <t>INDBPMR</t>
  </si>
  <si>
    <t>Industrial Use of PMR, On-Site</t>
  </si>
  <si>
    <t>INDFSR</t>
  </si>
  <si>
    <t>Industrial Use of FSR</t>
  </si>
  <si>
    <t>VSYOEA</t>
  </si>
  <si>
    <t>Virgin Soybean oil after crushing</t>
  </si>
  <si>
    <t>CRNOBDL</t>
  </si>
  <si>
    <t>Corn oil for biodiesel</t>
  </si>
  <si>
    <t>WSYO</t>
  </si>
  <si>
    <t>Waste Soybean Oil</t>
  </si>
  <si>
    <t>WODBIO</t>
  </si>
  <si>
    <t>Wood-based Biomass for Thermochemical Conversions</t>
  </si>
  <si>
    <t>ELCBSTMEA</t>
  </si>
  <si>
    <t xml:space="preserve">Electric sector biomass (all kinds) to steam combustion after CO2 and SO2 emissions accounting </t>
  </si>
  <si>
    <t>INDELC</t>
  </si>
  <si>
    <t>Electricity to Industrial Sector</t>
  </si>
  <si>
    <t>INDDSL</t>
  </si>
  <si>
    <t>Distillate in the IND sector</t>
  </si>
  <si>
    <t>CRNETHWE</t>
  </si>
  <si>
    <t>Corn-based Ethanol, Wet, Existing</t>
  </si>
  <si>
    <t>CRNETHDE</t>
  </si>
  <si>
    <t>Corn-based Ethanol, Dry, Existing</t>
  </si>
  <si>
    <t>CRNETHDN</t>
  </si>
  <si>
    <t>Corn-based Ethanol, Dry, New</t>
  </si>
  <si>
    <t>CRNETH</t>
  </si>
  <si>
    <t>Ethanol - corn-based, denatured</t>
  </si>
  <si>
    <t>CELETH</t>
  </si>
  <si>
    <t>Ethanol - cellulosic, denatured</t>
  </si>
  <si>
    <t>CELETHB</t>
  </si>
  <si>
    <t>Ethanol - cellulosic, biochemical</t>
  </si>
  <si>
    <t>CELETHT</t>
  </si>
  <si>
    <t>Ethanol - cellulosic, thermochemical</t>
  </si>
  <si>
    <t>ETH</t>
  </si>
  <si>
    <t>Ethanol - all feedstocks, denatured, after subsidy</t>
  </si>
  <si>
    <t>TRNETH</t>
  </si>
  <si>
    <t>Ethanol to Transportation Sector</t>
  </si>
  <si>
    <t>TRNETH1</t>
  </si>
  <si>
    <t>ETH to TRN after Collection</t>
  </si>
  <si>
    <t>BDL</t>
  </si>
  <si>
    <t>Biodiesel - all feedstocks</t>
  </si>
  <si>
    <t>BDL1</t>
  </si>
  <si>
    <t>Biodiesel - after co-product</t>
  </si>
  <si>
    <t>TRBDL1</t>
  </si>
  <si>
    <t>BDL to TRN after Collection</t>
  </si>
  <si>
    <t>TRNE85</t>
  </si>
  <si>
    <t>E85 Blend</t>
  </si>
  <si>
    <t>TRNE10</t>
  </si>
  <si>
    <t>E10 Blend</t>
  </si>
  <si>
    <t>TRNE15</t>
  </si>
  <si>
    <t>E15 Blend</t>
  </si>
  <si>
    <t>TRNB20</t>
  </si>
  <si>
    <t>Biodiesel - 20 percent blend</t>
  </si>
  <si>
    <t>CELGSL</t>
  </si>
  <si>
    <t>Cellulosic gasoline</t>
  </si>
  <si>
    <t>CELDSL</t>
  </si>
  <si>
    <t xml:space="preserve">Cellulosic diesel </t>
  </si>
  <si>
    <t>TRCELGSL</t>
  </si>
  <si>
    <t>Cellulosic gasoline after subsidy</t>
  </si>
  <si>
    <t>TRCELDSL</t>
  </si>
  <si>
    <t>Cellulosic diesel  after subsidy</t>
  </si>
  <si>
    <t>R1,R2,R4,R5,R6,R7,R8,R9</t>
  </si>
  <si>
    <t>ETHR3</t>
  </si>
  <si>
    <t>Ethanol from Region 3</t>
  </si>
  <si>
    <t>R1,R2,R3,R5,R6,R7,R8,R9</t>
  </si>
  <si>
    <t>ETHR4</t>
  </si>
  <si>
    <t>Ethanol from Region 4</t>
  </si>
  <si>
    <t>ELC_CELB</t>
  </si>
  <si>
    <t>ELC from biochemical cellulosic ethanol</t>
  </si>
  <si>
    <t>Electricity</t>
  </si>
  <si>
    <t>ETHIMP</t>
  </si>
  <si>
    <t>Imported Ethanol</t>
  </si>
  <si>
    <t>ETHEXP</t>
  </si>
  <si>
    <t>Exported Ethanol</t>
  </si>
  <si>
    <t>BDLIMP</t>
  </si>
  <si>
    <t>Imported Biodiesel</t>
  </si>
  <si>
    <t>BDLEXP</t>
  </si>
  <si>
    <t>Exported Biodiesel</t>
  </si>
  <si>
    <t>MAT</t>
  </si>
  <si>
    <t>NFERT</t>
  </si>
  <si>
    <t>Nitrogen fertilizer</t>
  </si>
  <si>
    <t>NFERTEA</t>
  </si>
  <si>
    <t>Nitrogen fertilizer after emissions accounting</t>
  </si>
  <si>
    <t>GLYC</t>
  </si>
  <si>
    <t>Glycerine</t>
  </si>
  <si>
    <t>GLYC1</t>
  </si>
  <si>
    <t>Glycerine - with price</t>
  </si>
  <si>
    <t>ENV</t>
  </si>
  <si>
    <t>ETHCO2</t>
  </si>
  <si>
    <t>Ethanol CO2 Emissions</t>
  </si>
  <si>
    <t>kt</t>
  </si>
  <si>
    <t>ETHNOX</t>
  </si>
  <si>
    <t>Ethanol NOX Emissions</t>
  </si>
  <si>
    <t>ETHPM10</t>
  </si>
  <si>
    <t>Ethanol PM10 Emissions</t>
  </si>
  <si>
    <t>ETHSO2</t>
  </si>
  <si>
    <t>Ethanol SO2 Emissions</t>
  </si>
  <si>
    <t>BCRN</t>
  </si>
  <si>
    <t>Biomass corn grain</t>
  </si>
  <si>
    <t>BSYO</t>
  </si>
  <si>
    <t>Biomass soybean oil</t>
  </si>
  <si>
    <t>BSTV</t>
  </si>
  <si>
    <t>Biomass corn stover</t>
  </si>
  <si>
    <t>BAGR</t>
  </si>
  <si>
    <t>Biomass ag residues - other</t>
  </si>
  <si>
    <t>BECG</t>
  </si>
  <si>
    <t>Biomass energy crop - grasses</t>
  </si>
  <si>
    <t>BECW</t>
  </si>
  <si>
    <t>Biomass energy crop - woody</t>
  </si>
  <si>
    <t>BECA</t>
  </si>
  <si>
    <t>Biomass energy crop - annual</t>
  </si>
  <si>
    <t>BFSR</t>
  </si>
  <si>
    <t>Biomass forest residues</t>
  </si>
  <si>
    <t>BPMR</t>
  </si>
  <si>
    <t>Biomass primary mill residues</t>
  </si>
  <si>
    <t>BUWW</t>
  </si>
  <si>
    <t>Biomass urban wood waste</t>
  </si>
  <si>
    <t>BCRNEA</t>
  </si>
  <si>
    <t>Biomass corn grain after CO2 uptake acctg</t>
  </si>
  <si>
    <t>BSTVEA</t>
  </si>
  <si>
    <t>Biomass corn stover after CO2 uptake acctg</t>
  </si>
  <si>
    <t>BAGREA</t>
  </si>
  <si>
    <t>Biomass ag residues - other after CO2 uptake acctg</t>
  </si>
  <si>
    <t>BECGEA</t>
  </si>
  <si>
    <t>Biomass energy crop - grasses after CO2 uptake acctg</t>
  </si>
  <si>
    <t>BECWEA</t>
  </si>
  <si>
    <t>Biomass energy crop - woody after CO2 uptake acctg</t>
  </si>
  <si>
    <t>BECAEA</t>
  </si>
  <si>
    <t>Biomass energy crop - annual after CO2 uptake acctg</t>
  </si>
  <si>
    <t>BFSREA</t>
  </si>
  <si>
    <t>Biomass forest residues after CO2 uptake acctg</t>
  </si>
  <si>
    <t>BPMREA</t>
  </si>
  <si>
    <t>Biomass primary mill residues after CO2 uptake acctg</t>
  </si>
  <si>
    <t>BUWWEA</t>
  </si>
  <si>
    <t>Biomass urban wood waste after CO2 uptake acctg</t>
  </si>
  <si>
    <t>BSYOEA</t>
  </si>
  <si>
    <t>Soybean Oil after CO2 uptake</t>
  </si>
  <si>
    <t>BCRNC</t>
  </si>
  <si>
    <t>Collected corn grain</t>
  </si>
  <si>
    <t>BSTVC</t>
  </si>
  <si>
    <t>Collected corn stover</t>
  </si>
  <si>
    <t>BAGRC</t>
  </si>
  <si>
    <t>Collected ag residues - other</t>
  </si>
  <si>
    <t>BECGC</t>
  </si>
  <si>
    <t>Collected energy crop - grasses</t>
  </si>
  <si>
    <t>BECWC</t>
  </si>
  <si>
    <t>Collected energy crop - woody</t>
  </si>
  <si>
    <t>BECAC</t>
  </si>
  <si>
    <t>Collected energy crop - annual</t>
  </si>
  <si>
    <t>BFSRC</t>
  </si>
  <si>
    <t>Collected forest residues</t>
  </si>
  <si>
    <t>BUWWC</t>
  </si>
  <si>
    <t>Collected urban wood waste</t>
  </si>
  <si>
    <t>ECA</t>
  </si>
  <si>
    <t>Delivered energy crop - annual</t>
  </si>
  <si>
    <t>ECA_PJ</t>
  </si>
  <si>
    <t>Delivered energy crop - annual (in PJ)</t>
  </si>
  <si>
    <t>R3,R4,R5,R6,R7</t>
  </si>
  <si>
    <t>BIOECO2</t>
  </si>
  <si>
    <t>Bioenergy CO2 Emissions</t>
  </si>
  <si>
    <t>BIOESO2</t>
  </si>
  <si>
    <t>Bioenergy SO2 Emissions</t>
  </si>
  <si>
    <t>R0,R1,R2,R3,R4,R5,R6,R7,R8,R9</t>
  </si>
  <si>
    <t>CCABLS</t>
  </si>
  <si>
    <t>COA.CA.BLS</t>
  </si>
  <si>
    <t>CCABLU</t>
  </si>
  <si>
    <t>COA.CA.BLU</t>
  </si>
  <si>
    <t>R0,R1,R2,R3,R4,R5,R6,R7,R8</t>
  </si>
  <si>
    <t>CCABMS</t>
  </si>
  <si>
    <t>COA.CA.BMS</t>
  </si>
  <si>
    <t>CCABMU</t>
  </si>
  <si>
    <t>COA.CA.BMU</t>
  </si>
  <si>
    <t>R0,R2,R3,R5,R6,R7</t>
  </si>
  <si>
    <t>CCAPMU</t>
  </si>
  <si>
    <t>COA.CA.PMU</t>
  </si>
  <si>
    <t>R0,R4,R8</t>
  </si>
  <si>
    <t>CDLLMS</t>
  </si>
  <si>
    <t>COA.DL.LMS</t>
  </si>
  <si>
    <t>R0,R2,R3,R4,R5,R6,R7</t>
  </si>
  <si>
    <t>CEIBHS</t>
  </si>
  <si>
    <t>COA.EI.BHS</t>
  </si>
  <si>
    <t>CEIBHU</t>
  </si>
  <si>
    <t>COA.EI.BHU</t>
  </si>
  <si>
    <t>R0,R1,R2,R3,R4,R5,R6,R7</t>
  </si>
  <si>
    <t>CEIBMS</t>
  </si>
  <si>
    <t>COA.EI.BMS</t>
  </si>
  <si>
    <t>CEIBMU</t>
  </si>
  <si>
    <t>COA.EI.BMU</t>
  </si>
  <si>
    <t>R0,R6</t>
  </si>
  <si>
    <t>CEILMS</t>
  </si>
  <si>
    <t>COA.EI.LMS</t>
  </si>
  <si>
    <t>R0,R7</t>
  </si>
  <si>
    <t>CGLLHS</t>
  </si>
  <si>
    <t>COA.GL.LHS</t>
  </si>
  <si>
    <t>CGLLMS</t>
  </si>
  <si>
    <t>COA.GL.LMS</t>
  </si>
  <si>
    <t>R0,R2,R3,R5,R6</t>
  </si>
  <si>
    <t>CNABHS</t>
  </si>
  <si>
    <t>COA.NA.BHS</t>
  </si>
  <si>
    <t>R0,R1,R2,R3,R4,R5,R6</t>
  </si>
  <si>
    <t>CNABHU</t>
  </si>
  <si>
    <t>COA.NA.BHU</t>
  </si>
  <si>
    <t>R0,R1,R2,R3,R4,R5,R6,R8,R9</t>
  </si>
  <si>
    <t>CNABMS</t>
  </si>
  <si>
    <t>COA.NA.BMS</t>
  </si>
  <si>
    <t>CNABMU</t>
  </si>
  <si>
    <t>COA.NA.BMU</t>
  </si>
  <si>
    <t>CNALHS</t>
  </si>
  <si>
    <t>COA.NA.LHS</t>
  </si>
  <si>
    <t>R0,R2,R3,R5,R6,R8</t>
  </si>
  <si>
    <t>CNAPMU</t>
  </si>
  <si>
    <t>COA.NA.PMU</t>
  </si>
  <si>
    <t>CNWSLS</t>
  </si>
  <si>
    <t>COA.NW.SLS</t>
  </si>
  <si>
    <t>CNWSMS</t>
  </si>
  <si>
    <t>COA.NW.SMS</t>
  </si>
  <si>
    <t>R0,R9</t>
  </si>
  <si>
    <t>CPCSLS</t>
  </si>
  <si>
    <t>COA.PC.SLS</t>
  </si>
  <si>
    <t>CRMBLU</t>
  </si>
  <si>
    <t>COA.RM.BLU</t>
  </si>
  <si>
    <t>CRMPLU</t>
  </si>
  <si>
    <t>COA.RM.PLU</t>
  </si>
  <si>
    <t>R0,R1,R3,R4,R5,R6,R7,R8,R9</t>
  </si>
  <si>
    <t>CRMSLS</t>
  </si>
  <si>
    <t>COA.RM.SLS</t>
  </si>
  <si>
    <t>CSABLS</t>
  </si>
  <si>
    <t>COA.SA.BLS</t>
  </si>
  <si>
    <t>R0,R2,R5,R6</t>
  </si>
  <si>
    <t>CSABLU</t>
  </si>
  <si>
    <t>COA.SA.BLU</t>
  </si>
  <si>
    <t>R0,R1,R2,R4,R5,R6,R7</t>
  </si>
  <si>
    <t>CSABMS</t>
  </si>
  <si>
    <t>COA.SA.BMS</t>
  </si>
  <si>
    <t>CSABMU</t>
  </si>
  <si>
    <t>COA.SA.BMU</t>
  </si>
  <si>
    <t>R0,R3,R6,R7</t>
  </si>
  <si>
    <t>CSAPLU</t>
  </si>
  <si>
    <t>COA.SA.PLU</t>
  </si>
  <si>
    <t>CSWSLS</t>
  </si>
  <si>
    <t>COA.SW.SLS</t>
  </si>
  <si>
    <t>R0,R3,R4,R5,R7</t>
  </si>
  <si>
    <t>CWIBHS</t>
  </si>
  <si>
    <t>COA.WI.BHS</t>
  </si>
  <si>
    <t>CWMBLU</t>
  </si>
  <si>
    <t>COA.WM.BLU</t>
  </si>
  <si>
    <t>CWMSLS</t>
  </si>
  <si>
    <t>COA.WM.SLS</t>
  </si>
  <si>
    <t>CWMSMS</t>
  </si>
  <si>
    <t>COA.WM.SMS</t>
  </si>
  <si>
    <t>CWWSLS</t>
  </si>
  <si>
    <t>COA.WW.SLS</t>
  </si>
  <si>
    <t>CWWSLU</t>
  </si>
  <si>
    <t>COA.WW.SLU</t>
  </si>
  <si>
    <t>CWWSMS</t>
  </si>
  <si>
    <t>COA.WW.SMS</t>
  </si>
  <si>
    <t>R0,R3,R4,R7,R8,R9</t>
  </si>
  <si>
    <t>CZNBLS</t>
  </si>
  <si>
    <t>COA.ZN.BLS</t>
  </si>
  <si>
    <t>R0,R8,R9</t>
  </si>
  <si>
    <t>CZNBMU</t>
  </si>
  <si>
    <t>COA.ZN.BMU</t>
  </si>
  <si>
    <t>R0,R8</t>
  </si>
  <si>
    <t>CZNSMS</t>
  </si>
  <si>
    <t>COA.ZN.SMS</t>
  </si>
  <si>
    <t>COKEI</t>
  </si>
  <si>
    <t>Imported Coke</t>
  </si>
  <si>
    <t>INDCOA</t>
  </si>
  <si>
    <t>Coal to Industrial Sector</t>
  </si>
  <si>
    <t>METCOA</t>
  </si>
  <si>
    <t>Met Coal</t>
  </si>
  <si>
    <t>CTLCOA</t>
  </si>
  <si>
    <t>Coal to CTL</t>
  </si>
  <si>
    <t>RSSCO2</t>
  </si>
  <si>
    <t>Resource Supply CO2 Emissions</t>
  </si>
  <si>
    <t>RSSVOC</t>
  </si>
  <si>
    <t>Resource Supply VOC Emissions</t>
  </si>
  <si>
    <t>RSSCO</t>
  </si>
  <si>
    <t>Resource Supply CO Emissions</t>
  </si>
  <si>
    <t>RSSNOX</t>
  </si>
  <si>
    <t>Resource Supply NOX Emissions</t>
  </si>
  <si>
    <t>RSSPM10</t>
  </si>
  <si>
    <t>Resource Supply PM10 Emissions</t>
  </si>
  <si>
    <t>RSSPM25</t>
  </si>
  <si>
    <t>Resource Supply PM25 Emissions</t>
  </si>
  <si>
    <t>RSSSO2</t>
  </si>
  <si>
    <t>Resource Supply SO2 Emissions</t>
  </si>
  <si>
    <t>RSSCH4</t>
  </si>
  <si>
    <t>Resource Supply CH4 Emissions</t>
  </si>
  <si>
    <t>RSSN2O</t>
  </si>
  <si>
    <t>Resource Supply N2O Emissions</t>
  </si>
  <si>
    <t>RSSOC</t>
  </si>
  <si>
    <t>Resource Supply OC Emissions</t>
  </si>
  <si>
    <t>RSSBC</t>
  </si>
  <si>
    <t>Resource Supply BC Emissions</t>
  </si>
  <si>
    <t>COMDSL</t>
  </si>
  <si>
    <t>COMKER</t>
  </si>
  <si>
    <t>COMLPG</t>
  </si>
  <si>
    <t>COMNGA</t>
  </si>
  <si>
    <t>COMRFL</t>
  </si>
  <si>
    <t>SOL</t>
  </si>
  <si>
    <t>ZZDMY</t>
  </si>
  <si>
    <t>DEM</t>
  </si>
  <si>
    <t>CSH</t>
  </si>
  <si>
    <t>Commercial Heating</t>
  </si>
  <si>
    <t>CSC</t>
  </si>
  <si>
    <t>Commercial Cooling</t>
  </si>
  <si>
    <t>CWH</t>
  </si>
  <si>
    <t>Commercial Water Heating</t>
  </si>
  <si>
    <t>CVT</t>
  </si>
  <si>
    <t>Commercial Ventilation</t>
  </si>
  <si>
    <t>tcfm-hr</t>
  </si>
  <si>
    <t>CCK</t>
  </si>
  <si>
    <t>Commercial Cooking</t>
  </si>
  <si>
    <t>CLT</t>
  </si>
  <si>
    <t>Commercial Lighting</t>
  </si>
  <si>
    <t>bn-lum-yr</t>
  </si>
  <si>
    <t>CRF</t>
  </si>
  <si>
    <t>Commercial Refrigeration</t>
  </si>
  <si>
    <t>COF</t>
  </si>
  <si>
    <t>Commercial Office Equipment</t>
  </si>
  <si>
    <t>CMD</t>
  </si>
  <si>
    <t>Commercial Misc - DSL</t>
  </si>
  <si>
    <t>CME</t>
  </si>
  <si>
    <t>Commercial Misc - ELC</t>
  </si>
  <si>
    <t>CMN</t>
  </si>
  <si>
    <t>Commercial Misc - NG</t>
  </si>
  <si>
    <t>CML</t>
  </si>
  <si>
    <t>Commercial Misc - LPG</t>
  </si>
  <si>
    <t>CMR</t>
  </si>
  <si>
    <t>Commercial Misc - RFL</t>
  </si>
  <si>
    <t>COMCO2</t>
  </si>
  <si>
    <t>Commercial CO2 Emissions</t>
  </si>
  <si>
    <t>COMNOX</t>
  </si>
  <si>
    <t>Commercial NOX Emissions</t>
  </si>
  <si>
    <t>COMPM10</t>
  </si>
  <si>
    <t>Commercial PM10 Emissions</t>
  </si>
  <si>
    <t>COMPM25</t>
  </si>
  <si>
    <t>Commercial PM25 Emissions</t>
  </si>
  <si>
    <t>COMVOC</t>
  </si>
  <si>
    <t>Commercial VOC Emissions</t>
  </si>
  <si>
    <t>COMCO</t>
  </si>
  <si>
    <t>Commercial CO Emissions</t>
  </si>
  <si>
    <t>COMCH4</t>
  </si>
  <si>
    <t>Commercial CH4 Emissions</t>
  </si>
  <si>
    <t>COMN2O</t>
  </si>
  <si>
    <t>Commercial N2O Emissions</t>
  </si>
  <si>
    <t>COMBC</t>
  </si>
  <si>
    <t>Commercial BC Emissions</t>
  </si>
  <si>
    <t>COMOC</t>
  </si>
  <si>
    <t>Commercial OC Emissions</t>
  </si>
  <si>
    <t>COMSO2</t>
  </si>
  <si>
    <t>Commercial SO2 Emissions</t>
  </si>
  <si>
    <t>CSTMBH</t>
  </si>
  <si>
    <t>COAL.BIT.HI to SOx Control</t>
  </si>
  <si>
    <t>CSTMBM</t>
  </si>
  <si>
    <t>COAL.BIT.ME to SOx Control</t>
  </si>
  <si>
    <t>CSTMBL</t>
  </si>
  <si>
    <t>COAL.BIT.LO to SOx Control</t>
  </si>
  <si>
    <t>CSTMSM</t>
  </si>
  <si>
    <t>COAL.SUB.ME to SOx Control</t>
  </si>
  <si>
    <t>CSTMSL</t>
  </si>
  <si>
    <t>COAL.SUB.LO to SOx Control</t>
  </si>
  <si>
    <t>CSTMLH</t>
  </si>
  <si>
    <t>COAL.LIG.HI to SOx Control</t>
  </si>
  <si>
    <t>CSTMLM</t>
  </si>
  <si>
    <t>COAL.LIG.ME to SOx Control</t>
  </si>
  <si>
    <t>CSTMBIT1O</t>
  </si>
  <si>
    <t>COAL.BIT to NOX Control Over 100MW</t>
  </si>
  <si>
    <t>CSTMSUB1O</t>
  </si>
  <si>
    <t>COAL.SUB to NOX Control Over 100MW</t>
  </si>
  <si>
    <t>CSTMLIG1O</t>
  </si>
  <si>
    <t>COAL.LIG to NOX Control Over 100MW</t>
  </si>
  <si>
    <t>CSTMBIT1U</t>
  </si>
  <si>
    <t>COAL.BIT to NOX Control Under 100MW</t>
  </si>
  <si>
    <t>CSTMSUB1U</t>
  </si>
  <si>
    <t>COAL.SUB to NOX Control Under 100MW</t>
  </si>
  <si>
    <t>CSTMLIG1U</t>
  </si>
  <si>
    <t>COAL.LIG to NOX Control Under 100MW</t>
  </si>
  <si>
    <t>CSTMBIT2O</t>
  </si>
  <si>
    <t>COAL.BIT from 1st to 2nd Nox Control Over 100MW</t>
  </si>
  <si>
    <t>CSTMSUB2O</t>
  </si>
  <si>
    <t>COAL.SUB from 1st to 2nd Nox Control Over 100MW</t>
  </si>
  <si>
    <t>CSTMLIG2O</t>
  </si>
  <si>
    <t>COAL.LIG from 1st to 2nd Nox Control Over 100MW</t>
  </si>
  <si>
    <t>CSTMBIT2U</t>
  </si>
  <si>
    <t>COAL.BIT from 1st to 2nd Nox Control Under 100MW</t>
  </si>
  <si>
    <t>CSTMSUB2U</t>
  </si>
  <si>
    <t>COAL.SUB from 1st to 2nd Nox Control Under 100MW</t>
  </si>
  <si>
    <t>CSTMLIG2U</t>
  </si>
  <si>
    <t>COAL.LIG from 1st to 2nd Nox Control Under 100MW</t>
  </si>
  <si>
    <t>CSTMBIT3O</t>
  </si>
  <si>
    <t>COAL.BIT to PM Control Over 100MW</t>
  </si>
  <si>
    <t>CSTMSUB3O</t>
  </si>
  <si>
    <t>COAL.SUB to PM Control Over 100MW</t>
  </si>
  <si>
    <t>CSTMLIG3O</t>
  </si>
  <si>
    <t>COAL.LIG to PM Control Over 100 MW</t>
  </si>
  <si>
    <t>CSTMBIT3U</t>
  </si>
  <si>
    <t>COAL.BIT to PM Control Under 100MW</t>
  </si>
  <si>
    <t>CSTMSUB3U</t>
  </si>
  <si>
    <t>COAL.SUB to PM Control Under 100MW</t>
  </si>
  <si>
    <t>CSTMLIG3U</t>
  </si>
  <si>
    <t>COAL.LIG to PM Control Under 100 MW</t>
  </si>
  <si>
    <t>CSTMBIT4O</t>
  </si>
  <si>
    <t>COAL.BIT from 1st to 2nd PM Control Over 100MW</t>
  </si>
  <si>
    <t>CSTMSUB4O</t>
  </si>
  <si>
    <t>COAL.SUB from 1st to 2nd PM Control Over 100MW</t>
  </si>
  <si>
    <t>CSTMLIG4O</t>
  </si>
  <si>
    <t>COAL.LIG from 1st to 2nd PM Control Over 100MW</t>
  </si>
  <si>
    <t>CSTMBIT4U</t>
  </si>
  <si>
    <t>COAL.BIT from 1st to 2nd PM Control Under 100MW</t>
  </si>
  <si>
    <t>CSTMSUB4U</t>
  </si>
  <si>
    <t>COAL.SUB from 1st to 2nd PM Control Under 100MW</t>
  </si>
  <si>
    <t>CSTMLIG4U</t>
  </si>
  <si>
    <t>COAL.LIG from 1st to 2nd PM Control Under 100MW</t>
  </si>
  <si>
    <t>CSTMBIT5O</t>
  </si>
  <si>
    <t>COAL.BIT After Emissions Accounting Over 100MW</t>
  </si>
  <si>
    <t>CSTMSUB5O</t>
  </si>
  <si>
    <t>COAL.SUB After Emissions Accounting Over 100MW</t>
  </si>
  <si>
    <t>CSTMLIG5O</t>
  </si>
  <si>
    <t>COAL.LIG After Emissions Accounting Over 100MW</t>
  </si>
  <si>
    <t>CSTMBIT5U</t>
  </si>
  <si>
    <t>COAL.BIT After Emissions Accounting Under 100MW</t>
  </si>
  <si>
    <t>CSTMSUB5U</t>
  </si>
  <si>
    <t>COAL.SUB After Emissions Accounting Under 100MW</t>
  </si>
  <si>
    <t>CSTMLIG5U</t>
  </si>
  <si>
    <t>COAL.LIG After Emissions Accounting Under 100MW</t>
  </si>
  <si>
    <t>COALBST</t>
  </si>
  <si>
    <t>Coal to Boiler Steam Turbine CHP, Coal, Existing</t>
  </si>
  <si>
    <t>COALSTMN</t>
  </si>
  <si>
    <t xml:space="preserve">Coal to NEW Conversion Plants </t>
  </si>
  <si>
    <t>COALIGCC</t>
  </si>
  <si>
    <t>Coal to IGCC</t>
  </si>
  <si>
    <t>ELCDSLEA</t>
  </si>
  <si>
    <t>Diesel</t>
  </si>
  <si>
    <t>ELCDSL</t>
  </si>
  <si>
    <t>Diesel to the electric system</t>
  </si>
  <si>
    <t>ELCDSLPN</t>
  </si>
  <si>
    <t>Diesel to the electric system PN</t>
  </si>
  <si>
    <t>ELCRFLEA</t>
  </si>
  <si>
    <t>Residual Fuel Oil LS</t>
  </si>
  <si>
    <t>ELCRFHEA</t>
  </si>
  <si>
    <t>Residual Fuel Oil HS</t>
  </si>
  <si>
    <t>ELCRFH</t>
  </si>
  <si>
    <t>ELCRFL</t>
  </si>
  <si>
    <t>ELCRFHPS</t>
  </si>
  <si>
    <t>Residual fuel oil, high sulfur, to electric system PS</t>
  </si>
  <si>
    <t>ELCRFLPS</t>
  </si>
  <si>
    <t>Residual fuel oil, low sulfur, to electric system PS</t>
  </si>
  <si>
    <t>ELCRFHPN</t>
  </si>
  <si>
    <t>Residual fuel oil, high sulfur, to electric system PN</t>
  </si>
  <si>
    <t>ELCRFLPN</t>
  </si>
  <si>
    <t>Residual fuel oil, low sulfur, to electric system PN</t>
  </si>
  <si>
    <t>ELCNGAEA</t>
  </si>
  <si>
    <t>Natural Gas to Combustion Turbines</t>
  </si>
  <si>
    <t>ELCNGCEA</t>
  </si>
  <si>
    <t>Natural Gas to Combined-Cycle</t>
  </si>
  <si>
    <t>ELCNGSEA</t>
  </si>
  <si>
    <t>Natural Gas(steam) to Electric Sector</t>
  </si>
  <si>
    <t>ELCNGA</t>
  </si>
  <si>
    <t>ELCHYD</t>
  </si>
  <si>
    <t>Water</t>
  </si>
  <si>
    <t>WND</t>
  </si>
  <si>
    <t>Wind</t>
  </si>
  <si>
    <t>ELCGEO</t>
  </si>
  <si>
    <t>Geothermal</t>
  </si>
  <si>
    <t>Solar</t>
  </si>
  <si>
    <t>Delivered forest residues (in Mt)</t>
  </si>
  <si>
    <t>Delivered primary mill residues (in Mt)</t>
  </si>
  <si>
    <t>Delivered corn stover (in Mt)</t>
  </si>
  <si>
    <t>ELCBIGCCEA</t>
  </si>
  <si>
    <t>Electric sector biomass (all kinds) to EBIOIGCC after emissions accounting</t>
  </si>
  <si>
    <t>ELCMSWEA</t>
  </si>
  <si>
    <t>ELCMSW</t>
  </si>
  <si>
    <t>MSW to the electric system</t>
  </si>
  <si>
    <t>ELCBIOSTM</t>
  </si>
  <si>
    <t>Electric sector biomass to dedicated steam combustion</t>
  </si>
  <si>
    <t>LFGICEEA</t>
  </si>
  <si>
    <t>LFG to IC Engine after emissions</t>
  </si>
  <si>
    <t>LFGGTREA</t>
  </si>
  <si>
    <t>LFG to Gas Turbine after emissions</t>
  </si>
  <si>
    <t>LFGSTREA</t>
  </si>
  <si>
    <t>LFG to Steam Turbine after emissions</t>
  </si>
  <si>
    <t>LFGGCCEA</t>
  </si>
  <si>
    <t>LFG to Combined Cycle Gas Turbine</t>
  </si>
  <si>
    <t>LFG</t>
  </si>
  <si>
    <t>Landfill gas</t>
  </si>
  <si>
    <t>ELCCOABH</t>
  </si>
  <si>
    <t>Coal to Electric Sector</t>
  </si>
  <si>
    <t>ELCCOABL</t>
  </si>
  <si>
    <t>ELCCOABM</t>
  </si>
  <si>
    <t>ELCCOALH</t>
  </si>
  <si>
    <t>ELCCOALM</t>
  </si>
  <si>
    <t>ELCCOASL</t>
  </si>
  <si>
    <t>ELCCOASM</t>
  </si>
  <si>
    <t>CSTMBHCCO</t>
  </si>
  <si>
    <t>High Sulfur Bituminous Coal Between SO2 and CO2 Controls or Pass Through Over 100MW</t>
  </si>
  <si>
    <t>CSTMBLCCO</t>
  </si>
  <si>
    <t>Low Sulfur Bituminous Coal Between SO2 and CO2 Controls or Pass Through Over 100MW</t>
  </si>
  <si>
    <t>CSTMBMCCO</t>
  </si>
  <si>
    <t>Medium Sulfur Bituminous Coal Between SO2 and CO2 Controls or Pass Through Over 100MW</t>
  </si>
  <si>
    <t>CSTMLHCCO</t>
  </si>
  <si>
    <t>High Sulfur lignite Coal Between SO2 and CO2 Controls or Pass Through Over 100MW</t>
  </si>
  <si>
    <t>CSTMLMCCO</t>
  </si>
  <si>
    <t>Medium Sulfur lignite Coal Between SO2 and CO2 Controls or Pass Through Over 100MW</t>
  </si>
  <si>
    <t>CSTMSLCCO</t>
  </si>
  <si>
    <t>Low Sulfur Subbituminous Coal Between SO2 and CO2 Controls or Pass Through Over 100MW</t>
  </si>
  <si>
    <t>CSTMSMCCO</t>
  </si>
  <si>
    <t>Medium Sulfur Subbituminous Coal Between SO2 and CO2 Controls or Pass Through Over 100MW</t>
  </si>
  <si>
    <t>CSTMBHCCU</t>
  </si>
  <si>
    <t>High Sulfur Bituminous Coal Between SO2 and CO2 Controls or Pass Through Under 100MW</t>
  </si>
  <si>
    <t>CSTMBLCCU</t>
  </si>
  <si>
    <t>Low Sulfur Bituminous Coal Between SO2 and CO2 Controls or Pass Through Under 100MW</t>
  </si>
  <si>
    <t>CSTMBMCCU</t>
  </si>
  <si>
    <t>Medium Sulfur Bituminous Coal Between SO2 and CO2 Controls or Pass Through Under 100MW</t>
  </si>
  <si>
    <t>CSTMLHCCU</t>
  </si>
  <si>
    <t>High Sulfur lignite Coal Between SO2 and CO2 Controls or Pass Through Under 100MW</t>
  </si>
  <si>
    <t>CSTMLMCCU</t>
  </si>
  <si>
    <t>Medium Sulfur lignite Coal Between SO2 and CO2 Controls or Pass Through Under 100MW</t>
  </si>
  <si>
    <t>CSTMSLCCU</t>
  </si>
  <si>
    <t>Low Sulfur Subbituminous Coal Between SO2 and CO2 Controls or Pass Through Under 100MW</t>
  </si>
  <si>
    <t>CSTMSMCCU</t>
  </si>
  <si>
    <t>Medium Sulfur Subbituminous Coal Between SO2 and CO2 Controls or Pass Through Under 100MW</t>
  </si>
  <si>
    <t>COALSTMCC</t>
  </si>
  <si>
    <t>Coal to Coal Fired Power Post CO2 Capture Retrofit or PT</t>
  </si>
  <si>
    <t>COALIGCCCC</t>
  </si>
  <si>
    <t>Coal to IGCC after CO2 capture retrofit or PT</t>
  </si>
  <si>
    <t>ELCNGACC</t>
  </si>
  <si>
    <t>Nat gas to non-stm elec after CO2 capture retrofit</t>
  </si>
  <si>
    <t>CO2S</t>
  </si>
  <si>
    <t>CO2 Sequestered</t>
  </si>
  <si>
    <t>Dummy commodity for the ZZ-backstop no-INFES processes</t>
  </si>
  <si>
    <t>ZZDMYCOAL</t>
  </si>
  <si>
    <t>Resid coal retirement dummy</t>
  </si>
  <si>
    <t>ZZDMYNUK</t>
  </si>
  <si>
    <t>Resid nuclear retirement dummy</t>
  </si>
  <si>
    <t>NURN</t>
  </si>
  <si>
    <t>Natural Uranium</t>
  </si>
  <si>
    <t>t</t>
  </si>
  <si>
    <t>URD</t>
  </si>
  <si>
    <t>Depleted uranium generated during enrichment</t>
  </si>
  <si>
    <t>URNA</t>
  </si>
  <si>
    <t>Enriched Uranium (4.5%) for LWRs</t>
  </si>
  <si>
    <t>URNB</t>
  </si>
  <si>
    <t>Enriched Uranium (9%) for PBMRs</t>
  </si>
  <si>
    <t>URNC</t>
  </si>
  <si>
    <t>Enriched Uranium (19%) for GT-MHRs</t>
  </si>
  <si>
    <t>USPTA</t>
  </si>
  <si>
    <t>Spent U from LWRs</t>
  </si>
  <si>
    <t>USPTB</t>
  </si>
  <si>
    <t>Spent U from PBMRs</t>
  </si>
  <si>
    <t>USPTC</t>
  </si>
  <si>
    <t>Spent U from GT-MHRs</t>
  </si>
  <si>
    <t>ELCCO2</t>
  </si>
  <si>
    <t>Electric Sector CO2 Emissions</t>
  </si>
  <si>
    <t>CO2CPP</t>
  </si>
  <si>
    <t>Electric Sector CO2 on CPP techs</t>
  </si>
  <si>
    <t>ELCSO2</t>
  </si>
  <si>
    <t>Electric Sector SO2 Emissions</t>
  </si>
  <si>
    <t>ELCNOX</t>
  </si>
  <si>
    <t>Electric Sector NOX Emissions</t>
  </si>
  <si>
    <t>ELCPM10</t>
  </si>
  <si>
    <t>Electric Sector PM10 Emissions</t>
  </si>
  <si>
    <t>ELCPM25</t>
  </si>
  <si>
    <t>Electric Sector PM2.5 Emissions</t>
  </si>
  <si>
    <t>ELCVOC</t>
  </si>
  <si>
    <t>Electric Sector VOC Emissions</t>
  </si>
  <si>
    <t>ELCCO</t>
  </si>
  <si>
    <t>Electric Sector CO Emissions</t>
  </si>
  <si>
    <t>ELCCH4</t>
  </si>
  <si>
    <t>Electric Sector CH4 Emissions</t>
  </si>
  <si>
    <t>ELCN2O</t>
  </si>
  <si>
    <t>Electric Sector N2O Emissions</t>
  </si>
  <si>
    <t>ELCNH3</t>
  </si>
  <si>
    <t>Electric Sector NH3 Emissions</t>
  </si>
  <si>
    <t>ELCBC</t>
  </si>
  <si>
    <t>Electric Sector BC Emissions</t>
  </si>
  <si>
    <t>ELCOC</t>
  </si>
  <si>
    <t>Electric Sector OC Emissions</t>
  </si>
  <si>
    <t>UPSCO2</t>
  </si>
  <si>
    <t>UPSMET</t>
  </si>
  <si>
    <t>ELCH2OC</t>
  </si>
  <si>
    <t>Electric Sector Water Consumed</t>
  </si>
  <si>
    <t>uvol</t>
  </si>
  <si>
    <t>ELCH2OW</t>
  </si>
  <si>
    <t>Electric Sector Water Withdrawn</t>
  </si>
  <si>
    <t>INDMET</t>
  </si>
  <si>
    <t>Met Coal to Industrial Sector</t>
  </si>
  <si>
    <t>INDPTC</t>
  </si>
  <si>
    <t>PTC to Industrial Sector</t>
  </si>
  <si>
    <t>INDASP</t>
  </si>
  <si>
    <t>ASP to Industrial Sector</t>
  </si>
  <si>
    <t>INDPFS</t>
  </si>
  <si>
    <t>INDRFL</t>
  </si>
  <si>
    <t>RFL to Industrial Sector</t>
  </si>
  <si>
    <t>INDKER</t>
  </si>
  <si>
    <t>PTC_E</t>
  </si>
  <si>
    <t>PTC_Existing Refinery</t>
  </si>
  <si>
    <t>PTC_N</t>
  </si>
  <si>
    <t>PTC_New Refinery</t>
  </si>
  <si>
    <t>PTC_L</t>
  </si>
  <si>
    <t>PTC_High Limit Refinery</t>
  </si>
  <si>
    <t>INDCO2</t>
  </si>
  <si>
    <t>Industrial CO2 emissions</t>
  </si>
  <si>
    <t>INDNOX</t>
  </si>
  <si>
    <t>Industrial NOX  emissions</t>
  </si>
  <si>
    <t>INDSO2</t>
  </si>
  <si>
    <t>Industrial SO2  emissions</t>
  </si>
  <si>
    <t>INDPM10</t>
  </si>
  <si>
    <t>Industrial PM10  emissions</t>
  </si>
  <si>
    <t>INDPM25</t>
  </si>
  <si>
    <t>Industrial PM25  emissions</t>
  </si>
  <si>
    <t>INDVOC</t>
  </si>
  <si>
    <t>Industrial VOC  emissions</t>
  </si>
  <si>
    <t>INDCO</t>
  </si>
  <si>
    <t>Industrial CO  emissions</t>
  </si>
  <si>
    <t>INDCH4</t>
  </si>
  <si>
    <t>Industrial CH4  emissions</t>
  </si>
  <si>
    <t>INDN2O</t>
  </si>
  <si>
    <t>Industrial N2O  emissions</t>
  </si>
  <si>
    <t>INDBC</t>
  </si>
  <si>
    <t>Industrial BC  emissions</t>
  </si>
  <si>
    <t>INDOC</t>
  </si>
  <si>
    <t>Industrial OC  emissions</t>
  </si>
  <si>
    <t>BMSW</t>
  </si>
  <si>
    <t>Biomass MSW</t>
  </si>
  <si>
    <t>BMSWC</t>
  </si>
  <si>
    <t>Collected MSW</t>
  </si>
  <si>
    <t>MSW</t>
  </si>
  <si>
    <t>Delivered MSW</t>
  </si>
  <si>
    <t>MSW to electric sector after emissions accounting</t>
  </si>
  <si>
    <t>NGA</t>
  </si>
  <si>
    <t>Natural Gas</t>
  </si>
  <si>
    <t>NGAD</t>
  </si>
  <si>
    <t>Domestic Natural Gas</t>
  </si>
  <si>
    <t>RESNGA</t>
  </si>
  <si>
    <t>Natural gas to Residential sector</t>
  </si>
  <si>
    <t>Natural gas to Electricity generation</t>
  </si>
  <si>
    <t>TRNNGA</t>
  </si>
  <si>
    <t>Natural gas to Transportation sector</t>
  </si>
  <si>
    <t>NGAL</t>
  </si>
  <si>
    <t>Natural Gas Imports - Liquified</t>
  </si>
  <si>
    <t>R0, R1</t>
  </si>
  <si>
    <t>NGAL1</t>
  </si>
  <si>
    <t>Natural Gas Imports - Liquified to R1</t>
  </si>
  <si>
    <t>R0, R5</t>
  </si>
  <si>
    <t>NGAL5</t>
  </si>
  <si>
    <t>Natural Gas Imports - Liquified to R5</t>
  </si>
  <si>
    <t>R0, R7</t>
  </si>
  <si>
    <t>NGAL7</t>
  </si>
  <si>
    <t>Natural Gas Imports - Liquified to R7</t>
  </si>
  <si>
    <t>NGAC</t>
  </si>
  <si>
    <t>Natural Gas Imports - Canadian</t>
  </si>
  <si>
    <t>NGAC1</t>
  </si>
  <si>
    <t>Natural Gas Imports - Canadian to R1</t>
  </si>
  <si>
    <t>R0, R2</t>
  </si>
  <si>
    <t>NGAC2</t>
  </si>
  <si>
    <t>Natural Gas Imports - Canadian to R2</t>
  </si>
  <si>
    <t>R0, R4</t>
  </si>
  <si>
    <t>NGAC4</t>
  </si>
  <si>
    <t>Natural Gas Imports - Canadian to R4</t>
  </si>
  <si>
    <t>R0, R8</t>
  </si>
  <si>
    <t>NGAC8</t>
  </si>
  <si>
    <t>Natural Gas Imports - Canadian to R8</t>
  </si>
  <si>
    <t>R0, R9</t>
  </si>
  <si>
    <t>NGAC9</t>
  </si>
  <si>
    <t>Natural Gas Imports - Canadian to R9</t>
  </si>
  <si>
    <t>NGL</t>
  </si>
  <si>
    <t>Natural gas liquids</t>
  </si>
  <si>
    <t>PENTS</t>
  </si>
  <si>
    <t>Pentanes from NGL</t>
  </si>
  <si>
    <t>PFS_NGL</t>
  </si>
  <si>
    <t>Natural gas liquids to PFS (C2 &amp; C4)</t>
  </si>
  <si>
    <t>LPG_NGL</t>
  </si>
  <si>
    <t>Natural gas liquids to LPG (C3)</t>
  </si>
  <si>
    <t>NGLPENT</t>
  </si>
  <si>
    <t>Natural gas liquids to pentanes (C5+)</t>
  </si>
  <si>
    <t>DENAT</t>
  </si>
  <si>
    <t>NGL Pentanes to ethanol denaturant</t>
  </si>
  <si>
    <t>GSRR</t>
  </si>
  <si>
    <t>PFSR</t>
  </si>
  <si>
    <t>LPGR</t>
  </si>
  <si>
    <t>OIL</t>
  </si>
  <si>
    <t>Crude Oil-All Sources</t>
  </si>
  <si>
    <t>R2,R3,R4,R6,R7</t>
  </si>
  <si>
    <t>OILD2</t>
  </si>
  <si>
    <t>Domestic Crude Oil - R2</t>
  </si>
  <si>
    <t>R2,R3,R5,R6,R7,R8</t>
  </si>
  <si>
    <t>OILD3</t>
  </si>
  <si>
    <t>Domestic Crude Oil - R3</t>
  </si>
  <si>
    <t>R2,R4,R5,R6,R7,R8</t>
  </si>
  <si>
    <t>OILD4</t>
  </si>
  <si>
    <t>Domestic Crude Oil - R4</t>
  </si>
  <si>
    <t>OILD5</t>
  </si>
  <si>
    <t>Domestic Crude Oil - R5</t>
  </si>
  <si>
    <t>R2,R3,R4,R5,R6</t>
  </si>
  <si>
    <t>OILD6</t>
  </si>
  <si>
    <t>Domestic Crude Oil - R6</t>
  </si>
  <si>
    <t>R2,R3,R4,R5,R7</t>
  </si>
  <si>
    <t>OILD7</t>
  </si>
  <si>
    <t>Domestic Crude Oil - R7</t>
  </si>
  <si>
    <t>R3,R4,R5,R6,R7,R8</t>
  </si>
  <si>
    <t>OILD8</t>
  </si>
  <si>
    <t>Domestic Crude Oil - R8</t>
  </si>
  <si>
    <t>R2,R3,R4,R9</t>
  </si>
  <si>
    <t>OILD9</t>
  </si>
  <si>
    <t>Domestic Crude Oil - R9</t>
  </si>
  <si>
    <t>R0,R2,R5</t>
  </si>
  <si>
    <t>OILIP1</t>
  </si>
  <si>
    <t>Imported Oil Supply - All types, PADD 1</t>
  </si>
  <si>
    <t>R0,R3,R4</t>
  </si>
  <si>
    <t>OILIP2</t>
  </si>
  <si>
    <t>Imported Oil Supply - All types, PADD 2</t>
  </si>
  <si>
    <t>R0,R6,R7</t>
  </si>
  <si>
    <t>OILIP3</t>
  </si>
  <si>
    <t>Imported Oil Supply - All types, PADD 3</t>
  </si>
  <si>
    <t>OILIP4</t>
  </si>
  <si>
    <t>Imported Oil Supply - All types, PADD 4</t>
  </si>
  <si>
    <t>OILIP5</t>
  </si>
  <si>
    <t>Imported Oil Supply - All types, PADD 5</t>
  </si>
  <si>
    <t>OILHH1</t>
  </si>
  <si>
    <t>Imported Imported Oil-High Sulfur, Heavy G, PADD 1</t>
  </si>
  <si>
    <t>OILHH2</t>
  </si>
  <si>
    <t>Imported Imported Oil-High Sulfur, Heavy G, PADD 2</t>
  </si>
  <si>
    <t>OILHH3</t>
  </si>
  <si>
    <t>Imported Imported Oil-High Sulfur, Heavy G, PADD 3</t>
  </si>
  <si>
    <t>OILHH4</t>
  </si>
  <si>
    <t>Imported Imported Oil-High Sulfur, Heavy G, PADD 4</t>
  </si>
  <si>
    <t>OILHH5</t>
  </si>
  <si>
    <t>Imported Imported Oil-High Sulfur, Heavy G, PADD 5</t>
  </si>
  <si>
    <t>OILHL1</t>
  </si>
  <si>
    <t>Imported Imported Oil-High Sulfur, Low G, PADD 1</t>
  </si>
  <si>
    <t>OILHL2</t>
  </si>
  <si>
    <t>Imported Imported Oil-High Sulfur, Low G, PADD 2</t>
  </si>
  <si>
    <t>OILHL3</t>
  </si>
  <si>
    <t>Imported Imported Oil-High Sulfur, Low G, PADD 3</t>
  </si>
  <si>
    <t>OILHL4</t>
  </si>
  <si>
    <t>Imported Imported Oil-High Sulfur, Low G, PADD 4</t>
  </si>
  <si>
    <t>OILHL5</t>
  </si>
  <si>
    <t>Imported Imported Oil-High Sulfur, Low G, PADD 5</t>
  </si>
  <si>
    <t>OILHV1</t>
  </si>
  <si>
    <t>Imported Imported Oil-High Sulfur, Very HG, PADD 1</t>
  </si>
  <si>
    <t>OILHV2</t>
  </si>
  <si>
    <t>Imported Imported Oil-High Sulfur, Very HG, PADD 2</t>
  </si>
  <si>
    <t>OILHV3</t>
  </si>
  <si>
    <t>Imported Imported Oil-High Sulfur, Very HG, PADD 3</t>
  </si>
  <si>
    <t>OILHV4</t>
  </si>
  <si>
    <t>Imported Imported Oil-High Sulfur, Very HG, PADD 4</t>
  </si>
  <si>
    <t>OILHV5</t>
  </si>
  <si>
    <t>Imported Imported Oil-High Sulfur, Very HG, PADD 5</t>
  </si>
  <si>
    <t>OILLL1</t>
  </si>
  <si>
    <t>Imported Imported Oil-Low Sulfur, Low G, PADD 1</t>
  </si>
  <si>
    <t>OILLL2</t>
  </si>
  <si>
    <t>Imported Imported Oil-Low Sulfur, Low G, PADD 2</t>
  </si>
  <si>
    <t>OILLL3</t>
  </si>
  <si>
    <t>Imported Imported Oil-Low Sulfur, Low G, PADD 3</t>
  </si>
  <si>
    <t>OILLL4</t>
  </si>
  <si>
    <t>Imported Imported Oil-Low Sulfur, Low G, PADD 4</t>
  </si>
  <si>
    <t>OILLL5</t>
  </si>
  <si>
    <t>Imported Imported Oil-Low Sulfur, Low G, PADD 5</t>
  </si>
  <si>
    <t>OILMH1</t>
  </si>
  <si>
    <t>Imported Imported Oil-Medium Sulfur, HG, PADD 1</t>
  </si>
  <si>
    <t>OILMH2</t>
  </si>
  <si>
    <t>Imported Imported Oil-Medium Sulfur, HG, PADD 2</t>
  </si>
  <si>
    <t>OILMH3</t>
  </si>
  <si>
    <t>Imported Imported Oil-Medium Sulfur, HG, PADD 3</t>
  </si>
  <si>
    <t>OILMH4</t>
  </si>
  <si>
    <t>Imported Imported Oil-Medium Sulfur, HG, PADD 4</t>
  </si>
  <si>
    <t>OILMH5</t>
  </si>
  <si>
    <t>Imported Imported Oil-Medium Sulfur, HG, PADD 5</t>
  </si>
  <si>
    <t>GSCR</t>
  </si>
  <si>
    <t>Reformulated Gasoline</t>
  </si>
  <si>
    <t>DSHR</t>
  </si>
  <si>
    <t>DSLR</t>
  </si>
  <si>
    <t>DSUR</t>
  </si>
  <si>
    <t>Distillate-Ultralow Sulfur Highway Diesel (15 ppm)</t>
  </si>
  <si>
    <t>JTFR</t>
  </si>
  <si>
    <t>KERR</t>
  </si>
  <si>
    <t>MTHR</t>
  </si>
  <si>
    <t>Methanol</t>
  </si>
  <si>
    <t>Petrochemical Feedstocks</t>
  </si>
  <si>
    <t>RFHR</t>
  </si>
  <si>
    <t>RFLR</t>
  </si>
  <si>
    <t>Low Sulfur Residual Fuel Oil</t>
  </si>
  <si>
    <t>ASPR</t>
  </si>
  <si>
    <t>PTCR</t>
  </si>
  <si>
    <t>ETHR</t>
  </si>
  <si>
    <t>R0,R1,R2,R5</t>
  </si>
  <si>
    <t>DSHP1</t>
  </si>
  <si>
    <t>Distillate-Heating Oil No. 2, PADD 1</t>
  </si>
  <si>
    <t>DSLP1</t>
  </si>
  <si>
    <t>Distillate-Low Sulfur Highway Diesel (500 ppm), PADD 1</t>
  </si>
  <si>
    <t>DSUP1</t>
  </si>
  <si>
    <t>Distillate-Ultralow Sulfur Highway Diesel (15 ppm), PADD 1</t>
  </si>
  <si>
    <t>GSCP1</t>
  </si>
  <si>
    <t>Conventional Gasoline, PADD 1</t>
  </si>
  <si>
    <t>GSRP1</t>
  </si>
  <si>
    <t>Reformulated Gasoline, PADD 1</t>
  </si>
  <si>
    <t>JTFP1</t>
  </si>
  <si>
    <t>Jet Fuel, PADD 1</t>
  </si>
  <si>
    <t>KERP1</t>
  </si>
  <si>
    <t>Kerosene and Other Refined Products, PADD 1</t>
  </si>
  <si>
    <t>LPGP1</t>
  </si>
  <si>
    <t>LPG, PADD 1</t>
  </si>
  <si>
    <t>MTHP1</t>
  </si>
  <si>
    <t>Methanol, PADD 1</t>
  </si>
  <si>
    <t>PFSP1</t>
  </si>
  <si>
    <t>Petrochemical Feedstocks, PADD 1</t>
  </si>
  <si>
    <t>RFHP1</t>
  </si>
  <si>
    <t>High Sulfur Residual Fuel Oil, PADD 1</t>
  </si>
  <si>
    <t>RFLP1</t>
  </si>
  <si>
    <t>Low Sulfur Residual Fuel Oil, PADD 1</t>
  </si>
  <si>
    <t>ASPP1</t>
  </si>
  <si>
    <t>Ashpalt, PADD1</t>
  </si>
  <si>
    <t>DSHP2</t>
  </si>
  <si>
    <t>Distillate-Heating Oil No. 2, PADD 2</t>
  </si>
  <si>
    <t>DSLP2</t>
  </si>
  <si>
    <t>Distillate-Low Sulfur Highway Diesel (500 ppm), PADD 2</t>
  </si>
  <si>
    <t>DSUP2</t>
  </si>
  <si>
    <t>Distillate-Ultralow Sulfur Highway Diesel (15 ppm), PADD 2</t>
  </si>
  <si>
    <t>GSCP2</t>
  </si>
  <si>
    <t>Conventional Gasoline, PADD 2</t>
  </si>
  <si>
    <t>GSRP2</t>
  </si>
  <si>
    <t>Reformulated Gasoline, PADD 2</t>
  </si>
  <si>
    <t>JTFP2</t>
  </si>
  <si>
    <t>Jet Fuel, PADD 2</t>
  </si>
  <si>
    <t>KERP2</t>
  </si>
  <si>
    <t>Kerosene and Other Refined Products, PADD 2</t>
  </si>
  <si>
    <t>LPGP2</t>
  </si>
  <si>
    <t>LPG, PADD 2</t>
  </si>
  <si>
    <t>MTHP2</t>
  </si>
  <si>
    <t>Methanol, PADD 2</t>
  </si>
  <si>
    <t>PFSP2</t>
  </si>
  <si>
    <t>Petrochemical Feedstocks, PADD 2</t>
  </si>
  <si>
    <t>RFHP2</t>
  </si>
  <si>
    <t>High Sulfur Residual Fuel Oil, PADD 2</t>
  </si>
  <si>
    <t>RFLP2</t>
  </si>
  <si>
    <t>Low Sulfur Residual Fuel Oil, PADD 2</t>
  </si>
  <si>
    <t>ASPP2</t>
  </si>
  <si>
    <t>Ashpalt, PADD2</t>
  </si>
  <si>
    <t>DSHP3</t>
  </si>
  <si>
    <t>Distillate-Heating Oil No. 2, PADD 3</t>
  </si>
  <si>
    <t>DSLP3</t>
  </si>
  <si>
    <t>Distillate-Low Sulfur Highway Diesel (500 ppm), PADD 3</t>
  </si>
  <si>
    <t>DSUP3</t>
  </si>
  <si>
    <t>Distillate-Ultralow Sulfur Highway Diesel (15 ppm), PADD 3</t>
  </si>
  <si>
    <t>GSCP3</t>
  </si>
  <si>
    <t>Conventional Gasoline, PADD 3</t>
  </si>
  <si>
    <t>GSRP3</t>
  </si>
  <si>
    <t>Reformulated Gasoline, PADD 3</t>
  </si>
  <si>
    <t>JTFP3</t>
  </si>
  <si>
    <t>Jet Fuel, PADD 3</t>
  </si>
  <si>
    <t>KERP3</t>
  </si>
  <si>
    <t>Kerosene and Other Refined Products, PADD 3</t>
  </si>
  <si>
    <t>LPGP3</t>
  </si>
  <si>
    <t>LPG, PADD 3</t>
  </si>
  <si>
    <t>MTHP3</t>
  </si>
  <si>
    <t>Methanol, PADD 3</t>
  </si>
  <si>
    <t>PFSP3</t>
  </si>
  <si>
    <t>Petrochemical Feedstocks, PADD 3</t>
  </si>
  <si>
    <t>RFHP3</t>
  </si>
  <si>
    <t>High Sulfur Residual Fuel Oil, PADD 3</t>
  </si>
  <si>
    <t>RFLP3</t>
  </si>
  <si>
    <t>Low Sulfur Residual Fuel Oil, PADD 3</t>
  </si>
  <si>
    <t>ASPP3</t>
  </si>
  <si>
    <t>Ashpalt, PADD3</t>
  </si>
  <si>
    <t>DSHP4</t>
  </si>
  <si>
    <t>Distillate-Heating Oil No. 2, PADD 4</t>
  </si>
  <si>
    <t>DSLP4</t>
  </si>
  <si>
    <t>Distillate-Low Sulfur Highway Diesel (500 ppm), PADD 4</t>
  </si>
  <si>
    <t>DSUP4</t>
  </si>
  <si>
    <t>Distillate-Ultralow Sulfur Highway Diesel (15 ppm), PADD 4</t>
  </si>
  <si>
    <t>GSCP4</t>
  </si>
  <si>
    <t>Conventional Gasoline, PADD 4</t>
  </si>
  <si>
    <t>GSRP4</t>
  </si>
  <si>
    <t>Reformulated Gasoline, PADD 4</t>
  </si>
  <si>
    <t>JTFP4</t>
  </si>
  <si>
    <t>Jet Fuel, PADD 4</t>
  </si>
  <si>
    <t>KERP4</t>
  </si>
  <si>
    <t>Kerosene and Other Refined Products, PADD 4</t>
  </si>
  <si>
    <t>LPGP4</t>
  </si>
  <si>
    <t>LPG, PADD 4</t>
  </si>
  <si>
    <t>MTHP4</t>
  </si>
  <si>
    <t>Methanol, PADD 4</t>
  </si>
  <si>
    <t>PFSP4</t>
  </si>
  <si>
    <t>Petrochemical Feedstocks, PADD 4</t>
  </si>
  <si>
    <t>RFHP4</t>
  </si>
  <si>
    <t>High Sulfur Residual Fuel Oil, PADD 4</t>
  </si>
  <si>
    <t>RFLP4</t>
  </si>
  <si>
    <t>Low Sulfur Residual Fuel Oil, PADD 4</t>
  </si>
  <si>
    <t>ASPP4</t>
  </si>
  <si>
    <t>Ashpalt, PADD4</t>
  </si>
  <si>
    <t>DSHP5</t>
  </si>
  <si>
    <t>Distillate-Heating Oil No. 2, PADD 5</t>
  </si>
  <si>
    <t>DSLP5</t>
  </si>
  <si>
    <t>Distillate-Low Sulfur Highway Diesel (500 ppm), PADD 5</t>
  </si>
  <si>
    <t>DSUP5</t>
  </si>
  <si>
    <t>Distillate-Ultralow Sulfur Highway Diesel (15 ppm), PADD 5</t>
  </si>
  <si>
    <t>GSCP5</t>
  </si>
  <si>
    <t>Conventional Gasoline, PADD 5</t>
  </si>
  <si>
    <t>GSRP5</t>
  </si>
  <si>
    <t>Reformulated Gasoline, PADD 5</t>
  </si>
  <si>
    <t>JTFP5</t>
  </si>
  <si>
    <t>Jet Fuel, PADD 5</t>
  </si>
  <si>
    <t>KERP5</t>
  </si>
  <si>
    <t>Kerosene and Other Refined Products, PADD 5</t>
  </si>
  <si>
    <t>LPGP5</t>
  </si>
  <si>
    <t>LPG, PADD 5</t>
  </si>
  <si>
    <t>MTHP5</t>
  </si>
  <si>
    <t>Methanol, PADD 5</t>
  </si>
  <si>
    <t>PFSP5</t>
  </si>
  <si>
    <t>Petrochemical Feedstocks, PADD 5</t>
  </si>
  <si>
    <t>RFHP5</t>
  </si>
  <si>
    <t>High Sulfur Residual Fuel Oil, PADD 5</t>
  </si>
  <si>
    <t>RFLP5</t>
  </si>
  <si>
    <t>Low Sulfur Residual Fuel Oil, PADD 5</t>
  </si>
  <si>
    <t>ASPP5</t>
  </si>
  <si>
    <t>Ashpalt, PADD5</t>
  </si>
  <si>
    <t>GSCB</t>
  </si>
  <si>
    <t xml:space="preserve">GSC Traded by Barge/Vessel </t>
  </si>
  <si>
    <t>GSRB</t>
  </si>
  <si>
    <t xml:space="preserve">GSR Traded by Barge/Vessel </t>
  </si>
  <si>
    <t>DSHB</t>
  </si>
  <si>
    <t xml:space="preserve">DSH Traded by Barge/Vessel </t>
  </si>
  <si>
    <t>DSLB</t>
  </si>
  <si>
    <t xml:space="preserve">DSL Traded by Barge/Vessel </t>
  </si>
  <si>
    <t>DSUB</t>
  </si>
  <si>
    <t xml:space="preserve">DSU Traded by Barge/Vessel </t>
  </si>
  <si>
    <t>JTFB</t>
  </si>
  <si>
    <t xml:space="preserve">JTF Traded by Barge/Vessel </t>
  </si>
  <si>
    <t>KERB</t>
  </si>
  <si>
    <t xml:space="preserve">KER Traded by Barge/Vessel </t>
  </si>
  <si>
    <t>LPGB</t>
  </si>
  <si>
    <t xml:space="preserve">LPG Traded by Barge/Vessel </t>
  </si>
  <si>
    <t>MTHB</t>
  </si>
  <si>
    <t xml:space="preserve">MTH Traded by Barge/Vessel </t>
  </si>
  <si>
    <t>PFSB</t>
  </si>
  <si>
    <t xml:space="preserve">PFS Traded by Barge/Vessel </t>
  </si>
  <si>
    <t>RFHB</t>
  </si>
  <si>
    <t xml:space="preserve">RFH Traded by Barge/Vessel </t>
  </si>
  <si>
    <t>RFLB</t>
  </si>
  <si>
    <t xml:space="preserve">RFL Traded by Barge/Vessel </t>
  </si>
  <si>
    <t>ASPB</t>
  </si>
  <si>
    <t xml:space="preserve">ASP Traded by Barge/Vessel </t>
  </si>
  <si>
    <t>GSCP</t>
  </si>
  <si>
    <t xml:space="preserve">GSC Traded by Pipeline </t>
  </si>
  <si>
    <t>GSRP</t>
  </si>
  <si>
    <t xml:space="preserve">GSR Traded by Pipeline </t>
  </si>
  <si>
    <t>DSHP</t>
  </si>
  <si>
    <t xml:space="preserve">DSH Traded by Pipeline </t>
  </si>
  <si>
    <t>DSLP</t>
  </si>
  <si>
    <t xml:space="preserve">DSL Traded by Pipeline </t>
  </si>
  <si>
    <t>DSUP</t>
  </si>
  <si>
    <t xml:space="preserve">DSU Traded by Pipeline </t>
  </si>
  <si>
    <t>JTFP</t>
  </si>
  <si>
    <t xml:space="preserve">JTF Traded by Pipeline </t>
  </si>
  <si>
    <t>KERP</t>
  </si>
  <si>
    <t xml:space="preserve">KER Traded by Pipeline </t>
  </si>
  <si>
    <t>LPGP</t>
  </si>
  <si>
    <t xml:space="preserve">LPG Traded by Pipeline </t>
  </si>
  <si>
    <t>MTHP</t>
  </si>
  <si>
    <t xml:space="preserve">MTH Traded by Pipeline </t>
  </si>
  <si>
    <t>PFSP</t>
  </si>
  <si>
    <t xml:space="preserve">PFS Traded by Pipeline </t>
  </si>
  <si>
    <t>RFHP</t>
  </si>
  <si>
    <t xml:space="preserve">RFH Traded by Pipeline </t>
  </si>
  <si>
    <t>RFLP</t>
  </si>
  <si>
    <t xml:space="preserve">RFL Traded by Pipeline </t>
  </si>
  <si>
    <t>ASPP</t>
  </si>
  <si>
    <t xml:space="preserve">ASP Traded by Pipeline </t>
  </si>
  <si>
    <t>TRGSLC</t>
  </si>
  <si>
    <t>TRGSLR</t>
  </si>
  <si>
    <t>RESDSL</t>
  </si>
  <si>
    <t>Distillate-Heating Oil No. 2 to the Residential Sector</t>
  </si>
  <si>
    <t>TRDSLL</t>
  </si>
  <si>
    <t>TRDSLU</t>
  </si>
  <si>
    <t>TRNJTF</t>
  </si>
  <si>
    <t>RESKER</t>
  </si>
  <si>
    <t>Kerosene and Other Refined Products to the Residential Sector</t>
  </si>
  <si>
    <t>Kerosene and Other Refined Products to the Industrial Sector</t>
  </si>
  <si>
    <t>RESLPG</t>
  </si>
  <si>
    <t>LPG to the Residential Sector</t>
  </si>
  <si>
    <t>TRNLPG</t>
  </si>
  <si>
    <t>LPG to the Transportation Sector</t>
  </si>
  <si>
    <t>TRNMTH</t>
  </si>
  <si>
    <t>Low Sulfur Residual Fuel Oil to Electricity Sector</t>
  </si>
  <si>
    <t>TRNRFH</t>
  </si>
  <si>
    <t>High Sulfur Residual Fuel Oil to Transportation Sector</t>
  </si>
  <si>
    <t>High Sulfur Residual Fuel Oil to Electricity Sector</t>
  </si>
  <si>
    <t>DLG</t>
  </si>
  <si>
    <t>Dummy Liquid Fuel</t>
  </si>
  <si>
    <t>LPG_E</t>
  </si>
  <si>
    <t>LPG_Existing Refinery</t>
  </si>
  <si>
    <t>GSC_E</t>
  </si>
  <si>
    <t>GSC_Existing Refinery</t>
  </si>
  <si>
    <t>GSR_E</t>
  </si>
  <si>
    <t>GSR_Existing Refinery</t>
  </si>
  <si>
    <t>JTF_E</t>
  </si>
  <si>
    <t>JTF_Existing Refinery</t>
  </si>
  <si>
    <t>DSH_E</t>
  </si>
  <si>
    <t>DSH_Existing Refinery</t>
  </si>
  <si>
    <t>RFL_E</t>
  </si>
  <si>
    <t>RFL_Existing Refinery</t>
  </si>
  <si>
    <t>RFH_E</t>
  </si>
  <si>
    <t>RFH_Existing Refinery</t>
  </si>
  <si>
    <t>KER_E</t>
  </si>
  <si>
    <t>KER_Existing Refinery</t>
  </si>
  <si>
    <t>PFS_E</t>
  </si>
  <si>
    <t>PFS_Existing Refinery</t>
  </si>
  <si>
    <t>ASP_E</t>
  </si>
  <si>
    <t>ASP_Existing Refinery</t>
  </si>
  <si>
    <t>DSL_E</t>
  </si>
  <si>
    <t>DSL_Existing Refinery</t>
  </si>
  <si>
    <t>DSU_E</t>
  </si>
  <si>
    <t>DSU_Existing Refinery</t>
  </si>
  <si>
    <t>ETH_E</t>
  </si>
  <si>
    <t>ETH_Existing Refinery</t>
  </si>
  <si>
    <t>DLG_E</t>
  </si>
  <si>
    <t>DLG_Existing Refinery</t>
  </si>
  <si>
    <t>LPG_N</t>
  </si>
  <si>
    <t>LPG_New Refinery</t>
  </si>
  <si>
    <t>GSC_N</t>
  </si>
  <si>
    <t>GSC_New Refinery</t>
  </si>
  <si>
    <t>GSR_N</t>
  </si>
  <si>
    <t>GSR_New Refinery</t>
  </si>
  <si>
    <t>JTF_N</t>
  </si>
  <si>
    <t>JTF_New Refinery</t>
  </si>
  <si>
    <t>DSH_N</t>
  </si>
  <si>
    <t>DSH_New Refinery</t>
  </si>
  <si>
    <t>RFL_N</t>
  </si>
  <si>
    <t>RFL_New Refinery</t>
  </si>
  <si>
    <t>RFH_N</t>
  </si>
  <si>
    <t>RFH_New Refinery</t>
  </si>
  <si>
    <t>KER_N</t>
  </si>
  <si>
    <t>KER_New Refinery</t>
  </si>
  <si>
    <t>PFS_N</t>
  </si>
  <si>
    <t>PFS_New Refinery</t>
  </si>
  <si>
    <t>ASP_N</t>
  </si>
  <si>
    <t>ASP_New Refinery</t>
  </si>
  <si>
    <t>DSL_N</t>
  </si>
  <si>
    <t>DSL_New Refinery</t>
  </si>
  <si>
    <t>DSU_N</t>
  </si>
  <si>
    <t>DSU_New Refinery</t>
  </si>
  <si>
    <t>ETH_N</t>
  </si>
  <si>
    <t>ETH_New Refinery</t>
  </si>
  <si>
    <t>DLG_N</t>
  </si>
  <si>
    <t>DLG_New Refinery</t>
  </si>
  <si>
    <t>LPG_L</t>
  </si>
  <si>
    <t>LPG_High Limit Refinery</t>
  </si>
  <si>
    <t>GSC_L</t>
  </si>
  <si>
    <t>GSC_High Limit Refinery</t>
  </si>
  <si>
    <t>GSR_L</t>
  </si>
  <si>
    <t>GSR_High Limit Refinery</t>
  </si>
  <si>
    <t>JTF_L</t>
  </si>
  <si>
    <t>JTF_High Limit Refinery</t>
  </si>
  <si>
    <t>DSH_L</t>
  </si>
  <si>
    <t>DSH_High Limit Refinery</t>
  </si>
  <si>
    <t>RFL_L</t>
  </si>
  <si>
    <t>RFL_High Limit Refinery</t>
  </si>
  <si>
    <t>RFH_L</t>
  </si>
  <si>
    <t>RFH_High Limit Refinery</t>
  </si>
  <si>
    <t>KER_L</t>
  </si>
  <si>
    <t>KER_High Limit Refinery</t>
  </si>
  <si>
    <t>PFS_L</t>
  </si>
  <si>
    <t>PFS_High Limit Refinery</t>
  </si>
  <si>
    <t>ASP_L</t>
  </si>
  <si>
    <t>ASP_High Limit Refinery</t>
  </si>
  <si>
    <t>DSL_L</t>
  </si>
  <si>
    <t>DSL_High Limit Refinery</t>
  </si>
  <si>
    <t>DSU_L</t>
  </si>
  <si>
    <t>DSU_High Limit Refinery</t>
  </si>
  <si>
    <t>ETH_L</t>
  </si>
  <si>
    <t>ETH_High Limit Refinery</t>
  </si>
  <si>
    <t>REFCO2</t>
  </si>
  <si>
    <t>Refinery CO2 Emissions</t>
  </si>
  <si>
    <t>REFNOX</t>
  </si>
  <si>
    <t>Refinery NOX Emissions</t>
  </si>
  <si>
    <t>REFPM10</t>
  </si>
  <si>
    <t>Refinery PM10 Emissions</t>
  </si>
  <si>
    <t>REFPM25</t>
  </si>
  <si>
    <t>Refinery PM25 Emissions</t>
  </si>
  <si>
    <t>REFVOC</t>
  </si>
  <si>
    <t>Refinery VOC Emissions</t>
  </si>
  <si>
    <t>REFCO</t>
  </si>
  <si>
    <t>Refinery CO Emissions</t>
  </si>
  <si>
    <t>REFCH4</t>
  </si>
  <si>
    <t>Refinery CH4 Emissions</t>
  </si>
  <si>
    <t>REFN2O</t>
  </si>
  <si>
    <t>Refinery N2O Emissions</t>
  </si>
  <si>
    <t>REFBC</t>
  </si>
  <si>
    <t>Refinery BC Emissions</t>
  </si>
  <si>
    <t>REFOC</t>
  </si>
  <si>
    <t>Refinery OC Emissions</t>
  </si>
  <si>
    <t>REFSO2</t>
  </si>
  <si>
    <t>Refinery SO2 Emissions</t>
  </si>
  <si>
    <t>RESRFL</t>
  </si>
  <si>
    <t>Low Sulfur Residual Fuel Oil to Residential Sector</t>
  </si>
  <si>
    <t>RSH</t>
  </si>
  <si>
    <t>Residential Heating</t>
  </si>
  <si>
    <t>RSC</t>
  </si>
  <si>
    <t>Residential Cooling</t>
  </si>
  <si>
    <t>RWH</t>
  </si>
  <si>
    <t>Residential Water Heating</t>
  </si>
  <si>
    <t>RRF</t>
  </si>
  <si>
    <t>Residential Refrigeration</t>
  </si>
  <si>
    <t>RFZ</t>
  </si>
  <si>
    <t>Residential Freezing</t>
  </si>
  <si>
    <t>RLT</t>
  </si>
  <si>
    <t>Residential Lighting</t>
  </si>
  <si>
    <t>ROE</t>
  </si>
  <si>
    <t>Residential Other Appliances - ELC</t>
  </si>
  <si>
    <t>ROG</t>
  </si>
  <si>
    <t>Residential Other Appliances - NGA</t>
  </si>
  <si>
    <t>ROL</t>
  </si>
  <si>
    <t>Residential Other Appliances - LPG</t>
  </si>
  <si>
    <t>RESCO2</t>
  </si>
  <si>
    <t>Residential CO2 Emissions</t>
  </si>
  <si>
    <t>RESNOX</t>
  </si>
  <si>
    <t>Residential NOX Emissions</t>
  </si>
  <si>
    <t>RESPM10</t>
  </si>
  <si>
    <t>Residential PM10 Emissions</t>
  </si>
  <si>
    <t>RESPM25</t>
  </si>
  <si>
    <t>Residential PM25 Emissions</t>
  </si>
  <si>
    <t>RESVOC</t>
  </si>
  <si>
    <t>Residential VOC Emissions</t>
  </si>
  <si>
    <t>RESCO</t>
  </si>
  <si>
    <t>Residential CO Emissions</t>
  </si>
  <si>
    <t>RESCH4</t>
  </si>
  <si>
    <t>Residential CH4 Emissions</t>
  </si>
  <si>
    <t>RESN2O</t>
  </si>
  <si>
    <t>Residential N2O Emissions</t>
  </si>
  <si>
    <t>RESSO2</t>
  </si>
  <si>
    <t>Residential SO2 Emissions</t>
  </si>
  <si>
    <t>Residential OC Emissions</t>
  </si>
  <si>
    <t>Residential BC Emissions</t>
  </si>
  <si>
    <t>TBB20X</t>
  </si>
  <si>
    <t>B20X to TB</t>
  </si>
  <si>
    <t>TBCNG</t>
  </si>
  <si>
    <t>CNG to Buses</t>
  </si>
  <si>
    <t>TBDSL</t>
  </si>
  <si>
    <t>TBGSL</t>
  </si>
  <si>
    <t>Gasoline to buses</t>
  </si>
  <si>
    <t>TCB20X</t>
  </si>
  <si>
    <t>B20X to TC</t>
  </si>
  <si>
    <t>TCCNG</t>
  </si>
  <si>
    <t>CNG to Commerical Trucks</t>
  </si>
  <si>
    <t>TCDSL</t>
  </si>
  <si>
    <t>TCE85X</t>
  </si>
  <si>
    <t>E85X to TC</t>
  </si>
  <si>
    <t>TCGSL</t>
  </si>
  <si>
    <t>TLE85X</t>
  </si>
  <si>
    <t>E85X to TL</t>
  </si>
  <si>
    <t>TLGSL</t>
  </si>
  <si>
    <t>TMB20X</t>
  </si>
  <si>
    <t>B20 to TM</t>
  </si>
  <si>
    <t>TMCNG</t>
  </si>
  <si>
    <t>TMDSL</t>
  </si>
  <si>
    <t>Diesel to medium trucks</t>
  </si>
  <si>
    <t>TMGSL</t>
  </si>
  <si>
    <t>GSL to TM</t>
  </si>
  <si>
    <t>TRB20</t>
  </si>
  <si>
    <t>B20 to TR</t>
  </si>
  <si>
    <t>TRNB20EA</t>
  </si>
  <si>
    <t>Transportation B20 after emissions accounting</t>
  </si>
  <si>
    <t>TRNCNG</t>
  </si>
  <si>
    <t>TRNCNGEA</t>
  </si>
  <si>
    <t>Transportation CNG after emissions accounting</t>
  </si>
  <si>
    <t>TRNCNGL</t>
  </si>
  <si>
    <t>CNG to TRN - Light Duty Vehicles</t>
  </si>
  <si>
    <t>TRNCNGX</t>
  </si>
  <si>
    <t>CNGX to TRN</t>
  </si>
  <si>
    <t>TRNE10EA</t>
  </si>
  <si>
    <t>TRNE85C</t>
  </si>
  <si>
    <t>E85 after emissions to TC</t>
  </si>
  <si>
    <t>TRNE85EA</t>
  </si>
  <si>
    <t>Transportation E85 after emissions accounting</t>
  </si>
  <si>
    <t>TRNE85L</t>
  </si>
  <si>
    <t>E85 after emissions to E85X for TL</t>
  </si>
  <si>
    <t>TRNELC</t>
  </si>
  <si>
    <t>ELC to TRN</t>
  </si>
  <si>
    <t>TRNJTF1</t>
  </si>
  <si>
    <t>TRNJTFEA</t>
  </si>
  <si>
    <t>Transportation jet fuel after emissions accounting</t>
  </si>
  <si>
    <t>TRNLPG1</t>
  </si>
  <si>
    <t>TRNLPGEA</t>
  </si>
  <si>
    <t>Transportation LPG after emissions accounting</t>
  </si>
  <si>
    <t>TRNLPGX</t>
  </si>
  <si>
    <t>LPGX to TRN</t>
  </si>
  <si>
    <t>TRNRFH1</t>
  </si>
  <si>
    <t>TRNRFHEA</t>
  </si>
  <si>
    <t>Transportation RFH after emissions accounting</t>
  </si>
  <si>
    <t>TRNRFL</t>
  </si>
  <si>
    <t>Transportation RFL</t>
  </si>
  <si>
    <t>TRNRFLEA</t>
  </si>
  <si>
    <t>Transportation RFL after emissions accounting</t>
  </si>
  <si>
    <t>TSDSL</t>
  </si>
  <si>
    <t>Diesel to shipping</t>
  </si>
  <si>
    <t>LPG to TRN after Collection</t>
  </si>
  <si>
    <t>JTF after collection</t>
  </si>
  <si>
    <t>TRNGSLB</t>
  </si>
  <si>
    <t>GSLB to TRN</t>
  </si>
  <si>
    <t>GSL to TC</t>
  </si>
  <si>
    <t>DSL to TC</t>
  </si>
  <si>
    <t>DSL to TB</t>
  </si>
  <si>
    <t>TRDSL</t>
  </si>
  <si>
    <t>DSL to TRF and TRP</t>
  </si>
  <si>
    <t>TRNH2</t>
  </si>
  <si>
    <t>H2 to TRN</t>
  </si>
  <si>
    <t>CNG to Medium Duty Trucks</t>
  </si>
  <si>
    <t>TRB20X</t>
  </si>
  <si>
    <t>B20X to TRF and TRP</t>
  </si>
  <si>
    <t>TSB20X</t>
  </si>
  <si>
    <t>B20X to TS</t>
  </si>
  <si>
    <t>TA</t>
  </si>
  <si>
    <t>TRN.AIR</t>
  </si>
  <si>
    <t>bn-pass-miles</t>
  </si>
  <si>
    <t>bn-vmt</t>
  </si>
  <si>
    <t>TM</t>
  </si>
  <si>
    <t>TS</t>
  </si>
  <si>
    <t>TRN.SHIP</t>
  </si>
  <si>
    <t>bn-t-m</t>
  </si>
  <si>
    <t>TRF</t>
  </si>
  <si>
    <t>TRN.RAIL.FREIGHT</t>
  </si>
  <si>
    <t>TRP</t>
  </si>
  <si>
    <t>TRN.RAIL.PASS</t>
  </si>
  <si>
    <t>TC</t>
  </si>
  <si>
    <t>TRN.TRUCK.COMMERCIAL</t>
  </si>
  <si>
    <t>TRNSO2</t>
  </si>
  <si>
    <t>Transportation SO2 Emissions</t>
  </si>
  <si>
    <t>TRNNOX</t>
  </si>
  <si>
    <t>Transportation NOX Emissions</t>
  </si>
  <si>
    <t>TRNPM10</t>
  </si>
  <si>
    <t>Transportation PM10 Emissions</t>
  </si>
  <si>
    <t>TRNVOC</t>
  </si>
  <si>
    <t>Transportation VOC Emissions</t>
  </si>
  <si>
    <t>TRNPM25</t>
  </si>
  <si>
    <t>Transportation PM25 Emissions</t>
  </si>
  <si>
    <t>TRNCO</t>
  </si>
  <si>
    <t>Transportation CO Emissions</t>
  </si>
  <si>
    <t>TRNN2O</t>
  </si>
  <si>
    <t>Transportation N2O Emissions</t>
  </si>
  <si>
    <t>TRNCH4</t>
  </si>
  <si>
    <t>Transportation CH4 Emissions</t>
  </si>
  <si>
    <t>TRNBC</t>
  </si>
  <si>
    <t>Transportation BC Emissions</t>
  </si>
  <si>
    <t>TRNOC</t>
  </si>
  <si>
    <t>Transportation OC Emissions</t>
  </si>
  <si>
    <t>TRNNH3</t>
  </si>
  <si>
    <t>Transportation NH3 Emissions</t>
  </si>
  <si>
    <t>CNG to TRN</t>
  </si>
  <si>
    <t>TRNCNGH</t>
  </si>
  <si>
    <t>CNG to TRN - Heavy Duty Vehicles</t>
  </si>
  <si>
    <t>DSL combo of DSLL and DSLU</t>
  </si>
  <si>
    <t>TRGSLR1</t>
  </si>
  <si>
    <t>REF GSL to TRN after Collection</t>
  </si>
  <si>
    <t>TRNLPGL</t>
  </si>
  <si>
    <t>LPG to TRN after Collection- Light Duty Vehicles</t>
  </si>
  <si>
    <t xml:space="preserve">Conv GSL to TRN  </t>
  </si>
  <si>
    <t>TL</t>
  </si>
  <si>
    <t>TOGSL1</t>
  </si>
  <si>
    <t>GSL to TO</t>
  </si>
  <si>
    <t>Transportation ethanol</t>
  </si>
  <si>
    <t>TOHDSL</t>
  </si>
  <si>
    <t>TRN.OH.DSL</t>
  </si>
  <si>
    <t>TOHGSL</t>
  </si>
  <si>
    <t>TRN.OH.GSL</t>
  </si>
  <si>
    <t>Upstream CO2 Emissions</t>
  </si>
  <si>
    <t>Upstream CH4 Emissions</t>
  </si>
  <si>
    <t>TRN.LDV</t>
  </si>
  <si>
    <t>TRN.TRUCK.MDV</t>
  </si>
  <si>
    <t>Distillate-Heating Oil No. 2 to Commercial</t>
  </si>
  <si>
    <t>Kerosene and Other Refined Products to Commercial</t>
  </si>
  <si>
    <t>LPG to Commercial</t>
  </si>
  <si>
    <t>Natural gas to Commercial</t>
  </si>
  <si>
    <t>Residual Fuel Oil to Commercial</t>
  </si>
  <si>
    <t>Scenario</t>
  </si>
  <si>
    <t>Parameter</t>
  </si>
  <si>
    <t>Units</t>
  </si>
  <si>
    <t>Item1</t>
  </si>
  <si>
    <t>Item2</t>
  </si>
  <si>
    <t>Item3</t>
  </si>
  <si>
    <t>dec fractn</t>
  </si>
  <si>
    <t>_</t>
  </si>
  <si>
    <t>I-DAM</t>
  </si>
  <si>
    <t>I-DPM</t>
  </si>
  <si>
    <t>I-N</t>
  </si>
  <si>
    <t>I-P</t>
  </si>
  <si>
    <t>MARKAL EPAUS9r input data</t>
  </si>
  <si>
    <t>Reformulated Gasoline from refineries</t>
  </si>
  <si>
    <t>Conventional Gasoline from refineries</t>
  </si>
  <si>
    <t>Distillate-Ultralow Sulfur Highway Diesel (15 ppm) from refineries</t>
  </si>
  <si>
    <t>Distillate-Low Sulfur Highway Diesel (500 ppm) from refineries</t>
  </si>
  <si>
    <t>Distillate-Heating Oil No. 2 from refineries</t>
  </si>
  <si>
    <t>Jet Fuel from refineries</t>
  </si>
  <si>
    <t>Kerosene and Other Refined Products from refineries</t>
  </si>
  <si>
    <t>LPG from NGL from refineries</t>
  </si>
  <si>
    <t>Methanol from refineries</t>
  </si>
  <si>
    <t>PFS from NGL from refineries</t>
  </si>
  <si>
    <t>High Sulfur Residual Fuel Oil from refineries</t>
  </si>
  <si>
    <t>Asphalt from refineries</t>
  </si>
  <si>
    <t>Petroleum Coke from refineries</t>
  </si>
  <si>
    <t>Ethanol from refineries</t>
  </si>
  <si>
    <t>ELCMX</t>
  </si>
  <si>
    <t>ELC from Mexico</t>
  </si>
  <si>
    <t>ELC from British Columbia</t>
  </si>
  <si>
    <t>ELCMA</t>
  </si>
  <si>
    <t>ELC from Manitoba</t>
  </si>
  <si>
    <t>ELCON</t>
  </si>
  <si>
    <t>ELC from Ontario</t>
  </si>
  <si>
    <t>ELCQU</t>
  </si>
  <si>
    <t>ELC from Quebec</t>
  </si>
  <si>
    <t>ELCNM</t>
  </si>
  <si>
    <t>ELC from New Brunswick</t>
  </si>
  <si>
    <t>TLDSL</t>
  </si>
  <si>
    <t>Diesel to TL</t>
  </si>
  <si>
    <t>TLLPG</t>
  </si>
  <si>
    <t>LPG to TL</t>
  </si>
  <si>
    <t>TLELC</t>
  </si>
  <si>
    <t>ELC to TL</t>
  </si>
  <si>
    <t>TLH2</t>
  </si>
  <si>
    <t>H2 to TL</t>
  </si>
  <si>
    <t>COKE</t>
  </si>
  <si>
    <t>Imported and Produced Coke</t>
  </si>
  <si>
    <t>ETHR3T</t>
  </si>
  <si>
    <t>Ethanol from Region 3 by truck</t>
  </si>
  <si>
    <t>ETHR4T</t>
  </si>
  <si>
    <t>Ethanol from Region 4 by truck</t>
  </si>
  <si>
    <t>ETHR3B</t>
  </si>
  <si>
    <t>Ethanol from Region 3 by barge</t>
  </si>
  <si>
    <t>ETHR4B</t>
  </si>
  <si>
    <t>Ethanol from Region 4 by barge</t>
  </si>
  <si>
    <t>ETHR3R</t>
  </si>
  <si>
    <t>Ethanol from Region 3 by rail</t>
  </si>
  <si>
    <t>ETHR4R</t>
  </si>
  <si>
    <t>Ethanol from Region 4 by rail</t>
  </si>
  <si>
    <t>INDAGR</t>
  </si>
  <si>
    <t>Agricultural Residue to Industrial Sector</t>
  </si>
  <si>
    <t>INDBL</t>
  </si>
  <si>
    <t>Black Liquor to Paper Industry</t>
  </si>
  <si>
    <t>INDCHPOIL</t>
  </si>
  <si>
    <t>Oil to CHP Technologies (DSL, INDOTH, RFL)</t>
  </si>
  <si>
    <t>INDCOK</t>
  </si>
  <si>
    <t>Imported and Produced Coke to Industrial Sector</t>
  </si>
  <si>
    <t>INDDST</t>
  </si>
  <si>
    <t>DST in the IND sector</t>
  </si>
  <si>
    <t>INDJTF</t>
  </si>
  <si>
    <t>Jet Fuel to Industrial Sector</t>
  </si>
  <si>
    <t>INDOTH</t>
  </si>
  <si>
    <t>Other Fuel (ETH,JTF,MTH,DLF,KER)</t>
  </si>
  <si>
    <t>PTCB</t>
  </si>
  <si>
    <t xml:space="preserve">PTC Traded by Barge/Vessel </t>
  </si>
  <si>
    <t>PTCP</t>
  </si>
  <si>
    <t xml:space="preserve">PTC Traded by Pipeline </t>
  </si>
  <si>
    <t>ICAFAC</t>
  </si>
  <si>
    <t>Ag Chemicals Facilities Demand</t>
  </si>
  <si>
    <t>ICAFEED</t>
  </si>
  <si>
    <t>Ag Chemicals Feedstock Demand</t>
  </si>
  <si>
    <t>ICAFSTM</t>
  </si>
  <si>
    <t>Fossil Steam from Ag Chemicals CHP</t>
  </si>
  <si>
    <t>ICAMDR</t>
  </si>
  <si>
    <t>Ag Chemicals Machine Drive Demand</t>
  </si>
  <si>
    <t>ICAOHT</t>
  </si>
  <si>
    <t>Ag Chemicals Other Heat Demand</t>
  </si>
  <si>
    <t>ICAOSTM</t>
  </si>
  <si>
    <t>Other Steam from Ag Chemicals CHP</t>
  </si>
  <si>
    <t>ICAPRH</t>
  </si>
  <si>
    <t>Ag Chemicals Process Heat Demand</t>
  </si>
  <si>
    <t>ICASTM</t>
  </si>
  <si>
    <t>Ag Chemicals Steam Demand</t>
  </si>
  <si>
    <t>ICIETC</t>
  </si>
  <si>
    <t>Inorganic Chemicals Electrochemical Demand</t>
  </si>
  <si>
    <t>ICIFAC</t>
  </si>
  <si>
    <t>Inorganic Chemicals Facilities Demand</t>
  </si>
  <si>
    <t>ICIFEED</t>
  </si>
  <si>
    <t>Inorganic Chemicals Feedstock Demand</t>
  </si>
  <si>
    <t>ICIFSTM</t>
  </si>
  <si>
    <t>Fossil Steam from Inorganic Chemicals CHP</t>
  </si>
  <si>
    <t>ICIMDR</t>
  </si>
  <si>
    <t>Inorganic Chemicals Machine Drive Demand</t>
  </si>
  <si>
    <t>ICIOHT</t>
  </si>
  <si>
    <t>Inorganic Chemicals Other Heat Demand</t>
  </si>
  <si>
    <t>ICIOSTM</t>
  </si>
  <si>
    <t>Other Steam from Inorganic Chemicals CHP</t>
  </si>
  <si>
    <t>ICIPRH</t>
  </si>
  <si>
    <t>Inorganic Chemicals Process Heat Demand</t>
  </si>
  <si>
    <t>ICISTM</t>
  </si>
  <si>
    <t>Inorganic Chemicals Steam Demand</t>
  </si>
  <si>
    <t>ICOETC</t>
  </si>
  <si>
    <t>Organic Chemicals Electrochemical Demand</t>
  </si>
  <si>
    <t>ICOFAC</t>
  </si>
  <si>
    <t>Organic Chemicals Facilities Demand</t>
  </si>
  <si>
    <t>ICOFEED</t>
  </si>
  <si>
    <t>Organic Chemicals Feedstock Demand</t>
  </si>
  <si>
    <t>ICOFSTM</t>
  </si>
  <si>
    <t>Fossil Steam from Organic Chemicals CHP</t>
  </si>
  <si>
    <t>ICOMDR</t>
  </si>
  <si>
    <t>Organic Chemicals Machine Drive Demand</t>
  </si>
  <si>
    <t>ICOOHT</t>
  </si>
  <si>
    <t>Organic Chemicals Other Heat Demand</t>
  </si>
  <si>
    <t>ICOOSTM</t>
  </si>
  <si>
    <t>Other Steam from Organic Chemicals CHP</t>
  </si>
  <si>
    <t>ICOPRH</t>
  </si>
  <si>
    <t>Organic Chemicals Process Heat Demand</t>
  </si>
  <si>
    <t>ICOSTM</t>
  </si>
  <si>
    <t>Organic Chemicals Steam Demand</t>
  </si>
  <si>
    <t>ICPETC</t>
  </si>
  <si>
    <t>PFR Electrochemical Demand</t>
  </si>
  <si>
    <t>ICPFAC</t>
  </si>
  <si>
    <t>PFR Facilities Demand</t>
  </si>
  <si>
    <t>ICPFEED</t>
  </si>
  <si>
    <t>PFR Feedstock Demand</t>
  </si>
  <si>
    <t>ICPFSTM</t>
  </si>
  <si>
    <t>Fossil Steam from PFR CHP</t>
  </si>
  <si>
    <t>ICPMDR</t>
  </si>
  <si>
    <t>PFR Machine Drive Demand</t>
  </si>
  <si>
    <t>ICPOHT</t>
  </si>
  <si>
    <t>PFR Other Heat Demand</t>
  </si>
  <si>
    <t>ICPOSTM</t>
  </si>
  <si>
    <t>Other Steam from PFR CHP</t>
  </si>
  <si>
    <t>ICPPRH</t>
  </si>
  <si>
    <t>PFR Process Heat Demand</t>
  </si>
  <si>
    <t>ICPSTM</t>
  </si>
  <si>
    <t>PFR Steam Demand</t>
  </si>
  <si>
    <t>ICTETC</t>
  </si>
  <si>
    <t>Other Chemicals Electrochemical Demand</t>
  </si>
  <si>
    <t>ICTFAC</t>
  </si>
  <si>
    <t>Other Chemicals Facilities Demand</t>
  </si>
  <si>
    <t>ICTFEED</t>
  </si>
  <si>
    <t>Other Chemicals Feedstock Demand</t>
  </si>
  <si>
    <t>ICTFSTM</t>
  </si>
  <si>
    <t>Fossil Steam from Other Chemicals CHP</t>
  </si>
  <si>
    <t>ICTMDR</t>
  </si>
  <si>
    <t>Other Chemicals Machine Drive Demand</t>
  </si>
  <si>
    <t>ICTOHT</t>
  </si>
  <si>
    <t>Other Chemicals Other Heat Demand</t>
  </si>
  <si>
    <t>ICTPRH</t>
  </si>
  <si>
    <t>Other Chemicals Process Heat Demand</t>
  </si>
  <si>
    <t>ICTRSTM</t>
  </si>
  <si>
    <t>Renewable Steam from Other Chemicals CHP</t>
  </si>
  <si>
    <t>ICTSTM</t>
  </si>
  <si>
    <t>Other Chemicals Steam Demand</t>
  </si>
  <si>
    <t>IFDETC</t>
  </si>
  <si>
    <t>Food Electrochemical Demand</t>
  </si>
  <si>
    <t>IFDFAC</t>
  </si>
  <si>
    <t>Food Facilities Demand</t>
  </si>
  <si>
    <t>IFDFEED</t>
  </si>
  <si>
    <t>Food Feedstock Demand</t>
  </si>
  <si>
    <t>IFDFSTM</t>
  </si>
  <si>
    <t>Fossil Steam from Food CHP</t>
  </si>
  <si>
    <t>IFDMDR</t>
  </si>
  <si>
    <t>Food Machine Drive Demand</t>
  </si>
  <si>
    <t>IFDOHT</t>
  </si>
  <si>
    <t>Food Other Heat Demand</t>
  </si>
  <si>
    <t>IFDPRH</t>
  </si>
  <si>
    <t>Food Process Heat Demand</t>
  </si>
  <si>
    <t>IFDRSTM</t>
  </si>
  <si>
    <t>Renewable Steam from Food CHP</t>
  </si>
  <si>
    <t>IFDSTM</t>
  </si>
  <si>
    <t>Food Steam Demand</t>
  </si>
  <si>
    <t>IMAETC</t>
  </si>
  <si>
    <t>Primary Aluminum Industry Electrochemical Demand</t>
  </si>
  <si>
    <t>IMAFAC</t>
  </si>
  <si>
    <t>Primary Aluminum Industry Facilities Demand</t>
  </si>
  <si>
    <t>IMAFEED</t>
  </si>
  <si>
    <t>Primary Aluminum Industry Feedstock Demand</t>
  </si>
  <si>
    <t>IMAFSTM</t>
  </si>
  <si>
    <t>Fossil Steam from Primary Aluminum CHP</t>
  </si>
  <si>
    <t>IMAMDR</t>
  </si>
  <si>
    <t>Primary Aluminum Industry Machine Drive Demand</t>
  </si>
  <si>
    <t>IMAOHT</t>
  </si>
  <si>
    <t>Primary Aluminum Industry Other Heat Demand</t>
  </si>
  <si>
    <t>IMAOSTM</t>
  </si>
  <si>
    <t>Other Steam from Primary Aluminum CHP</t>
  </si>
  <si>
    <t>IMAPRH</t>
  </si>
  <si>
    <t>Primary Aluminum Industry Process Heat Demand</t>
  </si>
  <si>
    <t>IMASTM</t>
  </si>
  <si>
    <t>Primary Aluminum Industry Steam Demand</t>
  </si>
  <si>
    <t>IMLETC</t>
  </si>
  <si>
    <t>Secondary Aluminum Industry Electrochemical Demand</t>
  </si>
  <si>
    <t>IMLFSTM</t>
  </si>
  <si>
    <t>Fossil Steam from Secondary Aluminum CHP</t>
  </si>
  <si>
    <t>IMLMDR</t>
  </si>
  <si>
    <t>Secondary Aluminum Industry Machine Drive Demand</t>
  </si>
  <si>
    <t>IMLOHT</t>
  </si>
  <si>
    <t>Secondary Aluminum Industry Other Heat Demand</t>
  </si>
  <si>
    <t>IMLOSTM</t>
  </si>
  <si>
    <t>Other Steam from Secondary Aluminum CHP</t>
  </si>
  <si>
    <t>IMLPRH</t>
  </si>
  <si>
    <t>Secondary Aluminum Industry Process Heat Demand</t>
  </si>
  <si>
    <t>IMLSTM</t>
  </si>
  <si>
    <t>Secondary Aluminum Industry Steam Demand</t>
  </si>
  <si>
    <t>IMOETC</t>
  </si>
  <si>
    <t>Other Metals Industry Electrochemical Demand</t>
  </si>
  <si>
    <t>IMOFAC</t>
  </si>
  <si>
    <t>Other Metals Industry Facilities Demand</t>
  </si>
  <si>
    <t>IMOFEED</t>
  </si>
  <si>
    <t>Other Metals Industry Feedstock Demand</t>
  </si>
  <si>
    <t>IMOFSTM</t>
  </si>
  <si>
    <t>Fossil Steam from Other Metals CHP</t>
  </si>
  <si>
    <t>IMOMDR</t>
  </si>
  <si>
    <t>Other Metals Industry Machine Drive Demand</t>
  </si>
  <si>
    <t>IMOOHT</t>
  </si>
  <si>
    <t>Other Metals Industry Other Heat Demand</t>
  </si>
  <si>
    <t>IMOOSTM</t>
  </si>
  <si>
    <t>Other Steam from Other Metals CHP</t>
  </si>
  <si>
    <t>IMOPRH</t>
  </si>
  <si>
    <t>Other Metals Industry Process Heat Demand</t>
  </si>
  <si>
    <t>IMOSTM</t>
  </si>
  <si>
    <t>Other Metals Industry Steam Demand</t>
  </si>
  <si>
    <t>IMSETC</t>
  </si>
  <si>
    <t>Primary Steel Industry Electrochemical Demand</t>
  </si>
  <si>
    <t>IMSFAC</t>
  </si>
  <si>
    <t>Primary Steel Industry Facilities Demand</t>
  </si>
  <si>
    <t>IMSFEED</t>
  </si>
  <si>
    <t>Primary Steel Industry Feedstock Demand</t>
  </si>
  <si>
    <t>IMSFSTM</t>
  </si>
  <si>
    <t>Fossil Steam from Primary Steel CHP</t>
  </si>
  <si>
    <t>IMSMDR</t>
  </si>
  <si>
    <t>Primary Steel Industry Machine Drive Demand</t>
  </si>
  <si>
    <t>IMSOHT</t>
  </si>
  <si>
    <t>Primary Steel Industry Other Heat Demand</t>
  </si>
  <si>
    <t>IMSOSTM</t>
  </si>
  <si>
    <t>Other Steam from Primary Steel CHP</t>
  </si>
  <si>
    <t>IMSPRH</t>
  </si>
  <si>
    <t>Primary Steel Industry Process Heat Demand</t>
  </si>
  <si>
    <t>IMSSTM</t>
  </si>
  <si>
    <t>Primary Steel Industry Steam Demand</t>
  </si>
  <si>
    <t>IMTETC</t>
  </si>
  <si>
    <t>Secondary Steel Industry Electrochemical Demand</t>
  </si>
  <si>
    <t>IMTFAC</t>
  </si>
  <si>
    <t>Secondary Steel Industry Facilities Demand</t>
  </si>
  <si>
    <t>IMTFEED</t>
  </si>
  <si>
    <t>Secondary Steel Industry Feedstock Demand</t>
  </si>
  <si>
    <t>IMTFSTM</t>
  </si>
  <si>
    <t>Fossil Steam from Secondary Steel CHP</t>
  </si>
  <si>
    <t>IMTMDR</t>
  </si>
  <si>
    <t>Secondary Steel Industry Machine Drive Demand</t>
  </si>
  <si>
    <t>IMTOHT</t>
  </si>
  <si>
    <t>Secondary Steel Industry Other Heat Demand</t>
  </si>
  <si>
    <t>IMTOSTM</t>
  </si>
  <si>
    <t>Other Steam from Secondary Steel CHP</t>
  </si>
  <si>
    <t>IMTPRH</t>
  </si>
  <si>
    <t>Secondary Steel Industry Process Heat Demand</t>
  </si>
  <si>
    <t>IMTSTM</t>
  </si>
  <si>
    <t>Secondary Steel Industry Steam Demand</t>
  </si>
  <si>
    <t>INCFAC</t>
  </si>
  <si>
    <t>Cement Facilities Demand</t>
  </si>
  <si>
    <t>INCFEED</t>
  </si>
  <si>
    <t>Cement Feedstock Demand</t>
  </si>
  <si>
    <t>INCFSTM</t>
  </si>
  <si>
    <t>Fossil Steam from Cement CHP</t>
  </si>
  <si>
    <t>INCMDR</t>
  </si>
  <si>
    <t>Cement Machine Drive Demand</t>
  </si>
  <si>
    <t>INCOHT</t>
  </si>
  <si>
    <t>Cement Other Heat Demand</t>
  </si>
  <si>
    <t>INCOSTM</t>
  </si>
  <si>
    <t>Other Steam from Cement CHP</t>
  </si>
  <si>
    <t>INCPRH</t>
  </si>
  <si>
    <t>Cement Process Heat Demand</t>
  </si>
  <si>
    <t>INCSTM</t>
  </si>
  <si>
    <t>Cement Steam Demand</t>
  </si>
  <si>
    <t>INGFAC</t>
  </si>
  <si>
    <t>Glass Facilities Demand</t>
  </si>
  <si>
    <t>INGFEED</t>
  </si>
  <si>
    <t>Glass Feedstock Demand</t>
  </si>
  <si>
    <t>INGFSTM</t>
  </si>
  <si>
    <t>Fossil Steam from Glass CHP</t>
  </si>
  <si>
    <t>INGMDR</t>
  </si>
  <si>
    <t>Glass Machine Drive Demand</t>
  </si>
  <si>
    <t>INGOHT</t>
  </si>
  <si>
    <t>Glass Other Heat Demand</t>
  </si>
  <si>
    <t>INGOSTM</t>
  </si>
  <si>
    <t>Other Steam from Glass CHP</t>
  </si>
  <si>
    <t>INGPRH</t>
  </si>
  <si>
    <t>Glass Process Heat Demand</t>
  </si>
  <si>
    <t>INGSTM</t>
  </si>
  <si>
    <t>Glass Steam Demand</t>
  </si>
  <si>
    <t>INOETC</t>
  </si>
  <si>
    <t>Other Non-Metals Industry Electrochemical Demand</t>
  </si>
  <si>
    <t>INOFAC</t>
  </si>
  <si>
    <t>Other Non-Metals Industry Facilities Demand</t>
  </si>
  <si>
    <t>INOFEED</t>
  </si>
  <si>
    <t>Other Non-Metals Industry Feedstock Demand</t>
  </si>
  <si>
    <t>INOFSTM</t>
  </si>
  <si>
    <t>Fossil Steam from Other Non-Metals CHP</t>
  </si>
  <si>
    <t>INOMDR</t>
  </si>
  <si>
    <t>Other Non-Metals Industry Machine Drive Demand</t>
  </si>
  <si>
    <t>INOOHT</t>
  </si>
  <si>
    <t>Other Non-Metals Industry Other Heat Demand</t>
  </si>
  <si>
    <t>INOOSTM</t>
  </si>
  <si>
    <t>Other Steam from Other Non-Metals CHP</t>
  </si>
  <si>
    <t>INOPRH</t>
  </si>
  <si>
    <t>Other Non-Metals Industry Process Heat Demand</t>
  </si>
  <si>
    <t>INOSTM</t>
  </si>
  <si>
    <t>Other Non-Metals Industry Steam Demand</t>
  </si>
  <si>
    <t>IOTETC</t>
  </si>
  <si>
    <t>Other Industry Electrochemical Demand</t>
  </si>
  <si>
    <t>IOTFAC</t>
  </si>
  <si>
    <t>Other Industry Facilities Demand</t>
  </si>
  <si>
    <t>IOTFEED</t>
  </si>
  <si>
    <t>Other Industry Feedstock Demand</t>
  </si>
  <si>
    <t>IOTFSTM</t>
  </si>
  <si>
    <t>Fossil Steam from Other CHP</t>
  </si>
  <si>
    <t>IOTMDR</t>
  </si>
  <si>
    <t>Other Industry Machine Drive Demand</t>
  </si>
  <si>
    <t>IOTOHT</t>
  </si>
  <si>
    <t>Other Industry Other Heat Demand</t>
  </si>
  <si>
    <t>IOTOSTM</t>
  </si>
  <si>
    <t>Other Steam from Other CHP</t>
  </si>
  <si>
    <t>IOTPRH</t>
  </si>
  <si>
    <t>Other Industry Process Heat Demand</t>
  </si>
  <si>
    <t>IOTSTM</t>
  </si>
  <si>
    <t>Other Industry Steam Demand</t>
  </si>
  <si>
    <t>IPAETC</t>
  </si>
  <si>
    <t>Paper Electrochemical Demand</t>
  </si>
  <si>
    <t>IPAFAC</t>
  </si>
  <si>
    <t>Paper Facilities Demand</t>
  </si>
  <si>
    <t>IPAFSTM</t>
  </si>
  <si>
    <t>Fossil Steam from Paper CHP</t>
  </si>
  <si>
    <t>IPAMDR</t>
  </si>
  <si>
    <t>Paper Machine Drive Demand</t>
  </si>
  <si>
    <t>IPAOHT</t>
  </si>
  <si>
    <t>Paper Other Heat Demand</t>
  </si>
  <si>
    <t>IPAPRH</t>
  </si>
  <si>
    <t>Paper Process Heat Demand</t>
  </si>
  <si>
    <t>IPARSTM</t>
  </si>
  <si>
    <t>Renewable Steam from Paper CHP</t>
  </si>
  <si>
    <t>IPASTM</t>
  </si>
  <si>
    <t>Paper Steam Demand</t>
  </si>
  <si>
    <t>IPBETC</t>
  </si>
  <si>
    <t>Paperboard Electrochemical Demand</t>
  </si>
  <si>
    <t>IPBFAC</t>
  </si>
  <si>
    <t>Paperboard Facilities Demand</t>
  </si>
  <si>
    <t>IPBFEED</t>
  </si>
  <si>
    <t>Paperboard Feedstock Demand</t>
  </si>
  <si>
    <t>IPBFSTM</t>
  </si>
  <si>
    <t>Fossil Steam from Paperboard CHP</t>
  </si>
  <si>
    <t>IPBIO</t>
  </si>
  <si>
    <t>Biomass to Pulp and Paper</t>
  </si>
  <si>
    <t>IPBMDR</t>
  </si>
  <si>
    <t>Paperboard Machine Drive Demand</t>
  </si>
  <si>
    <t>IPBOHT</t>
  </si>
  <si>
    <t>Paperboard Other Heat Demand</t>
  </si>
  <si>
    <t>IPBPRH</t>
  </si>
  <si>
    <t>Paperboard Process Heat Demand</t>
  </si>
  <si>
    <t>IPBRSTM</t>
  </si>
  <si>
    <t>Renewable Steam from Paperboard CHP</t>
  </si>
  <si>
    <t>IPBSTM</t>
  </si>
  <si>
    <t>Paperboard Steam Demand</t>
  </si>
  <si>
    <t>IPLFAC</t>
  </si>
  <si>
    <t>Pulp Facilities Demand</t>
  </si>
  <si>
    <t>IPLFSTM</t>
  </si>
  <si>
    <t>Fossil Steam from Pulp CHP</t>
  </si>
  <si>
    <t>IPLMDR</t>
  </si>
  <si>
    <t>Pulp Machine Drive Demand</t>
  </si>
  <si>
    <t>IPLOHT</t>
  </si>
  <si>
    <t>Pulp Other Heat Demand</t>
  </si>
  <si>
    <t>IPLPRH</t>
  </si>
  <si>
    <t>Pulp Process Heat Demand</t>
  </si>
  <si>
    <t>IPLRSTM</t>
  </si>
  <si>
    <t>Renewable Steam from Pulp CHP</t>
  </si>
  <si>
    <t>IPLSTM</t>
  </si>
  <si>
    <t>Pulp Steam Demand</t>
  </si>
  <si>
    <t>IPOFAC</t>
  </si>
  <si>
    <t>Other Paper Facilities Demand</t>
  </si>
  <si>
    <t>IPOFSTM</t>
  </si>
  <si>
    <t>Fossil Steam from Other Pulp and Paper CHP</t>
  </si>
  <si>
    <t>IPOMDR</t>
  </si>
  <si>
    <t>Other Paper Machine Drive Demand</t>
  </si>
  <si>
    <t>IPOOHT</t>
  </si>
  <si>
    <t>Other Paper Other Heat Demand</t>
  </si>
  <si>
    <t>IPOPRH</t>
  </si>
  <si>
    <t>Other Paper Process Heat Demand</t>
  </si>
  <si>
    <t>IPORSTM</t>
  </si>
  <si>
    <t>Renewable Steam from Other Pulp and Paper CHP</t>
  </si>
  <si>
    <t>IPOSTM</t>
  </si>
  <si>
    <t>Other Paper Steam Demand</t>
  </si>
  <si>
    <t>INDELCCA</t>
  </si>
  <si>
    <t>Industrial Electricity used in Ag Chemicals</t>
  </si>
  <si>
    <t>INDELCCI</t>
  </si>
  <si>
    <t>Industrial Electricity used in Inorganic Chemicals</t>
  </si>
  <si>
    <t>INDELCCO</t>
  </si>
  <si>
    <t>Industrial Electricity used in Organic Chemicals</t>
  </si>
  <si>
    <t>INDELCCP</t>
  </si>
  <si>
    <t>Industrial Electricity used in PFR</t>
  </si>
  <si>
    <t>INDELCCT</t>
  </si>
  <si>
    <t>Industrial Electricity used in Other Chemicals</t>
  </si>
  <si>
    <t>INDELCFD</t>
  </si>
  <si>
    <t>Industrial Electricity used in Food</t>
  </si>
  <si>
    <t>INDELCMA</t>
  </si>
  <si>
    <t>Industrial Electricity used in Primary Aluminum</t>
  </si>
  <si>
    <t>INDELCML</t>
  </si>
  <si>
    <t>Industrial Electricity used in Secondary Aluminum</t>
  </si>
  <si>
    <t>INDELCMO</t>
  </si>
  <si>
    <t>Industrial Electricity used in Other Metals</t>
  </si>
  <si>
    <t>INDELCMS</t>
  </si>
  <si>
    <t>Industrial Electricity used in Primary Steel</t>
  </si>
  <si>
    <t>INDELCMT</t>
  </si>
  <si>
    <t>Industrial Electricity used in Secondary Steel</t>
  </si>
  <si>
    <t>INDELCNC</t>
  </si>
  <si>
    <t>Industrial Electricity used in Cement</t>
  </si>
  <si>
    <t>INDELCNG</t>
  </si>
  <si>
    <t>Industrial Electricity used in Glass</t>
  </si>
  <si>
    <t>INDELCNO</t>
  </si>
  <si>
    <t>Industrial Electricity used in Other Non-Metals</t>
  </si>
  <si>
    <t>INDELCOT</t>
  </si>
  <si>
    <t>Industrial Electricity used in Other</t>
  </si>
  <si>
    <t>INDELCPA</t>
  </si>
  <si>
    <t>Industrial Electricity used in Paper</t>
  </si>
  <si>
    <t>INDELCPB</t>
  </si>
  <si>
    <t>Industrial Electricity used in Paperboard</t>
  </si>
  <si>
    <t>INDELCPL</t>
  </si>
  <si>
    <t>Industrial Electricity used in Pulp</t>
  </si>
  <si>
    <t>INDELCPO</t>
  </si>
  <si>
    <t>Industrial Electricity used in Other Pulp and Paper</t>
  </si>
  <si>
    <t>CACHPELC</t>
  </si>
  <si>
    <t>Electricity from Ag Chemicals CHP</t>
  </si>
  <si>
    <t>CICHPELC</t>
  </si>
  <si>
    <t>Electricity from Inorganic Chemicals CHP</t>
  </si>
  <si>
    <t>COCHPELC</t>
  </si>
  <si>
    <t>Electricity from Organic Chemicals CHP</t>
  </si>
  <si>
    <t>CPCHPELC</t>
  </si>
  <si>
    <t>Electricity from PFR CHP</t>
  </si>
  <si>
    <t>CTCHPELC</t>
  </si>
  <si>
    <t>Electricity from Other Chemicals CHP</t>
  </si>
  <si>
    <t>FDCHPELC</t>
  </si>
  <si>
    <t>Electricity from Food CHP</t>
  </si>
  <si>
    <t>MACHPELC</t>
  </si>
  <si>
    <t>Electricity from Primary Aluminum CHP</t>
  </si>
  <si>
    <t>MLCHPELC</t>
  </si>
  <si>
    <t>Electricity from Secondary Aluminum CHP</t>
  </si>
  <si>
    <t>MOCHPELC</t>
  </si>
  <si>
    <t>Electricity from Other Metals CHP</t>
  </si>
  <si>
    <t>MSCHPELC</t>
  </si>
  <si>
    <t>Electricity from Primary Steel CHP</t>
  </si>
  <si>
    <t>MTCHPELC</t>
  </si>
  <si>
    <t>Electricity from Secondary Steel CHP</t>
  </si>
  <si>
    <t>NCCHPELC</t>
  </si>
  <si>
    <t>Electricity from Cement CHP</t>
  </si>
  <si>
    <t>NGCHPELC</t>
  </si>
  <si>
    <t>Electricity from Glass CHP</t>
  </si>
  <si>
    <t>NOCHPELC</t>
  </si>
  <si>
    <t>Electricity from Other Non-Metals CHP</t>
  </si>
  <si>
    <t>OTCHPELC</t>
  </si>
  <si>
    <t>Electricity from Other CHP</t>
  </si>
  <si>
    <t>PACHPELC</t>
  </si>
  <si>
    <t>Electricity from Paper CHP</t>
  </si>
  <si>
    <t>PBCHPELC</t>
  </si>
  <si>
    <t>Electricity from Paperboard CHP</t>
  </si>
  <si>
    <t>PLCHPELC</t>
  </si>
  <si>
    <t>Electricity from Pulp CHP</t>
  </si>
  <si>
    <t>POCHPELC</t>
  </si>
  <si>
    <t>Electricity from Other Pulp and Paper CHP</t>
  </si>
  <si>
    <t>ICA</t>
  </si>
  <si>
    <t>Ag Chemicals Industry End Demand</t>
  </si>
  <si>
    <t>ICI</t>
  </si>
  <si>
    <t>Inorganic Chemicals Industry End Demand</t>
  </si>
  <si>
    <t>ICO</t>
  </si>
  <si>
    <t>Organic Chemicals Industry End Demand</t>
  </si>
  <si>
    <t>ICP</t>
  </si>
  <si>
    <t>PFR Industry End Demand</t>
  </si>
  <si>
    <t>ICT</t>
  </si>
  <si>
    <t>Other Chemicals Industry End Demand</t>
  </si>
  <si>
    <t>IFD</t>
  </si>
  <si>
    <t>Food Industry End Demand</t>
  </si>
  <si>
    <t>IMA</t>
  </si>
  <si>
    <t>Primary Aluminum Industry End Demand</t>
  </si>
  <si>
    <t>IML</t>
  </si>
  <si>
    <t>Secondary Aluminum Industry End Demand</t>
  </si>
  <si>
    <t>IMO</t>
  </si>
  <si>
    <t>Other Metals Industry End Demand</t>
  </si>
  <si>
    <t>IMS</t>
  </si>
  <si>
    <t>Primary Steel Industry End Demand</t>
  </si>
  <si>
    <t>IMT</t>
  </si>
  <si>
    <t>Secondary Steel Industry End Demand</t>
  </si>
  <si>
    <t>INC</t>
  </si>
  <si>
    <t>Cement Industry End Demand</t>
  </si>
  <si>
    <t>INO</t>
  </si>
  <si>
    <t>Other Non-Metals Industry End Demand</t>
  </si>
  <si>
    <t>IOT</t>
  </si>
  <si>
    <t>Other Industry End Demand</t>
  </si>
  <si>
    <t>IPA</t>
  </si>
  <si>
    <t>Paper Industry End Demand</t>
  </si>
  <si>
    <t>IPB</t>
  </si>
  <si>
    <t>Paperboard Industry End Demand</t>
  </si>
  <si>
    <t>IPL</t>
  </si>
  <si>
    <t>Pulp Industry End Demand</t>
  </si>
  <si>
    <t>IPO</t>
  </si>
  <si>
    <t>Other Pulp and Paper Industry End Demand</t>
  </si>
  <si>
    <t>IXNONM</t>
  </si>
  <si>
    <t>Aggregate Non-Manufacturing Demand</t>
  </si>
  <si>
    <t>ING</t>
  </si>
  <si>
    <t>Glass Industry End Demand</t>
  </si>
  <si>
    <t>~Answer_Template</t>
  </si>
  <si>
    <t>RESBC</t>
  </si>
  <si>
    <t>RESOC</t>
  </si>
  <si>
    <t>RESELC</t>
  </si>
  <si>
    <t>Electricity to Residential Sector</t>
  </si>
  <si>
    <t>AuxSto</t>
  </si>
  <si>
    <t>dummy commodity to model storage output in Ucs</t>
  </si>
  <si>
    <t>ANNUAL</t>
  </si>
  <si>
    <t>ELCH2</t>
  </si>
  <si>
    <t>electricity to H2</t>
  </si>
  <si>
    <t>TBH2</t>
  </si>
  <si>
    <t>H2 to TB</t>
  </si>
  <si>
    <t>TCH2</t>
  </si>
  <si>
    <t>H2 to TC</t>
  </si>
  <si>
    <t>TMH2</t>
  </si>
  <si>
    <t>H2 to TM</t>
  </si>
  <si>
    <t>TMELC</t>
  </si>
  <si>
    <t>ELC to TM</t>
  </si>
  <si>
    <t>TCELC</t>
  </si>
  <si>
    <t>ELC to TC</t>
  </si>
  <si>
    <t>TBELC</t>
  </si>
  <si>
    <t>ELC to TB</t>
  </si>
  <si>
    <t>TBT</t>
  </si>
  <si>
    <t>TBS</t>
  </si>
  <si>
    <t>TRN.BUS.TRANSIT</t>
  </si>
  <si>
    <t>TRN.BUS.SCHOOL</t>
  </si>
  <si>
    <t>TBLPG</t>
  </si>
  <si>
    <t>LPG to Buses</t>
  </si>
  <si>
    <t>TCLPG</t>
  </si>
  <si>
    <t>TMLPG</t>
  </si>
  <si>
    <t>LPG to Medium-Duty</t>
  </si>
  <si>
    <t>TBCO2</t>
  </si>
  <si>
    <t>Trn Bus CO2 Emissions</t>
  </si>
  <si>
    <t>TCCO2</t>
  </si>
  <si>
    <t>Trn Commercial Truck CO2 Emissions</t>
  </si>
  <si>
    <t>TLCO2</t>
  </si>
  <si>
    <t>Trn LDV CO2 Emissions</t>
  </si>
  <si>
    <t>TMCO2</t>
  </si>
  <si>
    <t>Trn Medium-Duty CO2 Emissions</t>
  </si>
  <si>
    <t>TOCO2</t>
  </si>
  <si>
    <t>Trn OffRoad CO2 Emissions</t>
  </si>
  <si>
    <t>SOL,ELCHYD,WND,ELCGEO</t>
  </si>
  <si>
    <t>RNWELC</t>
  </si>
  <si>
    <t>renewable ELC</t>
  </si>
  <si>
    <t>TRELC</t>
  </si>
  <si>
    <t>TSELC</t>
  </si>
  <si>
    <t>TAELC</t>
  </si>
  <si>
    <t>ELC to TA</t>
  </si>
  <si>
    <t>ELC to TS</t>
  </si>
  <si>
    <t>TRH2</t>
  </si>
  <si>
    <t>TSH2</t>
  </si>
  <si>
    <t>H2 to TS</t>
  </si>
  <si>
    <t>TLCHGELC</t>
  </si>
  <si>
    <t>TCCHGELC</t>
  </si>
  <si>
    <t>TMCHGELC</t>
  </si>
  <si>
    <t>TBCHGELC</t>
  </si>
  <si>
    <t>SCTLELC to charger</t>
  </si>
  <si>
    <t>SCTCELC to charger</t>
  </si>
  <si>
    <t>SCTMELC to charger</t>
  </si>
  <si>
    <t>SCTBELC to charger</t>
  </si>
  <si>
    <t>TAH2</t>
  </si>
  <si>
    <t>H2 to TA</t>
  </si>
  <si>
    <t>COMCO2E</t>
  </si>
  <si>
    <t>Commercial CO2E Emissions</t>
  </si>
  <si>
    <t>ELCCO2E</t>
  </si>
  <si>
    <t>Electric Sector CO2E Emissions</t>
  </si>
  <si>
    <t>INDCO2E</t>
  </si>
  <si>
    <t>Industrial CO2E emissions</t>
  </si>
  <si>
    <t>REFCO2E</t>
  </si>
  <si>
    <t>Refinery CO2E Emissions</t>
  </si>
  <si>
    <t>RESCO2E</t>
  </si>
  <si>
    <t>Residential CO2E Emissions</t>
  </si>
  <si>
    <t>RSSCO2E</t>
  </si>
  <si>
    <t>Resource Supply CO2E Emissions</t>
  </si>
  <si>
    <t>TRNCO2E</t>
  </si>
  <si>
    <t>Transportation CO2E Emissions</t>
  </si>
  <si>
    <t>TRNCO2</t>
  </si>
  <si>
    <t>Transportation CO2 Emissions</t>
  </si>
  <si>
    <t>*10</t>
  </si>
  <si>
    <t>CAPCO2</t>
  </si>
  <si>
    <t>CO2 captured through DAC</t>
  </si>
  <si>
    <t>INDGEOCO2S</t>
  </si>
  <si>
    <t>Geological Sequestration for CO2</t>
  </si>
  <si>
    <t>CAPH2OC</t>
  </si>
  <si>
    <t>DAC Water Withdrawn</t>
  </si>
  <si>
    <t>RNWELC2</t>
  </si>
  <si>
    <t>renewable ELC all techs</t>
  </si>
  <si>
    <t>*ELC</t>
  </si>
  <si>
    <t>~TFM_COMGRP</t>
  </si>
  <si>
    <t>Name</t>
  </si>
  <si>
    <t>CSET_CN</t>
  </si>
  <si>
    <t>AllREgions</t>
  </si>
  <si>
    <t>ELC_all</t>
  </si>
  <si>
    <t>ELC,RNWELC*</t>
  </si>
  <si>
    <t>Y</t>
  </si>
  <si>
    <t>THSB20X</t>
  </si>
  <si>
    <t>THLB20X</t>
  </si>
  <si>
    <t>THSCNG</t>
  </si>
  <si>
    <t>THLCNG</t>
  </si>
  <si>
    <t>THSDSL</t>
  </si>
  <si>
    <t>THLDSL</t>
  </si>
  <si>
    <t>B20X to THS</t>
  </si>
  <si>
    <t>B20X to THL</t>
  </si>
  <si>
    <t>CNG to Heavy Duty Short Haul Trucks</t>
  </si>
  <si>
    <t>CNG to Heavy Duty Long Haul Trucks</t>
  </si>
  <si>
    <t>Diesel to heavy duty short haul trucks</t>
  </si>
  <si>
    <t>Diesel to heavy duty long haul trucks</t>
  </si>
  <si>
    <t>THSELC</t>
  </si>
  <si>
    <t>THLELC</t>
  </si>
  <si>
    <t>ELC to THS</t>
  </si>
  <si>
    <t>ELC to THL</t>
  </si>
  <si>
    <t>THSCHGELC</t>
  </si>
  <si>
    <t>SCTHSELC to charger</t>
  </si>
  <si>
    <t>THLCHGELC</t>
  </si>
  <si>
    <t>SCTHLELC to charger</t>
  </si>
  <si>
    <t>THSH2</t>
  </si>
  <si>
    <t>H2 to THS</t>
  </si>
  <si>
    <t>THLH2</t>
  </si>
  <si>
    <t>H2 to THL</t>
  </si>
  <si>
    <t>THSLPG</t>
  </si>
  <si>
    <t>LPG to Heavy-Duty Short Haul</t>
  </si>
  <si>
    <t>THS</t>
  </si>
  <si>
    <t>TRN.TRUCK.HDV.SHORTHAUL</t>
  </si>
  <si>
    <t>THL</t>
  </si>
  <si>
    <t>TRN.TRUCK.HDV.LONGHAUL</t>
  </si>
  <si>
    <t>*ENV</t>
  </si>
  <si>
    <t>TRNEC</t>
  </si>
  <si>
    <t>Transportation EC Emissions</t>
  </si>
  <si>
    <t>THSCO2</t>
  </si>
  <si>
    <t>Trn Heavy-Duty Short Haul CO2 Emissions</t>
  </si>
  <si>
    <t>THLCO2</t>
  </si>
  <si>
    <t>Trn Heavy-Duty Long Haul CO2 Emissions</t>
  </si>
  <si>
    <t>*NRG</t>
  </si>
  <si>
    <t>THSGSL</t>
  </si>
  <si>
    <t>GSL to THS</t>
  </si>
  <si>
    <t>THLGSL</t>
  </si>
  <si>
    <t>GSL to THL</t>
  </si>
  <si>
    <t>14P2080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</si>
</sst>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.00"/>
    <numFmt numFmtId="167" formatCode="#."/>
    <numFmt numFmtId="168" formatCode="m\o\n\th\ d\,\ yyyy"/>
    <numFmt numFmtId="169" formatCode="_([$€]* #,##0.00_);_([$€]* \(#,##0.00\);_([$€]* &quot;-&quot;??_);_(@_)"/>
    <numFmt numFmtId="170" formatCode="0.0%"/>
    <numFmt numFmtId="171" formatCode="\(##\);\(##\)"/>
    <numFmt numFmtId="172" formatCode="#,##0.0"/>
    <numFmt numFmtId="173" formatCode="_-[$€-2]\ * #,##0.00_-;\-[$€-2]\ * #,##0.00_-;_-[$€-2]\ * &quot;-&quot;??_-"/>
    <numFmt numFmtId="174" formatCode="#,##0;\-\ #,##0;_-\ &quot;- &quot;"/>
    <numFmt numFmtId="175" formatCode="\Te\x\t"/>
    <numFmt numFmtId="176" formatCode="0.0000"/>
    <numFmt numFmtId="177" formatCode="yyyy"/>
  </numFmts>
  <fonts count="113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Courier"/>
      <family val="3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11"/>
      <name val="Arial"/>
      <family val="2"/>
    </font>
    <font>
      <sz val="10"/>
      <color indexed="9"/>
      <name val="Arial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0"/>
      <color indexed="20"/>
      <name val="Arial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MS Sans Serif"/>
      <family val="2"/>
    </font>
    <font>
      <sz val="10"/>
      <name val="Verdana"/>
      <family val="2"/>
    </font>
    <font>
      <sz val="10"/>
      <name val="MS Sans Serif"/>
    </font>
    <font>
      <u/>
      <sz val="11"/>
      <color indexed="12"/>
      <name val="Calibri"/>
      <family val="2"/>
    </font>
    <font>
      <sz val="12"/>
      <name val="Helv"/>
    </font>
    <font>
      <sz val="10"/>
      <color indexed="60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sz val="9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2"/>
      <color theme="4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theme="3"/>
      <name val="Arial"/>
      <family val="2"/>
    </font>
    <font>
      <b/>
      <sz val="10"/>
      <color theme="4" tint="-0.249977111117893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8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rgb="FF0096D7"/>
      </top>
      <bottom/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19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69" fillId="44" borderId="0" applyNumberFormat="0" applyBorder="0" applyAlignment="0" applyProtection="0"/>
    <xf numFmtId="0" fontId="13" fillId="2" borderId="0" applyNumberFormat="0" applyBorder="0" applyAlignment="0" applyProtection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13" fillId="3" borderId="0" applyNumberFormat="0" applyBorder="0" applyAlignment="0" applyProtection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70" fillId="44" borderId="0" applyNumberFormat="0" applyBorder="0" applyAlignment="0" applyProtection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69" fillId="45" borderId="0" applyNumberFormat="0" applyBorder="0" applyAlignment="0" applyProtection="0"/>
    <xf numFmtId="0" fontId="13" fillId="4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13" fillId="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70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69" fillId="46" borderId="0" applyNumberFormat="0" applyBorder="0" applyAlignment="0" applyProtection="0"/>
    <xf numFmtId="0" fontId="13" fillId="6" borderId="0" applyNumberFormat="0" applyBorder="0" applyAlignment="0" applyProtection="0"/>
    <xf numFmtId="0" fontId="69" fillId="46" borderId="0" applyNumberFormat="0" applyBorder="0" applyAlignment="0" applyProtection="0"/>
    <xf numFmtId="0" fontId="69" fillId="46" borderId="0" applyNumberFormat="0" applyBorder="0" applyAlignment="0" applyProtection="0"/>
    <xf numFmtId="0" fontId="69" fillId="46" borderId="0" applyNumberFormat="0" applyBorder="0" applyAlignment="0" applyProtection="0"/>
    <xf numFmtId="0" fontId="13" fillId="7" borderId="0" applyNumberFormat="0" applyBorder="0" applyAlignment="0" applyProtection="0"/>
    <xf numFmtId="0" fontId="69" fillId="46" borderId="0" applyNumberFormat="0" applyBorder="0" applyAlignment="0" applyProtection="0"/>
    <xf numFmtId="0" fontId="69" fillId="46" borderId="0" applyNumberFormat="0" applyBorder="0" applyAlignment="0" applyProtection="0"/>
    <xf numFmtId="0" fontId="69" fillId="46" borderId="0" applyNumberFormat="0" applyBorder="0" applyAlignment="0" applyProtection="0"/>
    <xf numFmtId="0" fontId="70" fillId="46" borderId="0" applyNumberFormat="0" applyBorder="0" applyAlignment="0" applyProtection="0"/>
    <xf numFmtId="0" fontId="69" fillId="46" borderId="0" applyNumberFormat="0" applyBorder="0" applyAlignment="0" applyProtection="0"/>
    <xf numFmtId="0" fontId="69" fillId="46" borderId="0" applyNumberFormat="0" applyBorder="0" applyAlignment="0" applyProtection="0"/>
    <xf numFmtId="0" fontId="69" fillId="46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69" fillId="47" borderId="0" applyNumberFormat="0" applyBorder="0" applyAlignment="0" applyProtection="0"/>
    <xf numFmtId="0" fontId="13" fillId="8" borderId="0" applyNumberFormat="0" applyBorder="0" applyAlignment="0" applyProtection="0"/>
    <xf numFmtId="0" fontId="69" fillId="47" borderId="0" applyNumberFormat="0" applyBorder="0" applyAlignment="0" applyProtection="0"/>
    <xf numFmtId="0" fontId="69" fillId="47" borderId="0" applyNumberFormat="0" applyBorder="0" applyAlignment="0" applyProtection="0"/>
    <xf numFmtId="0" fontId="69" fillId="47" borderId="0" applyNumberFormat="0" applyBorder="0" applyAlignment="0" applyProtection="0"/>
    <xf numFmtId="0" fontId="13" fillId="9" borderId="0" applyNumberFormat="0" applyBorder="0" applyAlignment="0" applyProtection="0"/>
    <xf numFmtId="0" fontId="69" fillId="47" borderId="0" applyNumberFormat="0" applyBorder="0" applyAlignment="0" applyProtection="0"/>
    <xf numFmtId="0" fontId="69" fillId="47" borderId="0" applyNumberFormat="0" applyBorder="0" applyAlignment="0" applyProtection="0"/>
    <xf numFmtId="0" fontId="69" fillId="47" borderId="0" applyNumberFormat="0" applyBorder="0" applyAlignment="0" applyProtection="0"/>
    <xf numFmtId="0" fontId="70" fillId="47" borderId="0" applyNumberFormat="0" applyBorder="0" applyAlignment="0" applyProtection="0"/>
    <xf numFmtId="0" fontId="69" fillId="47" borderId="0" applyNumberFormat="0" applyBorder="0" applyAlignment="0" applyProtection="0"/>
    <xf numFmtId="0" fontId="69" fillId="47" borderId="0" applyNumberFormat="0" applyBorder="0" applyAlignment="0" applyProtection="0"/>
    <xf numFmtId="0" fontId="69" fillId="47" borderId="0" applyNumberFormat="0" applyBorder="0" applyAlignment="0" applyProtection="0"/>
    <xf numFmtId="0" fontId="69" fillId="48" borderId="0" applyNumberFormat="0" applyBorder="0" applyAlignment="0" applyProtection="0"/>
    <xf numFmtId="0" fontId="13" fillId="10" borderId="0" applyNumberFormat="0" applyBorder="0" applyAlignment="0" applyProtection="0"/>
    <xf numFmtId="0" fontId="69" fillId="48" borderId="0" applyNumberFormat="0" applyBorder="0" applyAlignment="0" applyProtection="0"/>
    <xf numFmtId="0" fontId="13" fillId="10" borderId="0" applyNumberFormat="0" applyBorder="0" applyAlignment="0" applyProtection="0"/>
    <xf numFmtId="0" fontId="69" fillId="48" borderId="0" applyNumberFormat="0" applyBorder="0" applyAlignment="0" applyProtection="0"/>
    <xf numFmtId="0" fontId="69" fillId="48" borderId="0" applyNumberFormat="0" applyBorder="0" applyAlignment="0" applyProtection="0"/>
    <xf numFmtId="0" fontId="69" fillId="48" borderId="0" applyNumberFormat="0" applyBorder="0" applyAlignment="0" applyProtection="0"/>
    <xf numFmtId="0" fontId="69" fillId="48" borderId="0" applyNumberFormat="0" applyBorder="0" applyAlignment="0" applyProtection="0"/>
    <xf numFmtId="0" fontId="69" fillId="48" borderId="0" applyNumberFormat="0" applyBorder="0" applyAlignment="0" applyProtection="0"/>
    <xf numFmtId="0" fontId="69" fillId="48" borderId="0" applyNumberFormat="0" applyBorder="0" applyAlignment="0" applyProtection="0"/>
    <xf numFmtId="0" fontId="70" fillId="48" borderId="0" applyNumberFormat="0" applyBorder="0" applyAlignment="0" applyProtection="0"/>
    <xf numFmtId="0" fontId="69" fillId="48" borderId="0" applyNumberFormat="0" applyBorder="0" applyAlignment="0" applyProtection="0"/>
    <xf numFmtId="0" fontId="69" fillId="48" borderId="0" applyNumberFormat="0" applyBorder="0" applyAlignment="0" applyProtection="0"/>
    <xf numFmtId="0" fontId="69" fillId="49" borderId="0" applyNumberFormat="0" applyBorder="0" applyAlignment="0" applyProtection="0"/>
    <xf numFmtId="0" fontId="13" fillId="9" borderId="0" applyNumberFormat="0" applyBorder="0" applyAlignment="0" applyProtection="0"/>
    <xf numFmtId="0" fontId="13" fillId="7" borderId="0" applyNumberFormat="0" applyBorder="0" applyAlignment="0" applyProtection="0"/>
    <xf numFmtId="0" fontId="69" fillId="49" borderId="0" applyNumberFormat="0" applyBorder="0" applyAlignment="0" applyProtection="0"/>
    <xf numFmtId="0" fontId="13" fillId="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13" fillId="7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70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49" borderId="0" applyNumberFormat="0" applyBorder="0" applyAlignment="0" applyProtection="0"/>
    <xf numFmtId="0" fontId="69" fillId="50" borderId="0" applyNumberFormat="0" applyBorder="0" applyAlignment="0" applyProtection="0"/>
    <xf numFmtId="0" fontId="13" fillId="3" borderId="0" applyNumberFormat="0" applyBorder="0" applyAlignment="0" applyProtection="0"/>
    <xf numFmtId="0" fontId="13" fillId="10" borderId="0" applyNumberFormat="0" applyBorder="0" applyAlignment="0" applyProtection="0"/>
    <xf numFmtId="0" fontId="69" fillId="50" borderId="0" applyNumberFormat="0" applyBorder="0" applyAlignment="0" applyProtection="0"/>
    <xf numFmtId="0" fontId="13" fillId="3" borderId="0" applyNumberFormat="0" applyBorder="0" applyAlignment="0" applyProtection="0"/>
    <xf numFmtId="0" fontId="69" fillId="50" borderId="0" applyNumberFormat="0" applyBorder="0" applyAlignment="0" applyProtection="0"/>
    <xf numFmtId="0" fontId="69" fillId="50" borderId="0" applyNumberFormat="0" applyBorder="0" applyAlignment="0" applyProtection="0"/>
    <xf numFmtId="0" fontId="69" fillId="50" borderId="0" applyNumberFormat="0" applyBorder="0" applyAlignment="0" applyProtection="0"/>
    <xf numFmtId="0" fontId="13" fillId="10" borderId="0" applyNumberFormat="0" applyBorder="0" applyAlignment="0" applyProtection="0"/>
    <xf numFmtId="0" fontId="69" fillId="50" borderId="0" applyNumberFormat="0" applyBorder="0" applyAlignment="0" applyProtection="0"/>
    <xf numFmtId="0" fontId="69" fillId="50" borderId="0" applyNumberFormat="0" applyBorder="0" applyAlignment="0" applyProtection="0"/>
    <xf numFmtId="0" fontId="69" fillId="50" borderId="0" applyNumberFormat="0" applyBorder="0" applyAlignment="0" applyProtection="0"/>
    <xf numFmtId="0" fontId="70" fillId="50" borderId="0" applyNumberFormat="0" applyBorder="0" applyAlignment="0" applyProtection="0"/>
    <xf numFmtId="0" fontId="69" fillId="50" borderId="0" applyNumberFormat="0" applyBorder="0" applyAlignment="0" applyProtection="0"/>
    <xf numFmtId="0" fontId="69" fillId="50" borderId="0" applyNumberFormat="0" applyBorder="0" applyAlignment="0" applyProtection="0"/>
    <xf numFmtId="0" fontId="69" fillId="51" borderId="0" applyNumberFormat="0" applyBorder="0" applyAlignment="0" applyProtection="0"/>
    <xf numFmtId="0" fontId="13" fillId="5" borderId="0" applyNumberFormat="0" applyBorder="0" applyAlignment="0" applyProtection="0"/>
    <xf numFmtId="0" fontId="69" fillId="51" borderId="0" applyNumberFormat="0" applyBorder="0" applyAlignment="0" applyProtection="0"/>
    <xf numFmtId="0" fontId="13" fillId="5" borderId="0" applyNumberFormat="0" applyBorder="0" applyAlignment="0" applyProtection="0"/>
    <xf numFmtId="0" fontId="69" fillId="51" borderId="0" applyNumberFormat="0" applyBorder="0" applyAlignment="0" applyProtection="0"/>
    <xf numFmtId="0" fontId="69" fillId="51" borderId="0" applyNumberFormat="0" applyBorder="0" applyAlignment="0" applyProtection="0"/>
    <xf numFmtId="0" fontId="69" fillId="51" borderId="0" applyNumberFormat="0" applyBorder="0" applyAlignment="0" applyProtection="0"/>
    <xf numFmtId="0" fontId="69" fillId="51" borderId="0" applyNumberFormat="0" applyBorder="0" applyAlignment="0" applyProtection="0"/>
    <xf numFmtId="0" fontId="69" fillId="51" borderId="0" applyNumberFormat="0" applyBorder="0" applyAlignment="0" applyProtection="0"/>
    <xf numFmtId="0" fontId="69" fillId="51" borderId="0" applyNumberFormat="0" applyBorder="0" applyAlignment="0" applyProtection="0"/>
    <xf numFmtId="0" fontId="70" fillId="51" borderId="0" applyNumberFormat="0" applyBorder="0" applyAlignment="0" applyProtection="0"/>
    <xf numFmtId="0" fontId="69" fillId="51" borderId="0" applyNumberFormat="0" applyBorder="0" applyAlignment="0" applyProtection="0"/>
    <xf numFmtId="0" fontId="69" fillId="5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69" fillId="52" borderId="0" applyNumberFormat="0" applyBorder="0" applyAlignment="0" applyProtection="0"/>
    <xf numFmtId="0" fontId="13" fillId="11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13" fillId="1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70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53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69" fillId="53" borderId="0" applyNumberFormat="0" applyBorder="0" applyAlignment="0" applyProtection="0"/>
    <xf numFmtId="0" fontId="13" fillId="8" borderId="0" applyNumberFormat="0" applyBorder="0" applyAlignment="0" applyProtection="0"/>
    <xf numFmtId="0" fontId="69" fillId="53" borderId="0" applyNumberFormat="0" applyBorder="0" applyAlignment="0" applyProtection="0"/>
    <xf numFmtId="0" fontId="69" fillId="53" borderId="0" applyNumberFormat="0" applyBorder="0" applyAlignment="0" applyProtection="0"/>
    <xf numFmtId="0" fontId="69" fillId="53" borderId="0" applyNumberFormat="0" applyBorder="0" applyAlignment="0" applyProtection="0"/>
    <xf numFmtId="0" fontId="13" fillId="4" borderId="0" applyNumberFormat="0" applyBorder="0" applyAlignment="0" applyProtection="0"/>
    <xf numFmtId="0" fontId="69" fillId="53" borderId="0" applyNumberFormat="0" applyBorder="0" applyAlignment="0" applyProtection="0"/>
    <xf numFmtId="0" fontId="69" fillId="53" borderId="0" applyNumberFormat="0" applyBorder="0" applyAlignment="0" applyProtection="0"/>
    <xf numFmtId="0" fontId="69" fillId="53" borderId="0" applyNumberFormat="0" applyBorder="0" applyAlignment="0" applyProtection="0"/>
    <xf numFmtId="0" fontId="70" fillId="53" borderId="0" applyNumberFormat="0" applyBorder="0" applyAlignment="0" applyProtection="0"/>
    <xf numFmtId="0" fontId="69" fillId="53" borderId="0" applyNumberFormat="0" applyBorder="0" applyAlignment="0" applyProtection="0"/>
    <xf numFmtId="0" fontId="69" fillId="53" borderId="0" applyNumberFormat="0" applyBorder="0" applyAlignment="0" applyProtection="0"/>
    <xf numFmtId="0" fontId="69" fillId="54" borderId="0" applyNumberFormat="0" applyBorder="0" applyAlignment="0" applyProtection="0"/>
    <xf numFmtId="0" fontId="13" fillId="3" borderId="0" applyNumberFormat="0" applyBorder="0" applyAlignment="0" applyProtection="0"/>
    <xf numFmtId="0" fontId="13" fillId="10" borderId="0" applyNumberFormat="0" applyBorder="0" applyAlignment="0" applyProtection="0"/>
    <xf numFmtId="0" fontId="69" fillId="54" borderId="0" applyNumberFormat="0" applyBorder="0" applyAlignment="0" applyProtection="0"/>
    <xf numFmtId="0" fontId="13" fillId="3" borderId="0" applyNumberFormat="0" applyBorder="0" applyAlignment="0" applyProtection="0"/>
    <xf numFmtId="0" fontId="69" fillId="54" borderId="0" applyNumberFormat="0" applyBorder="0" applyAlignment="0" applyProtection="0"/>
    <xf numFmtId="0" fontId="69" fillId="54" borderId="0" applyNumberFormat="0" applyBorder="0" applyAlignment="0" applyProtection="0"/>
    <xf numFmtId="0" fontId="69" fillId="54" borderId="0" applyNumberFormat="0" applyBorder="0" applyAlignment="0" applyProtection="0"/>
    <xf numFmtId="0" fontId="13" fillId="10" borderId="0" applyNumberFormat="0" applyBorder="0" applyAlignment="0" applyProtection="0"/>
    <xf numFmtId="0" fontId="69" fillId="54" borderId="0" applyNumberFormat="0" applyBorder="0" applyAlignment="0" applyProtection="0"/>
    <xf numFmtId="0" fontId="69" fillId="54" borderId="0" applyNumberFormat="0" applyBorder="0" applyAlignment="0" applyProtection="0"/>
    <xf numFmtId="0" fontId="69" fillId="54" borderId="0" applyNumberFormat="0" applyBorder="0" applyAlignment="0" applyProtection="0"/>
    <xf numFmtId="0" fontId="70" fillId="54" borderId="0" applyNumberFormat="0" applyBorder="0" applyAlignment="0" applyProtection="0"/>
    <xf numFmtId="0" fontId="69" fillId="54" borderId="0" applyNumberFormat="0" applyBorder="0" applyAlignment="0" applyProtection="0"/>
    <xf numFmtId="0" fontId="69" fillId="54" borderId="0" applyNumberFormat="0" applyBorder="0" applyAlignment="0" applyProtection="0"/>
    <xf numFmtId="0" fontId="69" fillId="55" borderId="0" applyNumberFormat="0" applyBorder="0" applyAlignment="0" applyProtection="0"/>
    <xf numFmtId="0" fontId="13" fillId="13" borderId="0" applyNumberFormat="0" applyBorder="0" applyAlignment="0" applyProtection="0"/>
    <xf numFmtId="0" fontId="13" fillId="7" borderId="0" applyNumberFormat="0" applyBorder="0" applyAlignment="0" applyProtection="0"/>
    <xf numFmtId="0" fontId="69" fillId="55" borderId="0" applyNumberFormat="0" applyBorder="0" applyAlignment="0" applyProtection="0"/>
    <xf numFmtId="0" fontId="13" fillId="13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13" fillId="7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70" fillId="55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1" fillId="56" borderId="0" applyNumberFormat="0" applyBorder="0" applyAlignment="0" applyProtection="0"/>
    <xf numFmtId="0" fontId="14" fillId="14" borderId="0" applyNumberFormat="0" applyBorder="0" applyAlignment="0" applyProtection="0"/>
    <xf numFmtId="0" fontId="14" fillId="10" borderId="0" applyNumberFormat="0" applyBorder="0" applyAlignment="0" applyProtection="0"/>
    <xf numFmtId="0" fontId="72" fillId="56" borderId="0" applyNumberFormat="0" applyBorder="0" applyAlignment="0" applyProtection="0"/>
    <xf numFmtId="0" fontId="14" fillId="14" borderId="0" applyNumberFormat="0" applyBorder="0" applyAlignment="0" applyProtection="0"/>
    <xf numFmtId="0" fontId="14" fillId="10" borderId="0" applyNumberFormat="0" applyBorder="0" applyAlignment="0" applyProtection="0"/>
    <xf numFmtId="0" fontId="71" fillId="57" borderId="0" applyNumberFormat="0" applyBorder="0" applyAlignment="0" applyProtection="0"/>
    <xf numFmtId="0" fontId="14" fillId="5" borderId="0" applyNumberFormat="0" applyBorder="0" applyAlignment="0" applyProtection="0"/>
    <xf numFmtId="0" fontId="14" fillId="15" borderId="0" applyNumberFormat="0" applyBorder="0" applyAlignment="0" applyProtection="0"/>
    <xf numFmtId="0" fontId="72" fillId="57" borderId="0" applyNumberFormat="0" applyBorder="0" applyAlignment="0" applyProtection="0"/>
    <xf numFmtId="0" fontId="14" fillId="5" borderId="0" applyNumberFormat="0" applyBorder="0" applyAlignment="0" applyProtection="0"/>
    <xf numFmtId="0" fontId="14" fillId="15" borderId="0" applyNumberFormat="0" applyBorder="0" applyAlignment="0" applyProtection="0"/>
    <xf numFmtId="0" fontId="14" fillId="11" borderId="0" applyNumberFormat="0" applyBorder="0" applyAlignment="0" applyProtection="0"/>
    <xf numFmtId="0" fontId="14" fillId="13" borderId="0" applyNumberFormat="0" applyBorder="0" applyAlignment="0" applyProtection="0"/>
    <xf numFmtId="0" fontId="72" fillId="58" borderId="0" applyNumberFormat="0" applyBorder="0" applyAlignment="0" applyProtection="0"/>
    <xf numFmtId="0" fontId="14" fillId="11" borderId="0" applyNumberFormat="0" applyBorder="0" applyAlignment="0" applyProtection="0"/>
    <xf numFmtId="0" fontId="14" fillId="13" borderId="0" applyNumberFormat="0" applyBorder="0" applyAlignment="0" applyProtection="0"/>
    <xf numFmtId="0" fontId="71" fillId="58" borderId="0" applyNumberFormat="0" applyBorder="0" applyAlignment="0" applyProtection="0"/>
    <xf numFmtId="0" fontId="14" fillId="16" borderId="0" applyNumberFormat="0" applyBorder="0" applyAlignment="0" applyProtection="0"/>
    <xf numFmtId="0" fontId="14" fillId="4" borderId="0" applyNumberFormat="0" applyBorder="0" applyAlignment="0" applyProtection="0"/>
    <xf numFmtId="0" fontId="72" fillId="59" borderId="0" applyNumberFormat="0" applyBorder="0" applyAlignment="0" applyProtection="0"/>
    <xf numFmtId="0" fontId="14" fillId="16" borderId="0" applyNumberFormat="0" applyBorder="0" applyAlignment="0" applyProtection="0"/>
    <xf numFmtId="0" fontId="14" fillId="4" borderId="0" applyNumberFormat="0" applyBorder="0" applyAlignment="0" applyProtection="0"/>
    <xf numFmtId="0" fontId="71" fillId="59" borderId="0" applyNumberFormat="0" applyBorder="0" applyAlignment="0" applyProtection="0"/>
    <xf numFmtId="0" fontId="71" fillId="60" borderId="0" applyNumberFormat="0" applyBorder="0" applyAlignment="0" applyProtection="0"/>
    <xf numFmtId="0" fontId="14" fillId="17" borderId="0" applyNumberFormat="0" applyBorder="0" applyAlignment="0" applyProtection="0"/>
    <xf numFmtId="0" fontId="14" fillId="10" borderId="0" applyNumberFormat="0" applyBorder="0" applyAlignment="0" applyProtection="0"/>
    <xf numFmtId="0" fontId="72" fillId="60" borderId="0" applyNumberFormat="0" applyBorder="0" applyAlignment="0" applyProtection="0"/>
    <xf numFmtId="0" fontId="14" fillId="17" borderId="0" applyNumberFormat="0" applyBorder="0" applyAlignment="0" applyProtection="0"/>
    <xf numFmtId="0" fontId="14" fillId="10" borderId="0" applyNumberFormat="0" applyBorder="0" applyAlignment="0" applyProtection="0"/>
    <xf numFmtId="0" fontId="14" fillId="18" borderId="0" applyNumberFormat="0" applyBorder="0" applyAlignment="0" applyProtection="0"/>
    <xf numFmtId="0" fontId="14" fillId="5" borderId="0" applyNumberFormat="0" applyBorder="0" applyAlignment="0" applyProtection="0"/>
    <xf numFmtId="0" fontId="72" fillId="61" borderId="0" applyNumberFormat="0" applyBorder="0" applyAlignment="0" applyProtection="0"/>
    <xf numFmtId="0" fontId="14" fillId="18" borderId="0" applyNumberFormat="0" applyBorder="0" applyAlignment="0" applyProtection="0"/>
    <xf numFmtId="0" fontId="14" fillId="5" borderId="0" applyNumberFormat="0" applyBorder="0" applyAlignment="0" applyProtection="0"/>
    <xf numFmtId="0" fontId="71" fillId="61" borderId="0" applyNumberFormat="0" applyBorder="0" applyAlignment="0" applyProtection="0"/>
    <xf numFmtId="0" fontId="71" fillId="62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71" fillId="19" borderId="0" applyNumberFormat="0" applyBorder="0" applyAlignment="0" applyProtection="0"/>
    <xf numFmtId="0" fontId="14" fillId="19" borderId="0" applyNumberFormat="0" applyBorder="0" applyAlignment="0" applyProtection="0"/>
    <xf numFmtId="0" fontId="72" fillId="62" borderId="0" applyNumberFormat="0" applyBorder="0" applyAlignment="0" applyProtection="0"/>
    <xf numFmtId="0" fontId="14" fillId="20" borderId="0" applyNumberFormat="0" applyBorder="0" applyAlignment="0" applyProtection="0"/>
    <xf numFmtId="0" fontId="71" fillId="63" borderId="0" applyNumberFormat="0" applyBorder="0" applyAlignment="0" applyProtection="0"/>
    <xf numFmtId="0" fontId="14" fillId="21" borderId="0" applyNumberFormat="0" applyBorder="0" applyAlignment="0" applyProtection="0"/>
    <xf numFmtId="0" fontId="14" fillId="15" borderId="0" applyNumberFormat="0" applyBorder="0" applyAlignment="0" applyProtection="0"/>
    <xf numFmtId="0" fontId="72" fillId="63" borderId="0" applyNumberFormat="0" applyBorder="0" applyAlignment="0" applyProtection="0"/>
    <xf numFmtId="0" fontId="14" fillId="21" borderId="0" applyNumberFormat="0" applyBorder="0" applyAlignment="0" applyProtection="0"/>
    <xf numFmtId="0" fontId="14" fillId="15" borderId="0" applyNumberFormat="0" applyBorder="0" applyAlignment="0" applyProtection="0"/>
    <xf numFmtId="0" fontId="71" fillId="64" borderId="0" applyNumberFormat="0" applyBorder="0" applyAlignment="0" applyProtection="0"/>
    <xf numFmtId="0" fontId="14" fillId="22" borderId="0" applyNumberFormat="0" applyBorder="0" applyAlignment="0" applyProtection="0"/>
    <xf numFmtId="0" fontId="14" fillId="13" borderId="0" applyNumberFormat="0" applyBorder="0" applyAlignment="0" applyProtection="0"/>
    <xf numFmtId="0" fontId="72" fillId="64" borderId="0" applyNumberFormat="0" applyBorder="0" applyAlignment="0" applyProtection="0"/>
    <xf numFmtId="0" fontId="14" fillId="22" borderId="0" applyNumberFormat="0" applyBorder="0" applyAlignment="0" applyProtection="0"/>
    <xf numFmtId="0" fontId="14" fillId="13" borderId="0" applyNumberFormat="0" applyBorder="0" applyAlignment="0" applyProtection="0"/>
    <xf numFmtId="0" fontId="71" fillId="65" borderId="0" applyNumberFormat="0" applyBorder="0" applyAlignment="0" applyProtection="0"/>
    <xf numFmtId="0" fontId="14" fillId="16" borderId="0" applyNumberFormat="0" applyBorder="0" applyAlignment="0" applyProtection="0"/>
    <xf numFmtId="0" fontId="14" fillId="23" borderId="0" applyNumberFormat="0" applyBorder="0" applyAlignment="0" applyProtection="0"/>
    <xf numFmtId="0" fontId="72" fillId="65" borderId="0" applyNumberFormat="0" applyBorder="0" applyAlignment="0" applyProtection="0"/>
    <xf numFmtId="0" fontId="14" fillId="16" borderId="0" applyNumberFormat="0" applyBorder="0" applyAlignment="0" applyProtection="0"/>
    <xf numFmtId="0" fontId="14" fillId="23" borderId="0" applyNumberFormat="0" applyBorder="0" applyAlignment="0" applyProtection="0"/>
    <xf numFmtId="0" fontId="71" fillId="66" borderId="0" applyNumberFormat="0" applyBorder="0" applyAlignment="0" applyProtection="0"/>
    <xf numFmtId="0" fontId="14" fillId="17" borderId="0" applyNumberFormat="0" applyBorder="0" applyAlignment="0" applyProtection="0"/>
    <xf numFmtId="0" fontId="72" fillId="66" borderId="0" applyNumberFormat="0" applyBorder="0" applyAlignment="0" applyProtection="0"/>
    <xf numFmtId="0" fontId="14" fillId="17" borderId="0" applyNumberFormat="0" applyBorder="0" applyAlignment="0" applyProtection="0"/>
    <xf numFmtId="0" fontId="71" fillId="67" borderId="0" applyNumberFormat="0" applyBorder="0" applyAlignment="0" applyProtection="0"/>
    <xf numFmtId="0" fontId="14" fillId="15" borderId="0" applyNumberFormat="0" applyBorder="0" applyAlignment="0" applyProtection="0"/>
    <xf numFmtId="0" fontId="14" fillId="21" borderId="0" applyNumberFormat="0" applyBorder="0" applyAlignment="0" applyProtection="0"/>
    <xf numFmtId="0" fontId="72" fillId="67" borderId="0" applyNumberFormat="0" applyBorder="0" applyAlignment="0" applyProtection="0"/>
    <xf numFmtId="0" fontId="14" fillId="15" borderId="0" applyNumberFormat="0" applyBorder="0" applyAlignment="0" applyProtection="0"/>
    <xf numFmtId="0" fontId="14" fillId="21" borderId="0" applyNumberFormat="0" applyBorder="0" applyAlignment="0" applyProtection="0"/>
    <xf numFmtId="4" fontId="31" fillId="24" borderId="1">
      <alignment horizontal="right" vertical="center"/>
    </xf>
    <xf numFmtId="4" fontId="31" fillId="24" borderId="1">
      <alignment horizontal="right" vertical="center"/>
    </xf>
    <xf numFmtId="0" fontId="73" fillId="6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74" fillId="6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57" fillId="0" borderId="29" applyNumberFormat="0" applyFont="0" applyProtection="0">
      <alignment wrapText="1"/>
    </xf>
    <xf numFmtId="0" fontId="75" fillId="0" borderId="30" applyNumberFormat="0" applyFont="0" applyProtection="0">
      <alignment wrapText="1"/>
    </xf>
    <xf numFmtId="0" fontId="76" fillId="69" borderId="31" applyNumberFormat="0" applyAlignment="0" applyProtection="0"/>
    <xf numFmtId="0" fontId="16" fillId="25" borderId="2" applyNumberFormat="0" applyAlignment="0" applyProtection="0"/>
    <xf numFmtId="0" fontId="49" fillId="26" borderId="2" applyNumberFormat="0" applyAlignment="0" applyProtection="0"/>
    <xf numFmtId="0" fontId="77" fillId="69" borderId="31" applyNumberFormat="0" applyAlignment="0" applyProtection="0"/>
    <xf numFmtId="0" fontId="16" fillId="25" borderId="2" applyNumberFormat="0" applyAlignment="0" applyProtection="0"/>
    <xf numFmtId="0" fontId="49" fillId="26" borderId="2" applyNumberFormat="0" applyAlignment="0" applyProtection="0"/>
    <xf numFmtId="0" fontId="78" fillId="70" borderId="32" applyNumberFormat="0" applyAlignment="0" applyProtection="0"/>
    <xf numFmtId="0" fontId="17" fillId="27" borderId="3" applyNumberFormat="0" applyAlignment="0" applyProtection="0"/>
    <xf numFmtId="0" fontId="79" fillId="70" borderId="32" applyNumberFormat="0" applyAlignment="0" applyProtection="0"/>
    <xf numFmtId="0" fontId="17" fillId="27" borderId="3" applyNumberFormat="0" applyAlignment="0" applyProtection="0"/>
    <xf numFmtId="49" fontId="7" fillId="28" borderId="4">
      <alignment vertical="top" wrapText="1"/>
    </xf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69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32" fillId="0" borderId="5">
      <alignment horizontal="left" vertical="center" wrapText="1" indent="2"/>
    </xf>
    <xf numFmtId="3" fontId="66" fillId="0" borderId="6" applyAlignment="0">
      <alignment horizontal="right" vertical="center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168" fontId="10" fillId="0" borderId="0">
      <protection locked="0"/>
    </xf>
    <xf numFmtId="3" fontId="36" fillId="0" borderId="4">
      <alignment horizontal="right" vertical="top"/>
    </xf>
    <xf numFmtId="0" fontId="2" fillId="29" borderId="1">
      <alignment horizontal="centerContinuous" vertical="top" wrapText="1"/>
    </xf>
    <xf numFmtId="0" fontId="37" fillId="0" borderId="0">
      <alignment vertical="top" wrapText="1"/>
    </xf>
    <xf numFmtId="16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6" fontId="10" fillId="0" borderId="0">
      <protection locked="0"/>
    </xf>
    <xf numFmtId="166" fontId="10" fillId="0" borderId="0">
      <protection locked="0"/>
    </xf>
    <xf numFmtId="166" fontId="10" fillId="0" borderId="0">
      <protection locked="0"/>
    </xf>
    <xf numFmtId="166" fontId="10" fillId="0" borderId="0">
      <protection locked="0"/>
    </xf>
    <xf numFmtId="0" fontId="5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7" fillId="0" borderId="33" applyNumberFormat="0" applyProtection="0">
      <alignment wrapText="1"/>
    </xf>
    <xf numFmtId="0" fontId="75" fillId="0" borderId="34" applyNumberFormat="0" applyProtection="0">
      <alignment vertical="top" wrapText="1"/>
    </xf>
    <xf numFmtId="0" fontId="82" fillId="71" borderId="0" applyNumberFormat="0" applyBorder="0" applyAlignment="0" applyProtection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83" fillId="71" borderId="0" applyNumberFormat="0" applyBorder="0" applyAlignment="0" applyProtection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58" fillId="0" borderId="35" applyNumberFormat="0" applyProtection="0">
      <alignment wrapText="1"/>
    </xf>
    <xf numFmtId="0" fontId="84" fillId="0" borderId="36" applyNumberFormat="0" applyProtection="0">
      <alignment wrapText="1"/>
    </xf>
    <xf numFmtId="0" fontId="85" fillId="0" borderId="37" applyNumberFormat="0" applyFill="0" applyProtection="0">
      <alignment wrapText="1"/>
    </xf>
    <xf numFmtId="0" fontId="86" fillId="0" borderId="36" applyNumberFormat="0" applyFill="0" applyAlignment="0" applyProtection="0"/>
    <xf numFmtId="0" fontId="20" fillId="0" borderId="7" applyNumberFormat="0" applyFill="0" applyAlignment="0" applyProtection="0"/>
    <xf numFmtId="0" fontId="50" fillId="0" borderId="8" applyNumberFormat="0" applyFill="0" applyAlignment="0" applyProtection="0"/>
    <xf numFmtId="0" fontId="87" fillId="0" borderId="36" applyNumberFormat="0" applyFill="0" applyAlignment="0" applyProtection="0"/>
    <xf numFmtId="0" fontId="20" fillId="0" borderId="7" applyNumberFormat="0" applyFill="0" applyAlignment="0" applyProtection="0"/>
    <xf numFmtId="0" fontId="50" fillId="0" borderId="8" applyNumberFormat="0" applyFill="0" applyAlignment="0" applyProtection="0"/>
    <xf numFmtId="0" fontId="88" fillId="0" borderId="38" applyNumberFormat="0" applyFill="0" applyAlignment="0" applyProtection="0"/>
    <xf numFmtId="0" fontId="21" fillId="0" borderId="9" applyNumberFormat="0" applyFill="0" applyAlignment="0" applyProtection="0"/>
    <xf numFmtId="0" fontId="51" fillId="0" borderId="10" applyNumberFormat="0" applyFill="0" applyAlignment="0" applyProtection="0"/>
    <xf numFmtId="0" fontId="89" fillId="0" borderId="38" applyNumberFormat="0" applyFill="0" applyAlignment="0" applyProtection="0"/>
    <xf numFmtId="0" fontId="21" fillId="0" borderId="9" applyNumberFormat="0" applyFill="0" applyAlignment="0" applyProtection="0"/>
    <xf numFmtId="0" fontId="51" fillId="0" borderId="10" applyNumberFormat="0" applyFill="0" applyAlignment="0" applyProtection="0"/>
    <xf numFmtId="0" fontId="90" fillId="0" borderId="39" applyNumberFormat="0" applyFill="0" applyAlignment="0" applyProtection="0"/>
    <xf numFmtId="0" fontId="22" fillId="0" borderId="11" applyNumberFormat="0" applyFill="0" applyAlignment="0" applyProtection="0"/>
    <xf numFmtId="0" fontId="52" fillId="0" borderId="12" applyNumberFormat="0" applyFill="0" applyAlignment="0" applyProtection="0"/>
    <xf numFmtId="0" fontId="91" fillId="0" borderId="39" applyNumberFormat="0" applyFill="0" applyAlignment="0" applyProtection="0"/>
    <xf numFmtId="0" fontId="22" fillId="0" borderId="11" applyNumberFormat="0" applyFill="0" applyAlignment="0" applyProtection="0"/>
    <xf numFmtId="0" fontId="52" fillId="0" borderId="12" applyNumberFormat="0" applyFill="0" applyAlignment="0" applyProtection="0"/>
    <xf numFmtId="0" fontId="9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167" fontId="11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93" fillId="72" borderId="31" applyNumberFormat="0" applyAlignment="0" applyProtection="0"/>
    <xf numFmtId="0" fontId="23" fillId="9" borderId="2" applyNumberFormat="0" applyAlignment="0" applyProtection="0"/>
    <xf numFmtId="0" fontId="23" fillId="12" borderId="2" applyNumberFormat="0" applyAlignment="0" applyProtection="0"/>
    <xf numFmtId="0" fontId="94" fillId="72" borderId="31" applyNumberFormat="0" applyAlignment="0" applyProtection="0"/>
    <xf numFmtId="0" fontId="23" fillId="9" borderId="2" applyNumberFormat="0" applyAlignment="0" applyProtection="0"/>
    <xf numFmtId="0" fontId="23" fillId="12" borderId="2" applyNumberFormat="0" applyAlignment="0" applyProtection="0"/>
    <xf numFmtId="4" fontId="32" fillId="0" borderId="0" applyBorder="0">
      <alignment horizontal="right" vertical="center"/>
    </xf>
    <xf numFmtId="0" fontId="85" fillId="0" borderId="36" applyNumberFormat="0" applyProtection="0">
      <alignment wrapText="1"/>
    </xf>
    <xf numFmtId="0" fontId="38" fillId="0" borderId="0"/>
    <xf numFmtId="0" fontId="95" fillId="0" borderId="40" applyNumberFormat="0" applyFill="0" applyAlignment="0" applyProtection="0"/>
    <xf numFmtId="0" fontId="24" fillId="0" borderId="13" applyNumberFormat="0" applyFill="0" applyAlignment="0" applyProtection="0"/>
    <xf numFmtId="0" fontId="29" fillId="0" borderId="14" applyNumberFormat="0" applyFill="0" applyAlignment="0" applyProtection="0"/>
    <xf numFmtId="0" fontId="96" fillId="0" borderId="40" applyNumberFormat="0" applyFill="0" applyAlignment="0" applyProtection="0"/>
    <xf numFmtId="0" fontId="24" fillId="0" borderId="13" applyNumberFormat="0" applyFill="0" applyAlignment="0" applyProtection="0"/>
    <xf numFmtId="0" fontId="29" fillId="0" borderId="14" applyNumberFormat="0" applyFill="0" applyAlignment="0" applyProtection="0"/>
    <xf numFmtId="0" fontId="97" fillId="73" borderId="0" applyNumberFormat="0" applyBorder="0" applyAlignment="0" applyProtection="0"/>
    <xf numFmtId="0" fontId="25" fillId="12" borderId="0" applyNumberFormat="0" applyBorder="0" applyAlignment="0" applyProtection="0"/>
    <xf numFmtId="0" fontId="53" fillId="12" borderId="0" applyNumberFormat="0" applyBorder="0" applyAlignment="0" applyProtection="0"/>
    <xf numFmtId="0" fontId="98" fillId="73" borderId="0" applyNumberFormat="0" applyBorder="0" applyAlignment="0" applyProtection="0"/>
    <xf numFmtId="0" fontId="25" fillId="12" borderId="0" applyNumberFormat="0" applyBorder="0" applyAlignment="0" applyProtection="0"/>
    <xf numFmtId="0" fontId="64" fillId="12" borderId="0" applyNumberFormat="0" applyBorder="0" applyAlignment="0" applyProtection="0"/>
    <xf numFmtId="0" fontId="53" fillId="12" borderId="0" applyNumberFormat="0" applyBorder="0" applyAlignment="0" applyProtection="0"/>
    <xf numFmtId="0" fontId="7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7" fillId="0" borderId="0"/>
    <xf numFmtId="0" fontId="99" fillId="0" borderId="0"/>
    <xf numFmtId="0" fontId="69" fillId="0" borderId="0"/>
    <xf numFmtId="0" fontId="61" fillId="0" borderId="0"/>
    <xf numFmtId="0" fontId="69" fillId="0" borderId="0"/>
    <xf numFmtId="0" fontId="7" fillId="0" borderId="0"/>
    <xf numFmtId="0" fontId="5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69" fillId="0" borderId="0"/>
    <xf numFmtId="0" fontId="69" fillId="0" borderId="0"/>
    <xf numFmtId="0" fontId="63" fillId="0" borderId="0"/>
    <xf numFmtId="0" fontId="69" fillId="0" borderId="0"/>
    <xf numFmtId="0" fontId="99" fillId="0" borderId="0"/>
    <xf numFmtId="0" fontId="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9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57" fillId="0" borderId="0"/>
    <xf numFmtId="0" fontId="7" fillId="0" borderId="0"/>
    <xf numFmtId="0" fontId="7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44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" fillId="0" borderId="0"/>
    <xf numFmtId="0" fontId="69" fillId="0" borderId="0"/>
    <xf numFmtId="0" fontId="69" fillId="0" borderId="0"/>
    <xf numFmtId="0" fontId="60" fillId="0" borderId="0"/>
    <xf numFmtId="0" fontId="7" fillId="0" borderId="0"/>
    <xf numFmtId="0" fontId="69" fillId="0" borderId="0"/>
    <xf numFmtId="0" fontId="69" fillId="0" borderId="30" applyNumberFormat="0" applyProtection="0">
      <alignment vertical="top"/>
    </xf>
    <xf numFmtId="4" fontId="32" fillId="0" borderId="1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0" fontId="7" fillId="30" borderId="0" applyNumberFormat="0" applyFont="0" applyBorder="0" applyAlignment="0" applyProtection="0"/>
    <xf numFmtId="0" fontId="7" fillId="0" borderId="0"/>
    <xf numFmtId="0" fontId="7" fillId="0" borderId="0"/>
    <xf numFmtId="0" fontId="45" fillId="0" borderId="0"/>
    <xf numFmtId="0" fontId="45" fillId="0" borderId="0"/>
    <xf numFmtId="0" fontId="34" fillId="0" borderId="0"/>
    <xf numFmtId="0" fontId="7" fillId="7" borderId="15" applyNumberFormat="0" applyFont="0" applyAlignment="0" applyProtection="0"/>
    <xf numFmtId="0" fontId="13" fillId="7" borderId="15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13" fillId="7" borderId="15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69" fillId="74" borderId="41" applyNumberFormat="0" applyFont="0" applyAlignment="0" applyProtection="0"/>
    <xf numFmtId="0" fontId="70" fillId="74" borderId="41" applyNumberFormat="0" applyFont="0" applyAlignment="0" applyProtection="0"/>
    <xf numFmtId="0" fontId="69" fillId="74" borderId="41" applyNumberFormat="0" applyFont="0" applyAlignment="0" applyProtection="0"/>
    <xf numFmtId="171" fontId="39" fillId="0" borderId="0">
      <alignment horizontal="right"/>
    </xf>
    <xf numFmtId="174" fontId="7" fillId="0" borderId="0" applyFont="0" applyFill="0" applyBorder="0" applyAlignment="0" applyProtection="0"/>
    <xf numFmtId="0" fontId="101" fillId="69" borderId="42" applyNumberFormat="0" applyAlignment="0" applyProtection="0"/>
    <xf numFmtId="0" fontId="26" fillId="25" borderId="16" applyNumberFormat="0" applyAlignment="0" applyProtection="0"/>
    <xf numFmtId="0" fontId="26" fillId="26" borderId="16" applyNumberFormat="0" applyAlignment="0" applyProtection="0"/>
    <xf numFmtId="0" fontId="102" fillId="69" borderId="42" applyNumberFormat="0" applyAlignment="0" applyProtection="0"/>
    <xf numFmtId="0" fontId="26" fillId="25" borderId="16" applyNumberFormat="0" applyAlignment="0" applyProtection="0"/>
    <xf numFmtId="0" fontId="26" fillId="26" borderId="16" applyNumberFormat="0" applyAlignment="0" applyProtection="0"/>
    <xf numFmtId="0" fontId="58" fillId="0" borderId="43" applyNumberFormat="0" applyProtection="0">
      <alignment wrapText="1"/>
    </xf>
    <xf numFmtId="0" fontId="84" fillId="0" borderId="44" applyNumberFormat="0" applyProtection="0">
      <alignment wrapText="1"/>
    </xf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170" fontId="7" fillId="0" borderId="0" applyFont="0" applyFill="0" applyBorder="0" applyAlignment="0" applyProtection="0"/>
    <xf numFmtId="9" fontId="69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84" fillId="0" borderId="45" applyNumberFormat="0" applyFill="0" applyProtection="0">
      <alignment wrapText="1"/>
    </xf>
    <xf numFmtId="0" fontId="37" fillId="0" borderId="0">
      <alignment vertical="top" wrapText="1"/>
    </xf>
    <xf numFmtId="0" fontId="68" fillId="0" borderId="0">
      <alignment horizontal="right"/>
    </xf>
    <xf numFmtId="0" fontId="65" fillId="0" borderId="0">
      <alignment horizontal="left"/>
    </xf>
    <xf numFmtId="0" fontId="7" fillId="0" borderId="0"/>
    <xf numFmtId="177" fontId="7" fillId="0" borderId="0" applyFill="0" applyBorder="0" applyAlignment="0" applyProtection="0">
      <alignment wrapText="1"/>
    </xf>
    <xf numFmtId="177" fontId="7" fillId="0" borderId="0" applyFill="0" applyBorder="0" applyAlignment="0" applyProtection="0">
      <alignment wrapText="1"/>
    </xf>
    <xf numFmtId="177" fontId="7" fillId="0" borderId="0" applyFill="0" applyBorder="0" applyAlignment="0" applyProtection="0">
      <alignment wrapText="1"/>
    </xf>
    <xf numFmtId="177" fontId="7" fillId="0" borderId="0" applyFill="0" applyBorder="0" applyAlignment="0" applyProtection="0">
      <alignment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103" fillId="0" borderId="0" applyNumberFormat="0" applyProtection="0">
      <alignment horizontal="left"/>
    </xf>
    <xf numFmtId="0" fontId="56" fillId="0" borderId="0" applyNumberFormat="0" applyProtection="0">
      <alignment horizontal="left"/>
    </xf>
    <xf numFmtId="172" fontId="40" fillId="31" borderId="17">
      <alignment vertical="center"/>
    </xf>
    <xf numFmtId="170" fontId="41" fillId="31" borderId="17">
      <alignment vertical="center"/>
    </xf>
    <xf numFmtId="172" fontId="42" fillId="32" borderId="17">
      <alignment vertical="center"/>
    </xf>
    <xf numFmtId="0" fontId="7" fillId="33" borderId="18" applyBorder="0">
      <alignment horizontal="left" vertical="center"/>
    </xf>
    <xf numFmtId="49" fontId="7" fillId="34" borderId="1">
      <alignment vertical="center" wrapText="1"/>
    </xf>
    <xf numFmtId="0" fontId="7" fillId="35" borderId="19">
      <alignment horizontal="left" vertical="center" wrapText="1"/>
    </xf>
    <xf numFmtId="0" fontId="43" fillId="36" borderId="1">
      <alignment horizontal="left" vertical="center" wrapText="1"/>
    </xf>
    <xf numFmtId="0" fontId="7" fillId="37" borderId="1">
      <alignment horizontal="left" vertical="center" wrapText="1"/>
    </xf>
    <xf numFmtId="0" fontId="7" fillId="38" borderId="1">
      <alignment horizontal="left" vertical="center" wrapText="1"/>
    </xf>
    <xf numFmtId="0" fontId="10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67" fillId="0" borderId="0">
      <alignment horizontal="left"/>
    </xf>
    <xf numFmtId="0" fontId="85" fillId="0" borderId="46" applyNumberFormat="0" applyFill="0" applyAlignment="0" applyProtection="0"/>
    <xf numFmtId="167" fontId="10" fillId="0" borderId="21">
      <protection locked="0"/>
    </xf>
    <xf numFmtId="0" fontId="28" fillId="0" borderId="20" applyNumberFormat="0" applyFill="0" applyAlignment="0" applyProtection="0"/>
    <xf numFmtId="167" fontId="10" fillId="0" borderId="21">
      <protection locked="0"/>
    </xf>
    <xf numFmtId="167" fontId="10" fillId="0" borderId="21">
      <protection locked="0"/>
    </xf>
    <xf numFmtId="0" fontId="28" fillId="0" borderId="22" applyNumberFormat="0" applyFill="0" applyAlignment="0" applyProtection="0"/>
    <xf numFmtId="0" fontId="105" fillId="0" borderId="46" applyNumberFormat="0" applyFill="0" applyAlignment="0" applyProtection="0"/>
    <xf numFmtId="167" fontId="10" fillId="0" borderId="21">
      <protection locked="0"/>
    </xf>
    <xf numFmtId="0" fontId="28" fillId="0" borderId="20" applyNumberFormat="0" applyFill="0" applyAlignment="0" applyProtection="0"/>
    <xf numFmtId="0" fontId="85" fillId="0" borderId="46" applyNumberFormat="0" applyFill="0" applyAlignment="0" applyProtection="0"/>
    <xf numFmtId="167" fontId="10" fillId="0" borderId="21">
      <protection locked="0"/>
    </xf>
    <xf numFmtId="0" fontId="28" fillId="0" borderId="22" applyNumberFormat="0" applyFill="0" applyAlignment="0" applyProtection="0"/>
    <xf numFmtId="0" fontId="10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" fontId="32" fillId="0" borderId="0"/>
    <xf numFmtId="0" fontId="35" fillId="0" borderId="0" applyNumberFormat="0" applyFill="0" applyBorder="0" applyAlignment="0" applyProtection="0">
      <alignment vertical="center"/>
    </xf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43" fontId="13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4" borderId="41" applyNumberFormat="0" applyFont="0" applyAlignment="0" applyProtection="0"/>
    <xf numFmtId="0" fontId="1" fillId="74" borderId="41" applyNumberFormat="0" applyFont="0" applyAlignment="0" applyProtection="0"/>
    <xf numFmtId="0" fontId="1" fillId="74" borderId="41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1" fillId="74" borderId="41" applyNumberFormat="0" applyFont="0" applyAlignment="0" applyProtection="0"/>
    <xf numFmtId="0" fontId="1" fillId="74" borderId="41" applyNumberFormat="0" applyFont="0" applyAlignment="0" applyProtection="0"/>
    <xf numFmtId="0" fontId="1" fillId="74" borderId="41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8">
    <xf numFmtId="0" fontId="0" fillId="0" borderId="0" xfId="0"/>
    <xf numFmtId="0" fontId="4" fillId="0" borderId="0" xfId="0" applyFont="1"/>
    <xf numFmtId="0" fontId="2" fillId="39" borderId="23" xfId="0" applyFont="1" applyFill="1" applyBorder="1"/>
    <xf numFmtId="0" fontId="2" fillId="40" borderId="0" xfId="0" applyFont="1" applyFill="1"/>
    <xf numFmtId="0" fontId="4" fillId="40" borderId="0" xfId="0" applyFont="1" applyFill="1"/>
    <xf numFmtId="0" fontId="5" fillId="0" borderId="0" xfId="0" applyFont="1"/>
    <xf numFmtId="0" fontId="2" fillId="0" borderId="0" xfId="0" applyFont="1"/>
    <xf numFmtId="0" fontId="108" fillId="0" borderId="0" xfId="0" applyFont="1"/>
    <xf numFmtId="0" fontId="2" fillId="75" borderId="19" xfId="0" applyFont="1" applyFill="1" applyBorder="1"/>
    <xf numFmtId="0" fontId="0" fillId="76" borderId="0" xfId="0" applyFill="1"/>
    <xf numFmtId="0" fontId="2" fillId="75" borderId="25" xfId="0" applyFont="1" applyFill="1" applyBorder="1"/>
    <xf numFmtId="0" fontId="0" fillId="0" borderId="0" xfId="0" quotePrefix="1"/>
    <xf numFmtId="175" fontId="2" fillId="41" borderId="27" xfId="0" applyNumberFormat="1" applyFont="1" applyFill="1" applyBorder="1"/>
    <xf numFmtId="175" fontId="2" fillId="41" borderId="27" xfId="0" applyNumberFormat="1" applyFont="1" applyFill="1" applyBorder="1" applyAlignment="1">
      <alignment horizontal="left"/>
    </xf>
    <xf numFmtId="175" fontId="7" fillId="42" borderId="23" xfId="462" applyNumberFormat="1" applyFont="1" applyFill="1" applyBorder="1" applyAlignment="1">
      <alignment horizontal="left" wrapText="1"/>
    </xf>
    <xf numFmtId="175" fontId="7" fillId="42" borderId="28" xfId="462" applyNumberFormat="1" applyFont="1" applyFill="1" applyBorder="1" applyAlignment="1">
      <alignment horizontal="left" wrapText="1"/>
    </xf>
    <xf numFmtId="175" fontId="7" fillId="0" borderId="0" xfId="489" applyNumberFormat="1" applyFont="1" applyFill="1"/>
    <xf numFmtId="175" fontId="48" fillId="43" borderId="0" xfId="0" applyNumberFormat="1" applyFont="1" applyFill="1"/>
    <xf numFmtId="175" fontId="7" fillId="0" borderId="0" xfId="0" applyNumberFormat="1" applyFont="1"/>
    <xf numFmtId="175" fontId="4" fillId="0" borderId="0" xfId="0" applyNumberFormat="1" applyFont="1"/>
    <xf numFmtId="175" fontId="2" fillId="41" borderId="26" xfId="0" applyNumberFormat="1" applyFont="1" applyFill="1" applyBorder="1"/>
    <xf numFmtId="175" fontId="7" fillId="0" borderId="0" xfId="0" applyNumberFormat="1" applyFont="1" applyFill="1"/>
    <xf numFmtId="175" fontId="7" fillId="0" borderId="0" xfId="0" applyNumberFormat="1" applyFont="1" applyFill="1" applyBorder="1"/>
    <xf numFmtId="0" fontId="46" fillId="0" borderId="0" xfId="0" applyFont="1" applyFill="1" applyAlignment="1">
      <alignment horizontal="center"/>
    </xf>
    <xf numFmtId="0" fontId="45" fillId="0" borderId="0" xfId="0" applyFont="1" applyFill="1" applyBorder="1"/>
    <xf numFmtId="175" fontId="7" fillId="0" borderId="0" xfId="490" applyNumberFormat="1" applyFont="1" applyFill="1"/>
    <xf numFmtId="0" fontId="7" fillId="0" borderId="0" xfId="0" applyFont="1" applyFill="1"/>
    <xf numFmtId="0" fontId="7" fillId="0" borderId="0" xfId="740" applyFont="1" applyFill="1"/>
    <xf numFmtId="0" fontId="55" fillId="0" borderId="0" xfId="0" applyFont="1" applyFill="1"/>
    <xf numFmtId="0" fontId="7" fillId="0" borderId="0" xfId="0" applyFont="1" applyFill="1" applyBorder="1"/>
    <xf numFmtId="0" fontId="7" fillId="0" borderId="0" xfId="0" applyFont="1" applyFill="1" applyBorder="1" applyAlignment="1">
      <alignment vertical="top" wrapText="1"/>
    </xf>
    <xf numFmtId="0" fontId="7" fillId="0" borderId="0" xfId="741" applyFont="1" applyFill="1"/>
    <xf numFmtId="175" fontId="45" fillId="0" borderId="0" xfId="743" applyNumberFormat="1" applyFont="1" applyFill="1" applyBorder="1" applyAlignment="1">
      <alignment wrapText="1"/>
    </xf>
    <xf numFmtId="0" fontId="7" fillId="0" borderId="0" xfId="742" applyFont="1" applyFill="1" applyBorder="1" applyAlignment="1">
      <alignment wrapText="1"/>
    </xf>
    <xf numFmtId="0" fontId="7" fillId="0" borderId="15" xfId="0" applyFont="1" applyFill="1" applyBorder="1"/>
    <xf numFmtId="175" fontId="7" fillId="0" borderId="0" xfId="0" applyNumberFormat="1" applyFont="1" applyFill="1" applyAlignment="1">
      <alignment horizontal="left"/>
    </xf>
    <xf numFmtId="175" fontId="7" fillId="0" borderId="0" xfId="490" applyNumberFormat="1" applyFont="1" applyFill="1" applyBorder="1"/>
    <xf numFmtId="0" fontId="45" fillId="0" borderId="0" xfId="742" applyFont="1" applyFill="1" applyBorder="1" applyAlignment="1">
      <alignment wrapText="1"/>
    </xf>
    <xf numFmtId="175" fontId="7" fillId="0" borderId="15" xfId="0" applyNumberFormat="1" applyFont="1" applyFill="1" applyBorder="1"/>
    <xf numFmtId="175" fontId="7" fillId="0" borderId="0" xfId="464" applyNumberFormat="1" applyFont="1" applyFill="1"/>
    <xf numFmtId="0" fontId="7" fillId="0" borderId="0" xfId="490" applyFont="1" applyFill="1" applyBorder="1"/>
    <xf numFmtId="175" fontId="45" fillId="0" borderId="0" xfId="742" applyNumberFormat="1" applyFont="1" applyFill="1" applyBorder="1" applyAlignment="1">
      <alignment wrapText="1"/>
    </xf>
    <xf numFmtId="175" fontId="7" fillId="0" borderId="0" xfId="740" applyNumberFormat="1" applyFont="1" applyFill="1"/>
    <xf numFmtId="0" fontId="7" fillId="0" borderId="0" xfId="0" applyFont="1"/>
    <xf numFmtId="175" fontId="7" fillId="0" borderId="0" xfId="743" applyNumberFormat="1" applyFont="1" applyFill="1" applyBorder="1" applyAlignment="1">
      <alignment wrapText="1"/>
    </xf>
    <xf numFmtId="0" fontId="47" fillId="0" borderId="0" xfId="0" applyFont="1" applyFill="1"/>
    <xf numFmtId="0" fontId="46" fillId="0" borderId="0" xfId="0" applyFont="1" applyFill="1"/>
    <xf numFmtId="0" fontId="45" fillId="0" borderId="0" xfId="0" applyFont="1" applyFill="1"/>
    <xf numFmtId="175" fontId="7" fillId="0" borderId="0" xfId="740" applyNumberFormat="1" applyFont="1" applyFill="1" applyBorder="1"/>
    <xf numFmtId="0" fontId="7" fillId="0" borderId="0" xfId="464" applyFont="1" applyFill="1"/>
    <xf numFmtId="175" fontId="7" fillId="0" borderId="0" xfId="0" applyNumberFormat="1" applyFont="1" applyFill="1" applyBorder="1" applyAlignment="1">
      <alignment vertical="top" wrapText="1"/>
    </xf>
    <xf numFmtId="175" fontId="7" fillId="0" borderId="0" xfId="463" applyNumberFormat="1" applyFont="1" applyFill="1"/>
    <xf numFmtId="0" fontId="70" fillId="0" borderId="0" xfId="464" applyFont="1" applyFill="1"/>
    <xf numFmtId="0" fontId="7" fillId="0" borderId="0" xfId="490" applyFont="1" applyFill="1"/>
    <xf numFmtId="0" fontId="7" fillId="0" borderId="0" xfId="467" applyFont="1" applyFill="1"/>
    <xf numFmtId="175" fontId="70" fillId="0" borderId="0" xfId="464" applyNumberFormat="1" applyFont="1" applyFill="1"/>
    <xf numFmtId="0" fontId="70" fillId="0" borderId="0" xfId="467" applyFont="1" applyFill="1"/>
    <xf numFmtId="0" fontId="109" fillId="0" borderId="0" xfId="517" applyFont="1"/>
    <xf numFmtId="0" fontId="0" fillId="77" borderId="0" xfId="0" applyFill="1"/>
    <xf numFmtId="176" fontId="0" fillId="77" borderId="0" xfId="0" applyNumberFormat="1" applyFill="1"/>
    <xf numFmtId="0" fontId="7" fillId="77" borderId="0" xfId="0" applyFont="1" applyFill="1"/>
    <xf numFmtId="0" fontId="110" fillId="0" borderId="0" xfId="0" applyFont="1"/>
    <xf numFmtId="0" fontId="69" fillId="0" borderId="0" xfId="464"/>
    <xf numFmtId="0" fontId="85" fillId="0" borderId="0" xfId="464" applyFont="1"/>
    <xf numFmtId="0" fontId="0" fillId="0" borderId="0" xfId="0" applyFill="1"/>
    <xf numFmtId="175" fontId="0" fillId="0" borderId="0" xfId="0" applyNumberFormat="1" applyFill="1"/>
    <xf numFmtId="0" fontId="7" fillId="0" borderId="15" xfId="0" applyFont="1" applyFill="1" applyBorder="1" applyAlignment="1">
      <alignment vertical="top" wrapText="1"/>
    </xf>
    <xf numFmtId="0" fontId="2" fillId="0" borderId="0" xfId="0" applyFont="1" applyFill="1"/>
    <xf numFmtId="0" fontId="45" fillId="0" borderId="15" xfId="0" applyFont="1" applyFill="1" applyBorder="1"/>
    <xf numFmtId="175" fontId="45" fillId="0" borderId="15" xfId="743" applyNumberFormat="1" applyFont="1" applyFill="1" applyBorder="1" applyAlignment="1">
      <alignment wrapText="1"/>
    </xf>
    <xf numFmtId="0" fontId="2" fillId="78" borderId="0" xfId="0" applyFont="1" applyFill="1"/>
    <xf numFmtId="175" fontId="2" fillId="78" borderId="0" xfId="0" applyNumberFormat="1" applyFont="1" applyFill="1"/>
    <xf numFmtId="175" fontId="2" fillId="78" borderId="0" xfId="0" applyNumberFormat="1" applyFont="1" applyFill="1" applyBorder="1" applyAlignment="1">
      <alignment vertical="top" wrapText="1"/>
    </xf>
    <xf numFmtId="175" fontId="2" fillId="78" borderId="0" xfId="0" applyNumberFormat="1" applyFont="1" applyFill="1" applyBorder="1"/>
    <xf numFmtId="175" fontId="2" fillId="78" borderId="0" xfId="490" applyNumberFormat="1" applyFont="1" applyFill="1"/>
    <xf numFmtId="0" fontId="7" fillId="79" borderId="0" xfId="490" applyFill="1" applyBorder="1"/>
    <xf numFmtId="0" fontId="7" fillId="79" borderId="0" xfId="490" applyFont="1" applyFill="1" applyBorder="1"/>
    <xf numFmtId="0" fontId="0" fillId="79" borderId="0" xfId="0" applyFill="1" applyBorder="1"/>
    <xf numFmtId="0" fontId="0" fillId="79" borderId="0" xfId="0" applyFill="1"/>
    <xf numFmtId="175" fontId="7" fillId="79" borderId="0" xfId="0" applyNumberFormat="1" applyFont="1" applyFill="1"/>
    <xf numFmtId="0" fontId="7" fillId="79" borderId="0" xfId="0" applyFont="1" applyFill="1"/>
    <xf numFmtId="0" fontId="109" fillId="0" borderId="0" xfId="517" applyFont="1" applyFill="1"/>
    <xf numFmtId="175" fontId="48" fillId="0" borderId="0" xfId="0" applyNumberFormat="1" applyFont="1" applyFill="1"/>
    <xf numFmtId="175" fontId="4" fillId="0" borderId="0" xfId="0" applyNumberFormat="1" applyFont="1" applyFill="1"/>
    <xf numFmtId="175" fontId="2" fillId="0" borderId="27" xfId="0" applyNumberFormat="1" applyFont="1" applyFill="1" applyBorder="1"/>
    <xf numFmtId="175" fontId="7" fillId="0" borderId="23" xfId="462" applyNumberFormat="1" applyFont="1" applyFill="1" applyBorder="1" applyAlignment="1">
      <alignment horizontal="left" wrapText="1"/>
    </xf>
    <xf numFmtId="0" fontId="7" fillId="79" borderId="0" xfId="490" applyFont="1" applyFill="1" applyBorder="1" applyAlignment="1">
      <alignment vertical="top" wrapText="1"/>
    </xf>
    <xf numFmtId="0" fontId="45" fillId="79" borderId="0" xfId="490" applyFont="1" applyFill="1" applyBorder="1"/>
    <xf numFmtId="0" fontId="0" fillId="75" borderId="19" xfId="0" applyFill="1" applyBorder="1"/>
    <xf numFmtId="0" fontId="0" fillId="75" borderId="26" xfId="0" applyFill="1" applyBorder="1"/>
    <xf numFmtId="0" fontId="0" fillId="75" borderId="24" xfId="0" applyFill="1" applyBorder="1"/>
    <xf numFmtId="0" fontId="93" fillId="72" borderId="31" xfId="440"/>
    <xf numFmtId="0" fontId="70" fillId="0" borderId="0" xfId="467" applyFont="1"/>
    <xf numFmtId="0" fontId="7" fillId="0" borderId="0" xfId="490"/>
    <xf numFmtId="0" fontId="7" fillId="80" borderId="0" xfId="0" applyFont="1" applyFill="1"/>
    <xf numFmtId="0" fontId="70" fillId="80" borderId="0" xfId="467" applyFont="1" applyFill="1"/>
    <xf numFmtId="0" fontId="0" fillId="80" borderId="0" xfId="0" applyFill="1"/>
    <xf numFmtId="0" fontId="7" fillId="80" borderId="0" xfId="490" applyFill="1"/>
    <xf numFmtId="175" fontId="70" fillId="80" borderId="0" xfId="464" applyNumberFormat="1" applyFont="1" applyFill="1"/>
    <xf numFmtId="175" fontId="7" fillId="80" borderId="0" xfId="490" applyNumberFormat="1" applyFont="1" applyFill="1"/>
    <xf numFmtId="175" fontId="7" fillId="80" borderId="0" xfId="0" applyNumberFormat="1" applyFont="1" applyFill="1"/>
    <xf numFmtId="0" fontId="7" fillId="80" borderId="0" xfId="467" applyFont="1" applyFill="1"/>
    <xf numFmtId="175" fontId="7" fillId="80" borderId="0" xfId="464" applyNumberFormat="1" applyFont="1" applyFill="1"/>
    <xf numFmtId="175" fontId="7" fillId="80" borderId="0" xfId="489" applyNumberFormat="1" applyFont="1" applyFill="1"/>
    <xf numFmtId="0" fontId="55" fillId="80" borderId="0" xfId="0" applyFont="1" applyFill="1"/>
    <xf numFmtId="0" fontId="7" fillId="80" borderId="0" xfId="490" applyFont="1" applyFill="1"/>
    <xf numFmtId="176" fontId="0" fillId="0" borderId="0" xfId="0" applyNumberFormat="1"/>
    <xf numFmtId="176" fontId="0" fillId="0" borderId="0" xfId="0" applyNumberFormat="1" applyAlignment="1">
      <alignment horizontal="right"/>
    </xf>
  </cellXfs>
  <cellStyles count="1019">
    <cellStyle name="20% - Accent1" xfId="891" builtinId="30" customBuiltin="1"/>
    <cellStyle name="20% - Accent1 2" xfId="1" xr:uid="{00000000-0005-0000-0000-000000000000}"/>
    <cellStyle name="20% - Accent1 2 2" xfId="2" xr:uid="{00000000-0005-0000-0000-000001000000}"/>
    <cellStyle name="20% - Accent1 2 2 2" xfId="955" xr:uid="{593A1141-19B7-48DB-95B6-C28384FCF8D8}"/>
    <cellStyle name="20% - Accent1 2 3" xfId="3" xr:uid="{00000000-0005-0000-0000-000002000000}"/>
    <cellStyle name="20% - Accent1 2 4" xfId="896" xr:uid="{9E524C80-216D-41FD-B5F9-A0A307F40F13}"/>
    <cellStyle name="20% - Accent1 3" xfId="4" xr:uid="{00000000-0005-0000-0000-000003000000}"/>
    <cellStyle name="20% - Accent1 3 2" xfId="5" xr:uid="{00000000-0005-0000-0000-000004000000}"/>
    <cellStyle name="20% - Accent1 3 2 2" xfId="956" xr:uid="{90B60DEC-1E39-4DC0-A435-2621E08293C0}"/>
    <cellStyle name="20% - Accent1 3 3" xfId="6" xr:uid="{00000000-0005-0000-0000-000005000000}"/>
    <cellStyle name="20% - Accent1 3 4" xfId="7" xr:uid="{00000000-0005-0000-0000-000006000000}"/>
    <cellStyle name="20% - Accent1 3 5" xfId="897" xr:uid="{B974B3C4-13D1-4033-BAE8-6EF65D2F4BB8}"/>
    <cellStyle name="20% - Accent1 4" xfId="8" xr:uid="{00000000-0005-0000-0000-000007000000}"/>
    <cellStyle name="20% - Accent1 4 2" xfId="9" xr:uid="{00000000-0005-0000-0000-000008000000}"/>
    <cellStyle name="20% - Accent1 4 3" xfId="10" xr:uid="{00000000-0005-0000-0000-000009000000}"/>
    <cellStyle name="20% - Accent1 4 4" xfId="11" xr:uid="{00000000-0005-0000-0000-00000A000000}"/>
    <cellStyle name="20% - Accent1 4 5" xfId="12" xr:uid="{00000000-0005-0000-0000-00000B000000}"/>
    <cellStyle name="20% - Accent1 5" xfId="13" xr:uid="{00000000-0005-0000-0000-00000C000000}"/>
    <cellStyle name="20% - Accent1 5 2" xfId="954" xr:uid="{D4C146CF-DF6E-4CA8-9D11-77D66E9D0D3C}"/>
    <cellStyle name="20% - Accent1 6" xfId="14" xr:uid="{00000000-0005-0000-0000-00000D000000}"/>
    <cellStyle name="20% - Accent1 7" xfId="15" xr:uid="{00000000-0005-0000-0000-00000E000000}"/>
    <cellStyle name="20% - Accent2" xfId="892" builtinId="34" customBuiltin="1"/>
    <cellStyle name="20% - Accent2 2" xfId="16" xr:uid="{00000000-0005-0000-0000-00000F000000}"/>
    <cellStyle name="20% - Accent2 2 2" xfId="17" xr:uid="{00000000-0005-0000-0000-000010000000}"/>
    <cellStyle name="20% - Accent2 2 2 2" xfId="958" xr:uid="{647F420B-2FA2-4284-A181-A5C35E334B11}"/>
    <cellStyle name="20% - Accent2 2 3" xfId="18" xr:uid="{00000000-0005-0000-0000-000011000000}"/>
    <cellStyle name="20% - Accent2 2 4" xfId="898" xr:uid="{1F32B69B-11C3-4AC6-AC0D-0D9B1218E240}"/>
    <cellStyle name="20% - Accent2 3" xfId="19" xr:uid="{00000000-0005-0000-0000-000012000000}"/>
    <cellStyle name="20% - Accent2 3 2" xfId="20" xr:uid="{00000000-0005-0000-0000-000013000000}"/>
    <cellStyle name="20% - Accent2 3 2 2" xfId="959" xr:uid="{59313E5D-7A54-4AC4-963D-47226A11AD3F}"/>
    <cellStyle name="20% - Accent2 3 3" xfId="21" xr:uid="{00000000-0005-0000-0000-000014000000}"/>
    <cellStyle name="20% - Accent2 3 4" xfId="22" xr:uid="{00000000-0005-0000-0000-000015000000}"/>
    <cellStyle name="20% - Accent2 3 5" xfId="899" xr:uid="{C6D303C8-797A-4C74-A8DA-03559A28AD70}"/>
    <cellStyle name="20% - Accent2 4" xfId="23" xr:uid="{00000000-0005-0000-0000-000016000000}"/>
    <cellStyle name="20% - Accent2 4 2" xfId="24" xr:uid="{00000000-0005-0000-0000-000017000000}"/>
    <cellStyle name="20% - Accent2 4 3" xfId="25" xr:uid="{00000000-0005-0000-0000-000018000000}"/>
    <cellStyle name="20% - Accent2 4 4" xfId="26" xr:uid="{00000000-0005-0000-0000-000019000000}"/>
    <cellStyle name="20% - Accent2 4 5" xfId="27" xr:uid="{00000000-0005-0000-0000-00001A000000}"/>
    <cellStyle name="20% - Accent2 5" xfId="28" xr:uid="{00000000-0005-0000-0000-00001B000000}"/>
    <cellStyle name="20% - Accent2 5 2" xfId="957" xr:uid="{C9E8905A-2373-4740-B6C4-E5DE416CBB66}"/>
    <cellStyle name="20% - Accent2 6" xfId="29" xr:uid="{00000000-0005-0000-0000-00001C000000}"/>
    <cellStyle name="20% - Accent2 7" xfId="30" xr:uid="{00000000-0005-0000-0000-00001D000000}"/>
    <cellStyle name="20% - Accent3" xfId="893" builtinId="38" customBuiltin="1"/>
    <cellStyle name="20% - Accent3 2" xfId="31" xr:uid="{00000000-0005-0000-0000-00001E000000}"/>
    <cellStyle name="20% - Accent3 2 2" xfId="32" xr:uid="{00000000-0005-0000-0000-00001F000000}"/>
    <cellStyle name="20% - Accent3 2 2 2" xfId="961" xr:uid="{89E00F34-B394-4883-867B-E218BE2808B0}"/>
    <cellStyle name="20% - Accent3 2 3" xfId="33" xr:uid="{00000000-0005-0000-0000-000020000000}"/>
    <cellStyle name="20% - Accent3 2 4" xfId="900" xr:uid="{DB1A7F15-B7D1-4A93-AC9E-A63464E27C5F}"/>
    <cellStyle name="20% - Accent3 3" xfId="34" xr:uid="{00000000-0005-0000-0000-000021000000}"/>
    <cellStyle name="20% - Accent3 3 2" xfId="35" xr:uid="{00000000-0005-0000-0000-000022000000}"/>
    <cellStyle name="20% - Accent3 3 2 2" xfId="962" xr:uid="{967F52EE-B126-42A1-A37E-30AC2FA84D40}"/>
    <cellStyle name="20% - Accent3 3 3" xfId="36" xr:uid="{00000000-0005-0000-0000-000023000000}"/>
    <cellStyle name="20% - Accent3 3 4" xfId="37" xr:uid="{00000000-0005-0000-0000-000024000000}"/>
    <cellStyle name="20% - Accent3 3 5" xfId="901" xr:uid="{C64A35F6-55CF-4964-AB9D-A9C8F28DC8D6}"/>
    <cellStyle name="20% - Accent3 4" xfId="38" xr:uid="{00000000-0005-0000-0000-000025000000}"/>
    <cellStyle name="20% - Accent3 4 2" xfId="39" xr:uid="{00000000-0005-0000-0000-000026000000}"/>
    <cellStyle name="20% - Accent3 4 3" xfId="40" xr:uid="{00000000-0005-0000-0000-000027000000}"/>
    <cellStyle name="20% - Accent3 4 4" xfId="41" xr:uid="{00000000-0005-0000-0000-000028000000}"/>
    <cellStyle name="20% - Accent3 4 5" xfId="42" xr:uid="{00000000-0005-0000-0000-000029000000}"/>
    <cellStyle name="20% - Accent3 5" xfId="43" xr:uid="{00000000-0005-0000-0000-00002A000000}"/>
    <cellStyle name="20% - Accent3 5 2" xfId="960" xr:uid="{8CFF4C20-7AD2-4856-A09E-479E66B29C98}"/>
    <cellStyle name="20% - Accent3 6" xfId="44" xr:uid="{00000000-0005-0000-0000-00002B000000}"/>
    <cellStyle name="20% - Accent3 7" xfId="45" xr:uid="{00000000-0005-0000-0000-00002C000000}"/>
    <cellStyle name="20% - Accent4" xfId="895" builtinId="42" customBuiltin="1"/>
    <cellStyle name="20% - Accent4 2" xfId="46" xr:uid="{00000000-0005-0000-0000-00002D000000}"/>
    <cellStyle name="20% - Accent4 2 2" xfId="47" xr:uid="{00000000-0005-0000-0000-00002E000000}"/>
    <cellStyle name="20% - Accent4 2 2 2" xfId="964" xr:uid="{FA794DED-B9EB-4794-89D5-ABC0A33061F7}"/>
    <cellStyle name="20% - Accent4 2 3" xfId="48" xr:uid="{00000000-0005-0000-0000-00002F000000}"/>
    <cellStyle name="20% - Accent4 2 4" xfId="902" xr:uid="{3932C0CD-224C-4177-A23B-34E661F1C1C2}"/>
    <cellStyle name="20% - Accent4 3" xfId="49" xr:uid="{00000000-0005-0000-0000-000030000000}"/>
    <cellStyle name="20% - Accent4 3 2" xfId="50" xr:uid="{00000000-0005-0000-0000-000031000000}"/>
    <cellStyle name="20% - Accent4 3 2 2" xfId="965" xr:uid="{6B8A1CAD-66C3-426B-ACDC-500144AC100E}"/>
    <cellStyle name="20% - Accent4 3 3" xfId="51" xr:uid="{00000000-0005-0000-0000-000032000000}"/>
    <cellStyle name="20% - Accent4 3 4" xfId="52" xr:uid="{00000000-0005-0000-0000-000033000000}"/>
    <cellStyle name="20% - Accent4 3 5" xfId="903" xr:uid="{AB1B045B-C98D-4D66-B00B-1E42FDBA396B}"/>
    <cellStyle name="20% - Accent4 4" xfId="53" xr:uid="{00000000-0005-0000-0000-000034000000}"/>
    <cellStyle name="20% - Accent4 4 2" xfId="54" xr:uid="{00000000-0005-0000-0000-000035000000}"/>
    <cellStyle name="20% - Accent4 4 3" xfId="55" xr:uid="{00000000-0005-0000-0000-000036000000}"/>
    <cellStyle name="20% - Accent4 4 4" xfId="56" xr:uid="{00000000-0005-0000-0000-000037000000}"/>
    <cellStyle name="20% - Accent4 4 5" xfId="57" xr:uid="{00000000-0005-0000-0000-000038000000}"/>
    <cellStyle name="20% - Accent4 5" xfId="58" xr:uid="{00000000-0005-0000-0000-000039000000}"/>
    <cellStyle name="20% - Accent4 5 2" xfId="963" xr:uid="{C22B2026-E1BE-466B-B321-560CC1C251FB}"/>
    <cellStyle name="20% - Accent4 6" xfId="59" xr:uid="{00000000-0005-0000-0000-00003A000000}"/>
    <cellStyle name="20% - Accent4 7" xfId="60" xr:uid="{00000000-0005-0000-0000-00003B000000}"/>
    <cellStyle name="20% - Accent5" xfId="61" builtinId="46" customBuiltin="1"/>
    <cellStyle name="20% - Accent5 2" xfId="62" xr:uid="{00000000-0005-0000-0000-00003D000000}"/>
    <cellStyle name="20% - Accent5 2 2" xfId="63" xr:uid="{00000000-0005-0000-0000-00003E000000}"/>
    <cellStyle name="20% - Accent5 2 2 2" xfId="967" xr:uid="{BCC0EFE3-31AF-4DFA-A859-B353AEED6114}"/>
    <cellStyle name="20% - Accent5 2 3" xfId="905" xr:uid="{0F5EB051-5A54-4A4E-96B1-DD5628112C4A}"/>
    <cellStyle name="20% - Accent5 3" xfId="64" xr:uid="{00000000-0005-0000-0000-00003F000000}"/>
    <cellStyle name="20% - Accent5 3 2" xfId="65" xr:uid="{00000000-0005-0000-0000-000040000000}"/>
    <cellStyle name="20% - Accent5 3 2 2" xfId="968" xr:uid="{62D9E368-B742-48D0-94A6-A934151093A0}"/>
    <cellStyle name="20% - Accent5 3 3" xfId="66" xr:uid="{00000000-0005-0000-0000-000041000000}"/>
    <cellStyle name="20% - Accent5 3 4" xfId="67" xr:uid="{00000000-0005-0000-0000-000042000000}"/>
    <cellStyle name="20% - Accent5 3 5" xfId="906" xr:uid="{CB0C7194-49A9-4E86-AB3C-181F59B5DE3B}"/>
    <cellStyle name="20% - Accent5 4" xfId="68" xr:uid="{00000000-0005-0000-0000-000043000000}"/>
    <cellStyle name="20% - Accent5 4 2" xfId="69" xr:uid="{00000000-0005-0000-0000-000044000000}"/>
    <cellStyle name="20% - Accent5 4 3" xfId="70" xr:uid="{00000000-0005-0000-0000-000045000000}"/>
    <cellStyle name="20% - Accent5 4 4" xfId="71" xr:uid="{00000000-0005-0000-0000-000046000000}"/>
    <cellStyle name="20% - Accent5 5" xfId="72" xr:uid="{00000000-0005-0000-0000-000047000000}"/>
    <cellStyle name="20% - Accent5 5 2" xfId="966" xr:uid="{27ED7173-2AD8-43A0-9AC6-F405BBCC709D}"/>
    <cellStyle name="20% - Accent5 6" xfId="73" xr:uid="{00000000-0005-0000-0000-000048000000}"/>
    <cellStyle name="20% - Accent5 7" xfId="904" xr:uid="{A44C44F8-D18B-4173-B364-45E96056D88C}"/>
    <cellStyle name="20% - Accent6" xfId="74" builtinId="50" customBuiltin="1"/>
    <cellStyle name="20% - Accent6 2" xfId="75" xr:uid="{00000000-0005-0000-0000-00004A000000}"/>
    <cellStyle name="20% - Accent6 2 2" xfId="76" xr:uid="{00000000-0005-0000-0000-00004B000000}"/>
    <cellStyle name="20% - Accent6 2 2 2" xfId="970" xr:uid="{ADB3237B-B5AA-4CBA-91C7-A828A30DC911}"/>
    <cellStyle name="20% - Accent6 2 3" xfId="77" xr:uid="{00000000-0005-0000-0000-00004C000000}"/>
    <cellStyle name="20% - Accent6 2 4" xfId="908" xr:uid="{4466E82D-E59B-42FD-B620-2463795EE684}"/>
    <cellStyle name="20% - Accent6 3" xfId="78" xr:uid="{00000000-0005-0000-0000-00004D000000}"/>
    <cellStyle name="20% - Accent6 3 2" xfId="79" xr:uid="{00000000-0005-0000-0000-00004E000000}"/>
    <cellStyle name="20% - Accent6 3 2 2" xfId="971" xr:uid="{D8402A9E-4CD7-4340-994B-4EF96D182496}"/>
    <cellStyle name="20% - Accent6 3 3" xfId="80" xr:uid="{00000000-0005-0000-0000-00004F000000}"/>
    <cellStyle name="20% - Accent6 3 4" xfId="81" xr:uid="{00000000-0005-0000-0000-000050000000}"/>
    <cellStyle name="20% - Accent6 3 5" xfId="909" xr:uid="{ED3028A6-9391-433B-8FCC-ECC66320887C}"/>
    <cellStyle name="20% - Accent6 4" xfId="82" xr:uid="{00000000-0005-0000-0000-000051000000}"/>
    <cellStyle name="20% - Accent6 4 2" xfId="83" xr:uid="{00000000-0005-0000-0000-000052000000}"/>
    <cellStyle name="20% - Accent6 4 3" xfId="84" xr:uid="{00000000-0005-0000-0000-000053000000}"/>
    <cellStyle name="20% - Accent6 4 4" xfId="85" xr:uid="{00000000-0005-0000-0000-000054000000}"/>
    <cellStyle name="20% - Accent6 4 5" xfId="86" xr:uid="{00000000-0005-0000-0000-000055000000}"/>
    <cellStyle name="20% - Accent6 5" xfId="87" xr:uid="{00000000-0005-0000-0000-000056000000}"/>
    <cellStyle name="20% - Accent6 5 2" xfId="969" xr:uid="{67C1CE07-EEB5-405E-B8F9-745D885692F3}"/>
    <cellStyle name="20% - Accent6 6" xfId="88" xr:uid="{00000000-0005-0000-0000-000057000000}"/>
    <cellStyle name="20% - Accent6 7" xfId="907" xr:uid="{55C96113-89E7-4A87-B308-59498B159C10}"/>
    <cellStyle name="40% - Accent1" xfId="89" builtinId="31" customBuiltin="1"/>
    <cellStyle name="40% - Accent1 2" xfId="90" xr:uid="{00000000-0005-0000-0000-000059000000}"/>
    <cellStyle name="40% - Accent1 2 2" xfId="91" xr:uid="{00000000-0005-0000-0000-00005A000000}"/>
    <cellStyle name="40% - Accent1 2 2 2" xfId="973" xr:uid="{13F6785F-47C7-469F-AF0D-F5DAD6C504DC}"/>
    <cellStyle name="40% - Accent1 2 3" xfId="92" xr:uid="{00000000-0005-0000-0000-00005B000000}"/>
    <cellStyle name="40% - Accent1 2 4" xfId="911" xr:uid="{8B94E017-B47A-4C49-9877-849E86CCC993}"/>
    <cellStyle name="40% - Accent1 3" xfId="93" xr:uid="{00000000-0005-0000-0000-00005C000000}"/>
    <cellStyle name="40% - Accent1 3 2" xfId="94" xr:uid="{00000000-0005-0000-0000-00005D000000}"/>
    <cellStyle name="40% - Accent1 3 2 2" xfId="974" xr:uid="{17EAC5AA-6B90-4D68-AB0E-05034C373A1C}"/>
    <cellStyle name="40% - Accent1 3 3" xfId="95" xr:uid="{00000000-0005-0000-0000-00005E000000}"/>
    <cellStyle name="40% - Accent1 3 4" xfId="96" xr:uid="{00000000-0005-0000-0000-00005F000000}"/>
    <cellStyle name="40% - Accent1 3 5" xfId="912" xr:uid="{70F97478-9115-48A1-ABBE-0EEEA5E95E1E}"/>
    <cellStyle name="40% - Accent1 4" xfId="97" xr:uid="{00000000-0005-0000-0000-000060000000}"/>
    <cellStyle name="40% - Accent1 4 2" xfId="98" xr:uid="{00000000-0005-0000-0000-000061000000}"/>
    <cellStyle name="40% - Accent1 4 3" xfId="99" xr:uid="{00000000-0005-0000-0000-000062000000}"/>
    <cellStyle name="40% - Accent1 4 4" xfId="100" xr:uid="{00000000-0005-0000-0000-000063000000}"/>
    <cellStyle name="40% - Accent1 4 5" xfId="101" xr:uid="{00000000-0005-0000-0000-000064000000}"/>
    <cellStyle name="40% - Accent1 5" xfId="102" xr:uid="{00000000-0005-0000-0000-000065000000}"/>
    <cellStyle name="40% - Accent1 5 2" xfId="972" xr:uid="{8B2FEAD8-F5BA-43A7-BDF0-F86446BE9A4E}"/>
    <cellStyle name="40% - Accent1 6" xfId="103" xr:uid="{00000000-0005-0000-0000-000066000000}"/>
    <cellStyle name="40% - Accent1 7" xfId="910" xr:uid="{BCB80835-911A-4513-850C-A796AAC27CA8}"/>
    <cellStyle name="40% - Accent2" xfId="104" builtinId="35" customBuiltin="1"/>
    <cellStyle name="40% - Accent2 2" xfId="105" xr:uid="{00000000-0005-0000-0000-000068000000}"/>
    <cellStyle name="40% - Accent2 2 2" xfId="106" xr:uid="{00000000-0005-0000-0000-000069000000}"/>
    <cellStyle name="40% - Accent2 2 2 2" xfId="976" xr:uid="{5A4E90CA-61E2-4056-AF6D-7080BAE74D00}"/>
    <cellStyle name="40% - Accent2 2 3" xfId="914" xr:uid="{141E9C01-F4D9-45E9-AC26-16F9A9A90406}"/>
    <cellStyle name="40% - Accent2 3" xfId="107" xr:uid="{00000000-0005-0000-0000-00006A000000}"/>
    <cellStyle name="40% - Accent2 3 2" xfId="108" xr:uid="{00000000-0005-0000-0000-00006B000000}"/>
    <cellStyle name="40% - Accent2 3 2 2" xfId="977" xr:uid="{A4F8B853-B81F-4BB9-928F-3316189E2778}"/>
    <cellStyle name="40% - Accent2 3 3" xfId="109" xr:uid="{00000000-0005-0000-0000-00006C000000}"/>
    <cellStyle name="40% - Accent2 3 4" xfId="110" xr:uid="{00000000-0005-0000-0000-00006D000000}"/>
    <cellStyle name="40% - Accent2 3 5" xfId="915" xr:uid="{D418DC18-82CF-4B67-90A8-3B245B71C4DC}"/>
    <cellStyle name="40% - Accent2 4" xfId="111" xr:uid="{00000000-0005-0000-0000-00006E000000}"/>
    <cellStyle name="40% - Accent2 4 2" xfId="112" xr:uid="{00000000-0005-0000-0000-00006F000000}"/>
    <cellStyle name="40% - Accent2 4 3" xfId="113" xr:uid="{00000000-0005-0000-0000-000070000000}"/>
    <cellStyle name="40% - Accent2 4 4" xfId="114" xr:uid="{00000000-0005-0000-0000-000071000000}"/>
    <cellStyle name="40% - Accent2 5" xfId="115" xr:uid="{00000000-0005-0000-0000-000072000000}"/>
    <cellStyle name="40% - Accent2 5 2" xfId="975" xr:uid="{8900ED5B-0206-4AD0-B49B-4C768D7B966E}"/>
    <cellStyle name="40% - Accent2 6" xfId="116" xr:uid="{00000000-0005-0000-0000-000073000000}"/>
    <cellStyle name="40% - Accent2 7" xfId="913" xr:uid="{232BB658-BE26-4BA4-89A5-DE4603277604}"/>
    <cellStyle name="40% - Accent3" xfId="894" builtinId="39" customBuiltin="1"/>
    <cellStyle name="40% - Accent3 2" xfId="117" xr:uid="{00000000-0005-0000-0000-000074000000}"/>
    <cellStyle name="40% - Accent3 2 2" xfId="118" xr:uid="{00000000-0005-0000-0000-000075000000}"/>
    <cellStyle name="40% - Accent3 2 2 2" xfId="979" xr:uid="{5119A957-6D06-4FFF-B99B-DA5830777D92}"/>
    <cellStyle name="40% - Accent3 2 3" xfId="119" xr:uid="{00000000-0005-0000-0000-000076000000}"/>
    <cellStyle name="40% - Accent3 2 4" xfId="916" xr:uid="{F00E7B43-3770-486E-A710-9D650E9DEA1C}"/>
    <cellStyle name="40% - Accent3 3" xfId="120" xr:uid="{00000000-0005-0000-0000-000077000000}"/>
    <cellStyle name="40% - Accent3 3 2" xfId="121" xr:uid="{00000000-0005-0000-0000-000078000000}"/>
    <cellStyle name="40% - Accent3 3 2 2" xfId="122" xr:uid="{00000000-0005-0000-0000-000079000000}"/>
    <cellStyle name="40% - Accent3 3 2 2 2" xfId="123" xr:uid="{00000000-0005-0000-0000-00007A000000}"/>
    <cellStyle name="40% - Accent3 3 2 2 3" xfId="124" xr:uid="{00000000-0005-0000-0000-00007B000000}"/>
    <cellStyle name="40% - Accent3 3 2 3" xfId="125" xr:uid="{00000000-0005-0000-0000-00007C000000}"/>
    <cellStyle name="40% - Accent3 3 2 4" xfId="126" xr:uid="{00000000-0005-0000-0000-00007D000000}"/>
    <cellStyle name="40% - Accent3 3 2 5" xfId="980" xr:uid="{904EF596-7962-4462-871B-3B26FD6CEC88}"/>
    <cellStyle name="40% - Accent3 3 3" xfId="127" xr:uid="{00000000-0005-0000-0000-00007E000000}"/>
    <cellStyle name="40% - Accent3 3 3 2" xfId="128" xr:uid="{00000000-0005-0000-0000-00007F000000}"/>
    <cellStyle name="40% - Accent3 3 3 3" xfId="129" xr:uid="{00000000-0005-0000-0000-000080000000}"/>
    <cellStyle name="40% - Accent3 3 4" xfId="130" xr:uid="{00000000-0005-0000-0000-000081000000}"/>
    <cellStyle name="40% - Accent3 3 5" xfId="131" xr:uid="{00000000-0005-0000-0000-000082000000}"/>
    <cellStyle name="40% - Accent3 3 6" xfId="132" xr:uid="{00000000-0005-0000-0000-000083000000}"/>
    <cellStyle name="40% - Accent3 3 7" xfId="917" xr:uid="{535A1F69-8FFA-4CEB-8A29-E9738D5A4141}"/>
    <cellStyle name="40% - Accent3 4" xfId="133" xr:uid="{00000000-0005-0000-0000-000084000000}"/>
    <cellStyle name="40% - Accent3 4 2" xfId="134" xr:uid="{00000000-0005-0000-0000-000085000000}"/>
    <cellStyle name="40% - Accent3 4 2 2" xfId="135" xr:uid="{00000000-0005-0000-0000-000086000000}"/>
    <cellStyle name="40% - Accent3 4 2 3" xfId="136" xr:uid="{00000000-0005-0000-0000-000087000000}"/>
    <cellStyle name="40% - Accent3 4 3" xfId="137" xr:uid="{00000000-0005-0000-0000-000088000000}"/>
    <cellStyle name="40% - Accent3 4 4" xfId="138" xr:uid="{00000000-0005-0000-0000-000089000000}"/>
    <cellStyle name="40% - Accent3 4 5" xfId="139" xr:uid="{00000000-0005-0000-0000-00008A000000}"/>
    <cellStyle name="40% - Accent3 4 6" xfId="140" xr:uid="{00000000-0005-0000-0000-00008B000000}"/>
    <cellStyle name="40% - Accent3 5" xfId="141" xr:uid="{00000000-0005-0000-0000-00008C000000}"/>
    <cellStyle name="40% - Accent3 5 2" xfId="142" xr:uid="{00000000-0005-0000-0000-00008D000000}"/>
    <cellStyle name="40% - Accent3 5 2 2" xfId="143" xr:uid="{00000000-0005-0000-0000-00008E000000}"/>
    <cellStyle name="40% - Accent3 5 2 3" xfId="144" xr:uid="{00000000-0005-0000-0000-00008F000000}"/>
    <cellStyle name="40% - Accent3 5 3" xfId="145" xr:uid="{00000000-0005-0000-0000-000090000000}"/>
    <cellStyle name="40% - Accent3 5 4" xfId="146" xr:uid="{00000000-0005-0000-0000-000091000000}"/>
    <cellStyle name="40% - Accent3 5 5" xfId="978" xr:uid="{B84FD57F-FFD5-49C7-8572-9531D8920FAE}"/>
    <cellStyle name="40% - Accent3 6" xfId="147" xr:uid="{00000000-0005-0000-0000-000092000000}"/>
    <cellStyle name="40% - Accent3 6 2" xfId="148" xr:uid="{00000000-0005-0000-0000-000093000000}"/>
    <cellStyle name="40% - Accent3 6 3" xfId="149" xr:uid="{00000000-0005-0000-0000-000094000000}"/>
    <cellStyle name="40% - Accent3 7" xfId="150" xr:uid="{00000000-0005-0000-0000-000095000000}"/>
    <cellStyle name="40% - Accent3 8" xfId="151" xr:uid="{00000000-0005-0000-0000-000096000000}"/>
    <cellStyle name="40% - Accent4" xfId="152" builtinId="43" customBuiltin="1"/>
    <cellStyle name="40% - Accent4 2" xfId="153" xr:uid="{00000000-0005-0000-0000-000098000000}"/>
    <cellStyle name="40% - Accent4 2 2" xfId="154" xr:uid="{00000000-0005-0000-0000-000099000000}"/>
    <cellStyle name="40% - Accent4 2 2 2" xfId="982" xr:uid="{F1623ED2-AC33-44E7-9DFD-157E3E1F4C07}"/>
    <cellStyle name="40% - Accent4 2 3" xfId="155" xr:uid="{00000000-0005-0000-0000-00009A000000}"/>
    <cellStyle name="40% - Accent4 2 4" xfId="919" xr:uid="{CF552A84-CC93-4DCE-AF00-4641DE4DB93D}"/>
    <cellStyle name="40% - Accent4 3" xfId="156" xr:uid="{00000000-0005-0000-0000-00009B000000}"/>
    <cellStyle name="40% - Accent4 3 2" xfId="157" xr:uid="{00000000-0005-0000-0000-00009C000000}"/>
    <cellStyle name="40% - Accent4 3 2 2" xfId="983" xr:uid="{860B1D1F-49BE-4E2B-B91C-F037FA34C360}"/>
    <cellStyle name="40% - Accent4 3 3" xfId="158" xr:uid="{00000000-0005-0000-0000-00009D000000}"/>
    <cellStyle name="40% - Accent4 3 4" xfId="159" xr:uid="{00000000-0005-0000-0000-00009E000000}"/>
    <cellStyle name="40% - Accent4 3 5" xfId="920" xr:uid="{02AFA43C-B683-48FF-9F7C-D4DC6CAAB86B}"/>
    <cellStyle name="40% - Accent4 4" xfId="160" xr:uid="{00000000-0005-0000-0000-00009F000000}"/>
    <cellStyle name="40% - Accent4 4 2" xfId="161" xr:uid="{00000000-0005-0000-0000-0000A0000000}"/>
    <cellStyle name="40% - Accent4 4 3" xfId="162" xr:uid="{00000000-0005-0000-0000-0000A1000000}"/>
    <cellStyle name="40% - Accent4 4 4" xfId="163" xr:uid="{00000000-0005-0000-0000-0000A2000000}"/>
    <cellStyle name="40% - Accent4 4 5" xfId="164" xr:uid="{00000000-0005-0000-0000-0000A3000000}"/>
    <cellStyle name="40% - Accent4 5" xfId="165" xr:uid="{00000000-0005-0000-0000-0000A4000000}"/>
    <cellStyle name="40% - Accent4 5 2" xfId="981" xr:uid="{6BAE3D34-D6D3-4018-871D-3B1E7E919429}"/>
    <cellStyle name="40% - Accent4 6" xfId="166" xr:uid="{00000000-0005-0000-0000-0000A5000000}"/>
    <cellStyle name="40% - Accent4 7" xfId="918" xr:uid="{E7364FA9-1CF6-4A41-8DEE-22E38B720852}"/>
    <cellStyle name="40% - Accent5" xfId="167" builtinId="47" customBuiltin="1"/>
    <cellStyle name="40% - Accent5 2" xfId="168" xr:uid="{00000000-0005-0000-0000-0000A7000000}"/>
    <cellStyle name="40% - Accent5 2 2" xfId="169" xr:uid="{00000000-0005-0000-0000-0000A8000000}"/>
    <cellStyle name="40% - Accent5 2 2 2" xfId="985" xr:uid="{4E69E2F8-103D-4022-A34E-3A5C1AD64679}"/>
    <cellStyle name="40% - Accent5 2 3" xfId="170" xr:uid="{00000000-0005-0000-0000-0000A9000000}"/>
    <cellStyle name="40% - Accent5 2 4" xfId="922" xr:uid="{9623BFB0-317E-4574-8713-99604A4D2FB1}"/>
    <cellStyle name="40% - Accent5 3" xfId="171" xr:uid="{00000000-0005-0000-0000-0000AA000000}"/>
    <cellStyle name="40% - Accent5 3 2" xfId="172" xr:uid="{00000000-0005-0000-0000-0000AB000000}"/>
    <cellStyle name="40% - Accent5 3 2 2" xfId="986" xr:uid="{ABB2E97D-4660-4771-A111-3E623D4536C1}"/>
    <cellStyle name="40% - Accent5 3 3" xfId="173" xr:uid="{00000000-0005-0000-0000-0000AC000000}"/>
    <cellStyle name="40% - Accent5 3 4" xfId="174" xr:uid="{00000000-0005-0000-0000-0000AD000000}"/>
    <cellStyle name="40% - Accent5 3 5" xfId="923" xr:uid="{DB2180CB-938A-4219-8CDB-39FDB161E094}"/>
    <cellStyle name="40% - Accent5 4" xfId="175" xr:uid="{00000000-0005-0000-0000-0000AE000000}"/>
    <cellStyle name="40% - Accent5 4 2" xfId="176" xr:uid="{00000000-0005-0000-0000-0000AF000000}"/>
    <cellStyle name="40% - Accent5 4 3" xfId="177" xr:uid="{00000000-0005-0000-0000-0000B0000000}"/>
    <cellStyle name="40% - Accent5 4 4" xfId="178" xr:uid="{00000000-0005-0000-0000-0000B1000000}"/>
    <cellStyle name="40% - Accent5 4 5" xfId="179" xr:uid="{00000000-0005-0000-0000-0000B2000000}"/>
    <cellStyle name="40% - Accent5 5" xfId="180" xr:uid="{00000000-0005-0000-0000-0000B3000000}"/>
    <cellStyle name="40% - Accent5 5 2" xfId="984" xr:uid="{3530537A-13B9-425D-BB7A-9CAB997333BE}"/>
    <cellStyle name="40% - Accent5 6" xfId="181" xr:uid="{00000000-0005-0000-0000-0000B4000000}"/>
    <cellStyle name="40% - Accent5 7" xfId="921" xr:uid="{984E7B73-5414-4432-9B35-A794CA57A4D3}"/>
    <cellStyle name="40% - Accent6" xfId="182" builtinId="51" customBuiltin="1"/>
    <cellStyle name="40% - Accent6 2" xfId="183" xr:uid="{00000000-0005-0000-0000-0000B6000000}"/>
    <cellStyle name="40% - Accent6 2 2" xfId="184" xr:uid="{00000000-0005-0000-0000-0000B7000000}"/>
    <cellStyle name="40% - Accent6 2 2 2" xfId="988" xr:uid="{4E8AF547-8BAF-4E73-B6D1-8CE2384E315B}"/>
    <cellStyle name="40% - Accent6 2 3" xfId="185" xr:uid="{00000000-0005-0000-0000-0000B8000000}"/>
    <cellStyle name="40% - Accent6 2 4" xfId="925" xr:uid="{4F7394DF-E157-4D5E-91AC-437FCE65ACC8}"/>
    <cellStyle name="40% - Accent6 3" xfId="186" xr:uid="{00000000-0005-0000-0000-0000B9000000}"/>
    <cellStyle name="40% - Accent6 3 2" xfId="187" xr:uid="{00000000-0005-0000-0000-0000BA000000}"/>
    <cellStyle name="40% - Accent6 3 2 2" xfId="989" xr:uid="{BD4ABE55-AC69-4AE9-AD57-DECB76BDC3BE}"/>
    <cellStyle name="40% - Accent6 3 3" xfId="188" xr:uid="{00000000-0005-0000-0000-0000BB000000}"/>
    <cellStyle name="40% - Accent6 3 4" xfId="189" xr:uid="{00000000-0005-0000-0000-0000BC000000}"/>
    <cellStyle name="40% - Accent6 3 5" xfId="926" xr:uid="{32EC48D3-648B-4666-84EB-03F5FBEC8AF0}"/>
    <cellStyle name="40% - Accent6 4" xfId="190" xr:uid="{00000000-0005-0000-0000-0000BD000000}"/>
    <cellStyle name="40% - Accent6 4 2" xfId="191" xr:uid="{00000000-0005-0000-0000-0000BE000000}"/>
    <cellStyle name="40% - Accent6 4 3" xfId="192" xr:uid="{00000000-0005-0000-0000-0000BF000000}"/>
    <cellStyle name="40% - Accent6 4 4" xfId="193" xr:uid="{00000000-0005-0000-0000-0000C0000000}"/>
    <cellStyle name="40% - Accent6 4 5" xfId="194" xr:uid="{00000000-0005-0000-0000-0000C1000000}"/>
    <cellStyle name="40% - Accent6 5" xfId="195" xr:uid="{00000000-0005-0000-0000-0000C2000000}"/>
    <cellStyle name="40% - Accent6 5 2" xfId="987" xr:uid="{1AB45A6C-15B3-41F0-954D-E0B1BC0B160D}"/>
    <cellStyle name="40% - Accent6 6" xfId="196" xr:uid="{00000000-0005-0000-0000-0000C3000000}"/>
    <cellStyle name="40% - Accent6 7" xfId="924" xr:uid="{B565B1C6-34EB-4CB1-A546-264C75FBF57B}"/>
    <cellStyle name="5x indented GHG Textfiels" xfId="197" xr:uid="{00000000-0005-0000-0000-0000C4000000}"/>
    <cellStyle name="60% - Accent1" xfId="198" builtinId="32" customBuiltin="1"/>
    <cellStyle name="60% - Accent1 2" xfId="199" xr:uid="{00000000-0005-0000-0000-0000C6000000}"/>
    <cellStyle name="60% - Accent1 2 2" xfId="200" xr:uid="{00000000-0005-0000-0000-0000C7000000}"/>
    <cellStyle name="60% - Accent1 2 3" xfId="201" xr:uid="{00000000-0005-0000-0000-0000C8000000}"/>
    <cellStyle name="60% - Accent1 3" xfId="202" xr:uid="{00000000-0005-0000-0000-0000C9000000}"/>
    <cellStyle name="60% - Accent1 4" xfId="203" xr:uid="{00000000-0005-0000-0000-0000CA000000}"/>
    <cellStyle name="60% - Accent2" xfId="204" builtinId="36" customBuiltin="1"/>
    <cellStyle name="60% - Accent2 2" xfId="205" xr:uid="{00000000-0005-0000-0000-0000CC000000}"/>
    <cellStyle name="60% - Accent2 2 2" xfId="206" xr:uid="{00000000-0005-0000-0000-0000CD000000}"/>
    <cellStyle name="60% - Accent2 2 3" xfId="207" xr:uid="{00000000-0005-0000-0000-0000CE000000}"/>
    <cellStyle name="60% - Accent2 3" xfId="208" xr:uid="{00000000-0005-0000-0000-0000CF000000}"/>
    <cellStyle name="60% - Accent2 4" xfId="209" xr:uid="{00000000-0005-0000-0000-0000D0000000}"/>
    <cellStyle name="60% - Accent3 2" xfId="210" xr:uid="{00000000-0005-0000-0000-0000D1000000}"/>
    <cellStyle name="60% - Accent3 2 2" xfId="211" xr:uid="{00000000-0005-0000-0000-0000D2000000}"/>
    <cellStyle name="60% - Accent3 2 3" xfId="212" xr:uid="{00000000-0005-0000-0000-0000D3000000}"/>
    <cellStyle name="60% - Accent3 3" xfId="213" xr:uid="{00000000-0005-0000-0000-0000D4000000}"/>
    <cellStyle name="60% - Accent3 4" xfId="214" xr:uid="{00000000-0005-0000-0000-0000D5000000}"/>
    <cellStyle name="60% - Accent3 5" xfId="215" xr:uid="{00000000-0005-0000-0000-0000D6000000}"/>
    <cellStyle name="60% - Accent4 2" xfId="216" xr:uid="{00000000-0005-0000-0000-0000D7000000}"/>
    <cellStyle name="60% - Accent4 2 2" xfId="217" xr:uid="{00000000-0005-0000-0000-0000D8000000}"/>
    <cellStyle name="60% - Accent4 2 3" xfId="218" xr:uid="{00000000-0005-0000-0000-0000D9000000}"/>
    <cellStyle name="60% - Accent4 3" xfId="219" xr:uid="{00000000-0005-0000-0000-0000DA000000}"/>
    <cellStyle name="60% - Accent4 4" xfId="220" xr:uid="{00000000-0005-0000-0000-0000DB000000}"/>
    <cellStyle name="60% - Accent4 5" xfId="221" xr:uid="{00000000-0005-0000-0000-0000DC000000}"/>
    <cellStyle name="60% - Accent5" xfId="222" builtinId="48" customBuiltin="1"/>
    <cellStyle name="60% - Accent5 2" xfId="223" xr:uid="{00000000-0005-0000-0000-0000DE000000}"/>
    <cellStyle name="60% - Accent5 2 2" xfId="224" xr:uid="{00000000-0005-0000-0000-0000DF000000}"/>
    <cellStyle name="60% - Accent5 2 3" xfId="225" xr:uid="{00000000-0005-0000-0000-0000E0000000}"/>
    <cellStyle name="60% - Accent5 3" xfId="226" xr:uid="{00000000-0005-0000-0000-0000E1000000}"/>
    <cellStyle name="60% - Accent5 4" xfId="227" xr:uid="{00000000-0005-0000-0000-0000E2000000}"/>
    <cellStyle name="60% - Accent6 2" xfId="228" xr:uid="{00000000-0005-0000-0000-0000E3000000}"/>
    <cellStyle name="60% - Accent6 2 2" xfId="229" xr:uid="{00000000-0005-0000-0000-0000E4000000}"/>
    <cellStyle name="60% - Accent6 2 3" xfId="230" xr:uid="{00000000-0005-0000-0000-0000E5000000}"/>
    <cellStyle name="60% - Accent6 3" xfId="231" xr:uid="{00000000-0005-0000-0000-0000E6000000}"/>
    <cellStyle name="60% - Accent6 4" xfId="232" xr:uid="{00000000-0005-0000-0000-0000E7000000}"/>
    <cellStyle name="60% - Accent6 5" xfId="233" xr:uid="{00000000-0005-0000-0000-0000E8000000}"/>
    <cellStyle name="Accent1" xfId="234" builtinId="29" customBuiltin="1"/>
    <cellStyle name="Accent1 2" xfId="235" xr:uid="{00000000-0005-0000-0000-0000EA000000}"/>
    <cellStyle name="Accent1 2 2" xfId="236" xr:uid="{00000000-0005-0000-0000-0000EB000000}"/>
    <cellStyle name="Accent1 2 3" xfId="237" xr:uid="{00000000-0005-0000-0000-0000EC000000}"/>
    <cellStyle name="Accent1 3" xfId="238" xr:uid="{00000000-0005-0000-0000-0000ED000000}"/>
    <cellStyle name="Accent1 3 2" xfId="239" xr:uid="{00000000-0005-0000-0000-0000EE000000}"/>
    <cellStyle name="Accent1 4" xfId="240" xr:uid="{00000000-0005-0000-0000-0000EF000000}"/>
    <cellStyle name="Accent2" xfId="241" builtinId="33" customBuiltin="1"/>
    <cellStyle name="Accent2 2" xfId="242" xr:uid="{00000000-0005-0000-0000-0000F1000000}"/>
    <cellStyle name="Accent2 2 2" xfId="243" xr:uid="{00000000-0005-0000-0000-0000F2000000}"/>
    <cellStyle name="Accent2 2 3" xfId="244" xr:uid="{00000000-0005-0000-0000-0000F3000000}"/>
    <cellStyle name="Accent2 3" xfId="245" xr:uid="{00000000-0005-0000-0000-0000F4000000}"/>
    <cellStyle name="Accent2 4" xfId="246" xr:uid="{00000000-0005-0000-0000-0000F5000000}"/>
    <cellStyle name="Accent3" xfId="247" builtinId="37" customBuiltin="1"/>
    <cellStyle name="Accent3 2" xfId="248" xr:uid="{00000000-0005-0000-0000-0000F7000000}"/>
    <cellStyle name="Accent3 2 2" xfId="249" xr:uid="{00000000-0005-0000-0000-0000F8000000}"/>
    <cellStyle name="Accent3 2 3" xfId="250" xr:uid="{00000000-0005-0000-0000-0000F9000000}"/>
    <cellStyle name="Accent3 3" xfId="251" xr:uid="{00000000-0005-0000-0000-0000FA000000}"/>
    <cellStyle name="Accent3 4" xfId="252" xr:uid="{00000000-0005-0000-0000-0000FB000000}"/>
    <cellStyle name="Accent4" xfId="253" builtinId="41" customBuiltin="1"/>
    <cellStyle name="Accent4 2" xfId="254" xr:uid="{00000000-0005-0000-0000-0000FD000000}"/>
    <cellStyle name="Accent4 2 2" xfId="255" xr:uid="{00000000-0005-0000-0000-0000FE000000}"/>
    <cellStyle name="Accent4 2 3" xfId="256" xr:uid="{00000000-0005-0000-0000-0000FF000000}"/>
    <cellStyle name="Accent4 3" xfId="257" xr:uid="{00000000-0005-0000-0000-000000010000}"/>
    <cellStyle name="Accent4 4" xfId="258" xr:uid="{00000000-0005-0000-0000-000001010000}"/>
    <cellStyle name="Accent5" xfId="259" builtinId="45" customBuiltin="1"/>
    <cellStyle name="Accent5 2" xfId="260" xr:uid="{00000000-0005-0000-0000-000003010000}"/>
    <cellStyle name="Accent5 2 2" xfId="261" xr:uid="{00000000-0005-0000-0000-000004010000}"/>
    <cellStyle name="Accent5 3" xfId="262" xr:uid="{00000000-0005-0000-0000-000005010000}"/>
    <cellStyle name="Accent6" xfId="263" builtinId="49" customBuiltin="1"/>
    <cellStyle name="Accent6 2" xfId="264" xr:uid="{00000000-0005-0000-0000-000007010000}"/>
    <cellStyle name="Accent6 2 2" xfId="265" xr:uid="{00000000-0005-0000-0000-000008010000}"/>
    <cellStyle name="Accent6 2 3" xfId="266" xr:uid="{00000000-0005-0000-0000-000009010000}"/>
    <cellStyle name="Accent6 3" xfId="267" xr:uid="{00000000-0005-0000-0000-00000A010000}"/>
    <cellStyle name="Accent6 4" xfId="268" xr:uid="{00000000-0005-0000-0000-00000B010000}"/>
    <cellStyle name="AggOrange_CRFReport-template" xfId="269" xr:uid="{00000000-0005-0000-0000-00000C010000}"/>
    <cellStyle name="AggOrange9_CRFReport-template" xfId="270" xr:uid="{00000000-0005-0000-0000-00000D010000}"/>
    <cellStyle name="Bad" xfId="271" builtinId="27" customBuiltin="1"/>
    <cellStyle name="Bad 2" xfId="272" xr:uid="{00000000-0005-0000-0000-00000F010000}"/>
    <cellStyle name="Bad 2 2" xfId="273" xr:uid="{00000000-0005-0000-0000-000010010000}"/>
    <cellStyle name="Bad 2 3" xfId="274" xr:uid="{00000000-0005-0000-0000-000011010000}"/>
    <cellStyle name="Bad 3" xfId="275" xr:uid="{00000000-0005-0000-0000-000012010000}"/>
    <cellStyle name="Bad 4" xfId="276" xr:uid="{00000000-0005-0000-0000-000013010000}"/>
    <cellStyle name="Body: normal cell" xfId="277" xr:uid="{00000000-0005-0000-0000-000014010000}"/>
    <cellStyle name="Body: normal cell 2" xfId="278" xr:uid="{00000000-0005-0000-0000-000015010000}"/>
    <cellStyle name="Calculation" xfId="279" builtinId="22" customBuiltin="1"/>
    <cellStyle name="Calculation 2" xfId="280" xr:uid="{00000000-0005-0000-0000-000017010000}"/>
    <cellStyle name="Calculation 2 2" xfId="281" xr:uid="{00000000-0005-0000-0000-000018010000}"/>
    <cellStyle name="Calculation 2 3" xfId="282" xr:uid="{00000000-0005-0000-0000-000019010000}"/>
    <cellStyle name="Calculation 3" xfId="283" xr:uid="{00000000-0005-0000-0000-00001A010000}"/>
    <cellStyle name="Calculation 4" xfId="284" xr:uid="{00000000-0005-0000-0000-00001B010000}"/>
    <cellStyle name="Check Cell" xfId="285" builtinId="23" customBuiltin="1"/>
    <cellStyle name="Check Cell 2" xfId="286" xr:uid="{00000000-0005-0000-0000-00001D010000}"/>
    <cellStyle name="Check Cell 2 2" xfId="287" xr:uid="{00000000-0005-0000-0000-00001E010000}"/>
    <cellStyle name="Check Cell 3" xfId="288" xr:uid="{00000000-0005-0000-0000-00001F010000}"/>
    <cellStyle name="coin" xfId="289" xr:uid="{00000000-0005-0000-0000-000020010000}"/>
    <cellStyle name="Comma 2" xfId="927" xr:uid="{40D2157D-E59E-405B-9C42-B6C10A050380}"/>
    <cellStyle name="Comma 2 2" xfId="290" xr:uid="{00000000-0005-0000-0000-000021010000}"/>
    <cellStyle name="Comma 2 2 2" xfId="291" xr:uid="{00000000-0005-0000-0000-000022010000}"/>
    <cellStyle name="Comma 2 2 3" xfId="292" xr:uid="{00000000-0005-0000-0000-000023010000}"/>
    <cellStyle name="Comma 2 2 4" xfId="293" xr:uid="{00000000-0005-0000-0000-000024010000}"/>
    <cellStyle name="Comma 2 3" xfId="294" xr:uid="{00000000-0005-0000-0000-000025010000}"/>
    <cellStyle name="Comma 2 3 2" xfId="295" xr:uid="{00000000-0005-0000-0000-000026010000}"/>
    <cellStyle name="Comma 2 3 2 2" xfId="990" xr:uid="{B4FDCC33-8193-49A2-8328-E6696EAC56A4}"/>
    <cellStyle name="Comma 2 4" xfId="296" xr:uid="{00000000-0005-0000-0000-000027010000}"/>
    <cellStyle name="Comma 2 5" xfId="297" xr:uid="{00000000-0005-0000-0000-000028010000}"/>
    <cellStyle name="Comma 2 6" xfId="298" xr:uid="{00000000-0005-0000-0000-000029010000}"/>
    <cellStyle name="Comma 3" xfId="928" xr:uid="{A18BD338-5557-4DA2-9FCD-BC720E74B22E}"/>
    <cellStyle name="Comma 3 2" xfId="299" xr:uid="{00000000-0005-0000-0000-00002A010000}"/>
    <cellStyle name="Comma 3 2 2" xfId="300" xr:uid="{00000000-0005-0000-0000-00002B010000}"/>
    <cellStyle name="Comma 3 2 2 2" xfId="301" xr:uid="{00000000-0005-0000-0000-00002C010000}"/>
    <cellStyle name="Comma 3 2 2 2 2" xfId="302" xr:uid="{00000000-0005-0000-0000-00002D010000}"/>
    <cellStyle name="Comma 3 2 2 2 3" xfId="303" xr:uid="{00000000-0005-0000-0000-00002E010000}"/>
    <cellStyle name="Comma 3 2 2 3" xfId="304" xr:uid="{00000000-0005-0000-0000-00002F010000}"/>
    <cellStyle name="Comma 3 2 2 4" xfId="305" xr:uid="{00000000-0005-0000-0000-000030010000}"/>
    <cellStyle name="Comma 3 2 3" xfId="306" xr:uid="{00000000-0005-0000-0000-000031010000}"/>
    <cellStyle name="Comma 3 2 3 2" xfId="307" xr:uid="{00000000-0005-0000-0000-000032010000}"/>
    <cellStyle name="Comma 3 2 3 3" xfId="308" xr:uid="{00000000-0005-0000-0000-000033010000}"/>
    <cellStyle name="Comma 3 2 4" xfId="309" xr:uid="{00000000-0005-0000-0000-000034010000}"/>
    <cellStyle name="Comma 3 2 5" xfId="310" xr:uid="{00000000-0005-0000-0000-000035010000}"/>
    <cellStyle name="Comma 3 2 6" xfId="311" xr:uid="{00000000-0005-0000-0000-000036010000}"/>
    <cellStyle name="Comma 3 3" xfId="312" xr:uid="{00000000-0005-0000-0000-000037010000}"/>
    <cellStyle name="Comma 3 3 2" xfId="313" xr:uid="{00000000-0005-0000-0000-000038010000}"/>
    <cellStyle name="Comma 3 3 2 2" xfId="314" xr:uid="{00000000-0005-0000-0000-000039010000}"/>
    <cellStyle name="Comma 3 3 2 3" xfId="315" xr:uid="{00000000-0005-0000-0000-00003A010000}"/>
    <cellStyle name="Comma 3 3 3" xfId="316" xr:uid="{00000000-0005-0000-0000-00003B010000}"/>
    <cellStyle name="Comma 3 3 4" xfId="317" xr:uid="{00000000-0005-0000-0000-00003C010000}"/>
    <cellStyle name="Comma 3 3 5" xfId="318" xr:uid="{00000000-0005-0000-0000-00003D010000}"/>
    <cellStyle name="Comma 3 4" xfId="319" xr:uid="{00000000-0005-0000-0000-00003E010000}"/>
    <cellStyle name="Comma 3 4 2" xfId="320" xr:uid="{00000000-0005-0000-0000-00003F010000}"/>
    <cellStyle name="Comma 3 4 2 2" xfId="991" xr:uid="{B7C3B4DA-25FB-4D72-82E6-A291340744F2}"/>
    <cellStyle name="Comma 3 4 3" xfId="321" xr:uid="{00000000-0005-0000-0000-000040010000}"/>
    <cellStyle name="Comma 3 4 4" xfId="322" xr:uid="{00000000-0005-0000-0000-000041010000}"/>
    <cellStyle name="Comma 3 5" xfId="323" xr:uid="{00000000-0005-0000-0000-000042010000}"/>
    <cellStyle name="Comma 3 6" xfId="324" xr:uid="{00000000-0005-0000-0000-000043010000}"/>
    <cellStyle name="Comma 3 7" xfId="325" xr:uid="{00000000-0005-0000-0000-000044010000}"/>
    <cellStyle name="Comma 3 8" xfId="326" xr:uid="{00000000-0005-0000-0000-000045010000}"/>
    <cellStyle name="Comma 4" xfId="327" xr:uid="{00000000-0005-0000-0000-000046010000}"/>
    <cellStyle name="Comma 4 2" xfId="328" xr:uid="{00000000-0005-0000-0000-000047010000}"/>
    <cellStyle name="Comma 4 2 2" xfId="329" xr:uid="{00000000-0005-0000-0000-000048010000}"/>
    <cellStyle name="Comma 4 2 2 2" xfId="330" xr:uid="{00000000-0005-0000-0000-000049010000}"/>
    <cellStyle name="Comma 4 2 2 3" xfId="993" xr:uid="{0425E471-B981-40D0-8DB0-4870212625CC}"/>
    <cellStyle name="Comma 4 2 3" xfId="331" xr:uid="{00000000-0005-0000-0000-00004A010000}"/>
    <cellStyle name="Comma 4 2 4" xfId="332" xr:uid="{00000000-0005-0000-0000-00004B010000}"/>
    <cellStyle name="Comma 4 2 5" xfId="930" xr:uid="{BD6E2EC2-4211-42BF-B25C-56DDF7A71F1F}"/>
    <cellStyle name="Comma 4 3" xfId="333" xr:uid="{00000000-0005-0000-0000-00004C010000}"/>
    <cellStyle name="Comma 4 3 2" xfId="334" xr:uid="{00000000-0005-0000-0000-00004D010000}"/>
    <cellStyle name="Comma 4 3 2 2" xfId="994" xr:uid="{26161F2B-7F55-402C-92F0-753912A2FE00}"/>
    <cellStyle name="Comma 4 3 3" xfId="335" xr:uid="{00000000-0005-0000-0000-00004E010000}"/>
    <cellStyle name="Comma 4 3 4" xfId="931" xr:uid="{2C3BF015-ADE0-4E26-AABB-1291300FFE94}"/>
    <cellStyle name="Comma 4 4" xfId="336" xr:uid="{00000000-0005-0000-0000-00004F010000}"/>
    <cellStyle name="Comma 4 4 2" xfId="337" xr:uid="{00000000-0005-0000-0000-000050010000}"/>
    <cellStyle name="Comma 4 4 3" xfId="992" xr:uid="{18B21BAB-FBC1-45CE-9B85-55B60AFEFFD0}"/>
    <cellStyle name="Comma 4 5" xfId="338" xr:uid="{00000000-0005-0000-0000-000051010000}"/>
    <cellStyle name="Comma 4 6" xfId="339" xr:uid="{00000000-0005-0000-0000-000052010000}"/>
    <cellStyle name="Comma 4 7" xfId="929" xr:uid="{877B3EE7-11A8-483F-86AB-860C5DBD9514}"/>
    <cellStyle name="Comma 5" xfId="340" xr:uid="{00000000-0005-0000-0000-000053010000}"/>
    <cellStyle name="Comma 5 2" xfId="341" xr:uid="{00000000-0005-0000-0000-000054010000}"/>
    <cellStyle name="Comma 5 2 2" xfId="342" xr:uid="{00000000-0005-0000-0000-000055010000}"/>
    <cellStyle name="Comma 5 2 3" xfId="343" xr:uid="{00000000-0005-0000-0000-000056010000}"/>
    <cellStyle name="Comma 5 2 4" xfId="995" xr:uid="{D48C1AA0-8920-4E9F-9317-986C4A72FC5D}"/>
    <cellStyle name="Comma 5 3" xfId="932" xr:uid="{53C7AA57-6AEC-4047-B308-BB6A227A44F6}"/>
    <cellStyle name="Comma 6" xfId="344" xr:uid="{00000000-0005-0000-0000-000057010000}"/>
    <cellStyle name="Comma 6 2" xfId="345" xr:uid="{00000000-0005-0000-0000-000058010000}"/>
    <cellStyle name="Comma 6 2 2" xfId="346" xr:uid="{00000000-0005-0000-0000-000059010000}"/>
    <cellStyle name="Comma 6 2 3" xfId="347" xr:uid="{00000000-0005-0000-0000-00005A010000}"/>
    <cellStyle name="Comma 6 2 4" xfId="996" xr:uid="{808B198A-0F74-41A6-B57E-BC9A94797F01}"/>
    <cellStyle name="Comma 6 3" xfId="348" xr:uid="{00000000-0005-0000-0000-00005B010000}"/>
    <cellStyle name="Comma 6 4" xfId="349" xr:uid="{00000000-0005-0000-0000-00005C010000}"/>
    <cellStyle name="Comma 6 5" xfId="350" xr:uid="{00000000-0005-0000-0000-00005D010000}"/>
    <cellStyle name="Comma 6 6" xfId="933" xr:uid="{C258E16B-D7BB-41CF-A0BF-50C80C3AB235}"/>
    <cellStyle name="Comma 7" xfId="351" xr:uid="{00000000-0005-0000-0000-00005E010000}"/>
    <cellStyle name="Comma 8" xfId="352" xr:uid="{00000000-0005-0000-0000-00005F010000}"/>
    <cellStyle name="Currency 2" xfId="934" xr:uid="{1DC34975-03B0-4EB0-8064-8608983CF34E}"/>
    <cellStyle name="Currency 2 2" xfId="353" xr:uid="{00000000-0005-0000-0000-000060010000}"/>
    <cellStyle name="Currency 2 2 2" xfId="354" xr:uid="{00000000-0005-0000-0000-000061010000}"/>
    <cellStyle name="Currency 2 2 2 2" xfId="355" xr:uid="{00000000-0005-0000-0000-000062010000}"/>
    <cellStyle name="Currency 2 2 3" xfId="356" xr:uid="{00000000-0005-0000-0000-000063010000}"/>
    <cellStyle name="Currency 2 3" xfId="357" xr:uid="{00000000-0005-0000-0000-000064010000}"/>
    <cellStyle name="Currency 2 3 2" xfId="358" xr:uid="{00000000-0005-0000-0000-000065010000}"/>
    <cellStyle name="Currency 2 3 3" xfId="359" xr:uid="{00000000-0005-0000-0000-000066010000}"/>
    <cellStyle name="Currency 2 4" xfId="360" xr:uid="{00000000-0005-0000-0000-000067010000}"/>
    <cellStyle name="Currency 2 4 2" xfId="361" xr:uid="{00000000-0005-0000-0000-000068010000}"/>
    <cellStyle name="Currency 2 5" xfId="362" xr:uid="{00000000-0005-0000-0000-000069010000}"/>
    <cellStyle name="Currency 2 6" xfId="363" xr:uid="{00000000-0005-0000-0000-00006A010000}"/>
    <cellStyle name="Currency 3" xfId="364" xr:uid="{00000000-0005-0000-0000-00006B010000}"/>
    <cellStyle name="Currency 3 2" xfId="365" xr:uid="{00000000-0005-0000-0000-00006C010000}"/>
    <cellStyle name="Currency 3 2 2" xfId="366" xr:uid="{00000000-0005-0000-0000-00006D010000}"/>
    <cellStyle name="Currency 3 3" xfId="367" xr:uid="{00000000-0005-0000-0000-00006E010000}"/>
    <cellStyle name="CustomizationCells" xfId="368" xr:uid="{00000000-0005-0000-0000-00006F010000}"/>
    <cellStyle name="Data" xfId="369" xr:uid="{00000000-0005-0000-0000-000070010000}"/>
    <cellStyle name="Date" xfId="370" xr:uid="{00000000-0005-0000-0000-000071010000}"/>
    <cellStyle name="Date 2" xfId="371" xr:uid="{00000000-0005-0000-0000-000072010000}"/>
    <cellStyle name="Date 2 2" xfId="372" xr:uid="{00000000-0005-0000-0000-000073010000}"/>
    <cellStyle name="Date 2 3" xfId="373" xr:uid="{00000000-0005-0000-0000-000074010000}"/>
    <cellStyle name="donn_normal" xfId="374" xr:uid="{00000000-0005-0000-0000-000075010000}"/>
    <cellStyle name="ent_col_ser" xfId="375" xr:uid="{00000000-0005-0000-0000-000076010000}"/>
    <cellStyle name="entete_source" xfId="376" xr:uid="{00000000-0005-0000-0000-000077010000}"/>
    <cellStyle name="Euro" xfId="377" xr:uid="{00000000-0005-0000-0000-000078010000}"/>
    <cellStyle name="Euro 2" xfId="378" xr:uid="{00000000-0005-0000-0000-000079010000}"/>
    <cellStyle name="Explanatory Text" xfId="379" builtinId="53" customBuiltin="1"/>
    <cellStyle name="Explanatory Text 2" xfId="380" xr:uid="{00000000-0005-0000-0000-00007B010000}"/>
    <cellStyle name="Explanatory Text 2 2" xfId="381" xr:uid="{00000000-0005-0000-0000-00007C010000}"/>
    <cellStyle name="Explanatory Text 3" xfId="382" xr:uid="{00000000-0005-0000-0000-00007D010000}"/>
    <cellStyle name="Fixed" xfId="383" xr:uid="{00000000-0005-0000-0000-00007E010000}"/>
    <cellStyle name="Fixed 2" xfId="384" xr:uid="{00000000-0005-0000-0000-00007F010000}"/>
    <cellStyle name="Fixed 2 2" xfId="385" xr:uid="{00000000-0005-0000-0000-000080010000}"/>
    <cellStyle name="Fixed 2 3" xfId="386" xr:uid="{00000000-0005-0000-0000-000081010000}"/>
    <cellStyle name="Font: Calibri, 9pt regular" xfId="387" xr:uid="{00000000-0005-0000-0000-000082010000}"/>
    <cellStyle name="Font: Calibri, 9pt regular 2" xfId="388" xr:uid="{00000000-0005-0000-0000-000083010000}"/>
    <cellStyle name="Footnotes: top row" xfId="389" xr:uid="{00000000-0005-0000-0000-000084010000}"/>
    <cellStyle name="Footnotes: top row 2" xfId="390" xr:uid="{00000000-0005-0000-0000-000085010000}"/>
    <cellStyle name="Good" xfId="391" builtinId="26" customBuiltin="1"/>
    <cellStyle name="Good 2" xfId="392" xr:uid="{00000000-0005-0000-0000-000087010000}"/>
    <cellStyle name="Good 2 2" xfId="393" xr:uid="{00000000-0005-0000-0000-000088010000}"/>
    <cellStyle name="Good 2 3" xfId="394" xr:uid="{00000000-0005-0000-0000-000089010000}"/>
    <cellStyle name="Good 3" xfId="395" xr:uid="{00000000-0005-0000-0000-00008A010000}"/>
    <cellStyle name="Good 4" xfId="396" xr:uid="{00000000-0005-0000-0000-00008B010000}"/>
    <cellStyle name="Header: bottom row" xfId="397" xr:uid="{00000000-0005-0000-0000-00008C010000}"/>
    <cellStyle name="Header: bottom row 2" xfId="398" xr:uid="{00000000-0005-0000-0000-00008D010000}"/>
    <cellStyle name="header-top" xfId="399" xr:uid="{00000000-0005-0000-0000-00008E010000}"/>
    <cellStyle name="Heading 1" xfId="400" builtinId="16" customBuiltin="1"/>
    <cellStyle name="Heading 1 2" xfId="401" xr:uid="{00000000-0005-0000-0000-000090010000}"/>
    <cellStyle name="Heading 1 2 2" xfId="402" xr:uid="{00000000-0005-0000-0000-000091010000}"/>
    <cellStyle name="Heading 1 2 3" xfId="403" xr:uid="{00000000-0005-0000-0000-000092010000}"/>
    <cellStyle name="Heading 1 3" xfId="404" xr:uid="{00000000-0005-0000-0000-000093010000}"/>
    <cellStyle name="Heading 1 4" xfId="405" xr:uid="{00000000-0005-0000-0000-000094010000}"/>
    <cellStyle name="Heading 2" xfId="406" builtinId="17" customBuiltin="1"/>
    <cellStyle name="Heading 2 2" xfId="407" xr:uid="{00000000-0005-0000-0000-000096010000}"/>
    <cellStyle name="Heading 2 2 2" xfId="408" xr:uid="{00000000-0005-0000-0000-000097010000}"/>
    <cellStyle name="Heading 2 2 3" xfId="409" xr:uid="{00000000-0005-0000-0000-000098010000}"/>
    <cellStyle name="Heading 2 3" xfId="410" xr:uid="{00000000-0005-0000-0000-000099010000}"/>
    <cellStyle name="Heading 2 4" xfId="411" xr:uid="{00000000-0005-0000-0000-00009A010000}"/>
    <cellStyle name="Heading 3" xfId="412" builtinId="18" customBuiltin="1"/>
    <cellStyle name="Heading 3 2" xfId="413" xr:uid="{00000000-0005-0000-0000-00009C010000}"/>
    <cellStyle name="Heading 3 2 2" xfId="414" xr:uid="{00000000-0005-0000-0000-00009D010000}"/>
    <cellStyle name="Heading 3 2 3" xfId="415" xr:uid="{00000000-0005-0000-0000-00009E010000}"/>
    <cellStyle name="Heading 3 3" xfId="416" xr:uid="{00000000-0005-0000-0000-00009F010000}"/>
    <cellStyle name="Heading 3 4" xfId="417" xr:uid="{00000000-0005-0000-0000-0000A0010000}"/>
    <cellStyle name="Heading 4" xfId="418" builtinId="19" customBuiltin="1"/>
    <cellStyle name="Heading 4 2" xfId="419" xr:uid="{00000000-0005-0000-0000-0000A2010000}"/>
    <cellStyle name="Heading 4 2 2" xfId="420" xr:uid="{00000000-0005-0000-0000-0000A3010000}"/>
    <cellStyle name="Heading 4 2 3" xfId="421" xr:uid="{00000000-0005-0000-0000-0000A4010000}"/>
    <cellStyle name="Heading 4 3" xfId="422" xr:uid="{00000000-0005-0000-0000-0000A5010000}"/>
    <cellStyle name="Heading 4 4" xfId="423" xr:uid="{00000000-0005-0000-0000-0000A6010000}"/>
    <cellStyle name="Heading1" xfId="424" xr:uid="{00000000-0005-0000-0000-0000A7010000}"/>
    <cellStyle name="Heading1 2" xfId="425" xr:uid="{00000000-0005-0000-0000-0000A8010000}"/>
    <cellStyle name="Heading1 2 2" xfId="426" xr:uid="{00000000-0005-0000-0000-0000A9010000}"/>
    <cellStyle name="Heading1 2 3" xfId="427" xr:uid="{00000000-0005-0000-0000-0000AA010000}"/>
    <cellStyle name="Heading2" xfId="428" xr:uid="{00000000-0005-0000-0000-0000AB010000}"/>
    <cellStyle name="Heading2 2" xfId="429" xr:uid="{00000000-0005-0000-0000-0000AC010000}"/>
    <cellStyle name="Heading2 2 2" xfId="430" xr:uid="{00000000-0005-0000-0000-0000AD010000}"/>
    <cellStyle name="Heading2 2 3" xfId="431" xr:uid="{00000000-0005-0000-0000-0000AE010000}"/>
    <cellStyle name="Hyperlink 2" xfId="432" xr:uid="{00000000-0005-0000-0000-0000AF010000}"/>
    <cellStyle name="Hyperlink 2 2" xfId="433" xr:uid="{00000000-0005-0000-0000-0000B0010000}"/>
    <cellStyle name="Hyperlink 2 3" xfId="434" xr:uid="{00000000-0005-0000-0000-0000B1010000}"/>
    <cellStyle name="Hyperlink 2 4" xfId="435" xr:uid="{00000000-0005-0000-0000-0000B2010000}"/>
    <cellStyle name="Hyperlink 2 5" xfId="436" xr:uid="{00000000-0005-0000-0000-0000B3010000}"/>
    <cellStyle name="Hyperlink 2 6" xfId="437" xr:uid="{00000000-0005-0000-0000-0000B4010000}"/>
    <cellStyle name="Hyperlink 2 7" xfId="438" xr:uid="{00000000-0005-0000-0000-0000B5010000}"/>
    <cellStyle name="Hyperlink 3" xfId="439" xr:uid="{00000000-0005-0000-0000-0000B6010000}"/>
    <cellStyle name="Input" xfId="440" builtinId="20" customBuiltin="1"/>
    <cellStyle name="Input 2" xfId="441" xr:uid="{00000000-0005-0000-0000-0000B8010000}"/>
    <cellStyle name="Input 2 2" xfId="442" xr:uid="{00000000-0005-0000-0000-0000B9010000}"/>
    <cellStyle name="Input 2 3" xfId="443" xr:uid="{00000000-0005-0000-0000-0000BA010000}"/>
    <cellStyle name="Input 3" xfId="444" xr:uid="{00000000-0005-0000-0000-0000BB010000}"/>
    <cellStyle name="Input 4" xfId="445" xr:uid="{00000000-0005-0000-0000-0000BC010000}"/>
    <cellStyle name="InputCells" xfId="446" xr:uid="{00000000-0005-0000-0000-0000BD010000}"/>
    <cellStyle name="Last Header Row" xfId="447" xr:uid="{00000000-0005-0000-0000-0000BE010000}"/>
    <cellStyle name="ligne_titre_0" xfId="448" xr:uid="{00000000-0005-0000-0000-0000BF010000}"/>
    <cellStyle name="Linked Cell" xfId="449" builtinId="24" customBuiltin="1"/>
    <cellStyle name="Linked Cell 2" xfId="450" xr:uid="{00000000-0005-0000-0000-0000C1010000}"/>
    <cellStyle name="Linked Cell 2 2" xfId="451" xr:uid="{00000000-0005-0000-0000-0000C2010000}"/>
    <cellStyle name="Linked Cell 2 3" xfId="452" xr:uid="{00000000-0005-0000-0000-0000C3010000}"/>
    <cellStyle name="Linked Cell 3" xfId="453" xr:uid="{00000000-0005-0000-0000-0000C4010000}"/>
    <cellStyle name="Linked Cell 4" xfId="454" xr:uid="{00000000-0005-0000-0000-0000C5010000}"/>
    <cellStyle name="Neutral" xfId="455" builtinId="28" customBuiltin="1"/>
    <cellStyle name="Neutral 2" xfId="456" xr:uid="{00000000-0005-0000-0000-0000C7010000}"/>
    <cellStyle name="Neutral 2 2" xfId="457" xr:uid="{00000000-0005-0000-0000-0000C8010000}"/>
    <cellStyle name="Neutral 2 3" xfId="458" xr:uid="{00000000-0005-0000-0000-0000C9010000}"/>
    <cellStyle name="Neutral 3" xfId="459" xr:uid="{00000000-0005-0000-0000-0000CA010000}"/>
    <cellStyle name="Neutral 3 2" xfId="460" xr:uid="{00000000-0005-0000-0000-0000CB010000}"/>
    <cellStyle name="Neutral 4" xfId="461" xr:uid="{00000000-0005-0000-0000-0000CC010000}"/>
    <cellStyle name="Normal" xfId="0" builtinId="0" customBuiltin="1"/>
    <cellStyle name="Normal 10" xfId="462" xr:uid="{00000000-0005-0000-0000-0000CE010000}"/>
    <cellStyle name="Normal 10 2" xfId="463" xr:uid="{00000000-0005-0000-0000-0000CF010000}"/>
    <cellStyle name="Normal 10 2 2" xfId="464" xr:uid="{00000000-0005-0000-0000-0000D0010000}"/>
    <cellStyle name="Normal 10 2 3" xfId="465" xr:uid="{00000000-0005-0000-0000-0000D1010000}"/>
    <cellStyle name="Normal 10 2 4" xfId="466" xr:uid="{00000000-0005-0000-0000-0000D2010000}"/>
    <cellStyle name="Normal 10 3" xfId="467" xr:uid="{00000000-0005-0000-0000-0000D3010000}"/>
    <cellStyle name="Normal 10 3 2" xfId="1018" xr:uid="{D00244BC-F357-4D91-A49A-F175932FDAC4}"/>
    <cellStyle name="Normal 10 3 3" xfId="953" xr:uid="{E538C985-2B73-425B-9F22-193D461E23C6}"/>
    <cellStyle name="Normal 10 4" xfId="468" xr:uid="{00000000-0005-0000-0000-0000D4010000}"/>
    <cellStyle name="Normal 10 4 2" xfId="997" xr:uid="{F903671A-9C1C-40C9-ABCF-3A8113DEA4AC}"/>
    <cellStyle name="Normal 10 5" xfId="469" xr:uid="{00000000-0005-0000-0000-0000D5010000}"/>
    <cellStyle name="Normal 10 5 2" xfId="470" xr:uid="{00000000-0005-0000-0000-0000D6010000}"/>
    <cellStyle name="Normal 10 6" xfId="935" xr:uid="{B1A99295-9543-44EA-BC48-8ABC5478D906}"/>
    <cellStyle name="Normal 11" xfId="471" xr:uid="{00000000-0005-0000-0000-0000D7010000}"/>
    <cellStyle name="Normal 11 2" xfId="472" xr:uid="{00000000-0005-0000-0000-0000D8010000}"/>
    <cellStyle name="Normal 11 2 2" xfId="473" xr:uid="{00000000-0005-0000-0000-0000D9010000}"/>
    <cellStyle name="Normal 11 2 3" xfId="474" xr:uid="{00000000-0005-0000-0000-0000DA010000}"/>
    <cellStyle name="Normal 11 3" xfId="475" xr:uid="{00000000-0005-0000-0000-0000DB010000}"/>
    <cellStyle name="Normal 11 4" xfId="476" xr:uid="{00000000-0005-0000-0000-0000DC010000}"/>
    <cellStyle name="Normal 11 5" xfId="477" xr:uid="{00000000-0005-0000-0000-0000DD010000}"/>
    <cellStyle name="Normal 12" xfId="478" xr:uid="{00000000-0005-0000-0000-0000DE010000}"/>
    <cellStyle name="Normal 12 2" xfId="479" xr:uid="{00000000-0005-0000-0000-0000DF010000}"/>
    <cellStyle name="Normal 12 2 2" xfId="480" xr:uid="{00000000-0005-0000-0000-0000E0010000}"/>
    <cellStyle name="Normal 12 2 3" xfId="481" xr:uid="{00000000-0005-0000-0000-0000E1010000}"/>
    <cellStyle name="Normal 12 3" xfId="482" xr:uid="{00000000-0005-0000-0000-0000E2010000}"/>
    <cellStyle name="Normal 12 4" xfId="483" xr:uid="{00000000-0005-0000-0000-0000E3010000}"/>
    <cellStyle name="Normal 13" xfId="484" xr:uid="{00000000-0005-0000-0000-0000E4010000}"/>
    <cellStyle name="Normal 14" xfId="485" xr:uid="{00000000-0005-0000-0000-0000E5010000}"/>
    <cellStyle name="Normal 14 2" xfId="486" xr:uid="{00000000-0005-0000-0000-0000E6010000}"/>
    <cellStyle name="Normal 14 3" xfId="487" xr:uid="{00000000-0005-0000-0000-0000E7010000}"/>
    <cellStyle name="Normal 2" xfId="488" xr:uid="{00000000-0005-0000-0000-0000E8010000}"/>
    <cellStyle name="Normal 2 2" xfId="489" xr:uid="{00000000-0005-0000-0000-0000E9010000}"/>
    <cellStyle name="Normal 2 2 2" xfId="490" xr:uid="{00000000-0005-0000-0000-0000EA010000}"/>
    <cellStyle name="Normal 2 2 2 2" xfId="491" xr:uid="{00000000-0005-0000-0000-0000EB010000}"/>
    <cellStyle name="Normal 2 2 3" xfId="492" xr:uid="{00000000-0005-0000-0000-0000EC010000}"/>
    <cellStyle name="Normal 2 2 3 2" xfId="493" xr:uid="{00000000-0005-0000-0000-0000ED010000}"/>
    <cellStyle name="Normal 2 2 3 2 2" xfId="1000" xr:uid="{CB1F933C-0D8E-4C7D-8705-000BEE67B2CB}"/>
    <cellStyle name="Normal 2 2 3 3" xfId="938" xr:uid="{EFACB15B-01A7-4DEF-94C0-2E99DD05B9CA}"/>
    <cellStyle name="Normal 2 2 4" xfId="494" xr:uid="{00000000-0005-0000-0000-0000EE010000}"/>
    <cellStyle name="Normal 2 2 4 2" xfId="495" xr:uid="{00000000-0005-0000-0000-0000EF010000}"/>
    <cellStyle name="Normal 2 2 4 2 2" xfId="1001" xr:uid="{98C3E622-7C1B-4888-A6A0-46C5C1E9C76C}"/>
    <cellStyle name="Normal 2 2 4 3" xfId="939" xr:uid="{2D9F6465-F071-45D3-9E69-021AAF51F74F}"/>
    <cellStyle name="Normal 2 2 5" xfId="999" xr:uid="{94A434F5-27A4-4F58-BA45-B30ADC763416}"/>
    <cellStyle name="Normal 2 2 6" xfId="937" xr:uid="{CBE6C529-AE2E-4298-A45D-489353F783FF}"/>
    <cellStyle name="Normal 2 3" xfId="496" xr:uid="{00000000-0005-0000-0000-0000F0010000}"/>
    <cellStyle name="Normal 2 3 2" xfId="497" xr:uid="{00000000-0005-0000-0000-0000F1010000}"/>
    <cellStyle name="Normal 2 3 2 2" xfId="498" xr:uid="{00000000-0005-0000-0000-0000F2010000}"/>
    <cellStyle name="Normal 2 4" xfId="499" xr:uid="{00000000-0005-0000-0000-0000F3010000}"/>
    <cellStyle name="Normal 2 4 2" xfId="500" xr:uid="{00000000-0005-0000-0000-0000F4010000}"/>
    <cellStyle name="Normal 2 4 2 2" xfId="501" xr:uid="{00000000-0005-0000-0000-0000F5010000}"/>
    <cellStyle name="Normal 2 4 2 2 2" xfId="502" xr:uid="{00000000-0005-0000-0000-0000F6010000}"/>
    <cellStyle name="Normal 2 4 2 2 3" xfId="503" xr:uid="{00000000-0005-0000-0000-0000F7010000}"/>
    <cellStyle name="Normal 2 4 2 2 4" xfId="1003" xr:uid="{CAC347AC-D6B1-4036-9B70-9F130DE28495}"/>
    <cellStyle name="Normal 2 4 2 3" xfId="504" xr:uid="{00000000-0005-0000-0000-0000F8010000}"/>
    <cellStyle name="Normal 2 4 2 4" xfId="505" xr:uid="{00000000-0005-0000-0000-0000F9010000}"/>
    <cellStyle name="Normal 2 4 2 5" xfId="506" xr:uid="{00000000-0005-0000-0000-0000FA010000}"/>
    <cellStyle name="Normal 2 4 3" xfId="507" xr:uid="{00000000-0005-0000-0000-0000FB010000}"/>
    <cellStyle name="Normal 2 4 3 2" xfId="508" xr:uid="{00000000-0005-0000-0000-0000FC010000}"/>
    <cellStyle name="Normal 2 4 3 3" xfId="509" xr:uid="{00000000-0005-0000-0000-0000FD010000}"/>
    <cellStyle name="Normal 2 4 3 4" xfId="1002" xr:uid="{C99702B9-6D06-4072-B2D3-F5F8CA4782AE}"/>
    <cellStyle name="Normal 2 4 4" xfId="510" xr:uid="{00000000-0005-0000-0000-0000FE010000}"/>
    <cellStyle name="Normal 2 4 5" xfId="511" xr:uid="{00000000-0005-0000-0000-0000FF010000}"/>
    <cellStyle name="Normal 2 4 6" xfId="512" xr:uid="{00000000-0005-0000-0000-000000020000}"/>
    <cellStyle name="Normal 2 5" xfId="513" xr:uid="{00000000-0005-0000-0000-000001020000}"/>
    <cellStyle name="Normal 2 5 2" xfId="514" xr:uid="{00000000-0005-0000-0000-000002020000}"/>
    <cellStyle name="Normal 2 5 2 2" xfId="1005" xr:uid="{FF6C561F-3C73-4F4A-BF88-B31F28B34A3D}"/>
    <cellStyle name="Normal 2 5 2 3" xfId="941" xr:uid="{EF006B07-3B41-4985-ABCF-CBB66579A4FB}"/>
    <cellStyle name="Normal 2 5 3" xfId="1004" xr:uid="{2E0377A1-0C97-4621-9529-3ED7B3343FE1}"/>
    <cellStyle name="Normal 2 5 4" xfId="940" xr:uid="{E1776704-D5D2-49DD-A9DF-8AB44001DD2E}"/>
    <cellStyle name="Normal 2 6" xfId="515" xr:uid="{00000000-0005-0000-0000-000003020000}"/>
    <cellStyle name="Normal 2 7" xfId="998" xr:uid="{7C9FF023-E81F-4EA5-A47F-C78ABFA3B984}"/>
    <cellStyle name="Normal 2 8" xfId="936" xr:uid="{80B26077-6BC1-4029-AF6D-300995C505E1}"/>
    <cellStyle name="Normal 3" xfId="516" xr:uid="{00000000-0005-0000-0000-000004020000}"/>
    <cellStyle name="Normal 3 2" xfId="517" xr:uid="{00000000-0005-0000-0000-000005020000}"/>
    <cellStyle name="Normal 3 2 2" xfId="518" xr:uid="{00000000-0005-0000-0000-000006020000}"/>
    <cellStyle name="Normal 3 2 2 2" xfId="519" xr:uid="{00000000-0005-0000-0000-000007020000}"/>
    <cellStyle name="Normal 3 2 2 3" xfId="520" xr:uid="{00000000-0005-0000-0000-000008020000}"/>
    <cellStyle name="Normal 3 2 3" xfId="521" xr:uid="{00000000-0005-0000-0000-000009020000}"/>
    <cellStyle name="Normal 3 2 3 2" xfId="522" xr:uid="{00000000-0005-0000-0000-00000A020000}"/>
    <cellStyle name="Normal 3 2 4" xfId="523" xr:uid="{00000000-0005-0000-0000-00000B020000}"/>
    <cellStyle name="Normal 3 2 4 2" xfId="524" xr:uid="{00000000-0005-0000-0000-00000C020000}"/>
    <cellStyle name="Normal 3 2 5" xfId="525" xr:uid="{00000000-0005-0000-0000-00000D020000}"/>
    <cellStyle name="Normal 3 2 5 2" xfId="526" xr:uid="{00000000-0005-0000-0000-00000E020000}"/>
    <cellStyle name="Normal 3 2 6" xfId="527" xr:uid="{00000000-0005-0000-0000-00000F020000}"/>
    <cellStyle name="Normal 3 2 6 2" xfId="528" xr:uid="{00000000-0005-0000-0000-000010020000}"/>
    <cellStyle name="Normal 3 2 7" xfId="529" xr:uid="{00000000-0005-0000-0000-000011020000}"/>
    <cellStyle name="Normal 3 2 8" xfId="530" xr:uid="{00000000-0005-0000-0000-000012020000}"/>
    <cellStyle name="Normal 3 3" xfId="531" xr:uid="{00000000-0005-0000-0000-000013020000}"/>
    <cellStyle name="Normal 3 3 2" xfId="532" xr:uid="{00000000-0005-0000-0000-000014020000}"/>
    <cellStyle name="Normal 3 3 2 2" xfId="533" xr:uid="{00000000-0005-0000-0000-000015020000}"/>
    <cellStyle name="Normal 3 3 2 2 2" xfId="534" xr:uid="{00000000-0005-0000-0000-000016020000}"/>
    <cellStyle name="Normal 3 3 2 2 3" xfId="535" xr:uid="{00000000-0005-0000-0000-000017020000}"/>
    <cellStyle name="Normal 3 3 2 3" xfId="536" xr:uid="{00000000-0005-0000-0000-000018020000}"/>
    <cellStyle name="Normal 3 3 2 4" xfId="537" xr:uid="{00000000-0005-0000-0000-000019020000}"/>
    <cellStyle name="Normal 3 3 2 5" xfId="538" xr:uid="{00000000-0005-0000-0000-00001A020000}"/>
    <cellStyle name="Normal 3 3 3" xfId="539" xr:uid="{00000000-0005-0000-0000-00001B020000}"/>
    <cellStyle name="Normal 3 3 3 2" xfId="540" xr:uid="{00000000-0005-0000-0000-00001C020000}"/>
    <cellStyle name="Normal 3 3 3 3" xfId="541" xr:uid="{00000000-0005-0000-0000-00001D020000}"/>
    <cellStyle name="Normal 3 3 4" xfId="542" xr:uid="{00000000-0005-0000-0000-00001E020000}"/>
    <cellStyle name="Normal 3 3 5" xfId="543" xr:uid="{00000000-0005-0000-0000-00001F020000}"/>
    <cellStyle name="Normal 3 3 6" xfId="544" xr:uid="{00000000-0005-0000-0000-000020020000}"/>
    <cellStyle name="Normal 3 4" xfId="545" xr:uid="{00000000-0005-0000-0000-000021020000}"/>
    <cellStyle name="Normal 3 4 2" xfId="546" xr:uid="{00000000-0005-0000-0000-000022020000}"/>
    <cellStyle name="Normal 3 4 2 2" xfId="547" xr:uid="{00000000-0005-0000-0000-000023020000}"/>
    <cellStyle name="Normal 3 4 2 3" xfId="548" xr:uid="{00000000-0005-0000-0000-000024020000}"/>
    <cellStyle name="Normal 3 4 2 4" xfId="549" xr:uid="{00000000-0005-0000-0000-000025020000}"/>
    <cellStyle name="Normal 3 4 3" xfId="550" xr:uid="{00000000-0005-0000-0000-000026020000}"/>
    <cellStyle name="Normal 3 4 4" xfId="551" xr:uid="{00000000-0005-0000-0000-000027020000}"/>
    <cellStyle name="Normal 3 5" xfId="552" xr:uid="{00000000-0005-0000-0000-000028020000}"/>
    <cellStyle name="Normal 3 5 2" xfId="553" xr:uid="{00000000-0005-0000-0000-000029020000}"/>
    <cellStyle name="Normal 3 5 3" xfId="554" xr:uid="{00000000-0005-0000-0000-00002A020000}"/>
    <cellStyle name="Normal 3 6" xfId="555" xr:uid="{00000000-0005-0000-0000-00002B020000}"/>
    <cellStyle name="Normal 3 7" xfId="556" xr:uid="{00000000-0005-0000-0000-00002C020000}"/>
    <cellStyle name="Normal 3 8" xfId="557" xr:uid="{00000000-0005-0000-0000-00002D020000}"/>
    <cellStyle name="Normal 3 9" xfId="558" xr:uid="{00000000-0005-0000-0000-00002E020000}"/>
    <cellStyle name="Normal 4" xfId="559" xr:uid="{00000000-0005-0000-0000-00002F020000}"/>
    <cellStyle name="Normal 4 10" xfId="942" xr:uid="{C624318E-42E2-4727-9751-FFF6866528BE}"/>
    <cellStyle name="Normal 4 2" xfId="560" xr:uid="{00000000-0005-0000-0000-000030020000}"/>
    <cellStyle name="Normal 4 2 2" xfId="561" xr:uid="{00000000-0005-0000-0000-000031020000}"/>
    <cellStyle name="Normal 4 2 2 2" xfId="1007" xr:uid="{3000B8CE-3AE5-4508-B33D-46D89CE78662}"/>
    <cellStyle name="Normal 4 2 3" xfId="562" xr:uid="{00000000-0005-0000-0000-000032020000}"/>
    <cellStyle name="Normal 4 2 4" xfId="943" xr:uid="{0E2A4B4E-82E1-47F9-84CD-0BA126C8CBF2}"/>
    <cellStyle name="Normal 4 3" xfId="563" xr:uid="{00000000-0005-0000-0000-000033020000}"/>
    <cellStyle name="Normal 4 3 2" xfId="564" xr:uid="{00000000-0005-0000-0000-000034020000}"/>
    <cellStyle name="Normal 4 3 2 2" xfId="565" xr:uid="{00000000-0005-0000-0000-000035020000}"/>
    <cellStyle name="Normal 4 3 2 2 2" xfId="566" xr:uid="{00000000-0005-0000-0000-000036020000}"/>
    <cellStyle name="Normal 4 3 2 2 2 2" xfId="567" xr:uid="{00000000-0005-0000-0000-000037020000}"/>
    <cellStyle name="Normal 4 3 2 2 2 3" xfId="568" xr:uid="{00000000-0005-0000-0000-000038020000}"/>
    <cellStyle name="Normal 4 3 2 2 3" xfId="569" xr:uid="{00000000-0005-0000-0000-000039020000}"/>
    <cellStyle name="Normal 4 3 2 2 4" xfId="570" xr:uid="{00000000-0005-0000-0000-00003A020000}"/>
    <cellStyle name="Normal 4 3 2 3" xfId="571" xr:uid="{00000000-0005-0000-0000-00003B020000}"/>
    <cellStyle name="Normal 4 3 2 3 2" xfId="572" xr:uid="{00000000-0005-0000-0000-00003C020000}"/>
    <cellStyle name="Normal 4 3 2 3 3" xfId="573" xr:uid="{00000000-0005-0000-0000-00003D020000}"/>
    <cellStyle name="Normal 4 3 2 4" xfId="574" xr:uid="{00000000-0005-0000-0000-00003E020000}"/>
    <cellStyle name="Normal 4 3 2 5" xfId="575" xr:uid="{00000000-0005-0000-0000-00003F020000}"/>
    <cellStyle name="Normal 4 3 2 6" xfId="1008" xr:uid="{84E31775-5A42-4406-BF3B-040801CAF8E5}"/>
    <cellStyle name="Normal 4 3 3" xfId="576" xr:uid="{00000000-0005-0000-0000-000040020000}"/>
    <cellStyle name="Normal 4 3 3 2" xfId="577" xr:uid="{00000000-0005-0000-0000-000041020000}"/>
    <cellStyle name="Normal 4 3 3 2 2" xfId="578" xr:uid="{00000000-0005-0000-0000-000042020000}"/>
    <cellStyle name="Normal 4 3 3 2 3" xfId="579" xr:uid="{00000000-0005-0000-0000-000043020000}"/>
    <cellStyle name="Normal 4 3 3 3" xfId="580" xr:uid="{00000000-0005-0000-0000-000044020000}"/>
    <cellStyle name="Normal 4 3 3 4" xfId="581" xr:uid="{00000000-0005-0000-0000-000045020000}"/>
    <cellStyle name="Normal 4 3 4" xfId="582" xr:uid="{00000000-0005-0000-0000-000046020000}"/>
    <cellStyle name="Normal 4 3 4 2" xfId="583" xr:uid="{00000000-0005-0000-0000-000047020000}"/>
    <cellStyle name="Normal 4 3 4 3" xfId="584" xr:uid="{00000000-0005-0000-0000-000048020000}"/>
    <cellStyle name="Normal 4 3 5" xfId="585" xr:uid="{00000000-0005-0000-0000-000049020000}"/>
    <cellStyle name="Normal 4 3 6" xfId="586" xr:uid="{00000000-0005-0000-0000-00004A020000}"/>
    <cellStyle name="Normal 4 3 7" xfId="944" xr:uid="{61E90D06-A310-43FB-AC06-3394A6F18A7E}"/>
    <cellStyle name="Normal 4 4" xfId="587" xr:uid="{00000000-0005-0000-0000-00004B020000}"/>
    <cellStyle name="Normal 4 4 2" xfId="588" xr:uid="{00000000-0005-0000-0000-00004C020000}"/>
    <cellStyle name="Normal 4 4 2 2" xfId="589" xr:uid="{00000000-0005-0000-0000-00004D020000}"/>
    <cellStyle name="Normal 4 4 2 2 2" xfId="590" xr:uid="{00000000-0005-0000-0000-00004E020000}"/>
    <cellStyle name="Normal 4 4 2 2 3" xfId="591" xr:uid="{00000000-0005-0000-0000-00004F020000}"/>
    <cellStyle name="Normal 4 4 2 3" xfId="592" xr:uid="{00000000-0005-0000-0000-000050020000}"/>
    <cellStyle name="Normal 4 4 2 4" xfId="593" xr:uid="{00000000-0005-0000-0000-000051020000}"/>
    <cellStyle name="Normal 4 4 3" xfId="594" xr:uid="{00000000-0005-0000-0000-000052020000}"/>
    <cellStyle name="Normal 4 4 3 2" xfId="595" xr:uid="{00000000-0005-0000-0000-000053020000}"/>
    <cellStyle name="Normal 4 4 3 3" xfId="596" xr:uid="{00000000-0005-0000-0000-000054020000}"/>
    <cellStyle name="Normal 4 4 4" xfId="597" xr:uid="{00000000-0005-0000-0000-000055020000}"/>
    <cellStyle name="Normal 4 4 5" xfId="598" xr:uid="{00000000-0005-0000-0000-000056020000}"/>
    <cellStyle name="Normal 4 4 6" xfId="599" xr:uid="{00000000-0005-0000-0000-000057020000}"/>
    <cellStyle name="Normal 4 5" xfId="600" xr:uid="{00000000-0005-0000-0000-000058020000}"/>
    <cellStyle name="Normal 4 5 2" xfId="601" xr:uid="{00000000-0005-0000-0000-000059020000}"/>
    <cellStyle name="Normal 4 5 2 2" xfId="602" xr:uid="{00000000-0005-0000-0000-00005A020000}"/>
    <cellStyle name="Normal 4 5 2 3" xfId="603" xr:uid="{00000000-0005-0000-0000-00005B020000}"/>
    <cellStyle name="Normal 4 5 3" xfId="604" xr:uid="{00000000-0005-0000-0000-00005C020000}"/>
    <cellStyle name="Normal 4 5 4" xfId="605" xr:uid="{00000000-0005-0000-0000-00005D020000}"/>
    <cellStyle name="Normal 4 5 5" xfId="1006" xr:uid="{80319CA7-FAAE-4985-A844-7DE6120E00B3}"/>
    <cellStyle name="Normal 4 6" xfId="606" xr:uid="{00000000-0005-0000-0000-00005E020000}"/>
    <cellStyle name="Normal 4 6 2" xfId="607" xr:uid="{00000000-0005-0000-0000-00005F020000}"/>
    <cellStyle name="Normal 4 6 3" xfId="608" xr:uid="{00000000-0005-0000-0000-000060020000}"/>
    <cellStyle name="Normal 4 7" xfId="609" xr:uid="{00000000-0005-0000-0000-000061020000}"/>
    <cellStyle name="Normal 4 8" xfId="610" xr:uid="{00000000-0005-0000-0000-000062020000}"/>
    <cellStyle name="Normal 4 9" xfId="611" xr:uid="{00000000-0005-0000-0000-000063020000}"/>
    <cellStyle name="Normal 5" xfId="612" xr:uid="{00000000-0005-0000-0000-000064020000}"/>
    <cellStyle name="Normal 5 2" xfId="613" xr:uid="{00000000-0005-0000-0000-000065020000}"/>
    <cellStyle name="Normal 5 2 2" xfId="614" xr:uid="{00000000-0005-0000-0000-000066020000}"/>
    <cellStyle name="Normal 5 2 2 2" xfId="615" xr:uid="{00000000-0005-0000-0000-000067020000}"/>
    <cellStyle name="Normal 5 2 2 2 2" xfId="616" xr:uid="{00000000-0005-0000-0000-000068020000}"/>
    <cellStyle name="Normal 5 2 2 2 2 2" xfId="617" xr:uid="{00000000-0005-0000-0000-000069020000}"/>
    <cellStyle name="Normal 5 2 2 2 2 3" xfId="618" xr:uid="{00000000-0005-0000-0000-00006A020000}"/>
    <cellStyle name="Normal 5 2 2 2 3" xfId="619" xr:uid="{00000000-0005-0000-0000-00006B020000}"/>
    <cellStyle name="Normal 5 2 2 2 4" xfId="620" xr:uid="{00000000-0005-0000-0000-00006C020000}"/>
    <cellStyle name="Normal 5 2 2 3" xfId="621" xr:uid="{00000000-0005-0000-0000-00006D020000}"/>
    <cellStyle name="Normal 5 2 2 3 2" xfId="622" xr:uid="{00000000-0005-0000-0000-00006E020000}"/>
    <cellStyle name="Normal 5 2 2 3 3" xfId="623" xr:uid="{00000000-0005-0000-0000-00006F020000}"/>
    <cellStyle name="Normal 5 2 2 4" xfId="624" xr:uid="{00000000-0005-0000-0000-000070020000}"/>
    <cellStyle name="Normal 5 2 2 5" xfId="625" xr:uid="{00000000-0005-0000-0000-000071020000}"/>
    <cellStyle name="Normal 5 2 2 6" xfId="1009" xr:uid="{0734A45D-8BF4-401E-8359-8A0987B730E1}"/>
    <cellStyle name="Normal 5 2 3" xfId="626" xr:uid="{00000000-0005-0000-0000-000072020000}"/>
    <cellStyle name="Normal 5 2 3 2" xfId="627" xr:uid="{00000000-0005-0000-0000-000073020000}"/>
    <cellStyle name="Normal 5 2 3 2 2" xfId="628" xr:uid="{00000000-0005-0000-0000-000074020000}"/>
    <cellStyle name="Normal 5 2 3 2 3" xfId="629" xr:uid="{00000000-0005-0000-0000-000075020000}"/>
    <cellStyle name="Normal 5 2 3 3" xfId="630" xr:uid="{00000000-0005-0000-0000-000076020000}"/>
    <cellStyle name="Normal 5 2 3 4" xfId="631" xr:uid="{00000000-0005-0000-0000-000077020000}"/>
    <cellStyle name="Normal 5 2 4" xfId="632" xr:uid="{00000000-0005-0000-0000-000078020000}"/>
    <cellStyle name="Normal 5 2 4 2" xfId="633" xr:uid="{00000000-0005-0000-0000-000079020000}"/>
    <cellStyle name="Normal 5 2 4 3" xfId="634" xr:uid="{00000000-0005-0000-0000-00007A020000}"/>
    <cellStyle name="Normal 5 2 5" xfId="635" xr:uid="{00000000-0005-0000-0000-00007B020000}"/>
    <cellStyle name="Normal 5 2 6" xfId="636" xr:uid="{00000000-0005-0000-0000-00007C020000}"/>
    <cellStyle name="Normal 5 2 7" xfId="637" xr:uid="{00000000-0005-0000-0000-00007D020000}"/>
    <cellStyle name="Normal 5 3" xfId="638" xr:uid="{00000000-0005-0000-0000-00007E020000}"/>
    <cellStyle name="Normal 5 3 2" xfId="639" xr:uid="{00000000-0005-0000-0000-00007F020000}"/>
    <cellStyle name="Normal 5 3 2 2" xfId="640" xr:uid="{00000000-0005-0000-0000-000080020000}"/>
    <cellStyle name="Normal 5 3 2 2 2" xfId="641" xr:uid="{00000000-0005-0000-0000-000081020000}"/>
    <cellStyle name="Normal 5 3 2 2 3" xfId="642" xr:uid="{00000000-0005-0000-0000-000082020000}"/>
    <cellStyle name="Normal 5 3 2 3" xfId="643" xr:uid="{00000000-0005-0000-0000-000083020000}"/>
    <cellStyle name="Normal 5 3 2 4" xfId="644" xr:uid="{00000000-0005-0000-0000-000084020000}"/>
    <cellStyle name="Normal 5 3 3" xfId="645" xr:uid="{00000000-0005-0000-0000-000085020000}"/>
    <cellStyle name="Normal 5 3 3 2" xfId="646" xr:uid="{00000000-0005-0000-0000-000086020000}"/>
    <cellStyle name="Normal 5 3 3 3" xfId="647" xr:uid="{00000000-0005-0000-0000-000087020000}"/>
    <cellStyle name="Normal 5 3 4" xfId="648" xr:uid="{00000000-0005-0000-0000-000088020000}"/>
    <cellStyle name="Normal 5 3 5" xfId="649" xr:uid="{00000000-0005-0000-0000-000089020000}"/>
    <cellStyle name="Normal 5 4" xfId="650" xr:uid="{00000000-0005-0000-0000-00008A020000}"/>
    <cellStyle name="Normal 5 4 2" xfId="651" xr:uid="{00000000-0005-0000-0000-00008B020000}"/>
    <cellStyle name="Normal 5 4 2 2" xfId="652" xr:uid="{00000000-0005-0000-0000-00008C020000}"/>
    <cellStyle name="Normal 5 4 2 3" xfId="653" xr:uid="{00000000-0005-0000-0000-00008D020000}"/>
    <cellStyle name="Normal 5 4 3" xfId="654" xr:uid="{00000000-0005-0000-0000-00008E020000}"/>
    <cellStyle name="Normal 5 4 4" xfId="655" xr:uid="{00000000-0005-0000-0000-00008F020000}"/>
    <cellStyle name="Normal 5 5" xfId="656" xr:uid="{00000000-0005-0000-0000-000090020000}"/>
    <cellStyle name="Normal 5 5 2" xfId="657" xr:uid="{00000000-0005-0000-0000-000091020000}"/>
    <cellStyle name="Normal 5 5 3" xfId="658" xr:uid="{00000000-0005-0000-0000-000092020000}"/>
    <cellStyle name="Normal 5 6" xfId="659" xr:uid="{00000000-0005-0000-0000-000093020000}"/>
    <cellStyle name="Normal 5 6 2" xfId="660" xr:uid="{00000000-0005-0000-0000-000094020000}"/>
    <cellStyle name="Normal 5 6 3" xfId="661" xr:uid="{00000000-0005-0000-0000-000095020000}"/>
    <cellStyle name="Normal 5 7" xfId="662" xr:uid="{00000000-0005-0000-0000-000096020000}"/>
    <cellStyle name="Normal 5 8" xfId="663" xr:uid="{00000000-0005-0000-0000-000097020000}"/>
    <cellStyle name="Normal 5 9" xfId="664" xr:uid="{00000000-0005-0000-0000-000098020000}"/>
    <cellStyle name="Normal 6" xfId="665" xr:uid="{00000000-0005-0000-0000-000099020000}"/>
    <cellStyle name="Normal 6 10" xfId="666" xr:uid="{00000000-0005-0000-0000-00009A020000}"/>
    <cellStyle name="Normal 6 2" xfId="667" xr:uid="{00000000-0005-0000-0000-00009B020000}"/>
    <cellStyle name="Normal 6 2 2" xfId="668" xr:uid="{00000000-0005-0000-0000-00009C020000}"/>
    <cellStyle name="Normal 6 2 2 2" xfId="669" xr:uid="{00000000-0005-0000-0000-00009D020000}"/>
    <cellStyle name="Normal 6 2 2 2 2" xfId="670" xr:uid="{00000000-0005-0000-0000-00009E020000}"/>
    <cellStyle name="Normal 6 2 2 2 2 2" xfId="671" xr:uid="{00000000-0005-0000-0000-00009F020000}"/>
    <cellStyle name="Normal 6 2 2 2 2 3" xfId="672" xr:uid="{00000000-0005-0000-0000-0000A0020000}"/>
    <cellStyle name="Normal 6 2 2 2 3" xfId="673" xr:uid="{00000000-0005-0000-0000-0000A1020000}"/>
    <cellStyle name="Normal 6 2 2 2 4" xfId="674" xr:uid="{00000000-0005-0000-0000-0000A2020000}"/>
    <cellStyle name="Normal 6 2 2 3" xfId="675" xr:uid="{00000000-0005-0000-0000-0000A3020000}"/>
    <cellStyle name="Normal 6 2 2 3 2" xfId="676" xr:uid="{00000000-0005-0000-0000-0000A4020000}"/>
    <cellStyle name="Normal 6 2 2 3 3" xfId="677" xr:uid="{00000000-0005-0000-0000-0000A5020000}"/>
    <cellStyle name="Normal 6 2 2 4" xfId="678" xr:uid="{00000000-0005-0000-0000-0000A6020000}"/>
    <cellStyle name="Normal 6 2 2 5" xfId="679" xr:uid="{00000000-0005-0000-0000-0000A7020000}"/>
    <cellStyle name="Normal 6 2 3" xfId="680" xr:uid="{00000000-0005-0000-0000-0000A8020000}"/>
    <cellStyle name="Normal 6 2 3 2" xfId="681" xr:uid="{00000000-0005-0000-0000-0000A9020000}"/>
    <cellStyle name="Normal 6 2 3 2 2" xfId="682" xr:uid="{00000000-0005-0000-0000-0000AA020000}"/>
    <cellStyle name="Normal 6 2 3 2 3" xfId="683" xr:uid="{00000000-0005-0000-0000-0000AB020000}"/>
    <cellStyle name="Normal 6 2 3 3" xfId="684" xr:uid="{00000000-0005-0000-0000-0000AC020000}"/>
    <cellStyle name="Normal 6 2 3 4" xfId="685" xr:uid="{00000000-0005-0000-0000-0000AD020000}"/>
    <cellStyle name="Normal 6 2 4" xfId="686" xr:uid="{00000000-0005-0000-0000-0000AE020000}"/>
    <cellStyle name="Normal 6 2 4 2" xfId="687" xr:uid="{00000000-0005-0000-0000-0000AF020000}"/>
    <cellStyle name="Normal 6 2 4 3" xfId="688" xr:uid="{00000000-0005-0000-0000-0000B0020000}"/>
    <cellStyle name="Normal 6 2 5" xfId="689" xr:uid="{00000000-0005-0000-0000-0000B1020000}"/>
    <cellStyle name="Normal 6 2 6" xfId="690" xr:uid="{00000000-0005-0000-0000-0000B2020000}"/>
    <cellStyle name="Normal 6 3" xfId="691" xr:uid="{00000000-0005-0000-0000-0000B3020000}"/>
    <cellStyle name="Normal 6 3 2" xfId="692" xr:uid="{00000000-0005-0000-0000-0000B4020000}"/>
    <cellStyle name="Normal 6 3 2 2" xfId="693" xr:uid="{00000000-0005-0000-0000-0000B5020000}"/>
    <cellStyle name="Normal 6 3 2 2 2" xfId="694" xr:uid="{00000000-0005-0000-0000-0000B6020000}"/>
    <cellStyle name="Normal 6 3 2 2 3" xfId="695" xr:uid="{00000000-0005-0000-0000-0000B7020000}"/>
    <cellStyle name="Normal 6 3 2 3" xfId="696" xr:uid="{00000000-0005-0000-0000-0000B8020000}"/>
    <cellStyle name="Normal 6 3 2 4" xfId="697" xr:uid="{00000000-0005-0000-0000-0000B9020000}"/>
    <cellStyle name="Normal 6 3 3" xfId="698" xr:uid="{00000000-0005-0000-0000-0000BA020000}"/>
    <cellStyle name="Normal 6 3 3 2" xfId="699" xr:uid="{00000000-0005-0000-0000-0000BB020000}"/>
    <cellStyle name="Normal 6 3 3 3" xfId="700" xr:uid="{00000000-0005-0000-0000-0000BC020000}"/>
    <cellStyle name="Normal 6 3 4" xfId="701" xr:uid="{00000000-0005-0000-0000-0000BD020000}"/>
    <cellStyle name="Normal 6 3 5" xfId="702" xr:uid="{00000000-0005-0000-0000-0000BE020000}"/>
    <cellStyle name="Normal 6 4" xfId="703" xr:uid="{00000000-0005-0000-0000-0000BF020000}"/>
    <cellStyle name="Normal 6 4 2" xfId="704" xr:uid="{00000000-0005-0000-0000-0000C0020000}"/>
    <cellStyle name="Normal 6 4 2 2" xfId="705" xr:uid="{00000000-0005-0000-0000-0000C1020000}"/>
    <cellStyle name="Normal 6 4 2 3" xfId="706" xr:uid="{00000000-0005-0000-0000-0000C2020000}"/>
    <cellStyle name="Normal 6 4 3" xfId="707" xr:uid="{00000000-0005-0000-0000-0000C3020000}"/>
    <cellStyle name="Normal 6 4 4" xfId="708" xr:uid="{00000000-0005-0000-0000-0000C4020000}"/>
    <cellStyle name="Normal 6 5" xfId="709" xr:uid="{00000000-0005-0000-0000-0000C5020000}"/>
    <cellStyle name="Normal 6 5 2" xfId="710" xr:uid="{00000000-0005-0000-0000-0000C6020000}"/>
    <cellStyle name="Normal 6 5 3" xfId="711" xr:uid="{00000000-0005-0000-0000-0000C7020000}"/>
    <cellStyle name="Normal 6 6" xfId="712" xr:uid="{00000000-0005-0000-0000-0000C8020000}"/>
    <cellStyle name="Normal 6 7" xfId="713" xr:uid="{00000000-0005-0000-0000-0000C9020000}"/>
    <cellStyle name="Normal 6 8" xfId="714" xr:uid="{00000000-0005-0000-0000-0000CA020000}"/>
    <cellStyle name="Normal 6 9" xfId="715" xr:uid="{00000000-0005-0000-0000-0000CB020000}"/>
    <cellStyle name="Normal 7" xfId="716" xr:uid="{00000000-0005-0000-0000-0000CC020000}"/>
    <cellStyle name="Normal 7 2" xfId="717" xr:uid="{00000000-0005-0000-0000-0000CD020000}"/>
    <cellStyle name="Normal 7 2 2" xfId="718" xr:uid="{00000000-0005-0000-0000-0000CE020000}"/>
    <cellStyle name="Normal 7 2 2 2" xfId="719" xr:uid="{00000000-0005-0000-0000-0000CF020000}"/>
    <cellStyle name="Normal 7 2 2 3" xfId="720" xr:uid="{00000000-0005-0000-0000-0000D0020000}"/>
    <cellStyle name="Normal 7 2 3" xfId="721" xr:uid="{00000000-0005-0000-0000-0000D1020000}"/>
    <cellStyle name="Normal 7 2 4" xfId="722" xr:uid="{00000000-0005-0000-0000-0000D2020000}"/>
    <cellStyle name="Normal 7 2 5" xfId="723" xr:uid="{00000000-0005-0000-0000-0000D3020000}"/>
    <cellStyle name="Normal 7 3" xfId="724" xr:uid="{00000000-0005-0000-0000-0000D4020000}"/>
    <cellStyle name="Normal 7 3 2" xfId="725" xr:uid="{00000000-0005-0000-0000-0000D5020000}"/>
    <cellStyle name="Normal 7 3 3" xfId="726" xr:uid="{00000000-0005-0000-0000-0000D6020000}"/>
    <cellStyle name="Normal 7 4" xfId="727" xr:uid="{00000000-0005-0000-0000-0000D7020000}"/>
    <cellStyle name="Normal 7 5" xfId="728" xr:uid="{00000000-0005-0000-0000-0000D8020000}"/>
    <cellStyle name="Normal 7 6" xfId="729" xr:uid="{00000000-0005-0000-0000-0000D9020000}"/>
    <cellStyle name="Normal 8" xfId="730" xr:uid="{00000000-0005-0000-0000-0000DA020000}"/>
    <cellStyle name="Normal 8 2" xfId="731" xr:uid="{00000000-0005-0000-0000-0000DB020000}"/>
    <cellStyle name="Normal 8 3" xfId="732" xr:uid="{00000000-0005-0000-0000-0000DC020000}"/>
    <cellStyle name="Normal 9" xfId="733" xr:uid="{00000000-0005-0000-0000-0000DD020000}"/>
    <cellStyle name="Normal 9 2" xfId="734" xr:uid="{00000000-0005-0000-0000-0000DE020000}"/>
    <cellStyle name="Normal 9 2 2" xfId="1010" xr:uid="{55F076E7-DC2B-4366-94C4-0BC8E30C20BB}"/>
    <cellStyle name="Normal 9 3" xfId="735" xr:uid="{00000000-0005-0000-0000-0000DF020000}"/>
    <cellStyle name="Normal 9 4" xfId="945" xr:uid="{03BE8DBD-E256-4363-B133-AF1EBB2E1747}"/>
    <cellStyle name="normal cell" xfId="736" xr:uid="{00000000-0005-0000-0000-0000E0020000}"/>
    <cellStyle name="Normal GHG Numbers (0.00)" xfId="737" xr:uid="{00000000-0005-0000-0000-0000E1020000}"/>
    <cellStyle name="Normal GHG Textfiels Bold" xfId="738" xr:uid="{00000000-0005-0000-0000-0000E2020000}"/>
    <cellStyle name="Normal GHG-Shade" xfId="739" xr:uid="{00000000-0005-0000-0000-0000E3020000}"/>
    <cellStyle name="Normal_Commodities" xfId="740" xr:uid="{00000000-0005-0000-0000-0000E4020000}"/>
    <cellStyle name="Normal_Commodities 2" xfId="741" xr:uid="{00000000-0005-0000-0000-0000E5020000}"/>
    <cellStyle name="Normal_Sheet1" xfId="742" xr:uid="{00000000-0005-0000-0000-0000E6020000}"/>
    <cellStyle name="Normal_Sheet1 2" xfId="743" xr:uid="{00000000-0005-0000-0000-0000E7020000}"/>
    <cellStyle name="Normale_B2020" xfId="744" xr:uid="{00000000-0005-0000-0000-0000E8020000}"/>
    <cellStyle name="Note 2" xfId="745" xr:uid="{00000000-0005-0000-0000-0000E9020000}"/>
    <cellStyle name="Note 2 2" xfId="746" xr:uid="{00000000-0005-0000-0000-0000EA020000}"/>
    <cellStyle name="Note 2 2 2" xfId="747" xr:uid="{00000000-0005-0000-0000-0000EB020000}"/>
    <cellStyle name="Note 2 2 2 2" xfId="1012" xr:uid="{6DA1A79D-52B2-419A-AF8B-2CA5B0D6DBF8}"/>
    <cellStyle name="Note 2 2 3" xfId="748" xr:uid="{00000000-0005-0000-0000-0000EC020000}"/>
    <cellStyle name="Note 2 2 4" xfId="749" xr:uid="{00000000-0005-0000-0000-0000ED020000}"/>
    <cellStyle name="Note 2 2 5" xfId="947" xr:uid="{7FE82579-9008-4227-8653-73A2736AB248}"/>
    <cellStyle name="Note 2 3" xfId="750" xr:uid="{00000000-0005-0000-0000-0000EE020000}"/>
    <cellStyle name="Note 2 3 2" xfId="1013" xr:uid="{5578BEC6-21B5-46AD-B67E-0629E83D7B3A}"/>
    <cellStyle name="Note 2 3 3" xfId="948" xr:uid="{C67272BC-87B2-4F4D-B603-43B552960554}"/>
    <cellStyle name="Note 2 4" xfId="1011" xr:uid="{7DC6A852-8032-420E-9AA0-148A0EE72D95}"/>
    <cellStyle name="Note 2 5" xfId="946" xr:uid="{95A21AD3-B138-4C9C-B8D7-CEEE54E42610}"/>
    <cellStyle name="Note 3" xfId="751" xr:uid="{00000000-0005-0000-0000-0000EF020000}"/>
    <cellStyle name="Note 3 2" xfId="752" xr:uid="{00000000-0005-0000-0000-0000F0020000}"/>
    <cellStyle name="Note 3 2 2" xfId="753" xr:uid="{00000000-0005-0000-0000-0000F1020000}"/>
    <cellStyle name="Note 3 2 3" xfId="754" xr:uid="{00000000-0005-0000-0000-0000F2020000}"/>
    <cellStyle name="Note 3 3" xfId="755" xr:uid="{00000000-0005-0000-0000-0000F3020000}"/>
    <cellStyle name="Note 3 4" xfId="756" xr:uid="{00000000-0005-0000-0000-0000F4020000}"/>
    <cellStyle name="Note 3 5" xfId="757" xr:uid="{00000000-0005-0000-0000-0000F5020000}"/>
    <cellStyle name="Note 3 6" xfId="758" xr:uid="{00000000-0005-0000-0000-0000F6020000}"/>
    <cellStyle name="Note 4" xfId="759" xr:uid="{00000000-0005-0000-0000-0000F7020000}"/>
    <cellStyle name="num_note" xfId="760" xr:uid="{00000000-0005-0000-0000-0000F8020000}"/>
    <cellStyle name="Nuovo" xfId="761" xr:uid="{00000000-0005-0000-0000-0000F9020000}"/>
    <cellStyle name="Output" xfId="762" builtinId="21" customBuiltin="1"/>
    <cellStyle name="Output 2" xfId="763" xr:uid="{00000000-0005-0000-0000-0000FB020000}"/>
    <cellStyle name="Output 2 2" xfId="764" xr:uid="{00000000-0005-0000-0000-0000FC020000}"/>
    <cellStyle name="Output 2 3" xfId="765" xr:uid="{00000000-0005-0000-0000-0000FD020000}"/>
    <cellStyle name="Output 3" xfId="766" xr:uid="{00000000-0005-0000-0000-0000FE020000}"/>
    <cellStyle name="Output 4" xfId="767" xr:uid="{00000000-0005-0000-0000-0000FF020000}"/>
    <cellStyle name="Parent row" xfId="768" xr:uid="{00000000-0005-0000-0000-000000030000}"/>
    <cellStyle name="Parent row 2" xfId="769" xr:uid="{00000000-0005-0000-0000-000001030000}"/>
    <cellStyle name="Percent 10" xfId="770" xr:uid="{00000000-0005-0000-0000-000002030000}"/>
    <cellStyle name="Percent 10 2" xfId="771" xr:uid="{00000000-0005-0000-0000-000003030000}"/>
    <cellStyle name="Percent 10 2 2" xfId="1014" xr:uid="{0BD37C1B-82B6-4416-9544-F718889C2EF8}"/>
    <cellStyle name="Percent 11" xfId="772" xr:uid="{00000000-0005-0000-0000-000004030000}"/>
    <cellStyle name="Percent 12" xfId="773" xr:uid="{00000000-0005-0000-0000-000005030000}"/>
    <cellStyle name="Percent 13" xfId="774" xr:uid="{00000000-0005-0000-0000-000006030000}"/>
    <cellStyle name="Percent 14" xfId="775" xr:uid="{00000000-0005-0000-0000-000007030000}"/>
    <cellStyle name="Percent 15" xfId="776" xr:uid="{00000000-0005-0000-0000-000008030000}"/>
    <cellStyle name="Percent 16" xfId="777" xr:uid="{00000000-0005-0000-0000-000009030000}"/>
    <cellStyle name="Percent 17" xfId="778" xr:uid="{00000000-0005-0000-0000-00000A030000}"/>
    <cellStyle name="Percent 18" xfId="779" xr:uid="{00000000-0005-0000-0000-00000B030000}"/>
    <cellStyle name="Percent 19" xfId="780" xr:uid="{00000000-0005-0000-0000-00000C030000}"/>
    <cellStyle name="Percent 2" xfId="949" xr:uid="{F5A55BB5-6AE9-4ACC-A680-2767A3B90CDB}"/>
    <cellStyle name="Percent 2 2" xfId="781" xr:uid="{00000000-0005-0000-0000-00000D030000}"/>
    <cellStyle name="Percent 2 2 2" xfId="782" xr:uid="{00000000-0005-0000-0000-00000E030000}"/>
    <cellStyle name="Percent 2 2 3" xfId="783" xr:uid="{00000000-0005-0000-0000-00000F030000}"/>
    <cellStyle name="Percent 2 3" xfId="784" xr:uid="{00000000-0005-0000-0000-000010030000}"/>
    <cellStyle name="Percent 2 3 2" xfId="1015" xr:uid="{FF25CF59-71A2-4C17-B2F1-484A6B09C17B}"/>
    <cellStyle name="Percent 2 4" xfId="785" xr:uid="{00000000-0005-0000-0000-000011030000}"/>
    <cellStyle name="Percent 2 5" xfId="786" xr:uid="{00000000-0005-0000-0000-000012030000}"/>
    <cellStyle name="Percent 2 6" xfId="787" xr:uid="{00000000-0005-0000-0000-000013030000}"/>
    <cellStyle name="Percent 20" xfId="788" xr:uid="{00000000-0005-0000-0000-000014030000}"/>
    <cellStyle name="Percent 21" xfId="789" xr:uid="{00000000-0005-0000-0000-000015030000}"/>
    <cellStyle name="Percent 22" xfId="790" xr:uid="{00000000-0005-0000-0000-000016030000}"/>
    <cellStyle name="Percent 23" xfId="791" xr:uid="{00000000-0005-0000-0000-000017030000}"/>
    <cellStyle name="Percent 24" xfId="792" xr:uid="{00000000-0005-0000-0000-000018030000}"/>
    <cellStyle name="Percent 25" xfId="793" xr:uid="{00000000-0005-0000-0000-000019030000}"/>
    <cellStyle name="Percent 26" xfId="794" xr:uid="{00000000-0005-0000-0000-00001A030000}"/>
    <cellStyle name="Percent 27" xfId="795" xr:uid="{00000000-0005-0000-0000-00001B030000}"/>
    <cellStyle name="Percent 28" xfId="796" xr:uid="{00000000-0005-0000-0000-00001C030000}"/>
    <cellStyle name="Percent 29" xfId="797" xr:uid="{00000000-0005-0000-0000-00001D030000}"/>
    <cellStyle name="Percent 3" xfId="950" xr:uid="{46B62980-724F-4F00-9DDB-3DC5D724058C}"/>
    <cellStyle name="Percent 3 2" xfId="798" xr:uid="{00000000-0005-0000-0000-00001E030000}"/>
    <cellStyle name="Percent 3 2 2" xfId="799" xr:uid="{00000000-0005-0000-0000-00001F030000}"/>
    <cellStyle name="Percent 3 2 2 2" xfId="800" xr:uid="{00000000-0005-0000-0000-000020030000}"/>
    <cellStyle name="Percent 3 2 3" xfId="801" xr:uid="{00000000-0005-0000-0000-000021030000}"/>
    <cellStyle name="Percent 3 3" xfId="802" xr:uid="{00000000-0005-0000-0000-000022030000}"/>
    <cellStyle name="Percent 3 3 2" xfId="803" xr:uid="{00000000-0005-0000-0000-000023030000}"/>
    <cellStyle name="Percent 3 4" xfId="804" xr:uid="{00000000-0005-0000-0000-000024030000}"/>
    <cellStyle name="Percent 3 4 2" xfId="805" xr:uid="{00000000-0005-0000-0000-000025030000}"/>
    <cellStyle name="Percent 3 5" xfId="806" xr:uid="{00000000-0005-0000-0000-000026030000}"/>
    <cellStyle name="Percent 3 6" xfId="807" xr:uid="{00000000-0005-0000-0000-000027030000}"/>
    <cellStyle name="Percent 30" xfId="808" xr:uid="{00000000-0005-0000-0000-000028030000}"/>
    <cellStyle name="Percent 4" xfId="809" xr:uid="{00000000-0005-0000-0000-000029030000}"/>
    <cellStyle name="Percent 4 2" xfId="810" xr:uid="{00000000-0005-0000-0000-00002A030000}"/>
    <cellStyle name="Percent 4 2 2" xfId="811" xr:uid="{00000000-0005-0000-0000-00002B030000}"/>
    <cellStyle name="Percent 4 3" xfId="812" xr:uid="{00000000-0005-0000-0000-00002C030000}"/>
    <cellStyle name="Percent 4 3 2" xfId="813" xr:uid="{00000000-0005-0000-0000-00002D030000}"/>
    <cellStyle name="Percent 4 3 3" xfId="814" xr:uid="{00000000-0005-0000-0000-00002E030000}"/>
    <cellStyle name="Percent 4 3 4" xfId="815" xr:uid="{00000000-0005-0000-0000-00002F030000}"/>
    <cellStyle name="Percent 4 4" xfId="816" xr:uid="{00000000-0005-0000-0000-000030030000}"/>
    <cellStyle name="Percent 5" xfId="817" xr:uid="{00000000-0005-0000-0000-000031030000}"/>
    <cellStyle name="Percent 5 2" xfId="818" xr:uid="{00000000-0005-0000-0000-000032030000}"/>
    <cellStyle name="Percent 5 2 2" xfId="819" xr:uid="{00000000-0005-0000-0000-000033030000}"/>
    <cellStyle name="Percent 5 2 3" xfId="820" xr:uid="{00000000-0005-0000-0000-000034030000}"/>
    <cellStyle name="Percent 5 2 4" xfId="821" xr:uid="{00000000-0005-0000-0000-000035030000}"/>
    <cellStyle name="Percent 5 3" xfId="822" xr:uid="{00000000-0005-0000-0000-000036030000}"/>
    <cellStyle name="Percent 5 4" xfId="823" xr:uid="{00000000-0005-0000-0000-000037030000}"/>
    <cellStyle name="Percent 5 5" xfId="824" xr:uid="{00000000-0005-0000-0000-000038030000}"/>
    <cellStyle name="Percent 5 6" xfId="825" xr:uid="{00000000-0005-0000-0000-000039030000}"/>
    <cellStyle name="Percent 6" xfId="826" xr:uid="{00000000-0005-0000-0000-00003A030000}"/>
    <cellStyle name="Percent 6 2" xfId="827" xr:uid="{00000000-0005-0000-0000-00003B030000}"/>
    <cellStyle name="Percent 6 2 2" xfId="828" xr:uid="{00000000-0005-0000-0000-00003C030000}"/>
    <cellStyle name="Percent 6 2 3" xfId="829" xr:uid="{00000000-0005-0000-0000-00003D030000}"/>
    <cellStyle name="Percent 6 3" xfId="830" xr:uid="{00000000-0005-0000-0000-00003E030000}"/>
    <cellStyle name="Percent 6 4" xfId="831" xr:uid="{00000000-0005-0000-0000-00003F030000}"/>
    <cellStyle name="Percent 6 5" xfId="832" xr:uid="{00000000-0005-0000-0000-000040030000}"/>
    <cellStyle name="Percent 6 6" xfId="833" xr:uid="{00000000-0005-0000-0000-000041030000}"/>
    <cellStyle name="Percent 7" xfId="834" xr:uid="{00000000-0005-0000-0000-000042030000}"/>
    <cellStyle name="Percent 7 2" xfId="835" xr:uid="{00000000-0005-0000-0000-000043030000}"/>
    <cellStyle name="Percent 8" xfId="836" xr:uid="{00000000-0005-0000-0000-000044030000}"/>
    <cellStyle name="Percent 8 2" xfId="837" xr:uid="{00000000-0005-0000-0000-000045030000}"/>
    <cellStyle name="Percent 8 2 2" xfId="1016" xr:uid="{8F859C05-6858-4E52-849B-F24602AF3F88}"/>
    <cellStyle name="Percent 8 3" xfId="838" xr:uid="{00000000-0005-0000-0000-000046030000}"/>
    <cellStyle name="Percent 8 4" xfId="839" xr:uid="{00000000-0005-0000-0000-000047030000}"/>
    <cellStyle name="Percent 8 5" xfId="951" xr:uid="{AAE7A6C5-B054-41D0-886F-C516410BEAC3}"/>
    <cellStyle name="Percent 9" xfId="840" xr:uid="{00000000-0005-0000-0000-000048030000}"/>
    <cellStyle name="Percent 9 2" xfId="841" xr:uid="{00000000-0005-0000-0000-000049030000}"/>
    <cellStyle name="Percent 9 2 2" xfId="1017" xr:uid="{41D219E6-2F69-4D99-A920-F656C577DEFB}"/>
    <cellStyle name="Percent 9 3" xfId="952" xr:uid="{1E6B3C7C-570D-4A62-B18D-AC7B4C2746FD}"/>
    <cellStyle name="Section Break: parent row" xfId="842" xr:uid="{00000000-0005-0000-0000-00004A030000}"/>
    <cellStyle name="source" xfId="843" xr:uid="{00000000-0005-0000-0000-00004B030000}"/>
    <cellStyle name="Source Superscript" xfId="844" xr:uid="{00000000-0005-0000-0000-00004C030000}"/>
    <cellStyle name="Source Text" xfId="845" xr:uid="{00000000-0005-0000-0000-00004D030000}"/>
    <cellStyle name="Standard_Sce_D_Extraction" xfId="846" xr:uid="{00000000-0005-0000-0000-00004E030000}"/>
    <cellStyle name="Style 29" xfId="847" xr:uid="{00000000-0005-0000-0000-00004F030000}"/>
    <cellStyle name="Style 29 2" xfId="848" xr:uid="{00000000-0005-0000-0000-000050030000}"/>
    <cellStyle name="Style 29 3" xfId="849" xr:uid="{00000000-0005-0000-0000-000051030000}"/>
    <cellStyle name="Style 29 3 2" xfId="850" xr:uid="{00000000-0005-0000-0000-000052030000}"/>
    <cellStyle name="Style 35" xfId="851" xr:uid="{00000000-0005-0000-0000-000053030000}"/>
    <cellStyle name="Style 35 2" xfId="852" xr:uid="{00000000-0005-0000-0000-000054030000}"/>
    <cellStyle name="Style 36" xfId="853" xr:uid="{00000000-0005-0000-0000-000055030000}"/>
    <cellStyle name="Style 36 2" xfId="854" xr:uid="{00000000-0005-0000-0000-000056030000}"/>
    <cellStyle name="Table title" xfId="855" xr:uid="{00000000-0005-0000-0000-000057030000}"/>
    <cellStyle name="Table title 2" xfId="856" xr:uid="{00000000-0005-0000-0000-000058030000}"/>
    <cellStyle name="tableau | cellule | normal | decimal 1" xfId="857" xr:uid="{00000000-0005-0000-0000-000059030000}"/>
    <cellStyle name="tableau | cellule | normal | pourcentage | decimal 1" xfId="858" xr:uid="{00000000-0005-0000-0000-00005A030000}"/>
    <cellStyle name="tableau | cellule | total | decimal 1" xfId="859" xr:uid="{00000000-0005-0000-0000-00005B030000}"/>
    <cellStyle name="tableau | coin superieur gauche" xfId="860" xr:uid="{00000000-0005-0000-0000-00005C030000}"/>
    <cellStyle name="tableau | entete-colonne | series" xfId="861" xr:uid="{00000000-0005-0000-0000-00005D030000}"/>
    <cellStyle name="tableau | entete-ligne | normal" xfId="862" xr:uid="{00000000-0005-0000-0000-00005E030000}"/>
    <cellStyle name="tableau | entete-ligne | total" xfId="863" xr:uid="{00000000-0005-0000-0000-00005F030000}"/>
    <cellStyle name="tableau | ligne-titre | niveau1" xfId="864" xr:uid="{00000000-0005-0000-0000-000060030000}"/>
    <cellStyle name="tableau | ligne-titre | niveau2" xfId="865" xr:uid="{00000000-0005-0000-0000-000061030000}"/>
    <cellStyle name="Title" xfId="866" builtinId="15" customBuiltin="1"/>
    <cellStyle name="Title 2" xfId="867" xr:uid="{00000000-0005-0000-0000-000063030000}"/>
    <cellStyle name="Title 2 2" xfId="868" xr:uid="{00000000-0005-0000-0000-000064030000}"/>
    <cellStyle name="Title 3" xfId="869" xr:uid="{00000000-0005-0000-0000-000065030000}"/>
    <cellStyle name="Title 3 2" xfId="870" xr:uid="{00000000-0005-0000-0000-000066030000}"/>
    <cellStyle name="Title 4" xfId="871" xr:uid="{00000000-0005-0000-0000-000067030000}"/>
    <cellStyle name="Title-2" xfId="872" xr:uid="{00000000-0005-0000-0000-000068030000}"/>
    <cellStyle name="Total" xfId="873" builtinId="25" customBuiltin="1"/>
    <cellStyle name="Total 2" xfId="874" xr:uid="{00000000-0005-0000-0000-00006A030000}"/>
    <cellStyle name="Total 2 2" xfId="875" xr:uid="{00000000-0005-0000-0000-00006B030000}"/>
    <cellStyle name="Total 2 2 2" xfId="876" xr:uid="{00000000-0005-0000-0000-00006C030000}"/>
    <cellStyle name="Total 2 3" xfId="877" xr:uid="{00000000-0005-0000-0000-00006D030000}"/>
    <cellStyle name="Total 2 4" xfId="878" xr:uid="{00000000-0005-0000-0000-00006E030000}"/>
    <cellStyle name="Total 2 5" xfId="879" xr:uid="{00000000-0005-0000-0000-00006F030000}"/>
    <cellStyle name="Total 3" xfId="880" xr:uid="{00000000-0005-0000-0000-000070030000}"/>
    <cellStyle name="Total 3 2" xfId="881" xr:uid="{00000000-0005-0000-0000-000071030000}"/>
    <cellStyle name="Total 3 3" xfId="882" xr:uid="{00000000-0005-0000-0000-000072030000}"/>
    <cellStyle name="Total 4" xfId="883" xr:uid="{00000000-0005-0000-0000-000073030000}"/>
    <cellStyle name="Total 5" xfId="884" xr:uid="{00000000-0005-0000-0000-000074030000}"/>
    <cellStyle name="Warning Text" xfId="885" builtinId="11" customBuiltin="1"/>
    <cellStyle name="Warning Text 2" xfId="886" xr:uid="{00000000-0005-0000-0000-000076030000}"/>
    <cellStyle name="Warning Text 2 2" xfId="887" xr:uid="{00000000-0005-0000-0000-000077030000}"/>
    <cellStyle name="Warning Text 3" xfId="888" xr:uid="{00000000-0005-0000-0000-000078030000}"/>
    <cellStyle name="Обычный_CRF2002 (1)" xfId="889" xr:uid="{00000000-0005-0000-0000-000079030000}"/>
    <cellStyle name="已访问的超链接" xfId="890" xr:uid="{00000000-0005-0000-0000-00007A030000}"/>
  </cellStyles>
  <dxfs count="0"/>
  <tableStyles count="0" defaultTableStyle="TableStyleMedium9" defaultPivotStyle="PivotStyleLight16"/>
  <colors>
    <mruColors>
      <color rgb="FFFA7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7</xdr:row>
      <xdr:rowOff>114300</xdr:rowOff>
    </xdr:from>
    <xdr:to>
      <xdr:col>26</xdr:col>
      <xdr:colOff>171450</xdr:colOff>
      <xdr:row>27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403BFA-CFE5-D88B-90FF-574972F6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1247775"/>
          <a:ext cx="5638800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28</xdr:row>
      <xdr:rowOff>114300</xdr:rowOff>
    </xdr:from>
    <xdr:to>
      <xdr:col>29</xdr:col>
      <xdr:colOff>228600</xdr:colOff>
      <xdr:row>47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2CC890-D4A9-71B0-ADA7-47FEFB958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4705350"/>
          <a:ext cx="5638800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48</xdr:row>
      <xdr:rowOff>19050</xdr:rowOff>
    </xdr:from>
    <xdr:to>
      <xdr:col>16</xdr:col>
      <xdr:colOff>476250</xdr:colOff>
      <xdr:row>72</xdr:row>
      <xdr:rowOff>142875</xdr:rowOff>
    </xdr:to>
    <xdr:pic>
      <xdr:nvPicPr>
        <xdr:cNvPr id="5" name="Picture 4" descr="End-Use Load Profiles for the U.S. Building Stock | Buildings | NREL">
          <a:extLst>
            <a:ext uri="{FF2B5EF4-FFF2-40B4-BE49-F238E27FC236}">
              <a16:creationId xmlns:a16="http://schemas.microsoft.com/office/drawing/2014/main" id="{8B476887-C42B-275A-26D8-E22E598B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8162925"/>
          <a:ext cx="7858125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1560</xdr:colOff>
      <xdr:row>48</xdr:row>
      <xdr:rowOff>19049</xdr:rowOff>
    </xdr:from>
    <xdr:to>
      <xdr:col>26</xdr:col>
      <xdr:colOff>571499</xdr:colOff>
      <xdr:row>75</xdr:row>
      <xdr:rowOff>152399</xdr:rowOff>
    </xdr:to>
    <xdr:pic>
      <xdr:nvPicPr>
        <xdr:cNvPr id="7" name="Picture 6" descr="End-Use Load Profiles for the U.S. Building Stock | Department of Energy">
          <a:extLst>
            <a:ext uri="{FF2B5EF4-FFF2-40B4-BE49-F238E27FC236}">
              <a16:creationId xmlns:a16="http://schemas.microsoft.com/office/drawing/2014/main" id="{98ADFC95-3BC7-25CA-3C28-7FC5F1FF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4335" y="8162924"/>
          <a:ext cx="6056339" cy="450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2.5"/>
  <cols>
    <col min="1" max="1" width="19.1796875" bestFit="1" customWidth="1"/>
    <col min="2" max="2" width="13.453125" customWidth="1"/>
    <col min="4" max="4" width="13.54296875" bestFit="1" customWidth="1"/>
  </cols>
  <sheetData>
    <row r="1" spans="1:6" ht="13">
      <c r="A1" s="1" t="s">
        <v>2000</v>
      </c>
    </row>
    <row r="5" spans="1:6" ht="13">
      <c r="A5" s="1" t="s">
        <v>17</v>
      </c>
      <c r="D5" s="1" t="s">
        <v>10</v>
      </c>
      <c r="E5" s="6"/>
      <c r="F5" s="6"/>
    </row>
    <row r="6" spans="1:6" ht="13">
      <c r="A6" s="12" t="s">
        <v>18</v>
      </c>
      <c r="B6" s="12" t="s">
        <v>19</v>
      </c>
      <c r="D6" s="12" t="s">
        <v>11</v>
      </c>
      <c r="E6" s="12" t="s">
        <v>12</v>
      </c>
      <c r="F6" s="12" t="s">
        <v>13</v>
      </c>
    </row>
    <row r="7" spans="1:6">
      <c r="A7" s="60" t="s">
        <v>117</v>
      </c>
      <c r="B7" s="58" t="s">
        <v>60</v>
      </c>
      <c r="D7" s="58" t="s">
        <v>14</v>
      </c>
      <c r="E7" s="58"/>
      <c r="F7" s="58" t="s">
        <v>91</v>
      </c>
    </row>
    <row r="8" spans="1:6">
      <c r="A8" s="58"/>
      <c r="B8" s="58" t="s">
        <v>61</v>
      </c>
      <c r="D8" s="58" t="s">
        <v>15</v>
      </c>
      <c r="E8" s="58"/>
      <c r="F8" s="58" t="s">
        <v>92</v>
      </c>
    </row>
    <row r="9" spans="1:6">
      <c r="A9" s="58"/>
      <c r="B9" s="58" t="s">
        <v>62</v>
      </c>
      <c r="D9" s="60" t="s">
        <v>108</v>
      </c>
      <c r="E9" s="58"/>
      <c r="F9" s="60" t="s">
        <v>93</v>
      </c>
    </row>
    <row r="10" spans="1:6">
      <c r="A10" s="58"/>
      <c r="B10" s="58" t="s">
        <v>63</v>
      </c>
      <c r="D10" s="58" t="s">
        <v>91</v>
      </c>
      <c r="E10" s="58"/>
      <c r="F10" s="60" t="s">
        <v>94</v>
      </c>
    </row>
    <row r="11" spans="1:6">
      <c r="A11" s="58"/>
      <c r="B11" s="58" t="s">
        <v>64</v>
      </c>
    </row>
    <row r="12" spans="1:6">
      <c r="A12" s="58"/>
      <c r="B12" s="58" t="s">
        <v>65</v>
      </c>
    </row>
    <row r="13" spans="1:6">
      <c r="A13" s="58"/>
      <c r="B13" s="58" t="s">
        <v>66</v>
      </c>
    </row>
    <row r="14" spans="1:6">
      <c r="A14" s="58"/>
      <c r="B14" s="58" t="s">
        <v>67</v>
      </c>
    </row>
    <row r="15" spans="1:6">
      <c r="A15" s="58"/>
      <c r="B15" s="58" t="s">
        <v>68</v>
      </c>
    </row>
    <row r="16" spans="1:6">
      <c r="A16" s="58"/>
      <c r="B16" s="58" t="s">
        <v>77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6"/>
  <sheetViews>
    <sheetView workbookViewId="0">
      <selection activeCell="C13" sqref="C13"/>
    </sheetView>
  </sheetViews>
  <sheetFormatPr defaultRowHeight="12.5"/>
  <cols>
    <col min="2" max="2" width="52.7265625" bestFit="1" customWidth="1"/>
  </cols>
  <sheetData>
    <row r="3" spans="2:3" ht="13">
      <c r="B3" s="7" t="s">
        <v>28</v>
      </c>
    </row>
    <row r="4" spans="2:3" ht="13">
      <c r="B4" s="8" t="s">
        <v>29</v>
      </c>
      <c r="C4" s="10" t="s">
        <v>30</v>
      </c>
    </row>
    <row r="5" spans="2:3">
      <c r="B5" s="9" t="s">
        <v>31</v>
      </c>
      <c r="C5" s="9">
        <v>1</v>
      </c>
    </row>
    <row r="6" spans="2:3">
      <c r="B6" s="9" t="s">
        <v>32</v>
      </c>
      <c r="C6" s="9">
        <v>0</v>
      </c>
    </row>
    <row r="7" spans="2:3">
      <c r="B7" s="9" t="s">
        <v>33</v>
      </c>
      <c r="C7" s="9">
        <v>1</v>
      </c>
    </row>
    <row r="8" spans="2:3">
      <c r="B8" s="9" t="s">
        <v>34</v>
      </c>
      <c r="C8" s="9">
        <v>0</v>
      </c>
    </row>
    <row r="9" spans="2:3">
      <c r="B9" s="9" t="s">
        <v>35</v>
      </c>
      <c r="C9" s="9">
        <v>1</v>
      </c>
    </row>
    <row r="10" spans="2:3">
      <c r="B10" s="9" t="s">
        <v>36</v>
      </c>
      <c r="C10" s="9">
        <v>1</v>
      </c>
    </row>
    <row r="11" spans="2:3">
      <c r="B11" s="9" t="s">
        <v>37</v>
      </c>
      <c r="C11" s="9">
        <v>1</v>
      </c>
    </row>
    <row r="12" spans="2:3">
      <c r="B12" s="9" t="s">
        <v>38</v>
      </c>
      <c r="C12" s="9">
        <v>1</v>
      </c>
    </row>
    <row r="13" spans="2:3">
      <c r="B13" s="9" t="s">
        <v>39</v>
      </c>
      <c r="C13" s="9">
        <v>0</v>
      </c>
    </row>
    <row r="14" spans="2:3">
      <c r="B14" s="9" t="s">
        <v>89</v>
      </c>
      <c r="C14" s="9">
        <v>1</v>
      </c>
    </row>
    <row r="15" spans="2:3">
      <c r="B15" s="9" t="s">
        <v>90</v>
      </c>
      <c r="C15" s="9">
        <v>0</v>
      </c>
    </row>
    <row r="16" spans="2:3">
      <c r="B16" s="9" t="s">
        <v>69</v>
      </c>
      <c r="C16" s="9">
        <v>1</v>
      </c>
    </row>
  </sheetData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29"/>
  <sheetViews>
    <sheetView workbookViewId="0">
      <selection activeCell="E7" sqref="E7"/>
    </sheetView>
  </sheetViews>
  <sheetFormatPr defaultRowHeight="12.5"/>
  <cols>
    <col min="2" max="2" width="12.81640625" bestFit="1" customWidth="1"/>
    <col min="7" max="7" width="13.453125" bestFit="1" customWidth="1"/>
    <col min="8" max="8" width="15" bestFit="1" customWidth="1"/>
    <col min="9" max="9" width="8.26953125" bestFit="1" customWidth="1"/>
  </cols>
  <sheetData>
    <row r="3" spans="2:10">
      <c r="B3" t="s">
        <v>25</v>
      </c>
    </row>
    <row r="4" spans="2:10">
      <c r="B4">
        <v>2010</v>
      </c>
    </row>
    <row r="7" spans="2:10">
      <c r="B7" t="s">
        <v>26</v>
      </c>
    </row>
    <row r="8" spans="2:10">
      <c r="B8" t="s">
        <v>107</v>
      </c>
    </row>
    <row r="11" spans="2:10">
      <c r="B11" t="s">
        <v>9</v>
      </c>
    </row>
    <row r="12" spans="2:10">
      <c r="B12" s="88" t="s">
        <v>27</v>
      </c>
      <c r="C12" s="89" t="s">
        <v>58</v>
      </c>
      <c r="D12" s="89" t="s">
        <v>83</v>
      </c>
      <c r="E12" s="89" t="s">
        <v>84</v>
      </c>
      <c r="F12" s="89" t="s">
        <v>85</v>
      </c>
      <c r="G12" s="89" t="s">
        <v>86</v>
      </c>
      <c r="H12" s="89" t="s">
        <v>88</v>
      </c>
      <c r="I12" s="90" t="s">
        <v>107</v>
      </c>
      <c r="J12" s="90" t="s">
        <v>2137</v>
      </c>
    </row>
    <row r="13" spans="2:10">
      <c r="B13" s="9">
        <v>1</v>
      </c>
      <c r="C13" s="9">
        <v>5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</row>
    <row r="14" spans="2:10">
      <c r="B14" s="9">
        <v>2</v>
      </c>
      <c r="C14" s="9">
        <v>5</v>
      </c>
      <c r="D14" s="9">
        <v>2</v>
      </c>
      <c r="E14" s="9">
        <v>2</v>
      </c>
      <c r="F14" s="9">
        <v>2</v>
      </c>
      <c r="G14" s="9">
        <v>2</v>
      </c>
      <c r="H14" s="9">
        <v>13</v>
      </c>
      <c r="I14" s="9">
        <v>2</v>
      </c>
      <c r="J14" s="9">
        <v>2</v>
      </c>
    </row>
    <row r="15" spans="2:10">
      <c r="B15" s="9">
        <v>3</v>
      </c>
      <c r="C15" s="9">
        <v>5</v>
      </c>
      <c r="D15" s="9">
        <v>3</v>
      </c>
      <c r="E15" s="9">
        <v>3</v>
      </c>
      <c r="F15" s="9">
        <v>3</v>
      </c>
      <c r="G15" s="9">
        <v>3</v>
      </c>
      <c r="H15" s="9">
        <v>14</v>
      </c>
      <c r="I15" s="9">
        <v>5</v>
      </c>
      <c r="J15" s="9">
        <v>5</v>
      </c>
    </row>
    <row r="16" spans="2:10">
      <c r="B16" s="9">
        <v>3</v>
      </c>
      <c r="C16" s="9">
        <v>5</v>
      </c>
      <c r="D16" s="9">
        <v>3</v>
      </c>
      <c r="E16" s="9">
        <v>3</v>
      </c>
      <c r="F16" s="9">
        <v>3</v>
      </c>
      <c r="G16" s="9">
        <v>3</v>
      </c>
      <c r="H16" s="9">
        <v>36</v>
      </c>
      <c r="I16" s="9">
        <v>5</v>
      </c>
      <c r="J16" s="9">
        <v>5</v>
      </c>
    </row>
    <row r="17" spans="2:10">
      <c r="B17" s="9">
        <v>4</v>
      </c>
      <c r="C17" s="9">
        <v>6</v>
      </c>
      <c r="D17" s="9">
        <v>4</v>
      </c>
      <c r="E17" s="9">
        <v>4</v>
      </c>
      <c r="F17" s="9">
        <v>4</v>
      </c>
      <c r="G17" s="9">
        <v>4</v>
      </c>
      <c r="H17" s="9"/>
      <c r="I17" s="9">
        <v>5</v>
      </c>
      <c r="J17" s="9">
        <v>5</v>
      </c>
    </row>
    <row r="18" spans="2:10">
      <c r="B18" s="9">
        <v>5</v>
      </c>
      <c r="C18" s="9">
        <v>14</v>
      </c>
      <c r="D18" s="9">
        <v>5</v>
      </c>
      <c r="E18" s="9">
        <v>4</v>
      </c>
      <c r="F18" s="9">
        <v>5</v>
      </c>
      <c r="G18" s="9">
        <v>5</v>
      </c>
      <c r="H18" s="9"/>
      <c r="I18" s="9">
        <v>5</v>
      </c>
      <c r="J18" s="9">
        <v>5</v>
      </c>
    </row>
    <row r="19" spans="2:10">
      <c r="B19" s="9">
        <v>5</v>
      </c>
      <c r="C19" s="9">
        <v>6</v>
      </c>
      <c r="D19" s="9">
        <v>5</v>
      </c>
      <c r="E19" s="9">
        <v>8</v>
      </c>
      <c r="F19" s="9">
        <v>5</v>
      </c>
      <c r="G19" s="9">
        <v>6</v>
      </c>
      <c r="H19" s="9"/>
      <c r="I19" s="9">
        <v>5</v>
      </c>
      <c r="J19" s="9">
        <v>5</v>
      </c>
    </row>
    <row r="20" spans="2:10">
      <c r="B20" s="9">
        <v>5</v>
      </c>
      <c r="C20" s="9">
        <v>13</v>
      </c>
      <c r="D20" s="9">
        <v>5</v>
      </c>
      <c r="E20" s="9">
        <v>12</v>
      </c>
      <c r="F20" s="9">
        <v>6</v>
      </c>
      <c r="G20" s="9">
        <v>8</v>
      </c>
      <c r="H20" s="9"/>
      <c r="I20" s="9">
        <v>5</v>
      </c>
      <c r="J20" s="9">
        <v>5</v>
      </c>
    </row>
    <row r="21" spans="2:10">
      <c r="B21" s="9">
        <v>6</v>
      </c>
      <c r="C21" s="9"/>
      <c r="D21" s="9">
        <v>5</v>
      </c>
      <c r="E21" s="9">
        <v>17</v>
      </c>
      <c r="F21" s="9">
        <v>11</v>
      </c>
      <c r="G21" s="9">
        <v>8</v>
      </c>
      <c r="H21" s="9"/>
      <c r="I21" s="9">
        <v>5</v>
      </c>
      <c r="J21" s="9">
        <v>5</v>
      </c>
    </row>
    <row r="22" spans="2:10">
      <c r="B22" s="9">
        <v>7</v>
      </c>
      <c r="C22" s="9"/>
      <c r="D22" s="9">
        <v>5</v>
      </c>
      <c r="E22" s="9"/>
      <c r="F22" s="9">
        <v>12</v>
      </c>
      <c r="G22" s="9">
        <v>12</v>
      </c>
      <c r="H22" s="9"/>
      <c r="I22" s="9">
        <v>5</v>
      </c>
      <c r="J22" s="9">
        <v>5</v>
      </c>
    </row>
    <row r="23" spans="2:10">
      <c r="B23" s="9">
        <v>9</v>
      </c>
      <c r="C23" s="9"/>
      <c r="D23" s="9">
        <v>5</v>
      </c>
      <c r="E23" s="9"/>
      <c r="F23" s="9"/>
      <c r="G23" s="9"/>
      <c r="H23" s="9"/>
      <c r="I23" s="9">
        <v>5</v>
      </c>
      <c r="J23" s="9">
        <v>5</v>
      </c>
    </row>
    <row r="24" spans="2:10">
      <c r="B24" s="9"/>
      <c r="C24" s="9"/>
      <c r="D24" s="9">
        <v>5</v>
      </c>
      <c r="E24" s="9"/>
      <c r="F24" s="9"/>
      <c r="G24" s="9"/>
      <c r="H24" s="9"/>
      <c r="I24" s="9"/>
      <c r="J24" s="9">
        <v>5</v>
      </c>
    </row>
    <row r="25" spans="2:10">
      <c r="B25" s="9"/>
      <c r="C25" s="9"/>
      <c r="D25" s="9"/>
      <c r="E25" s="9"/>
      <c r="F25" s="9"/>
      <c r="G25" s="9"/>
      <c r="H25" s="9"/>
      <c r="I25" s="9"/>
      <c r="J25" s="9">
        <v>10</v>
      </c>
    </row>
    <row r="26" spans="2:10">
      <c r="B26" s="9"/>
      <c r="C26" s="9"/>
      <c r="D26" s="9"/>
      <c r="E26" s="9"/>
      <c r="F26" s="9"/>
      <c r="G26" s="9"/>
      <c r="H26" s="9"/>
      <c r="I26" s="9"/>
      <c r="J26" s="9">
        <v>10</v>
      </c>
    </row>
    <row r="27" spans="2:10">
      <c r="B27" s="64"/>
      <c r="C27" s="64"/>
      <c r="D27" s="64"/>
      <c r="E27" s="64"/>
      <c r="F27" s="64"/>
      <c r="G27" s="64"/>
      <c r="H27" s="64"/>
      <c r="I27" s="64"/>
      <c r="J27" s="64"/>
    </row>
    <row r="28" spans="2:10">
      <c r="B28" s="64"/>
      <c r="C28" s="64"/>
      <c r="D28" s="64"/>
      <c r="E28" s="64"/>
      <c r="F28" s="64"/>
      <c r="G28" s="64"/>
      <c r="H28" s="64"/>
      <c r="I28" s="64"/>
      <c r="J28" s="64"/>
    </row>
    <row r="29" spans="2:10">
      <c r="B29" s="64"/>
      <c r="C29" s="64"/>
      <c r="D29" s="64"/>
      <c r="E29" s="64"/>
      <c r="F29" s="64"/>
      <c r="G29" s="64"/>
      <c r="H29" s="64"/>
      <c r="I29" s="64"/>
      <c r="J29" s="64"/>
    </row>
  </sheetData>
  <phoneticPr fontId="9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K974"/>
  <sheetViews>
    <sheetView topLeftCell="A375" zoomScaleNormal="100" workbookViewId="0">
      <selection activeCell="E496" sqref="E496"/>
    </sheetView>
  </sheetViews>
  <sheetFormatPr defaultColWidth="8.81640625" defaultRowHeight="12.5"/>
  <cols>
    <col min="1" max="1" width="8.81640625" style="43"/>
    <col min="2" max="2" width="12.453125" style="26" customWidth="1"/>
    <col min="3" max="3" width="37" style="43" bestFit="1" customWidth="1"/>
    <col min="4" max="4" width="13.54296875" style="43" customWidth="1"/>
    <col min="5" max="5" width="84.26953125" style="43" bestFit="1" customWidth="1"/>
    <col min="6" max="6" width="8.81640625" style="43"/>
    <col min="7" max="7" width="11.81640625" style="43" customWidth="1"/>
    <col min="8" max="10" width="8.81640625" style="43"/>
    <col min="11" max="11" width="8.81640625" style="26"/>
    <col min="12" max="16384" width="8.81640625" style="43"/>
  </cols>
  <sheetData>
    <row r="3" spans="2:10">
      <c r="B3" s="81" t="s">
        <v>119</v>
      </c>
      <c r="C3" s="57"/>
    </row>
    <row r="5" spans="2:10">
      <c r="B5" s="82" t="s">
        <v>120</v>
      </c>
      <c r="C5" s="17"/>
      <c r="D5" s="17"/>
      <c r="E5" s="18"/>
      <c r="F5" s="18"/>
      <c r="G5" s="18"/>
      <c r="H5" s="18"/>
      <c r="I5" s="18"/>
      <c r="J5" s="18"/>
    </row>
    <row r="6" spans="2:10" ht="13">
      <c r="B6" s="83" t="s">
        <v>121</v>
      </c>
      <c r="C6" s="19"/>
      <c r="D6" s="18"/>
      <c r="E6" s="18"/>
      <c r="F6" s="18"/>
      <c r="G6" s="18"/>
      <c r="H6" s="18"/>
      <c r="I6" s="18"/>
      <c r="J6" s="18"/>
    </row>
    <row r="7" spans="2:10" ht="13">
      <c r="B7" s="84" t="s">
        <v>122</v>
      </c>
      <c r="C7" s="20" t="s">
        <v>19</v>
      </c>
      <c r="D7" s="12" t="s">
        <v>123</v>
      </c>
      <c r="E7" s="12" t="s">
        <v>124</v>
      </c>
      <c r="F7" s="13" t="s">
        <v>125</v>
      </c>
      <c r="G7" s="13" t="s">
        <v>21</v>
      </c>
      <c r="H7" s="13" t="s">
        <v>126</v>
      </c>
      <c r="I7" s="13" t="s">
        <v>127</v>
      </c>
      <c r="J7" s="13" t="s">
        <v>128</v>
      </c>
    </row>
    <row r="8" spans="2:10" ht="38" thickBot="1">
      <c r="B8" s="85" t="s">
        <v>129</v>
      </c>
      <c r="C8" s="15" t="s">
        <v>130</v>
      </c>
      <c r="D8" s="14" t="s">
        <v>131</v>
      </c>
      <c r="E8" s="14" t="s">
        <v>132</v>
      </c>
      <c r="F8" s="14" t="s">
        <v>125</v>
      </c>
      <c r="G8" s="14" t="s">
        <v>133</v>
      </c>
      <c r="H8" s="14" t="s">
        <v>134</v>
      </c>
      <c r="I8" s="14" t="s">
        <v>135</v>
      </c>
      <c r="J8" s="14" t="s">
        <v>136</v>
      </c>
    </row>
    <row r="9" spans="2:10" s="26" customFormat="1">
      <c r="B9" s="16" t="s">
        <v>137</v>
      </c>
      <c r="C9" s="21" t="s">
        <v>138</v>
      </c>
      <c r="D9" s="21" t="s">
        <v>174</v>
      </c>
      <c r="E9" s="21" t="s">
        <v>175</v>
      </c>
      <c r="F9" s="21" t="s">
        <v>167</v>
      </c>
      <c r="G9" s="21"/>
      <c r="H9" s="21"/>
      <c r="I9" s="21"/>
      <c r="J9" s="21"/>
    </row>
    <row r="10" spans="2:10" s="26" customFormat="1">
      <c r="B10" s="16" t="s">
        <v>137</v>
      </c>
      <c r="C10" s="21" t="s">
        <v>138</v>
      </c>
      <c r="D10" s="21" t="s">
        <v>186</v>
      </c>
      <c r="E10" s="21" t="s">
        <v>187</v>
      </c>
      <c r="F10" s="21" t="s">
        <v>141</v>
      </c>
      <c r="G10" s="21"/>
      <c r="H10" s="21"/>
      <c r="I10" s="21"/>
      <c r="J10" s="21"/>
    </row>
    <row r="11" spans="2:10" s="26" customFormat="1">
      <c r="B11" s="16" t="s">
        <v>137</v>
      </c>
      <c r="C11" s="26" t="s">
        <v>170</v>
      </c>
      <c r="D11" s="30" t="s">
        <v>1216</v>
      </c>
      <c r="E11" s="29" t="s">
        <v>1217</v>
      </c>
      <c r="F11" s="26" t="s">
        <v>141</v>
      </c>
      <c r="G11" s="46"/>
      <c r="H11" s="21"/>
    </row>
    <row r="12" spans="2:10" s="26" customFormat="1">
      <c r="B12" s="16" t="s">
        <v>137</v>
      </c>
      <c r="C12" s="26" t="s">
        <v>170</v>
      </c>
      <c r="D12" s="30" t="s">
        <v>1272</v>
      </c>
      <c r="E12" s="29" t="s">
        <v>1273</v>
      </c>
      <c r="F12" s="26" t="s">
        <v>141</v>
      </c>
      <c r="H12" s="21"/>
    </row>
    <row r="13" spans="2:10" s="26" customFormat="1">
      <c r="B13" s="16" t="s">
        <v>137</v>
      </c>
      <c r="C13" s="26" t="s">
        <v>170</v>
      </c>
      <c r="D13" s="30" t="s">
        <v>1244</v>
      </c>
      <c r="E13" s="29" t="s">
        <v>1245</v>
      </c>
      <c r="F13" s="26" t="s">
        <v>141</v>
      </c>
      <c r="H13" s="21"/>
    </row>
    <row r="14" spans="2:10" s="26" customFormat="1">
      <c r="B14" s="16" t="s">
        <v>137</v>
      </c>
      <c r="C14" s="26" t="s">
        <v>138</v>
      </c>
      <c r="D14" s="26" t="s">
        <v>1149</v>
      </c>
      <c r="E14" s="26" t="s">
        <v>1150</v>
      </c>
      <c r="F14" s="26" t="s">
        <v>141</v>
      </c>
      <c r="H14" s="21"/>
    </row>
    <row r="15" spans="2:10" s="26" customFormat="1">
      <c r="B15" s="16" t="s">
        <v>137</v>
      </c>
      <c r="C15" s="26" t="s">
        <v>138</v>
      </c>
      <c r="D15" s="26" t="s">
        <v>1175</v>
      </c>
      <c r="E15" s="26" t="s">
        <v>1176</v>
      </c>
      <c r="F15" s="26" t="s">
        <v>141</v>
      </c>
      <c r="H15" s="21"/>
    </row>
    <row r="16" spans="2:10" s="26" customFormat="1" ht="13">
      <c r="B16" s="16" t="s">
        <v>137</v>
      </c>
      <c r="C16" s="26" t="s">
        <v>994</v>
      </c>
      <c r="D16" s="29" t="s">
        <v>1019</v>
      </c>
      <c r="E16" s="26" t="s">
        <v>1020</v>
      </c>
      <c r="F16" s="26" t="s">
        <v>141</v>
      </c>
      <c r="G16" s="45"/>
      <c r="H16" s="21"/>
    </row>
    <row r="17" spans="2:10" s="26" customFormat="1" ht="13">
      <c r="B17" s="16" t="s">
        <v>137</v>
      </c>
      <c r="C17" s="26" t="s">
        <v>917</v>
      </c>
      <c r="D17" s="29" t="s">
        <v>1045</v>
      </c>
      <c r="E17" s="26" t="s">
        <v>1046</v>
      </c>
      <c r="F17" s="26" t="s">
        <v>141</v>
      </c>
      <c r="G17" s="45"/>
      <c r="H17" s="21"/>
    </row>
    <row r="18" spans="2:10" s="26" customFormat="1">
      <c r="B18" s="16" t="s">
        <v>137</v>
      </c>
      <c r="C18" s="26" t="s">
        <v>920</v>
      </c>
      <c r="D18" s="40" t="s">
        <v>1071</v>
      </c>
      <c r="E18" s="53" t="s">
        <v>1072</v>
      </c>
      <c r="F18" s="26" t="s">
        <v>141</v>
      </c>
      <c r="H18" s="21"/>
    </row>
    <row r="19" spans="2:10" s="26" customFormat="1">
      <c r="B19" s="16" t="s">
        <v>137</v>
      </c>
      <c r="C19" s="26" t="s">
        <v>469</v>
      </c>
      <c r="D19" s="29" t="s">
        <v>1097</v>
      </c>
      <c r="E19" s="26" t="s">
        <v>1098</v>
      </c>
      <c r="F19" s="26" t="s">
        <v>141</v>
      </c>
      <c r="H19" s="21"/>
    </row>
    <row r="20" spans="2:10" s="26" customFormat="1">
      <c r="B20" s="16" t="s">
        <v>137</v>
      </c>
      <c r="C20" s="26" t="s">
        <v>423</v>
      </c>
      <c r="D20" s="29" t="s">
        <v>1123</v>
      </c>
      <c r="E20" s="26" t="s">
        <v>1124</v>
      </c>
      <c r="F20" s="26" t="s">
        <v>141</v>
      </c>
      <c r="H20" s="21"/>
    </row>
    <row r="21" spans="2:10" s="26" customFormat="1" ht="13">
      <c r="B21" s="16" t="s">
        <v>137</v>
      </c>
      <c r="C21" s="26" t="s">
        <v>170</v>
      </c>
      <c r="D21" s="30" t="s">
        <v>991</v>
      </c>
      <c r="E21" s="29" t="s">
        <v>1506</v>
      </c>
      <c r="F21" s="26" t="s">
        <v>141</v>
      </c>
      <c r="G21" s="45"/>
      <c r="H21" s="21"/>
    </row>
    <row r="22" spans="2:10" s="26" customFormat="1">
      <c r="B22" s="16" t="s">
        <v>137</v>
      </c>
      <c r="C22" s="26" t="s">
        <v>138</v>
      </c>
      <c r="D22" s="26" t="s">
        <v>310</v>
      </c>
      <c r="E22" s="26" t="s">
        <v>311</v>
      </c>
      <c r="F22" s="26" t="s">
        <v>167</v>
      </c>
      <c r="H22" s="21"/>
    </row>
    <row r="23" spans="2:10" s="26" customFormat="1">
      <c r="B23" s="16" t="s">
        <v>137</v>
      </c>
      <c r="C23" s="26" t="s">
        <v>138</v>
      </c>
      <c r="D23" s="26" t="s">
        <v>348</v>
      </c>
      <c r="E23" s="26" t="s">
        <v>349</v>
      </c>
      <c r="F23" s="26" t="s">
        <v>167</v>
      </c>
      <c r="H23" s="21"/>
    </row>
    <row r="24" spans="2:10" s="26" customFormat="1">
      <c r="B24" s="16" t="s">
        <v>137</v>
      </c>
      <c r="C24" s="26" t="s">
        <v>138</v>
      </c>
      <c r="D24" s="26" t="s">
        <v>328</v>
      </c>
      <c r="E24" s="26" t="s">
        <v>329</v>
      </c>
      <c r="F24" s="26" t="s">
        <v>167</v>
      </c>
      <c r="H24" s="21"/>
    </row>
    <row r="25" spans="2:10" s="26" customFormat="1">
      <c r="B25" s="16" t="s">
        <v>137</v>
      </c>
      <c r="C25" s="26" t="s">
        <v>170</v>
      </c>
      <c r="D25" s="26" t="s">
        <v>304</v>
      </c>
      <c r="E25" s="26" t="s">
        <v>305</v>
      </c>
      <c r="F25" s="26" t="s">
        <v>167</v>
      </c>
      <c r="H25" s="21"/>
    </row>
    <row r="26" spans="2:10" s="26" customFormat="1">
      <c r="B26" s="16" t="s">
        <v>137</v>
      </c>
      <c r="C26" s="26" t="s">
        <v>170</v>
      </c>
      <c r="D26" s="26" t="s">
        <v>344</v>
      </c>
      <c r="E26" s="26" t="s">
        <v>345</v>
      </c>
      <c r="F26" s="26" t="s">
        <v>167</v>
      </c>
      <c r="H26" s="21"/>
    </row>
    <row r="27" spans="2:10" s="26" customFormat="1">
      <c r="B27" s="16" t="s">
        <v>137</v>
      </c>
      <c r="C27" s="26" t="s">
        <v>170</v>
      </c>
      <c r="D27" s="26" t="s">
        <v>324</v>
      </c>
      <c r="E27" s="26" t="s">
        <v>325</v>
      </c>
      <c r="F27" s="26" t="s">
        <v>167</v>
      </c>
      <c r="H27" s="21"/>
    </row>
    <row r="28" spans="2:10" s="26" customFormat="1">
      <c r="B28" s="16" t="s">
        <v>137</v>
      </c>
      <c r="C28" s="21" t="s">
        <v>138</v>
      </c>
      <c r="D28" s="21" t="s">
        <v>246</v>
      </c>
      <c r="E28" s="21" t="s">
        <v>247</v>
      </c>
      <c r="F28" s="35" t="s">
        <v>141</v>
      </c>
      <c r="G28" s="21"/>
      <c r="H28" s="21"/>
      <c r="I28" s="21"/>
      <c r="J28" s="21"/>
    </row>
    <row r="29" spans="2:10" s="26" customFormat="1">
      <c r="B29" s="16" t="s">
        <v>137</v>
      </c>
      <c r="C29" s="21" t="s">
        <v>138</v>
      </c>
      <c r="D29" s="21" t="s">
        <v>248</v>
      </c>
      <c r="E29" s="21" t="s">
        <v>249</v>
      </c>
      <c r="F29" s="35" t="s">
        <v>141</v>
      </c>
      <c r="G29" s="21"/>
      <c r="H29" s="21"/>
      <c r="I29" s="21"/>
      <c r="J29" s="21"/>
    </row>
    <row r="30" spans="2:10" s="26" customFormat="1">
      <c r="B30" s="16" t="s">
        <v>137</v>
      </c>
      <c r="C30" s="21" t="s">
        <v>138</v>
      </c>
      <c r="D30" s="21" t="s">
        <v>283</v>
      </c>
      <c r="E30" s="21" t="s">
        <v>284</v>
      </c>
      <c r="F30" s="21" t="s">
        <v>141</v>
      </c>
      <c r="G30" s="21"/>
      <c r="H30" s="21"/>
      <c r="I30" s="21"/>
      <c r="J30" s="21"/>
    </row>
    <row r="31" spans="2:10" s="26" customFormat="1">
      <c r="B31" s="16" t="s">
        <v>137</v>
      </c>
      <c r="C31" s="21" t="s">
        <v>138</v>
      </c>
      <c r="D31" s="21" t="s">
        <v>281</v>
      </c>
      <c r="E31" s="21" t="s">
        <v>282</v>
      </c>
      <c r="F31" s="21" t="s">
        <v>141</v>
      </c>
      <c r="G31" s="21"/>
      <c r="H31" s="21"/>
      <c r="I31" s="21"/>
      <c r="J31" s="21"/>
    </row>
    <row r="32" spans="2:10" s="26" customFormat="1">
      <c r="B32" s="16" t="s">
        <v>137</v>
      </c>
      <c r="C32" s="26" t="s">
        <v>138</v>
      </c>
      <c r="D32" s="26" t="s">
        <v>316</v>
      </c>
      <c r="E32" s="26" t="s">
        <v>317</v>
      </c>
      <c r="F32" s="26" t="s">
        <v>167</v>
      </c>
      <c r="H32" s="21"/>
    </row>
    <row r="33" spans="2:10" s="26" customFormat="1">
      <c r="B33" s="16" t="s">
        <v>137</v>
      </c>
      <c r="C33" s="26" t="s">
        <v>138</v>
      </c>
      <c r="D33" s="26" t="s">
        <v>354</v>
      </c>
      <c r="E33" s="26" t="s">
        <v>355</v>
      </c>
      <c r="F33" s="26" t="s">
        <v>167</v>
      </c>
      <c r="H33" s="21"/>
    </row>
    <row r="34" spans="2:10" s="26" customFormat="1">
      <c r="B34" s="16" t="s">
        <v>137</v>
      </c>
      <c r="C34" s="26" t="s">
        <v>138</v>
      </c>
      <c r="D34" s="26" t="s">
        <v>334</v>
      </c>
      <c r="E34" s="26" t="s">
        <v>335</v>
      </c>
      <c r="F34" s="26" t="s">
        <v>167</v>
      </c>
      <c r="H34" s="21"/>
    </row>
    <row r="35" spans="2:10" s="26" customFormat="1">
      <c r="B35" s="16" t="s">
        <v>137</v>
      </c>
      <c r="C35" s="26" t="s">
        <v>138</v>
      </c>
      <c r="D35" s="26" t="s">
        <v>312</v>
      </c>
      <c r="E35" s="26" t="s">
        <v>313</v>
      </c>
      <c r="F35" s="26" t="s">
        <v>167</v>
      </c>
      <c r="H35" s="21"/>
    </row>
    <row r="36" spans="2:10" s="26" customFormat="1">
      <c r="B36" s="16" t="s">
        <v>137</v>
      </c>
      <c r="C36" s="26" t="s">
        <v>138</v>
      </c>
      <c r="D36" s="26" t="s">
        <v>350</v>
      </c>
      <c r="E36" s="26" t="s">
        <v>351</v>
      </c>
      <c r="F36" s="26" t="s">
        <v>167</v>
      </c>
      <c r="H36" s="21"/>
    </row>
    <row r="37" spans="2:10" s="26" customFormat="1">
      <c r="B37" s="16" t="s">
        <v>137</v>
      </c>
      <c r="C37" s="26" t="s">
        <v>138</v>
      </c>
      <c r="D37" s="26" t="s">
        <v>330</v>
      </c>
      <c r="E37" s="26" t="s">
        <v>331</v>
      </c>
      <c r="F37" s="26" t="s">
        <v>167</v>
      </c>
      <c r="H37" s="21"/>
    </row>
    <row r="38" spans="2:10" s="26" customFormat="1">
      <c r="B38" s="16" t="s">
        <v>137</v>
      </c>
      <c r="C38" s="26" t="s">
        <v>138</v>
      </c>
      <c r="D38" s="26" t="s">
        <v>314</v>
      </c>
      <c r="E38" s="26" t="s">
        <v>315</v>
      </c>
      <c r="F38" s="26" t="s">
        <v>167</v>
      </c>
      <c r="H38" s="21"/>
    </row>
    <row r="39" spans="2:10" s="26" customFormat="1">
      <c r="B39" s="16" t="s">
        <v>137</v>
      </c>
      <c r="C39" s="26" t="s">
        <v>138</v>
      </c>
      <c r="D39" s="26" t="s">
        <v>352</v>
      </c>
      <c r="E39" s="26" t="s">
        <v>353</v>
      </c>
      <c r="F39" s="26" t="s">
        <v>167</v>
      </c>
      <c r="H39" s="21"/>
    </row>
    <row r="40" spans="2:10" s="26" customFormat="1">
      <c r="B40" s="16" t="s">
        <v>137</v>
      </c>
      <c r="C40" s="26" t="s">
        <v>138</v>
      </c>
      <c r="D40" s="26" t="s">
        <v>332</v>
      </c>
      <c r="E40" s="26" t="s">
        <v>333</v>
      </c>
      <c r="F40" s="26" t="s">
        <v>167</v>
      </c>
      <c r="H40" s="21"/>
    </row>
    <row r="41" spans="2:10" s="26" customFormat="1">
      <c r="B41" s="16" t="s">
        <v>137</v>
      </c>
      <c r="C41" s="26" t="s">
        <v>138</v>
      </c>
      <c r="D41" s="26" t="s">
        <v>318</v>
      </c>
      <c r="E41" s="26" t="s">
        <v>319</v>
      </c>
      <c r="F41" s="26" t="s">
        <v>167</v>
      </c>
      <c r="H41" s="21"/>
    </row>
    <row r="42" spans="2:10" s="26" customFormat="1">
      <c r="B42" s="16" t="s">
        <v>137</v>
      </c>
      <c r="C42" s="26" t="s">
        <v>138</v>
      </c>
      <c r="D42" s="26" t="s">
        <v>356</v>
      </c>
      <c r="E42" s="26" t="s">
        <v>357</v>
      </c>
      <c r="F42" s="26" t="s">
        <v>167</v>
      </c>
      <c r="H42" s="21"/>
    </row>
    <row r="43" spans="2:10" s="26" customFormat="1">
      <c r="B43" s="16" t="s">
        <v>137</v>
      </c>
      <c r="C43" s="26" t="s">
        <v>138</v>
      </c>
      <c r="D43" s="26" t="s">
        <v>336</v>
      </c>
      <c r="E43" s="26" t="s">
        <v>337</v>
      </c>
      <c r="F43" s="26" t="s">
        <v>167</v>
      </c>
      <c r="H43" s="21"/>
    </row>
    <row r="44" spans="2:10" s="26" customFormat="1">
      <c r="B44" s="16" t="s">
        <v>137</v>
      </c>
      <c r="C44" s="26" t="s">
        <v>138</v>
      </c>
      <c r="D44" s="26" t="s">
        <v>831</v>
      </c>
      <c r="E44" s="26" t="s">
        <v>832</v>
      </c>
      <c r="F44" s="26" t="s">
        <v>167</v>
      </c>
      <c r="G44" s="25"/>
      <c r="H44" s="21"/>
      <c r="I44" s="25"/>
      <c r="J44" s="25"/>
    </row>
    <row r="45" spans="2:10" s="26" customFormat="1" ht="13">
      <c r="B45" s="16" t="s">
        <v>137</v>
      </c>
      <c r="C45" s="26" t="s">
        <v>138</v>
      </c>
      <c r="D45" s="26" t="s">
        <v>833</v>
      </c>
      <c r="E45" s="26" t="s">
        <v>834</v>
      </c>
      <c r="F45" s="26" t="s">
        <v>167</v>
      </c>
      <c r="G45" s="45"/>
      <c r="H45" s="21"/>
    </row>
    <row r="46" spans="2:10" s="26" customFormat="1">
      <c r="B46" s="16" t="s">
        <v>137</v>
      </c>
      <c r="C46" s="26" t="s">
        <v>138</v>
      </c>
      <c r="D46" s="26" t="s">
        <v>320</v>
      </c>
      <c r="E46" s="26" t="s">
        <v>321</v>
      </c>
      <c r="F46" s="26" t="s">
        <v>167</v>
      </c>
      <c r="H46" s="21"/>
    </row>
    <row r="47" spans="2:10" s="26" customFormat="1">
      <c r="B47" s="16" t="s">
        <v>137</v>
      </c>
      <c r="C47" s="26" t="s">
        <v>138</v>
      </c>
      <c r="D47" s="26" t="s">
        <v>338</v>
      </c>
      <c r="E47" s="26" t="s">
        <v>339</v>
      </c>
      <c r="F47" s="26" t="s">
        <v>167</v>
      </c>
      <c r="H47" s="21"/>
    </row>
    <row r="48" spans="2:10" s="26" customFormat="1">
      <c r="B48" s="16" t="s">
        <v>137</v>
      </c>
      <c r="C48" s="26" t="s">
        <v>170</v>
      </c>
      <c r="D48" s="26" t="s">
        <v>308</v>
      </c>
      <c r="E48" s="26" t="s">
        <v>309</v>
      </c>
      <c r="F48" s="26" t="s">
        <v>167</v>
      </c>
      <c r="H48" s="21"/>
    </row>
    <row r="49" spans="2:10" s="26" customFormat="1">
      <c r="B49" s="16" t="s">
        <v>137</v>
      </c>
      <c r="C49" s="26" t="s">
        <v>170</v>
      </c>
      <c r="D49" s="26" t="s">
        <v>346</v>
      </c>
      <c r="E49" s="26" t="s">
        <v>347</v>
      </c>
      <c r="F49" s="26" t="s">
        <v>167</v>
      </c>
      <c r="H49" s="21"/>
    </row>
    <row r="50" spans="2:10" s="26" customFormat="1">
      <c r="B50" s="16" t="s">
        <v>137</v>
      </c>
      <c r="C50" s="26" t="s">
        <v>170</v>
      </c>
      <c r="D50" s="26" t="s">
        <v>326</v>
      </c>
      <c r="E50" s="26" t="s">
        <v>327</v>
      </c>
      <c r="F50" s="26" t="s">
        <v>167</v>
      </c>
      <c r="H50" s="21"/>
    </row>
    <row r="51" spans="2:10" s="26" customFormat="1" ht="13">
      <c r="B51" s="16" t="s">
        <v>137</v>
      </c>
      <c r="C51" s="70" t="s">
        <v>170</v>
      </c>
      <c r="D51" s="26" t="s">
        <v>306</v>
      </c>
      <c r="E51" s="26" t="s">
        <v>307</v>
      </c>
      <c r="F51" s="26" t="s">
        <v>167</v>
      </c>
      <c r="H51" s="21"/>
    </row>
    <row r="52" spans="2:10" s="26" customFormat="1" ht="13">
      <c r="B52" s="16" t="s">
        <v>137</v>
      </c>
      <c r="C52" s="70" t="s">
        <v>170</v>
      </c>
      <c r="D52" s="21" t="s">
        <v>168</v>
      </c>
      <c r="E52" s="21" t="s">
        <v>169</v>
      </c>
      <c r="F52" s="21" t="s">
        <v>167</v>
      </c>
      <c r="G52" s="21"/>
      <c r="H52" s="21"/>
      <c r="I52" s="21"/>
      <c r="J52" s="21"/>
    </row>
    <row r="53" spans="2:10" s="26" customFormat="1">
      <c r="B53" s="16" t="s">
        <v>137</v>
      </c>
      <c r="C53" s="26" t="s">
        <v>138</v>
      </c>
      <c r="D53" s="47" t="s">
        <v>342</v>
      </c>
      <c r="E53" s="47" t="s">
        <v>343</v>
      </c>
      <c r="F53" s="26" t="s">
        <v>167</v>
      </c>
      <c r="H53" s="21"/>
    </row>
    <row r="54" spans="2:10" s="26" customFormat="1">
      <c r="B54" s="16" t="s">
        <v>137</v>
      </c>
      <c r="C54" s="26" t="s">
        <v>138</v>
      </c>
      <c r="D54" s="26" t="s">
        <v>322</v>
      </c>
      <c r="E54" s="26" t="s">
        <v>323</v>
      </c>
      <c r="F54" s="26" t="s">
        <v>167</v>
      </c>
      <c r="H54" s="21"/>
    </row>
    <row r="55" spans="2:10" s="26" customFormat="1">
      <c r="B55" s="16" t="s">
        <v>137</v>
      </c>
      <c r="C55" s="26" t="s">
        <v>138</v>
      </c>
      <c r="D55" s="26" t="s">
        <v>358</v>
      </c>
      <c r="E55" s="26" t="s">
        <v>359</v>
      </c>
      <c r="F55" s="26" t="s">
        <v>167</v>
      </c>
      <c r="H55" s="21"/>
    </row>
    <row r="56" spans="2:10" s="26" customFormat="1">
      <c r="B56" s="16" t="s">
        <v>137</v>
      </c>
      <c r="C56" s="26" t="s">
        <v>138</v>
      </c>
      <c r="D56" s="26" t="s">
        <v>340</v>
      </c>
      <c r="E56" s="26" t="s">
        <v>341</v>
      </c>
      <c r="F56" s="26" t="s">
        <v>167</v>
      </c>
      <c r="H56" s="21"/>
    </row>
    <row r="57" spans="2:10" s="26" customFormat="1">
      <c r="B57" s="16" t="s">
        <v>137</v>
      </c>
      <c r="C57" s="26" t="s">
        <v>369</v>
      </c>
      <c r="D57" s="26" t="s">
        <v>370</v>
      </c>
      <c r="E57" s="26" t="s">
        <v>371</v>
      </c>
      <c r="F57" s="25" t="s">
        <v>141</v>
      </c>
      <c r="G57" s="25"/>
      <c r="H57" s="21"/>
      <c r="I57" s="25"/>
      <c r="J57" s="25"/>
    </row>
    <row r="58" spans="2:10" s="26" customFormat="1" ht="13">
      <c r="B58" s="16" t="s">
        <v>137</v>
      </c>
      <c r="C58" s="26" t="s">
        <v>369</v>
      </c>
      <c r="D58" s="34" t="s">
        <v>372</v>
      </c>
      <c r="E58" s="26" t="s">
        <v>373</v>
      </c>
      <c r="F58" s="25" t="s">
        <v>141</v>
      </c>
      <c r="G58" s="45"/>
      <c r="H58" s="21"/>
    </row>
    <row r="59" spans="2:10" s="26" customFormat="1" ht="13">
      <c r="B59" s="16" t="s">
        <v>137</v>
      </c>
      <c r="C59" s="26" t="s">
        <v>374</v>
      </c>
      <c r="D59" s="34" t="s">
        <v>375</v>
      </c>
      <c r="E59" s="26" t="s">
        <v>376</v>
      </c>
      <c r="F59" s="25" t="s">
        <v>141</v>
      </c>
      <c r="G59" s="45"/>
      <c r="H59" s="21"/>
    </row>
    <row r="60" spans="2:10" s="26" customFormat="1" ht="13">
      <c r="B60" s="16" t="s">
        <v>137</v>
      </c>
      <c r="C60" s="26" t="s">
        <v>374</v>
      </c>
      <c r="D60" s="34" t="s">
        <v>377</v>
      </c>
      <c r="E60" s="26" t="s">
        <v>378</v>
      </c>
      <c r="F60" s="25" t="s">
        <v>141</v>
      </c>
      <c r="G60" s="45"/>
      <c r="H60" s="21"/>
    </row>
    <row r="61" spans="2:10" s="26" customFormat="1" ht="13">
      <c r="B61" s="16" t="s">
        <v>137</v>
      </c>
      <c r="C61" s="26" t="s">
        <v>379</v>
      </c>
      <c r="D61" s="34" t="s">
        <v>380</v>
      </c>
      <c r="E61" s="26" t="s">
        <v>381</v>
      </c>
      <c r="F61" s="25" t="s">
        <v>141</v>
      </c>
      <c r="G61" s="45"/>
      <c r="H61" s="21"/>
    </row>
    <row r="62" spans="2:10" s="26" customFormat="1" ht="13">
      <c r="B62" s="16" t="s">
        <v>137</v>
      </c>
      <c r="C62" s="26" t="s">
        <v>382</v>
      </c>
      <c r="D62" s="34" t="s">
        <v>383</v>
      </c>
      <c r="E62" s="26" t="s">
        <v>384</v>
      </c>
      <c r="F62" s="25" t="s">
        <v>141</v>
      </c>
      <c r="G62" s="45"/>
      <c r="H62" s="21"/>
    </row>
    <row r="63" spans="2:10" s="26" customFormat="1" ht="13">
      <c r="B63" s="16" t="s">
        <v>137</v>
      </c>
      <c r="C63" s="26" t="s">
        <v>385</v>
      </c>
      <c r="D63" s="26" t="s">
        <v>386</v>
      </c>
      <c r="E63" s="26" t="s">
        <v>387</v>
      </c>
      <c r="F63" s="25" t="s">
        <v>141</v>
      </c>
      <c r="G63" s="45"/>
      <c r="H63" s="21"/>
    </row>
    <row r="64" spans="2:10" s="26" customFormat="1">
      <c r="B64" s="16" t="s">
        <v>137</v>
      </c>
      <c r="C64" s="26" t="s">
        <v>385</v>
      </c>
      <c r="D64" s="26" t="s">
        <v>388</v>
      </c>
      <c r="E64" s="26" t="s">
        <v>389</v>
      </c>
      <c r="F64" s="25" t="s">
        <v>141</v>
      </c>
      <c r="H64" s="21"/>
    </row>
    <row r="65" spans="2:10" s="26" customFormat="1">
      <c r="B65" s="16" t="s">
        <v>137</v>
      </c>
      <c r="C65" s="26" t="s">
        <v>390</v>
      </c>
      <c r="D65" s="26" t="s">
        <v>391</v>
      </c>
      <c r="E65" s="26" t="s">
        <v>392</v>
      </c>
      <c r="F65" s="25" t="s">
        <v>141</v>
      </c>
      <c r="H65" s="21"/>
    </row>
    <row r="66" spans="2:10" s="26" customFormat="1">
      <c r="B66" s="16" t="s">
        <v>137</v>
      </c>
      <c r="C66" s="26" t="s">
        <v>390</v>
      </c>
      <c r="D66" s="26" t="s">
        <v>393</v>
      </c>
      <c r="E66" s="26" t="s">
        <v>394</v>
      </c>
      <c r="F66" s="25" t="s">
        <v>141</v>
      </c>
      <c r="H66" s="21"/>
    </row>
    <row r="67" spans="2:10" s="26" customFormat="1">
      <c r="B67" s="16" t="s">
        <v>137</v>
      </c>
      <c r="C67" s="26" t="s">
        <v>395</v>
      </c>
      <c r="D67" s="26" t="s">
        <v>396</v>
      </c>
      <c r="E67" s="26" t="s">
        <v>397</v>
      </c>
      <c r="F67" s="25" t="s">
        <v>141</v>
      </c>
      <c r="H67" s="21"/>
    </row>
    <row r="68" spans="2:10" s="26" customFormat="1">
      <c r="B68" s="16" t="s">
        <v>137</v>
      </c>
      <c r="C68" s="21" t="s">
        <v>138</v>
      </c>
      <c r="D68" s="21" t="s">
        <v>262</v>
      </c>
      <c r="E68" s="21" t="s">
        <v>263</v>
      </c>
      <c r="F68" s="21" t="s">
        <v>141</v>
      </c>
      <c r="G68" s="21"/>
      <c r="H68" s="21"/>
      <c r="I68" s="21"/>
      <c r="J68" s="21"/>
    </row>
    <row r="69" spans="2:10" s="26" customFormat="1">
      <c r="B69" s="16" t="s">
        <v>137</v>
      </c>
      <c r="C69" s="21" t="s">
        <v>138</v>
      </c>
      <c r="D69" s="21" t="s">
        <v>234</v>
      </c>
      <c r="E69" s="21" t="s">
        <v>235</v>
      </c>
      <c r="F69" s="21" t="s">
        <v>141</v>
      </c>
      <c r="G69" s="21"/>
      <c r="H69" s="21"/>
      <c r="I69" s="21"/>
      <c r="J69" s="21"/>
    </row>
    <row r="70" spans="2:10" s="26" customFormat="1">
      <c r="B70" s="16" t="s">
        <v>137</v>
      </c>
      <c r="C70" s="21" t="s">
        <v>138</v>
      </c>
      <c r="D70" s="21" t="s">
        <v>236</v>
      </c>
      <c r="E70" s="21" t="s">
        <v>237</v>
      </c>
      <c r="F70" s="21" t="s">
        <v>141</v>
      </c>
      <c r="G70" s="21"/>
      <c r="H70" s="21"/>
      <c r="I70" s="21"/>
      <c r="J70" s="21"/>
    </row>
    <row r="71" spans="2:10" s="26" customFormat="1">
      <c r="B71" s="16" t="s">
        <v>137</v>
      </c>
      <c r="C71" s="21" t="s">
        <v>138</v>
      </c>
      <c r="D71" s="21" t="s">
        <v>238</v>
      </c>
      <c r="E71" s="21" t="s">
        <v>239</v>
      </c>
      <c r="F71" s="21" t="s">
        <v>141</v>
      </c>
      <c r="G71" s="21"/>
      <c r="H71" s="21"/>
      <c r="I71" s="21"/>
      <c r="J71" s="21"/>
    </row>
    <row r="72" spans="2:10" s="26" customFormat="1">
      <c r="B72" s="16" t="s">
        <v>137</v>
      </c>
      <c r="C72" s="21" t="s">
        <v>138</v>
      </c>
      <c r="D72" s="21" t="s">
        <v>260</v>
      </c>
      <c r="E72" s="21" t="s">
        <v>261</v>
      </c>
      <c r="F72" s="21" t="s">
        <v>141</v>
      </c>
      <c r="G72" s="21"/>
      <c r="H72" s="21"/>
      <c r="I72" s="21"/>
      <c r="J72" s="21"/>
    </row>
    <row r="73" spans="2:10" s="26" customFormat="1">
      <c r="B73" s="16" t="s">
        <v>137</v>
      </c>
      <c r="C73" s="26" t="s">
        <v>398</v>
      </c>
      <c r="D73" s="26" t="s">
        <v>399</v>
      </c>
      <c r="E73" s="26" t="s">
        <v>400</v>
      </c>
      <c r="F73" s="25" t="s">
        <v>141</v>
      </c>
      <c r="H73" s="21"/>
    </row>
    <row r="74" spans="2:10" s="26" customFormat="1">
      <c r="B74" s="16" t="s">
        <v>137</v>
      </c>
      <c r="C74" s="26" t="s">
        <v>398</v>
      </c>
      <c r="D74" s="26" t="s">
        <v>401</v>
      </c>
      <c r="E74" s="26" t="s">
        <v>402</v>
      </c>
      <c r="F74" s="25" t="s">
        <v>141</v>
      </c>
      <c r="H74" s="21"/>
    </row>
    <row r="75" spans="2:10" s="26" customFormat="1">
      <c r="B75" s="16" t="s">
        <v>137</v>
      </c>
      <c r="C75" s="26" t="s">
        <v>403</v>
      </c>
      <c r="D75" s="26" t="s">
        <v>404</v>
      </c>
      <c r="E75" s="26" t="s">
        <v>405</v>
      </c>
      <c r="F75" s="25" t="s">
        <v>141</v>
      </c>
      <c r="H75" s="21"/>
    </row>
    <row r="76" spans="2:10" s="26" customFormat="1">
      <c r="B76" s="16" t="s">
        <v>137</v>
      </c>
      <c r="C76" s="26" t="s">
        <v>406</v>
      </c>
      <c r="D76" s="26" t="s">
        <v>407</v>
      </c>
      <c r="E76" s="26" t="s">
        <v>408</v>
      </c>
      <c r="F76" s="25" t="s">
        <v>141</v>
      </c>
      <c r="H76" s="21"/>
    </row>
    <row r="77" spans="2:10" s="26" customFormat="1">
      <c r="B77" s="16" t="s">
        <v>137</v>
      </c>
      <c r="C77" s="26" t="s">
        <v>409</v>
      </c>
      <c r="D77" s="26" t="s">
        <v>410</v>
      </c>
      <c r="E77" s="26" t="s">
        <v>411</v>
      </c>
      <c r="F77" s="25" t="s">
        <v>141</v>
      </c>
      <c r="H77" s="21"/>
    </row>
    <row r="78" spans="2:10" s="26" customFormat="1">
      <c r="B78" s="16" t="s">
        <v>137</v>
      </c>
      <c r="C78" s="26" t="s">
        <v>406</v>
      </c>
      <c r="D78" s="26" t="s">
        <v>412</v>
      </c>
      <c r="E78" s="26" t="s">
        <v>413</v>
      </c>
      <c r="F78" s="25" t="s">
        <v>141</v>
      </c>
      <c r="H78" s="21"/>
    </row>
    <row r="79" spans="2:10" s="26" customFormat="1">
      <c r="B79" s="16" t="s">
        <v>137</v>
      </c>
      <c r="C79" s="26" t="s">
        <v>77</v>
      </c>
      <c r="D79" s="26" t="s">
        <v>414</v>
      </c>
      <c r="E79" s="26" t="s">
        <v>415</v>
      </c>
      <c r="F79" s="25" t="s">
        <v>141</v>
      </c>
      <c r="H79" s="21"/>
    </row>
    <row r="80" spans="2:10" s="26" customFormat="1">
      <c r="B80" s="16" t="s">
        <v>137</v>
      </c>
      <c r="C80" s="26" t="s">
        <v>416</v>
      </c>
      <c r="D80" s="26" t="s">
        <v>417</v>
      </c>
      <c r="E80" s="26" t="s">
        <v>418</v>
      </c>
      <c r="F80" s="25" t="s">
        <v>141</v>
      </c>
      <c r="H80" s="21"/>
    </row>
    <row r="81" spans="2:11" s="26" customFormat="1">
      <c r="B81" s="16" t="s">
        <v>137</v>
      </c>
      <c r="C81" s="26" t="s">
        <v>369</v>
      </c>
      <c r="D81" s="26" t="s">
        <v>419</v>
      </c>
      <c r="E81" s="26" t="s">
        <v>420</v>
      </c>
      <c r="F81" s="25" t="s">
        <v>141</v>
      </c>
      <c r="H81" s="21"/>
    </row>
    <row r="82" spans="2:11" s="26" customFormat="1">
      <c r="B82" s="16" t="s">
        <v>137</v>
      </c>
      <c r="C82" s="26" t="s">
        <v>369</v>
      </c>
      <c r="D82" s="26" t="s">
        <v>421</v>
      </c>
      <c r="E82" s="26" t="s">
        <v>422</v>
      </c>
      <c r="F82" s="25" t="s">
        <v>141</v>
      </c>
      <c r="H82" s="21"/>
    </row>
    <row r="83" spans="2:11" s="26" customFormat="1">
      <c r="B83" s="16" t="s">
        <v>137</v>
      </c>
      <c r="C83" s="21" t="s">
        <v>138</v>
      </c>
      <c r="D83" s="21" t="s">
        <v>634</v>
      </c>
      <c r="E83" s="42" t="s">
        <v>635</v>
      </c>
      <c r="F83" s="21" t="s">
        <v>141</v>
      </c>
      <c r="G83" s="21"/>
      <c r="H83" s="21"/>
      <c r="I83" s="21"/>
      <c r="J83" s="21"/>
    </row>
    <row r="84" spans="2:11" s="26" customFormat="1">
      <c r="B84" s="16" t="s">
        <v>137</v>
      </c>
      <c r="C84" s="21" t="s">
        <v>138</v>
      </c>
      <c r="D84" s="21" t="s">
        <v>638</v>
      </c>
      <c r="E84" s="21" t="s">
        <v>639</v>
      </c>
      <c r="F84" s="21" t="s">
        <v>141</v>
      </c>
      <c r="G84" s="21"/>
      <c r="H84" s="21"/>
      <c r="I84" s="21"/>
      <c r="J84" s="21"/>
    </row>
    <row r="85" spans="2:11" s="26" customFormat="1">
      <c r="B85" s="16" t="s">
        <v>137</v>
      </c>
      <c r="C85" s="21" t="s">
        <v>138</v>
      </c>
      <c r="D85" s="21" t="s">
        <v>732</v>
      </c>
      <c r="E85" s="21" t="s">
        <v>733</v>
      </c>
      <c r="F85" s="21" t="s">
        <v>141</v>
      </c>
      <c r="G85" s="21"/>
      <c r="H85" s="21"/>
      <c r="I85" s="21"/>
      <c r="J85" s="21"/>
    </row>
    <row r="86" spans="2:11" s="26" customFormat="1">
      <c r="B86" s="16" t="s">
        <v>137</v>
      </c>
      <c r="C86" s="21" t="s">
        <v>138</v>
      </c>
      <c r="D86" s="21" t="s">
        <v>730</v>
      </c>
      <c r="E86" s="21" t="s">
        <v>731</v>
      </c>
      <c r="F86" s="21" t="s">
        <v>141</v>
      </c>
      <c r="G86" s="21"/>
      <c r="H86" s="21"/>
      <c r="I86" s="21"/>
      <c r="J86" s="21"/>
    </row>
    <row r="87" spans="2:11" s="26" customFormat="1">
      <c r="B87" s="16" t="s">
        <v>137</v>
      </c>
      <c r="C87" s="21" t="s">
        <v>138</v>
      </c>
      <c r="D87" s="21" t="s">
        <v>636</v>
      </c>
      <c r="E87" s="42" t="s">
        <v>637</v>
      </c>
      <c r="F87" s="21" t="s">
        <v>141</v>
      </c>
      <c r="G87" s="21"/>
      <c r="H87" s="21"/>
      <c r="I87" s="21"/>
      <c r="J87" s="21"/>
    </row>
    <row r="88" spans="2:11" s="26" customFormat="1">
      <c r="B88" s="16" t="s">
        <v>137</v>
      </c>
      <c r="C88" s="75" t="s">
        <v>138</v>
      </c>
      <c r="D88" s="75" t="s">
        <v>1528</v>
      </c>
      <c r="E88" s="75" t="s">
        <v>1529</v>
      </c>
      <c r="F88" s="76" t="s">
        <v>141</v>
      </c>
      <c r="G88" s="77"/>
      <c r="H88" s="78"/>
      <c r="I88" s="78"/>
      <c r="J88" s="78"/>
      <c r="K88" s="64"/>
    </row>
    <row r="89" spans="2:11" s="26" customFormat="1">
      <c r="B89" s="16" t="s">
        <v>137</v>
      </c>
      <c r="C89" s="26" t="s">
        <v>369</v>
      </c>
      <c r="D89" s="26" t="s">
        <v>472</v>
      </c>
      <c r="E89" s="26" t="s">
        <v>473</v>
      </c>
      <c r="F89" s="25" t="s">
        <v>141</v>
      </c>
      <c r="H89" s="21"/>
    </row>
    <row r="90" spans="2:11" s="26" customFormat="1">
      <c r="B90" s="16" t="s">
        <v>137</v>
      </c>
      <c r="C90" s="21" t="s">
        <v>138</v>
      </c>
      <c r="D90" s="21" t="s">
        <v>204</v>
      </c>
      <c r="E90" s="21" t="s">
        <v>205</v>
      </c>
      <c r="F90" s="21" t="s">
        <v>141</v>
      </c>
      <c r="G90" s="21"/>
      <c r="H90" s="21"/>
      <c r="I90" s="21"/>
      <c r="J90" s="21"/>
    </row>
    <row r="91" spans="2:11" s="26" customFormat="1">
      <c r="B91" s="16" t="s">
        <v>137</v>
      </c>
      <c r="C91" s="26" t="s">
        <v>138</v>
      </c>
      <c r="D91" s="26" t="s">
        <v>502</v>
      </c>
      <c r="E91" s="26" t="s">
        <v>1477</v>
      </c>
      <c r="F91" s="26" t="s">
        <v>141</v>
      </c>
      <c r="H91" s="21"/>
    </row>
    <row r="92" spans="2:11" s="26" customFormat="1">
      <c r="B92" s="16" t="s">
        <v>137</v>
      </c>
      <c r="C92" s="56" t="s">
        <v>138</v>
      </c>
      <c r="D92" s="37" t="s">
        <v>503</v>
      </c>
      <c r="E92" s="40" t="s">
        <v>1478</v>
      </c>
      <c r="F92" s="54" t="s">
        <v>141</v>
      </c>
      <c r="G92" s="54"/>
      <c r="H92" s="21"/>
      <c r="I92" s="54"/>
      <c r="J92" s="54"/>
      <c r="K92" s="56"/>
    </row>
    <row r="93" spans="2:11" s="26" customFormat="1">
      <c r="B93" s="16" t="s">
        <v>137</v>
      </c>
      <c r="C93" s="26" t="s">
        <v>138</v>
      </c>
      <c r="D93" s="26" t="s">
        <v>504</v>
      </c>
      <c r="E93" s="26" t="s">
        <v>1479</v>
      </c>
      <c r="F93" s="26" t="s">
        <v>141</v>
      </c>
      <c r="H93" s="21"/>
    </row>
    <row r="94" spans="2:11" s="26" customFormat="1">
      <c r="B94" s="16" t="s">
        <v>137</v>
      </c>
      <c r="C94" s="56" t="s">
        <v>138</v>
      </c>
      <c r="D94" s="37" t="s">
        <v>505</v>
      </c>
      <c r="E94" s="40" t="s">
        <v>1480</v>
      </c>
      <c r="F94" s="54" t="s">
        <v>141</v>
      </c>
      <c r="G94" s="54"/>
      <c r="H94" s="21"/>
      <c r="I94" s="54"/>
      <c r="J94" s="54"/>
      <c r="K94" s="56"/>
    </row>
    <row r="95" spans="2:11" s="26" customFormat="1">
      <c r="B95" s="16" t="s">
        <v>137</v>
      </c>
      <c r="C95" s="26" t="s">
        <v>138</v>
      </c>
      <c r="D95" s="26" t="s">
        <v>506</v>
      </c>
      <c r="E95" s="26" t="s">
        <v>1481</v>
      </c>
      <c r="F95" s="26" t="s">
        <v>141</v>
      </c>
      <c r="H95" s="21"/>
    </row>
    <row r="96" spans="2:11" s="26" customFormat="1">
      <c r="B96" s="16" t="s">
        <v>137</v>
      </c>
      <c r="C96" s="26" t="s">
        <v>423</v>
      </c>
      <c r="D96" s="26" t="s">
        <v>424</v>
      </c>
      <c r="E96" s="26" t="s">
        <v>425</v>
      </c>
      <c r="F96" s="25" t="s">
        <v>141</v>
      </c>
      <c r="H96" s="21"/>
    </row>
    <row r="97" spans="2:10" s="26" customFormat="1">
      <c r="B97" s="16" t="s">
        <v>137</v>
      </c>
      <c r="C97" s="26" t="s">
        <v>369</v>
      </c>
      <c r="D97" s="26" t="s">
        <v>426</v>
      </c>
      <c r="E97" s="26" t="s">
        <v>427</v>
      </c>
      <c r="F97" s="25" t="s">
        <v>141</v>
      </c>
      <c r="H97" s="21"/>
    </row>
    <row r="98" spans="2:10" s="26" customFormat="1">
      <c r="B98" s="16" t="s">
        <v>137</v>
      </c>
      <c r="C98" s="26" t="s">
        <v>77</v>
      </c>
      <c r="D98" s="26" t="s">
        <v>428</v>
      </c>
      <c r="E98" s="26" t="s">
        <v>429</v>
      </c>
      <c r="F98" s="25" t="s">
        <v>141</v>
      </c>
      <c r="H98" s="21"/>
    </row>
    <row r="99" spans="2:10" s="26" customFormat="1">
      <c r="B99" s="16" t="s">
        <v>137</v>
      </c>
      <c r="C99" s="26" t="s">
        <v>430</v>
      </c>
      <c r="D99" s="26" t="s">
        <v>431</v>
      </c>
      <c r="E99" s="26" t="s">
        <v>432</v>
      </c>
      <c r="F99" s="25" t="s">
        <v>141</v>
      </c>
      <c r="H99" s="21"/>
    </row>
    <row r="100" spans="2:10" s="26" customFormat="1">
      <c r="B100" s="16" t="s">
        <v>137</v>
      </c>
      <c r="C100" s="21" t="s">
        <v>170</v>
      </c>
      <c r="D100" s="21" t="s">
        <v>171</v>
      </c>
      <c r="E100" s="21" t="s">
        <v>172</v>
      </c>
      <c r="F100" s="21" t="s">
        <v>167</v>
      </c>
      <c r="G100" s="21"/>
      <c r="H100" s="21"/>
      <c r="I100" s="21"/>
      <c r="J100" s="21"/>
    </row>
    <row r="101" spans="2:10" s="26" customFormat="1">
      <c r="B101" s="16" t="s">
        <v>137</v>
      </c>
      <c r="C101" s="21" t="s">
        <v>170</v>
      </c>
      <c r="D101" s="21" t="s">
        <v>232</v>
      </c>
      <c r="E101" s="21" t="s">
        <v>233</v>
      </c>
      <c r="F101" s="21" t="s">
        <v>141</v>
      </c>
      <c r="G101" s="21"/>
      <c r="H101" s="21"/>
      <c r="I101" s="21"/>
      <c r="J101" s="21"/>
    </row>
    <row r="102" spans="2:10" s="26" customFormat="1">
      <c r="B102" s="16" t="s">
        <v>137</v>
      </c>
      <c r="C102" s="21" t="s">
        <v>138</v>
      </c>
      <c r="D102" s="21" t="s">
        <v>228</v>
      </c>
      <c r="E102" s="21" t="s">
        <v>229</v>
      </c>
      <c r="F102" s="21" t="s">
        <v>141</v>
      </c>
      <c r="G102" s="21"/>
      <c r="H102" s="21"/>
      <c r="I102" s="21"/>
      <c r="J102" s="21"/>
    </row>
    <row r="103" spans="2:10" s="26" customFormat="1">
      <c r="B103" s="16" t="s">
        <v>137</v>
      </c>
      <c r="C103" s="21" t="s">
        <v>138</v>
      </c>
      <c r="D103" s="21" t="s">
        <v>230</v>
      </c>
      <c r="E103" s="21" t="s">
        <v>231</v>
      </c>
      <c r="F103" s="21" t="s">
        <v>141</v>
      </c>
      <c r="G103" s="21"/>
      <c r="H103" s="21"/>
      <c r="I103" s="21"/>
      <c r="J103" s="21"/>
    </row>
    <row r="104" spans="2:10" s="26" customFormat="1">
      <c r="B104" s="16" t="s">
        <v>137</v>
      </c>
      <c r="C104" s="21" t="s">
        <v>138</v>
      </c>
      <c r="D104" s="21" t="s">
        <v>226</v>
      </c>
      <c r="E104" s="21" t="s">
        <v>227</v>
      </c>
      <c r="F104" s="21" t="s">
        <v>141</v>
      </c>
      <c r="G104" s="21"/>
      <c r="H104" s="21"/>
      <c r="I104" s="21"/>
      <c r="J104" s="21"/>
    </row>
    <row r="105" spans="2:10" s="26" customFormat="1">
      <c r="B105" s="16" t="s">
        <v>137</v>
      </c>
      <c r="C105" s="21" t="s">
        <v>170</v>
      </c>
      <c r="D105" s="21" t="s">
        <v>214</v>
      </c>
      <c r="E105" s="21" t="s">
        <v>215</v>
      </c>
      <c r="F105" s="21" t="s">
        <v>141</v>
      </c>
      <c r="G105" s="21"/>
      <c r="H105" s="21"/>
      <c r="I105" s="21"/>
      <c r="J105" s="21"/>
    </row>
    <row r="106" spans="2:10" s="26" customFormat="1">
      <c r="B106" s="16" t="s">
        <v>137</v>
      </c>
      <c r="C106" s="26" t="s">
        <v>403</v>
      </c>
      <c r="D106" s="26" t="s">
        <v>433</v>
      </c>
      <c r="E106" s="26" t="s">
        <v>434</v>
      </c>
      <c r="F106" s="25" t="s">
        <v>141</v>
      </c>
      <c r="H106" s="21"/>
    </row>
    <row r="107" spans="2:10" s="26" customFormat="1">
      <c r="B107" s="16" t="s">
        <v>137</v>
      </c>
      <c r="C107" s="26" t="s">
        <v>435</v>
      </c>
      <c r="D107" s="26" t="s">
        <v>436</v>
      </c>
      <c r="E107" s="26" t="s">
        <v>437</v>
      </c>
      <c r="F107" s="25" t="s">
        <v>141</v>
      </c>
      <c r="H107" s="21"/>
    </row>
    <row r="108" spans="2:10" s="26" customFormat="1">
      <c r="B108" s="16" t="s">
        <v>137</v>
      </c>
      <c r="C108" s="26" t="s">
        <v>438</v>
      </c>
      <c r="D108" s="26" t="s">
        <v>439</v>
      </c>
      <c r="E108" s="26" t="s">
        <v>440</v>
      </c>
      <c r="F108" s="25" t="s">
        <v>141</v>
      </c>
      <c r="H108" s="21"/>
    </row>
    <row r="109" spans="2:10" s="26" customFormat="1">
      <c r="B109" s="16" t="s">
        <v>137</v>
      </c>
      <c r="C109" s="26" t="s">
        <v>385</v>
      </c>
      <c r="D109" s="26" t="s">
        <v>441</v>
      </c>
      <c r="E109" s="26" t="s">
        <v>442</v>
      </c>
      <c r="F109" s="25" t="s">
        <v>141</v>
      </c>
      <c r="H109" s="21"/>
    </row>
    <row r="110" spans="2:10" s="26" customFormat="1">
      <c r="B110" s="16" t="s">
        <v>137</v>
      </c>
      <c r="C110" s="26" t="s">
        <v>443</v>
      </c>
      <c r="D110" s="26" t="s">
        <v>444</v>
      </c>
      <c r="E110" s="26" t="s">
        <v>445</v>
      </c>
      <c r="F110" s="25" t="s">
        <v>141</v>
      </c>
      <c r="H110" s="21"/>
    </row>
    <row r="111" spans="2:10" s="26" customFormat="1">
      <c r="B111" s="16" t="s">
        <v>137</v>
      </c>
      <c r="C111" s="21" t="s">
        <v>138</v>
      </c>
      <c r="D111" s="21" t="s">
        <v>560</v>
      </c>
      <c r="E111" s="42" t="s">
        <v>561</v>
      </c>
      <c r="F111" s="21" t="s">
        <v>141</v>
      </c>
      <c r="G111" s="21"/>
      <c r="H111" s="21"/>
      <c r="I111" s="21"/>
      <c r="J111" s="21"/>
    </row>
    <row r="112" spans="2:10" s="26" customFormat="1">
      <c r="B112" s="16" t="s">
        <v>137</v>
      </c>
      <c r="C112" s="21" t="s">
        <v>138</v>
      </c>
      <c r="D112" s="21" t="s">
        <v>702</v>
      </c>
      <c r="E112" s="21" t="s">
        <v>703</v>
      </c>
      <c r="F112" s="21" t="s">
        <v>141</v>
      </c>
      <c r="G112" s="21"/>
      <c r="H112" s="21"/>
      <c r="I112" s="21"/>
      <c r="J112" s="21"/>
    </row>
    <row r="113" spans="2:10" s="26" customFormat="1">
      <c r="B113" s="16" t="s">
        <v>137</v>
      </c>
      <c r="C113" s="21" t="s">
        <v>138</v>
      </c>
      <c r="D113" s="21" t="s">
        <v>716</v>
      </c>
      <c r="E113" s="21" t="s">
        <v>717</v>
      </c>
      <c r="F113" s="21" t="s">
        <v>141</v>
      </c>
      <c r="G113" s="21"/>
      <c r="H113" s="21"/>
      <c r="I113" s="21"/>
      <c r="J113" s="21"/>
    </row>
    <row r="114" spans="2:10" s="26" customFormat="1">
      <c r="B114" s="16" t="s">
        <v>137</v>
      </c>
      <c r="C114" s="21" t="s">
        <v>138</v>
      </c>
      <c r="D114" s="21" t="s">
        <v>574</v>
      </c>
      <c r="E114" s="42" t="s">
        <v>575</v>
      </c>
      <c r="F114" s="21" t="s">
        <v>141</v>
      </c>
      <c r="G114" s="21"/>
      <c r="H114" s="21"/>
      <c r="I114" s="21"/>
      <c r="J114" s="21"/>
    </row>
    <row r="115" spans="2:10" s="26" customFormat="1">
      <c r="B115" s="16" t="s">
        <v>137</v>
      </c>
      <c r="C115" s="21" t="s">
        <v>138</v>
      </c>
      <c r="D115" s="21" t="s">
        <v>580</v>
      </c>
      <c r="E115" s="42" t="s">
        <v>581</v>
      </c>
      <c r="F115" s="21" t="s">
        <v>141</v>
      </c>
      <c r="G115" s="21"/>
      <c r="H115" s="21"/>
      <c r="I115" s="21"/>
      <c r="J115" s="21"/>
    </row>
    <row r="116" spans="2:10" s="26" customFormat="1">
      <c r="B116" s="16" t="s">
        <v>137</v>
      </c>
      <c r="C116" s="21" t="s">
        <v>138</v>
      </c>
      <c r="D116" s="21" t="s">
        <v>586</v>
      </c>
      <c r="E116" s="42" t="s">
        <v>587</v>
      </c>
      <c r="F116" s="21" t="s">
        <v>141</v>
      </c>
      <c r="G116" s="21"/>
      <c r="H116" s="21"/>
      <c r="I116" s="21"/>
      <c r="J116" s="21"/>
    </row>
    <row r="117" spans="2:10" s="26" customFormat="1">
      <c r="B117" s="16" t="s">
        <v>137</v>
      </c>
      <c r="C117" s="21" t="s">
        <v>138</v>
      </c>
      <c r="D117" s="21" t="s">
        <v>592</v>
      </c>
      <c r="E117" s="42" t="s">
        <v>593</v>
      </c>
      <c r="F117" s="21" t="s">
        <v>141</v>
      </c>
      <c r="G117" s="21"/>
      <c r="H117" s="21"/>
      <c r="I117" s="21"/>
      <c r="J117" s="21"/>
    </row>
    <row r="118" spans="2:10" s="26" customFormat="1">
      <c r="B118" s="16" t="s">
        <v>137</v>
      </c>
      <c r="C118" s="22" t="s">
        <v>138</v>
      </c>
      <c r="D118" s="22" t="s">
        <v>598</v>
      </c>
      <c r="E118" s="48" t="s">
        <v>599</v>
      </c>
      <c r="F118" s="21" t="s">
        <v>141</v>
      </c>
      <c r="G118" s="21"/>
      <c r="H118" s="21"/>
      <c r="I118" s="21"/>
      <c r="J118" s="21"/>
    </row>
    <row r="119" spans="2:10" s="26" customFormat="1">
      <c r="B119" s="16" t="s">
        <v>137</v>
      </c>
      <c r="C119" s="22" t="s">
        <v>138</v>
      </c>
      <c r="D119" s="22" t="s">
        <v>604</v>
      </c>
      <c r="E119" s="48" t="s">
        <v>605</v>
      </c>
      <c r="F119" s="21" t="s">
        <v>141</v>
      </c>
      <c r="G119" s="21"/>
      <c r="H119" s="21"/>
      <c r="I119" s="21"/>
      <c r="J119" s="21"/>
    </row>
    <row r="120" spans="2:10" s="26" customFormat="1">
      <c r="B120" s="16" t="s">
        <v>137</v>
      </c>
      <c r="C120" s="21" t="s">
        <v>138</v>
      </c>
      <c r="D120" s="21" t="s">
        <v>610</v>
      </c>
      <c r="E120" s="42" t="s">
        <v>611</v>
      </c>
      <c r="F120" s="21" t="s">
        <v>141</v>
      </c>
      <c r="G120" s="21"/>
      <c r="H120" s="21"/>
      <c r="I120" s="21"/>
      <c r="J120" s="21"/>
    </row>
    <row r="121" spans="2:10" s="26" customFormat="1">
      <c r="B121" s="16" t="s">
        <v>137</v>
      </c>
      <c r="C121" s="21" t="s">
        <v>138</v>
      </c>
      <c r="D121" s="21" t="s">
        <v>616</v>
      </c>
      <c r="E121" s="42" t="s">
        <v>617</v>
      </c>
      <c r="F121" s="21" t="s">
        <v>141</v>
      </c>
      <c r="G121" s="21"/>
      <c r="H121" s="21"/>
      <c r="I121" s="21"/>
      <c r="J121" s="21"/>
    </row>
    <row r="122" spans="2:10" s="26" customFormat="1">
      <c r="B122" s="16" t="s">
        <v>137</v>
      </c>
      <c r="C122" s="21" t="s">
        <v>138</v>
      </c>
      <c r="D122" s="21" t="s">
        <v>622</v>
      </c>
      <c r="E122" s="42" t="s">
        <v>623</v>
      </c>
      <c r="F122" s="21" t="s">
        <v>141</v>
      </c>
      <c r="G122" s="21"/>
      <c r="H122" s="21"/>
      <c r="I122" s="21"/>
      <c r="J122" s="21"/>
    </row>
    <row r="123" spans="2:10" s="26" customFormat="1">
      <c r="B123" s="16" t="s">
        <v>137</v>
      </c>
      <c r="C123" s="21" t="s">
        <v>138</v>
      </c>
      <c r="D123" s="21" t="s">
        <v>628</v>
      </c>
      <c r="E123" s="42" t="s">
        <v>629</v>
      </c>
      <c r="F123" s="21" t="s">
        <v>141</v>
      </c>
      <c r="G123" s="21"/>
      <c r="H123" s="21"/>
      <c r="I123" s="21"/>
      <c r="J123" s="21"/>
    </row>
    <row r="124" spans="2:10" s="26" customFormat="1">
      <c r="B124" s="16" t="s">
        <v>137</v>
      </c>
      <c r="C124" s="21" t="s">
        <v>138</v>
      </c>
      <c r="D124" s="21" t="s">
        <v>564</v>
      </c>
      <c r="E124" s="42" t="s">
        <v>565</v>
      </c>
      <c r="F124" s="21" t="s">
        <v>141</v>
      </c>
      <c r="G124" s="21"/>
      <c r="H124" s="21"/>
      <c r="I124" s="21"/>
      <c r="J124" s="21"/>
    </row>
    <row r="125" spans="2:10" s="26" customFormat="1">
      <c r="B125" s="16" t="s">
        <v>137</v>
      </c>
      <c r="C125" s="21" t="s">
        <v>138</v>
      </c>
      <c r="D125" s="21" t="s">
        <v>704</v>
      </c>
      <c r="E125" s="21" t="s">
        <v>705</v>
      </c>
      <c r="F125" s="21" t="s">
        <v>141</v>
      </c>
      <c r="G125" s="21"/>
      <c r="H125" s="21"/>
      <c r="I125" s="21"/>
      <c r="J125" s="21"/>
    </row>
    <row r="126" spans="2:10" s="26" customFormat="1">
      <c r="B126" s="16" t="s">
        <v>137</v>
      </c>
      <c r="C126" s="21" t="s">
        <v>138</v>
      </c>
      <c r="D126" s="21" t="s">
        <v>718</v>
      </c>
      <c r="E126" s="21" t="s">
        <v>719</v>
      </c>
      <c r="F126" s="21" t="s">
        <v>141</v>
      </c>
      <c r="G126" s="21"/>
      <c r="H126" s="21"/>
      <c r="I126" s="21"/>
      <c r="J126" s="21"/>
    </row>
    <row r="127" spans="2:10" s="26" customFormat="1">
      <c r="B127" s="16" t="s">
        <v>137</v>
      </c>
      <c r="C127" s="21" t="s">
        <v>138</v>
      </c>
      <c r="D127" s="21" t="s">
        <v>562</v>
      </c>
      <c r="E127" s="42" t="s">
        <v>563</v>
      </c>
      <c r="F127" s="21" t="s">
        <v>141</v>
      </c>
      <c r="G127" s="21"/>
      <c r="H127" s="21"/>
      <c r="I127" s="21"/>
      <c r="J127" s="21"/>
    </row>
    <row r="128" spans="2:10" s="26" customFormat="1">
      <c r="B128" s="16" t="s">
        <v>137</v>
      </c>
      <c r="C128" s="21" t="s">
        <v>138</v>
      </c>
      <c r="D128" s="21" t="s">
        <v>706</v>
      </c>
      <c r="E128" s="21" t="s">
        <v>707</v>
      </c>
      <c r="F128" s="21" t="s">
        <v>141</v>
      </c>
      <c r="G128" s="21"/>
      <c r="H128" s="21"/>
      <c r="I128" s="21"/>
      <c r="J128" s="21"/>
    </row>
    <row r="129" spans="2:10" s="26" customFormat="1">
      <c r="B129" s="16" t="s">
        <v>137</v>
      </c>
      <c r="C129" s="21" t="s">
        <v>138</v>
      </c>
      <c r="D129" s="21" t="s">
        <v>720</v>
      </c>
      <c r="E129" s="21" t="s">
        <v>721</v>
      </c>
      <c r="F129" s="21" t="s">
        <v>141</v>
      </c>
      <c r="G129" s="21"/>
      <c r="H129" s="21"/>
      <c r="I129" s="21"/>
      <c r="J129" s="21"/>
    </row>
    <row r="130" spans="2:10" s="26" customFormat="1">
      <c r="B130" s="16" t="s">
        <v>137</v>
      </c>
      <c r="C130" s="21" t="s">
        <v>138</v>
      </c>
      <c r="D130" s="21" t="s">
        <v>570</v>
      </c>
      <c r="E130" s="42" t="s">
        <v>571</v>
      </c>
      <c r="F130" s="21" t="s">
        <v>141</v>
      </c>
      <c r="G130" s="21"/>
      <c r="H130" s="21"/>
      <c r="I130" s="21"/>
      <c r="J130" s="21"/>
    </row>
    <row r="131" spans="2:10" s="26" customFormat="1">
      <c r="B131" s="16" t="s">
        <v>137</v>
      </c>
      <c r="C131" s="21" t="s">
        <v>138</v>
      </c>
      <c r="D131" s="21" t="s">
        <v>708</v>
      </c>
      <c r="E131" s="21" t="s">
        <v>709</v>
      </c>
      <c r="F131" s="21" t="s">
        <v>141</v>
      </c>
      <c r="G131" s="21"/>
      <c r="H131" s="21"/>
      <c r="I131" s="21"/>
      <c r="J131" s="21"/>
    </row>
    <row r="132" spans="2:10" s="26" customFormat="1">
      <c r="B132" s="16" t="s">
        <v>137</v>
      </c>
      <c r="C132" s="21" t="s">
        <v>138</v>
      </c>
      <c r="D132" s="21" t="s">
        <v>722</v>
      </c>
      <c r="E132" s="21" t="s">
        <v>723</v>
      </c>
      <c r="F132" s="21" t="s">
        <v>141</v>
      </c>
      <c r="G132" s="21"/>
      <c r="H132" s="21"/>
      <c r="I132" s="21"/>
      <c r="J132" s="21"/>
    </row>
    <row r="133" spans="2:10" s="26" customFormat="1">
      <c r="B133" s="16" t="s">
        <v>137</v>
      </c>
      <c r="C133" s="21" t="s">
        <v>138</v>
      </c>
      <c r="D133" s="21" t="s">
        <v>578</v>
      </c>
      <c r="E133" s="42" t="s">
        <v>579</v>
      </c>
      <c r="F133" s="21" t="s">
        <v>141</v>
      </c>
      <c r="G133" s="21"/>
      <c r="H133" s="21"/>
      <c r="I133" s="21"/>
      <c r="J133" s="21"/>
    </row>
    <row r="134" spans="2:10" s="26" customFormat="1">
      <c r="B134" s="16" t="s">
        <v>137</v>
      </c>
      <c r="C134" s="21" t="s">
        <v>138</v>
      </c>
      <c r="D134" s="21" t="s">
        <v>584</v>
      </c>
      <c r="E134" s="42" t="s">
        <v>585</v>
      </c>
      <c r="F134" s="21" t="s">
        <v>141</v>
      </c>
      <c r="G134" s="21"/>
      <c r="H134" s="21"/>
      <c r="I134" s="21"/>
      <c r="J134" s="21"/>
    </row>
    <row r="135" spans="2:10" s="26" customFormat="1">
      <c r="B135" s="16" t="s">
        <v>137</v>
      </c>
      <c r="C135" s="21" t="s">
        <v>138</v>
      </c>
      <c r="D135" s="21" t="s">
        <v>590</v>
      </c>
      <c r="E135" s="42" t="s">
        <v>591</v>
      </c>
      <c r="F135" s="21" t="s">
        <v>141</v>
      </c>
      <c r="G135" s="21"/>
      <c r="H135" s="21"/>
      <c r="I135" s="21"/>
      <c r="J135" s="21"/>
    </row>
    <row r="136" spans="2:10" s="26" customFormat="1">
      <c r="B136" s="16" t="s">
        <v>137</v>
      </c>
      <c r="C136" s="21" t="s">
        <v>138</v>
      </c>
      <c r="D136" s="21" t="s">
        <v>596</v>
      </c>
      <c r="E136" s="42" t="s">
        <v>597</v>
      </c>
      <c r="F136" s="21" t="s">
        <v>141</v>
      </c>
      <c r="G136" s="21"/>
      <c r="H136" s="21"/>
      <c r="I136" s="21"/>
      <c r="J136" s="21"/>
    </row>
    <row r="137" spans="2:10" s="26" customFormat="1">
      <c r="B137" s="16" t="s">
        <v>137</v>
      </c>
      <c r="C137" s="22" t="s">
        <v>138</v>
      </c>
      <c r="D137" s="22" t="s">
        <v>602</v>
      </c>
      <c r="E137" s="48" t="s">
        <v>603</v>
      </c>
      <c r="F137" s="21" t="s">
        <v>141</v>
      </c>
      <c r="G137" s="21"/>
      <c r="H137" s="21"/>
      <c r="I137" s="21"/>
      <c r="J137" s="21"/>
    </row>
    <row r="138" spans="2:10" s="26" customFormat="1">
      <c r="B138" s="16" t="s">
        <v>137</v>
      </c>
      <c r="C138" s="22" t="s">
        <v>138</v>
      </c>
      <c r="D138" s="22" t="s">
        <v>608</v>
      </c>
      <c r="E138" s="48" t="s">
        <v>609</v>
      </c>
      <c r="F138" s="21" t="s">
        <v>141</v>
      </c>
      <c r="G138" s="21"/>
      <c r="H138" s="21"/>
      <c r="I138" s="21"/>
      <c r="J138" s="21"/>
    </row>
    <row r="139" spans="2:10" s="26" customFormat="1">
      <c r="B139" s="16" t="s">
        <v>137</v>
      </c>
      <c r="C139" s="21" t="s">
        <v>138</v>
      </c>
      <c r="D139" s="21" t="s">
        <v>614</v>
      </c>
      <c r="E139" s="42" t="s">
        <v>615</v>
      </c>
      <c r="F139" s="21" t="s">
        <v>141</v>
      </c>
      <c r="G139" s="21"/>
      <c r="H139" s="21"/>
      <c r="I139" s="21"/>
      <c r="J139" s="21"/>
    </row>
    <row r="140" spans="2:10" s="26" customFormat="1">
      <c r="B140" s="16" t="s">
        <v>137</v>
      </c>
      <c r="C140" s="21" t="s">
        <v>138</v>
      </c>
      <c r="D140" s="21" t="s">
        <v>620</v>
      </c>
      <c r="E140" s="42" t="s">
        <v>621</v>
      </c>
      <c r="F140" s="21" t="s">
        <v>141</v>
      </c>
      <c r="G140" s="21"/>
      <c r="H140" s="21"/>
      <c r="I140" s="21"/>
      <c r="J140" s="21"/>
    </row>
    <row r="141" spans="2:10" s="26" customFormat="1">
      <c r="B141" s="16" t="s">
        <v>137</v>
      </c>
      <c r="C141" s="21" t="s">
        <v>138</v>
      </c>
      <c r="D141" s="21" t="s">
        <v>626</v>
      </c>
      <c r="E141" s="42" t="s">
        <v>627</v>
      </c>
      <c r="F141" s="21" t="s">
        <v>141</v>
      </c>
      <c r="G141" s="21"/>
      <c r="H141" s="21"/>
      <c r="I141" s="21"/>
      <c r="J141" s="21"/>
    </row>
    <row r="142" spans="2:10" s="26" customFormat="1">
      <c r="B142" s="16" t="s">
        <v>137</v>
      </c>
      <c r="C142" s="21" t="s">
        <v>138</v>
      </c>
      <c r="D142" s="21" t="s">
        <v>632</v>
      </c>
      <c r="E142" s="42" t="s">
        <v>633</v>
      </c>
      <c r="F142" s="21" t="s">
        <v>141</v>
      </c>
      <c r="G142" s="21"/>
      <c r="H142" s="21"/>
      <c r="I142" s="21"/>
      <c r="J142" s="21"/>
    </row>
    <row r="143" spans="2:10" s="26" customFormat="1">
      <c r="B143" s="16" t="s">
        <v>137</v>
      </c>
      <c r="C143" s="21" t="s">
        <v>138</v>
      </c>
      <c r="D143" s="21" t="s">
        <v>572</v>
      </c>
      <c r="E143" s="42" t="s">
        <v>573</v>
      </c>
      <c r="F143" s="21" t="s">
        <v>141</v>
      </c>
      <c r="G143" s="21"/>
      <c r="H143" s="21"/>
      <c r="I143" s="21"/>
      <c r="J143" s="21"/>
    </row>
    <row r="144" spans="2:10" s="26" customFormat="1">
      <c r="B144" s="16" t="s">
        <v>137</v>
      </c>
      <c r="C144" s="21" t="s">
        <v>138</v>
      </c>
      <c r="D144" s="21" t="s">
        <v>710</v>
      </c>
      <c r="E144" s="21" t="s">
        <v>711</v>
      </c>
      <c r="F144" s="21" t="s">
        <v>141</v>
      </c>
      <c r="G144" s="21"/>
      <c r="H144" s="21"/>
      <c r="I144" s="21"/>
      <c r="J144" s="21"/>
    </row>
    <row r="145" spans="2:10" s="26" customFormat="1">
      <c r="B145" s="16" t="s">
        <v>137</v>
      </c>
      <c r="C145" s="21" t="s">
        <v>138</v>
      </c>
      <c r="D145" s="21" t="s">
        <v>724</v>
      </c>
      <c r="E145" s="21" t="s">
        <v>725</v>
      </c>
      <c r="F145" s="21" t="s">
        <v>141</v>
      </c>
      <c r="G145" s="21"/>
      <c r="H145" s="21"/>
      <c r="I145" s="21"/>
      <c r="J145" s="21"/>
    </row>
    <row r="146" spans="2:10" s="26" customFormat="1">
      <c r="B146" s="16" t="s">
        <v>137</v>
      </c>
      <c r="C146" s="21" t="s">
        <v>138</v>
      </c>
      <c r="D146" s="21" t="s">
        <v>568</v>
      </c>
      <c r="E146" s="42" t="s">
        <v>569</v>
      </c>
      <c r="F146" s="21" t="s">
        <v>141</v>
      </c>
      <c r="G146" s="21"/>
      <c r="H146" s="21"/>
      <c r="I146" s="21"/>
      <c r="J146" s="21"/>
    </row>
    <row r="147" spans="2:10" s="26" customFormat="1">
      <c r="B147" s="16" t="s">
        <v>137</v>
      </c>
      <c r="C147" s="21" t="s">
        <v>138</v>
      </c>
      <c r="D147" s="21" t="s">
        <v>712</v>
      </c>
      <c r="E147" s="21" t="s">
        <v>713</v>
      </c>
      <c r="F147" s="21" t="s">
        <v>141</v>
      </c>
      <c r="G147" s="21"/>
      <c r="H147" s="21"/>
      <c r="I147" s="21"/>
      <c r="J147" s="21"/>
    </row>
    <row r="148" spans="2:10" s="26" customFormat="1">
      <c r="B148" s="16" t="s">
        <v>137</v>
      </c>
      <c r="C148" s="21" t="s">
        <v>138</v>
      </c>
      <c r="D148" s="21" t="s">
        <v>726</v>
      </c>
      <c r="E148" s="21" t="s">
        <v>727</v>
      </c>
      <c r="F148" s="21" t="s">
        <v>141</v>
      </c>
      <c r="G148" s="21"/>
      <c r="H148" s="21"/>
      <c r="I148" s="21"/>
      <c r="J148" s="21"/>
    </row>
    <row r="149" spans="2:10" s="26" customFormat="1">
      <c r="B149" s="16" t="s">
        <v>137</v>
      </c>
      <c r="C149" s="21" t="s">
        <v>138</v>
      </c>
      <c r="D149" s="21" t="s">
        <v>566</v>
      </c>
      <c r="E149" s="42" t="s">
        <v>567</v>
      </c>
      <c r="F149" s="21" t="s">
        <v>141</v>
      </c>
      <c r="G149" s="21"/>
      <c r="H149" s="21"/>
      <c r="I149" s="21"/>
      <c r="J149" s="21"/>
    </row>
    <row r="150" spans="2:10" s="26" customFormat="1">
      <c r="B150" s="16" t="s">
        <v>137</v>
      </c>
      <c r="C150" s="21" t="s">
        <v>138</v>
      </c>
      <c r="D150" s="21" t="s">
        <v>714</v>
      </c>
      <c r="E150" s="21" t="s">
        <v>715</v>
      </c>
      <c r="F150" s="21" t="s">
        <v>141</v>
      </c>
      <c r="G150" s="21"/>
      <c r="H150" s="21"/>
      <c r="I150" s="21"/>
      <c r="J150" s="21"/>
    </row>
    <row r="151" spans="2:10" s="26" customFormat="1">
      <c r="B151" s="16" t="s">
        <v>137</v>
      </c>
      <c r="C151" s="21" t="s">
        <v>138</v>
      </c>
      <c r="D151" s="21" t="s">
        <v>728</v>
      </c>
      <c r="E151" s="21" t="s">
        <v>729</v>
      </c>
      <c r="F151" s="21" t="s">
        <v>141</v>
      </c>
      <c r="G151" s="21"/>
      <c r="H151" s="21"/>
      <c r="I151" s="21"/>
      <c r="J151" s="21"/>
    </row>
    <row r="152" spans="2:10" s="26" customFormat="1">
      <c r="B152" s="16" t="s">
        <v>137</v>
      </c>
      <c r="C152" s="21" t="s">
        <v>138</v>
      </c>
      <c r="D152" s="21" t="s">
        <v>576</v>
      </c>
      <c r="E152" s="42" t="s">
        <v>577</v>
      </c>
      <c r="F152" s="21" t="s">
        <v>141</v>
      </c>
      <c r="G152" s="21"/>
      <c r="H152" s="21"/>
      <c r="I152" s="21"/>
      <c r="J152" s="21"/>
    </row>
    <row r="153" spans="2:10" s="26" customFormat="1">
      <c r="B153" s="16" t="s">
        <v>137</v>
      </c>
      <c r="C153" s="21" t="s">
        <v>138</v>
      </c>
      <c r="D153" s="21" t="s">
        <v>582</v>
      </c>
      <c r="E153" s="42" t="s">
        <v>583</v>
      </c>
      <c r="F153" s="21" t="s">
        <v>141</v>
      </c>
      <c r="G153" s="21"/>
      <c r="H153" s="21"/>
      <c r="I153" s="21"/>
      <c r="J153" s="21"/>
    </row>
    <row r="154" spans="2:10" s="26" customFormat="1">
      <c r="B154" s="16" t="s">
        <v>137</v>
      </c>
      <c r="C154" s="21" t="s">
        <v>138</v>
      </c>
      <c r="D154" s="21" t="s">
        <v>588</v>
      </c>
      <c r="E154" s="42" t="s">
        <v>589</v>
      </c>
      <c r="F154" s="21" t="s">
        <v>141</v>
      </c>
      <c r="G154" s="21"/>
      <c r="H154" s="21"/>
      <c r="I154" s="21"/>
      <c r="J154" s="21"/>
    </row>
    <row r="155" spans="2:10" s="26" customFormat="1">
      <c r="B155" s="16" t="s">
        <v>137</v>
      </c>
      <c r="C155" s="21" t="s">
        <v>138</v>
      </c>
      <c r="D155" s="21" t="s">
        <v>594</v>
      </c>
      <c r="E155" s="42" t="s">
        <v>595</v>
      </c>
      <c r="F155" s="21" t="s">
        <v>141</v>
      </c>
      <c r="G155" s="21"/>
      <c r="H155" s="21"/>
      <c r="I155" s="21"/>
      <c r="J155" s="21"/>
    </row>
    <row r="156" spans="2:10" s="26" customFormat="1">
      <c r="B156" s="16" t="s">
        <v>137</v>
      </c>
      <c r="C156" s="22" t="s">
        <v>138</v>
      </c>
      <c r="D156" s="22" t="s">
        <v>600</v>
      </c>
      <c r="E156" s="48" t="s">
        <v>601</v>
      </c>
      <c r="F156" s="21" t="s">
        <v>141</v>
      </c>
      <c r="G156" s="21"/>
      <c r="H156" s="21"/>
      <c r="I156" s="21"/>
      <c r="J156" s="21"/>
    </row>
    <row r="157" spans="2:10" s="26" customFormat="1">
      <c r="B157" s="16" t="s">
        <v>137</v>
      </c>
      <c r="C157" s="22" t="s">
        <v>138</v>
      </c>
      <c r="D157" s="22" t="s">
        <v>606</v>
      </c>
      <c r="E157" s="48" t="s">
        <v>607</v>
      </c>
      <c r="F157" s="21" t="s">
        <v>141</v>
      </c>
      <c r="G157" s="21"/>
      <c r="H157" s="21"/>
      <c r="I157" s="21"/>
      <c r="J157" s="21"/>
    </row>
    <row r="158" spans="2:10" s="26" customFormat="1">
      <c r="B158" s="16" t="s">
        <v>137</v>
      </c>
      <c r="C158" s="21" t="s">
        <v>138</v>
      </c>
      <c r="D158" s="21" t="s">
        <v>612</v>
      </c>
      <c r="E158" s="42" t="s">
        <v>613</v>
      </c>
      <c r="F158" s="21" t="s">
        <v>141</v>
      </c>
      <c r="G158" s="21"/>
      <c r="H158" s="21"/>
      <c r="I158" s="21"/>
      <c r="J158" s="21"/>
    </row>
    <row r="159" spans="2:10" s="26" customFormat="1">
      <c r="B159" s="16" t="s">
        <v>137</v>
      </c>
      <c r="C159" s="21" t="s">
        <v>138</v>
      </c>
      <c r="D159" s="21" t="s">
        <v>618</v>
      </c>
      <c r="E159" s="42" t="s">
        <v>619</v>
      </c>
      <c r="F159" s="21" t="s">
        <v>141</v>
      </c>
      <c r="G159" s="21"/>
      <c r="H159" s="21"/>
      <c r="I159" s="21"/>
      <c r="J159" s="21"/>
    </row>
    <row r="160" spans="2:10" s="26" customFormat="1">
      <c r="B160" s="16" t="s">
        <v>137</v>
      </c>
      <c r="C160" s="21" t="s">
        <v>138</v>
      </c>
      <c r="D160" s="21" t="s">
        <v>624</v>
      </c>
      <c r="E160" s="42" t="s">
        <v>625</v>
      </c>
      <c r="F160" s="21" t="s">
        <v>141</v>
      </c>
      <c r="G160" s="21"/>
      <c r="H160" s="21"/>
      <c r="I160" s="21"/>
      <c r="J160" s="21"/>
    </row>
    <row r="161" spans="2:10" s="26" customFormat="1">
      <c r="B161" s="16" t="s">
        <v>137</v>
      </c>
      <c r="C161" s="21" t="s">
        <v>138</v>
      </c>
      <c r="D161" s="21" t="s">
        <v>630</v>
      </c>
      <c r="E161" s="42" t="s">
        <v>631</v>
      </c>
      <c r="F161" s="21" t="s">
        <v>141</v>
      </c>
      <c r="G161" s="21"/>
      <c r="H161" s="21"/>
      <c r="I161" s="21"/>
      <c r="J161" s="21"/>
    </row>
    <row r="162" spans="2:10" s="26" customFormat="1">
      <c r="B162" s="16" t="s">
        <v>137</v>
      </c>
      <c r="C162" s="26" t="s">
        <v>77</v>
      </c>
      <c r="D162" s="26" t="s">
        <v>446</v>
      </c>
      <c r="E162" s="26" t="s">
        <v>447</v>
      </c>
      <c r="F162" s="25" t="s">
        <v>141</v>
      </c>
      <c r="H162" s="21"/>
    </row>
    <row r="163" spans="2:10" s="26" customFormat="1" ht="13">
      <c r="B163" s="16" t="s">
        <v>137</v>
      </c>
      <c r="C163" s="71" t="s">
        <v>170</v>
      </c>
      <c r="D163" s="21" t="s">
        <v>165</v>
      </c>
      <c r="E163" s="21" t="s">
        <v>166</v>
      </c>
      <c r="F163" s="21" t="s">
        <v>167</v>
      </c>
      <c r="G163" s="21"/>
      <c r="H163" s="21"/>
      <c r="I163" s="21"/>
      <c r="J163" s="21"/>
    </row>
    <row r="164" spans="2:10" s="26" customFormat="1">
      <c r="B164" s="16" t="s">
        <v>137</v>
      </c>
      <c r="C164" s="26" t="s">
        <v>138</v>
      </c>
      <c r="D164" s="26" t="s">
        <v>478</v>
      </c>
      <c r="E164" s="26" t="s">
        <v>479</v>
      </c>
      <c r="F164" s="25" t="s">
        <v>141</v>
      </c>
      <c r="H164" s="21"/>
    </row>
    <row r="165" spans="2:10" s="26" customFormat="1">
      <c r="B165" s="16" t="s">
        <v>137</v>
      </c>
      <c r="C165" s="26" t="s">
        <v>448</v>
      </c>
      <c r="D165" s="26" t="s">
        <v>449</v>
      </c>
      <c r="E165" s="26" t="s">
        <v>450</v>
      </c>
      <c r="F165" s="25" t="s">
        <v>141</v>
      </c>
      <c r="H165" s="21"/>
    </row>
    <row r="166" spans="2:10" s="26" customFormat="1">
      <c r="B166" s="16" t="s">
        <v>137</v>
      </c>
      <c r="C166" s="26" t="s">
        <v>369</v>
      </c>
      <c r="D166" s="26" t="s">
        <v>451</v>
      </c>
      <c r="E166" s="26" t="s">
        <v>452</v>
      </c>
      <c r="F166" s="25" t="s">
        <v>141</v>
      </c>
      <c r="H166" s="21"/>
    </row>
    <row r="167" spans="2:10" s="26" customFormat="1">
      <c r="B167" s="16" t="s">
        <v>137</v>
      </c>
      <c r="C167" s="26" t="s">
        <v>369</v>
      </c>
      <c r="D167" s="26" t="s">
        <v>453</v>
      </c>
      <c r="E167" s="26" t="s">
        <v>454</v>
      </c>
      <c r="F167" s="25" t="s">
        <v>141</v>
      </c>
      <c r="H167" s="21"/>
    </row>
    <row r="168" spans="2:10" s="26" customFormat="1">
      <c r="B168" s="16" t="s">
        <v>137</v>
      </c>
      <c r="C168" s="26" t="s">
        <v>369</v>
      </c>
      <c r="D168" s="26" t="s">
        <v>455</v>
      </c>
      <c r="E168" s="26" t="s">
        <v>456</v>
      </c>
      <c r="F168" s="25" t="s">
        <v>141</v>
      </c>
      <c r="H168" s="21"/>
    </row>
    <row r="169" spans="2:10" s="26" customFormat="1">
      <c r="B169" s="16" t="s">
        <v>137</v>
      </c>
      <c r="C169" s="26" t="s">
        <v>369</v>
      </c>
      <c r="D169" s="26" t="s">
        <v>457</v>
      </c>
      <c r="E169" s="26" t="s">
        <v>458</v>
      </c>
      <c r="F169" s="25" t="s">
        <v>141</v>
      </c>
      <c r="H169" s="21"/>
    </row>
    <row r="170" spans="2:10" s="26" customFormat="1">
      <c r="B170" s="16" t="s">
        <v>137</v>
      </c>
      <c r="C170" s="26" t="s">
        <v>369</v>
      </c>
      <c r="D170" s="26" t="s">
        <v>459</v>
      </c>
      <c r="E170" s="26" t="s">
        <v>460</v>
      </c>
      <c r="F170" s="25" t="s">
        <v>141</v>
      </c>
      <c r="H170" s="21"/>
    </row>
    <row r="171" spans="2:10" s="26" customFormat="1">
      <c r="B171" s="16" t="s">
        <v>137</v>
      </c>
      <c r="C171" s="26" t="s">
        <v>369</v>
      </c>
      <c r="D171" s="26" t="s">
        <v>461</v>
      </c>
      <c r="E171" s="26" t="s">
        <v>462</v>
      </c>
      <c r="F171" s="25" t="s">
        <v>141</v>
      </c>
      <c r="H171" s="21"/>
    </row>
    <row r="172" spans="2:10" s="26" customFormat="1">
      <c r="B172" s="16" t="s">
        <v>137</v>
      </c>
      <c r="C172" s="26" t="s">
        <v>463</v>
      </c>
      <c r="D172" s="26" t="s">
        <v>464</v>
      </c>
      <c r="E172" s="26" t="s">
        <v>465</v>
      </c>
      <c r="F172" s="25" t="s">
        <v>141</v>
      </c>
      <c r="H172" s="21"/>
    </row>
    <row r="173" spans="2:10" s="26" customFormat="1">
      <c r="B173" s="16" t="s">
        <v>137</v>
      </c>
      <c r="C173" s="26" t="s">
        <v>466</v>
      </c>
      <c r="D173" s="26" t="s">
        <v>467</v>
      </c>
      <c r="E173" s="26" t="s">
        <v>468</v>
      </c>
      <c r="F173" s="25" t="s">
        <v>141</v>
      </c>
      <c r="H173" s="21"/>
    </row>
    <row r="174" spans="2:10" s="26" customFormat="1">
      <c r="B174" s="16" t="s">
        <v>137</v>
      </c>
      <c r="C174" s="26" t="s">
        <v>469</v>
      </c>
      <c r="D174" s="26" t="s">
        <v>470</v>
      </c>
      <c r="E174" s="26" t="s">
        <v>471</v>
      </c>
      <c r="F174" s="25" t="s">
        <v>141</v>
      </c>
      <c r="H174" s="21"/>
    </row>
    <row r="175" spans="2:10" s="26" customFormat="1">
      <c r="B175" s="16" t="s">
        <v>137</v>
      </c>
      <c r="C175" s="26" t="s">
        <v>170</v>
      </c>
      <c r="D175" s="53" t="s">
        <v>884</v>
      </c>
      <c r="E175" s="24" t="s">
        <v>885</v>
      </c>
      <c r="F175" s="25" t="s">
        <v>141</v>
      </c>
      <c r="H175" s="21"/>
    </row>
    <row r="176" spans="2:10" s="26" customFormat="1" ht="13">
      <c r="B176" s="16" t="s">
        <v>137</v>
      </c>
      <c r="C176" s="26" t="s">
        <v>170</v>
      </c>
      <c r="D176" s="26" t="s">
        <v>1196</v>
      </c>
      <c r="E176" s="29" t="s">
        <v>1197</v>
      </c>
      <c r="F176" s="26" t="s">
        <v>141</v>
      </c>
      <c r="G176" s="45"/>
      <c r="H176" s="21"/>
    </row>
    <row r="177" spans="2:10" s="26" customFormat="1">
      <c r="B177" s="16" t="s">
        <v>137</v>
      </c>
      <c r="C177" s="26" t="s">
        <v>170</v>
      </c>
      <c r="D177" s="30" t="s">
        <v>1224</v>
      </c>
      <c r="E177" s="29" t="s">
        <v>1225</v>
      </c>
      <c r="F177" s="26" t="s">
        <v>141</v>
      </c>
      <c r="H177" s="21"/>
    </row>
    <row r="178" spans="2:10" s="26" customFormat="1">
      <c r="B178" s="16" t="s">
        <v>137</v>
      </c>
      <c r="C178" s="26" t="s">
        <v>170</v>
      </c>
      <c r="D178" s="30" t="s">
        <v>1252</v>
      </c>
      <c r="E178" s="29" t="s">
        <v>1253</v>
      </c>
      <c r="F178" s="26" t="s">
        <v>141</v>
      </c>
      <c r="H178" s="21"/>
    </row>
    <row r="179" spans="2:10" s="26" customFormat="1">
      <c r="B179" s="16" t="s">
        <v>137</v>
      </c>
      <c r="C179" s="26" t="s">
        <v>170</v>
      </c>
      <c r="D179" s="30" t="s">
        <v>1206</v>
      </c>
      <c r="E179" s="29" t="s">
        <v>1207</v>
      </c>
      <c r="F179" s="26" t="s">
        <v>141</v>
      </c>
      <c r="G179" s="46"/>
      <c r="H179" s="21"/>
    </row>
    <row r="180" spans="2:10" s="26" customFormat="1">
      <c r="B180" s="16" t="s">
        <v>137</v>
      </c>
      <c r="C180" s="26" t="s">
        <v>170</v>
      </c>
      <c r="D180" s="30" t="s">
        <v>1262</v>
      </c>
      <c r="E180" s="29" t="s">
        <v>1263</v>
      </c>
      <c r="F180" s="26" t="s">
        <v>141</v>
      </c>
      <c r="H180" s="21"/>
    </row>
    <row r="181" spans="2:10" s="26" customFormat="1">
      <c r="B181" s="16" t="s">
        <v>137</v>
      </c>
      <c r="C181" s="26" t="s">
        <v>170</v>
      </c>
      <c r="D181" s="30" t="s">
        <v>1234</v>
      </c>
      <c r="E181" s="29" t="s">
        <v>1235</v>
      </c>
      <c r="F181" s="26" t="s">
        <v>141</v>
      </c>
      <c r="H181" s="21"/>
    </row>
    <row r="182" spans="2:10" s="26" customFormat="1">
      <c r="B182" s="16" t="s">
        <v>137</v>
      </c>
      <c r="C182" s="26" t="s">
        <v>138</v>
      </c>
      <c r="D182" s="26" t="s">
        <v>1129</v>
      </c>
      <c r="E182" s="26" t="s">
        <v>1130</v>
      </c>
      <c r="F182" s="26" t="s">
        <v>141</v>
      </c>
      <c r="H182" s="21"/>
    </row>
    <row r="183" spans="2:10" s="26" customFormat="1">
      <c r="B183" s="16" t="s">
        <v>137</v>
      </c>
      <c r="C183" s="26" t="s">
        <v>138</v>
      </c>
      <c r="D183" s="26" t="s">
        <v>1155</v>
      </c>
      <c r="E183" s="26" t="s">
        <v>1156</v>
      </c>
      <c r="F183" s="26" t="s">
        <v>141</v>
      </c>
      <c r="H183" s="21"/>
    </row>
    <row r="184" spans="2:10" s="26" customFormat="1" ht="13">
      <c r="B184" s="16" t="s">
        <v>137</v>
      </c>
      <c r="C184" s="26" t="s">
        <v>994</v>
      </c>
      <c r="D184" s="47" t="s">
        <v>995</v>
      </c>
      <c r="E184" s="31" t="s">
        <v>996</v>
      </c>
      <c r="F184" s="26" t="s">
        <v>141</v>
      </c>
      <c r="G184" s="45"/>
      <c r="H184" s="21"/>
    </row>
    <row r="185" spans="2:10" s="26" customFormat="1" ht="13">
      <c r="B185" s="16" t="s">
        <v>137</v>
      </c>
      <c r="C185" s="26" t="s">
        <v>917</v>
      </c>
      <c r="D185" s="26" t="s">
        <v>1021</v>
      </c>
      <c r="E185" s="26" t="s">
        <v>1022</v>
      </c>
      <c r="F185" s="26" t="s">
        <v>141</v>
      </c>
      <c r="G185" s="45"/>
      <c r="H185" s="21"/>
    </row>
    <row r="186" spans="2:10" s="26" customFormat="1" ht="13">
      <c r="B186" s="16" t="s">
        <v>137</v>
      </c>
      <c r="C186" s="26" t="s">
        <v>920</v>
      </c>
      <c r="D186" s="26" t="s">
        <v>1047</v>
      </c>
      <c r="E186" s="26" t="s">
        <v>1048</v>
      </c>
      <c r="F186" s="26" t="s">
        <v>141</v>
      </c>
      <c r="G186" s="45"/>
      <c r="H186" s="21"/>
    </row>
    <row r="187" spans="2:10" s="26" customFormat="1">
      <c r="B187" s="16" t="s">
        <v>137</v>
      </c>
      <c r="C187" s="26" t="s">
        <v>469</v>
      </c>
      <c r="D187" s="53" t="s">
        <v>1073</v>
      </c>
      <c r="E187" s="53" t="s">
        <v>1074</v>
      </c>
      <c r="F187" s="26" t="s">
        <v>141</v>
      </c>
      <c r="H187" s="21"/>
    </row>
    <row r="188" spans="2:10" s="26" customFormat="1">
      <c r="B188" s="16" t="s">
        <v>137</v>
      </c>
      <c r="C188" s="26" t="s">
        <v>423</v>
      </c>
      <c r="D188" s="26" t="s">
        <v>1099</v>
      </c>
      <c r="E188" s="26" t="s">
        <v>1100</v>
      </c>
      <c r="F188" s="26" t="s">
        <v>141</v>
      </c>
      <c r="H188" s="21"/>
    </row>
    <row r="189" spans="2:10" s="26" customFormat="1" ht="13">
      <c r="B189" s="16" t="s">
        <v>137</v>
      </c>
      <c r="C189" s="26" t="s">
        <v>170</v>
      </c>
      <c r="D189" s="30" t="s">
        <v>979</v>
      </c>
      <c r="E189" s="29" t="s">
        <v>1499</v>
      </c>
      <c r="F189" s="26" t="s">
        <v>141</v>
      </c>
      <c r="G189" s="45"/>
      <c r="H189" s="21"/>
    </row>
    <row r="190" spans="2:10" s="26" customFormat="1">
      <c r="B190" s="16" t="s">
        <v>137</v>
      </c>
      <c r="C190" s="21" t="s">
        <v>138</v>
      </c>
      <c r="D190" s="21" t="s">
        <v>161</v>
      </c>
      <c r="E190" s="22" t="s">
        <v>162</v>
      </c>
      <c r="F190" s="35" t="s">
        <v>141</v>
      </c>
      <c r="G190" s="21"/>
      <c r="H190" s="21"/>
      <c r="I190" s="21"/>
      <c r="J190" s="21"/>
    </row>
    <row r="191" spans="2:10" s="26" customFormat="1">
      <c r="B191" s="16" t="s">
        <v>137</v>
      </c>
      <c r="C191" s="26" t="s">
        <v>170</v>
      </c>
      <c r="D191" s="30" t="s">
        <v>1218</v>
      </c>
      <c r="E191" s="29" t="s">
        <v>1219</v>
      </c>
      <c r="F191" s="26" t="s">
        <v>141</v>
      </c>
      <c r="G191" s="46"/>
      <c r="H191" s="21"/>
    </row>
    <row r="192" spans="2:10" s="26" customFormat="1">
      <c r="B192" s="16" t="s">
        <v>137</v>
      </c>
      <c r="C192" s="26" t="s">
        <v>170</v>
      </c>
      <c r="D192" s="30" t="s">
        <v>1274</v>
      </c>
      <c r="E192" s="29" t="s">
        <v>1275</v>
      </c>
      <c r="F192" s="26" t="s">
        <v>141</v>
      </c>
      <c r="H192" s="21"/>
    </row>
    <row r="193" spans="2:8" s="26" customFormat="1">
      <c r="B193" s="16" t="s">
        <v>137</v>
      </c>
      <c r="C193" s="26" t="s">
        <v>170</v>
      </c>
      <c r="D193" s="30" t="s">
        <v>1246</v>
      </c>
      <c r="E193" s="29" t="s">
        <v>1247</v>
      </c>
      <c r="F193" s="26" t="s">
        <v>141</v>
      </c>
      <c r="H193" s="21"/>
    </row>
    <row r="194" spans="2:8" s="26" customFormat="1">
      <c r="B194" s="16" t="s">
        <v>137</v>
      </c>
      <c r="C194" s="26" t="s">
        <v>138</v>
      </c>
      <c r="D194" s="26" t="s">
        <v>1131</v>
      </c>
      <c r="E194" s="26" t="s">
        <v>1132</v>
      </c>
      <c r="F194" s="26" t="s">
        <v>141</v>
      </c>
      <c r="H194" s="21"/>
    </row>
    <row r="195" spans="2:8" s="26" customFormat="1">
      <c r="B195" s="16" t="s">
        <v>137</v>
      </c>
      <c r="C195" s="26" t="s">
        <v>138</v>
      </c>
      <c r="D195" s="26" t="s">
        <v>1157</v>
      </c>
      <c r="E195" s="26" t="s">
        <v>1158</v>
      </c>
      <c r="F195" s="26" t="s">
        <v>141</v>
      </c>
      <c r="H195" s="21"/>
    </row>
    <row r="196" spans="2:8" s="26" customFormat="1" ht="13">
      <c r="B196" s="16" t="s">
        <v>137</v>
      </c>
      <c r="C196" s="26" t="s">
        <v>994</v>
      </c>
      <c r="D196" s="47" t="s">
        <v>997</v>
      </c>
      <c r="E196" s="31" t="s">
        <v>998</v>
      </c>
      <c r="F196" s="26" t="s">
        <v>141</v>
      </c>
      <c r="G196" s="45"/>
      <c r="H196" s="21"/>
    </row>
    <row r="197" spans="2:8" s="26" customFormat="1" ht="13">
      <c r="B197" s="16" t="s">
        <v>137</v>
      </c>
      <c r="C197" s="26" t="s">
        <v>917</v>
      </c>
      <c r="D197" s="26" t="s">
        <v>1023</v>
      </c>
      <c r="E197" s="26" t="s">
        <v>1024</v>
      </c>
      <c r="F197" s="26" t="s">
        <v>141</v>
      </c>
      <c r="G197" s="45"/>
      <c r="H197" s="21"/>
    </row>
    <row r="198" spans="2:8" s="26" customFormat="1" ht="13">
      <c r="B198" s="16" t="s">
        <v>137</v>
      </c>
      <c r="C198" s="26" t="s">
        <v>920</v>
      </c>
      <c r="D198" s="26" t="s">
        <v>1049</v>
      </c>
      <c r="E198" s="26" t="s">
        <v>1050</v>
      </c>
      <c r="F198" s="26" t="s">
        <v>141</v>
      </c>
      <c r="G198" s="45"/>
      <c r="H198" s="21"/>
    </row>
    <row r="199" spans="2:8" s="26" customFormat="1">
      <c r="B199" s="16" t="s">
        <v>137</v>
      </c>
      <c r="C199" s="26" t="s">
        <v>469</v>
      </c>
      <c r="D199" s="53" t="s">
        <v>1075</v>
      </c>
      <c r="E199" s="53" t="s">
        <v>1076</v>
      </c>
      <c r="F199" s="26" t="s">
        <v>141</v>
      </c>
      <c r="H199" s="21"/>
    </row>
    <row r="200" spans="2:8" s="26" customFormat="1">
      <c r="B200" s="16" t="s">
        <v>137</v>
      </c>
      <c r="C200" s="26" t="s">
        <v>423</v>
      </c>
      <c r="D200" s="26" t="s">
        <v>1101</v>
      </c>
      <c r="E200" s="26" t="s">
        <v>1102</v>
      </c>
      <c r="F200" s="26" t="s">
        <v>141</v>
      </c>
      <c r="H200" s="21"/>
    </row>
    <row r="201" spans="2:8" s="26" customFormat="1" ht="13">
      <c r="B201" s="16" t="s">
        <v>137</v>
      </c>
      <c r="C201" s="26" t="s">
        <v>170</v>
      </c>
      <c r="D201" s="30" t="s">
        <v>980</v>
      </c>
      <c r="E201" s="29" t="s">
        <v>1498</v>
      </c>
      <c r="F201" s="26" t="s">
        <v>141</v>
      </c>
      <c r="G201" s="45"/>
      <c r="H201" s="21"/>
    </row>
    <row r="202" spans="2:8" s="26" customFormat="1">
      <c r="B202" s="16" t="s">
        <v>137</v>
      </c>
      <c r="C202" s="26" t="s">
        <v>170</v>
      </c>
      <c r="D202" s="30" t="s">
        <v>1220</v>
      </c>
      <c r="E202" s="29" t="s">
        <v>1221</v>
      </c>
      <c r="F202" s="26" t="s">
        <v>141</v>
      </c>
      <c r="G202" s="46"/>
      <c r="H202" s="21"/>
    </row>
    <row r="203" spans="2:8" s="26" customFormat="1">
      <c r="B203" s="16" t="s">
        <v>137</v>
      </c>
      <c r="C203" s="26" t="s">
        <v>170</v>
      </c>
      <c r="D203" s="30" t="s">
        <v>1276</v>
      </c>
      <c r="E203" s="29" t="s">
        <v>1277</v>
      </c>
      <c r="F203" s="26" t="s">
        <v>141</v>
      </c>
      <c r="H203" s="21"/>
    </row>
    <row r="204" spans="2:8" s="26" customFormat="1">
      <c r="B204" s="16" t="s">
        <v>137</v>
      </c>
      <c r="C204" s="26" t="s">
        <v>170</v>
      </c>
      <c r="D204" s="30" t="s">
        <v>1248</v>
      </c>
      <c r="E204" s="29" t="s">
        <v>1249</v>
      </c>
      <c r="F204" s="26" t="s">
        <v>141</v>
      </c>
      <c r="H204" s="21"/>
    </row>
    <row r="205" spans="2:8" s="26" customFormat="1">
      <c r="B205" s="16" t="s">
        <v>137</v>
      </c>
      <c r="C205" s="26" t="s">
        <v>138</v>
      </c>
      <c r="D205" s="26" t="s">
        <v>1133</v>
      </c>
      <c r="E205" s="26" t="s">
        <v>1134</v>
      </c>
      <c r="F205" s="26" t="s">
        <v>141</v>
      </c>
      <c r="H205" s="21"/>
    </row>
    <row r="206" spans="2:8" s="26" customFormat="1">
      <c r="B206" s="16" t="s">
        <v>137</v>
      </c>
      <c r="C206" s="26" t="s">
        <v>138</v>
      </c>
      <c r="D206" s="26" t="s">
        <v>1159</v>
      </c>
      <c r="E206" s="26" t="s">
        <v>1160</v>
      </c>
      <c r="F206" s="26" t="s">
        <v>141</v>
      </c>
      <c r="H206" s="21"/>
    </row>
    <row r="207" spans="2:8" s="26" customFormat="1" ht="13">
      <c r="B207" s="16" t="s">
        <v>137</v>
      </c>
      <c r="C207" s="26" t="s">
        <v>994</v>
      </c>
      <c r="D207" s="47" t="s">
        <v>999</v>
      </c>
      <c r="E207" s="31" t="s">
        <v>1000</v>
      </c>
      <c r="F207" s="26" t="s">
        <v>141</v>
      </c>
      <c r="G207" s="45"/>
      <c r="H207" s="21"/>
    </row>
    <row r="208" spans="2:8" s="26" customFormat="1" ht="13">
      <c r="B208" s="16" t="s">
        <v>137</v>
      </c>
      <c r="C208" s="26" t="s">
        <v>917</v>
      </c>
      <c r="D208" s="26" t="s">
        <v>1025</v>
      </c>
      <c r="E208" s="26" t="s">
        <v>1026</v>
      </c>
      <c r="F208" s="26" t="s">
        <v>141</v>
      </c>
      <c r="G208" s="45"/>
      <c r="H208" s="21"/>
    </row>
    <row r="209" spans="2:10" s="26" customFormat="1" ht="13">
      <c r="B209" s="16" t="s">
        <v>137</v>
      </c>
      <c r="C209" s="26" t="s">
        <v>920</v>
      </c>
      <c r="D209" s="26" t="s">
        <v>1051</v>
      </c>
      <c r="E209" s="26" t="s">
        <v>1052</v>
      </c>
      <c r="F209" s="26" t="s">
        <v>141</v>
      </c>
      <c r="G209" s="45"/>
      <c r="H209" s="21"/>
    </row>
    <row r="210" spans="2:10" s="26" customFormat="1">
      <c r="B210" s="16" t="s">
        <v>137</v>
      </c>
      <c r="C210" s="26" t="s">
        <v>469</v>
      </c>
      <c r="D210" s="53" t="s">
        <v>1077</v>
      </c>
      <c r="E210" s="53" t="s">
        <v>1078</v>
      </c>
      <c r="F210" s="26" t="s">
        <v>141</v>
      </c>
      <c r="H210" s="21"/>
    </row>
    <row r="211" spans="2:10" s="26" customFormat="1">
      <c r="B211" s="16" t="s">
        <v>137</v>
      </c>
      <c r="C211" s="26" t="s">
        <v>423</v>
      </c>
      <c r="D211" s="26" t="s">
        <v>1103</v>
      </c>
      <c r="E211" s="26" t="s">
        <v>1104</v>
      </c>
      <c r="F211" s="26" t="s">
        <v>141</v>
      </c>
      <c r="H211" s="21"/>
    </row>
    <row r="212" spans="2:10" s="26" customFormat="1" ht="13">
      <c r="B212" s="16" t="s">
        <v>137</v>
      </c>
      <c r="C212" s="26" t="s">
        <v>170</v>
      </c>
      <c r="D212" s="30" t="s">
        <v>981</v>
      </c>
      <c r="E212" s="29" t="s">
        <v>1497</v>
      </c>
      <c r="F212" s="26" t="s">
        <v>141</v>
      </c>
      <c r="G212" s="45"/>
      <c r="H212" s="21"/>
    </row>
    <row r="213" spans="2:10" s="26" customFormat="1">
      <c r="B213" s="16" t="s">
        <v>137</v>
      </c>
      <c r="C213" s="26" t="s">
        <v>138</v>
      </c>
      <c r="D213" s="26" t="s">
        <v>360</v>
      </c>
      <c r="E213" s="26" t="s">
        <v>361</v>
      </c>
      <c r="F213" s="26" t="s">
        <v>167</v>
      </c>
      <c r="H213" s="21"/>
    </row>
    <row r="214" spans="2:10" s="26" customFormat="1">
      <c r="B214" s="16" t="s">
        <v>137</v>
      </c>
      <c r="C214" s="26" t="s">
        <v>138</v>
      </c>
      <c r="D214" s="47" t="s">
        <v>362</v>
      </c>
      <c r="E214" s="47" t="s">
        <v>363</v>
      </c>
      <c r="F214" s="26" t="s">
        <v>141</v>
      </c>
      <c r="H214" s="21"/>
    </row>
    <row r="215" spans="2:10" s="26" customFormat="1">
      <c r="B215" s="16" t="s">
        <v>137</v>
      </c>
      <c r="C215" s="21" t="s">
        <v>138</v>
      </c>
      <c r="D215" s="21" t="s">
        <v>176</v>
      </c>
      <c r="E215" s="21" t="s">
        <v>177</v>
      </c>
      <c r="F215" s="21" t="s">
        <v>167</v>
      </c>
      <c r="G215" s="21"/>
      <c r="H215" s="21"/>
      <c r="I215" s="21"/>
      <c r="J215" s="21"/>
    </row>
    <row r="216" spans="2:10" s="26" customFormat="1">
      <c r="B216" s="16" t="s">
        <v>137</v>
      </c>
      <c r="C216" s="21" t="s">
        <v>138</v>
      </c>
      <c r="D216" s="38" t="s">
        <v>188</v>
      </c>
      <c r="E216" s="21" t="s">
        <v>189</v>
      </c>
      <c r="F216" s="21" t="s">
        <v>141</v>
      </c>
      <c r="G216" s="21"/>
      <c r="H216" s="21"/>
      <c r="I216" s="21"/>
      <c r="J216" s="21"/>
    </row>
    <row r="217" spans="2:10" s="26" customFormat="1">
      <c r="B217" s="16" t="s">
        <v>137</v>
      </c>
      <c r="C217" s="21" t="s">
        <v>138</v>
      </c>
      <c r="D217" s="21" t="s">
        <v>178</v>
      </c>
      <c r="E217" s="21" t="s">
        <v>179</v>
      </c>
      <c r="F217" s="21" t="s">
        <v>167</v>
      </c>
      <c r="G217" s="21"/>
      <c r="H217" s="21"/>
      <c r="I217" s="21"/>
      <c r="J217" s="21"/>
    </row>
    <row r="218" spans="2:10" s="26" customFormat="1">
      <c r="B218" s="16" t="s">
        <v>137</v>
      </c>
      <c r="C218" s="21" t="s">
        <v>138</v>
      </c>
      <c r="D218" s="21" t="s">
        <v>190</v>
      </c>
      <c r="E218" s="21" t="s">
        <v>191</v>
      </c>
      <c r="F218" s="21" t="s">
        <v>141</v>
      </c>
      <c r="G218" s="21"/>
      <c r="H218" s="21"/>
      <c r="I218" s="21"/>
      <c r="J218" s="21"/>
    </row>
    <row r="219" spans="2:10" s="26" customFormat="1">
      <c r="B219" s="16" t="s">
        <v>137</v>
      </c>
      <c r="C219" s="21" t="s">
        <v>138</v>
      </c>
      <c r="D219" s="21" t="s">
        <v>57</v>
      </c>
      <c r="E219" s="21" t="s">
        <v>276</v>
      </c>
      <c r="F219" s="21" t="s">
        <v>141</v>
      </c>
      <c r="G219" s="21"/>
      <c r="H219" s="21" t="s">
        <v>56</v>
      </c>
      <c r="I219" s="21" t="s">
        <v>2007</v>
      </c>
      <c r="J219" s="21" t="s">
        <v>57</v>
      </c>
    </row>
    <row r="220" spans="2:10" s="26" customFormat="1">
      <c r="B220" s="16" t="s">
        <v>137</v>
      </c>
      <c r="C220" s="21" t="s">
        <v>138</v>
      </c>
      <c r="D220" s="21" t="s">
        <v>274</v>
      </c>
      <c r="E220" s="21" t="s">
        <v>275</v>
      </c>
      <c r="F220" s="21" t="s">
        <v>141</v>
      </c>
      <c r="G220" s="21"/>
      <c r="H220" s="21"/>
      <c r="I220" s="21"/>
      <c r="J220" s="21"/>
    </row>
    <row r="221" spans="2:10" s="26" customFormat="1">
      <c r="B221" s="16" t="s">
        <v>137</v>
      </c>
      <c r="C221" s="65" t="s">
        <v>77</v>
      </c>
      <c r="D221" s="65" t="s">
        <v>782</v>
      </c>
      <c r="E221" s="65" t="s">
        <v>1511</v>
      </c>
      <c r="F221" s="65" t="s">
        <v>141</v>
      </c>
      <c r="G221" s="43"/>
      <c r="H221" s="21" t="s">
        <v>56</v>
      </c>
      <c r="I221" s="43"/>
      <c r="J221" s="21" t="s">
        <v>57</v>
      </c>
    </row>
    <row r="222" spans="2:10" s="26" customFormat="1">
      <c r="B222" s="16" t="s">
        <v>137</v>
      </c>
      <c r="C222" s="21" t="s">
        <v>138</v>
      </c>
      <c r="D222" s="21" t="s">
        <v>677</v>
      </c>
      <c r="E222" s="21" t="s">
        <v>678</v>
      </c>
      <c r="F222" s="21" t="s">
        <v>141</v>
      </c>
      <c r="G222" s="21"/>
      <c r="H222" s="21"/>
      <c r="I222" s="21"/>
      <c r="J222" s="21"/>
    </row>
    <row r="223" spans="2:10" s="26" customFormat="1">
      <c r="B223" s="16" t="s">
        <v>137</v>
      </c>
      <c r="C223" s="21" t="s">
        <v>138</v>
      </c>
      <c r="D223" s="21" t="s">
        <v>200</v>
      </c>
      <c r="E223" s="21" t="s">
        <v>201</v>
      </c>
      <c r="F223" s="21" t="s">
        <v>141</v>
      </c>
      <c r="G223" s="21"/>
      <c r="H223" s="21"/>
      <c r="I223" s="21"/>
      <c r="J223" s="21"/>
    </row>
    <row r="224" spans="2:10" s="26" customFormat="1">
      <c r="B224" s="16" t="s">
        <v>137</v>
      </c>
      <c r="C224" s="21" t="s">
        <v>138</v>
      </c>
      <c r="D224" s="21" t="s">
        <v>682</v>
      </c>
      <c r="E224" s="21" t="s">
        <v>683</v>
      </c>
      <c r="F224" s="21" t="s">
        <v>141</v>
      </c>
      <c r="G224" s="21"/>
      <c r="H224" s="21"/>
      <c r="I224" s="21"/>
      <c r="J224" s="21"/>
    </row>
    <row r="225" spans="2:10" s="26" customFormat="1">
      <c r="B225" s="16" t="s">
        <v>137</v>
      </c>
      <c r="C225" s="21" t="s">
        <v>138</v>
      </c>
      <c r="D225" s="21" t="s">
        <v>220</v>
      </c>
      <c r="E225" s="21" t="s">
        <v>221</v>
      </c>
      <c r="F225" s="21" t="s">
        <v>141</v>
      </c>
      <c r="G225" s="21"/>
      <c r="H225" s="21"/>
      <c r="I225" s="21"/>
      <c r="J225" s="21"/>
    </row>
    <row r="226" spans="2:10" s="26" customFormat="1">
      <c r="B226" s="16" t="s">
        <v>137</v>
      </c>
      <c r="C226" s="21" t="s">
        <v>138</v>
      </c>
      <c r="D226" s="21" t="s">
        <v>694</v>
      </c>
      <c r="E226" s="21" t="s">
        <v>695</v>
      </c>
      <c r="F226" s="21" t="s">
        <v>141</v>
      </c>
      <c r="G226" s="21"/>
      <c r="H226" s="21"/>
      <c r="I226" s="21"/>
      <c r="J226" s="21"/>
    </row>
    <row r="227" spans="2:10" s="26" customFormat="1">
      <c r="B227" s="16" t="s">
        <v>137</v>
      </c>
      <c r="C227" s="21" t="s">
        <v>138</v>
      </c>
      <c r="D227" s="21" t="s">
        <v>696</v>
      </c>
      <c r="E227" s="21" t="s">
        <v>695</v>
      </c>
      <c r="F227" s="21" t="s">
        <v>141</v>
      </c>
      <c r="G227" s="21"/>
      <c r="H227" s="21"/>
      <c r="I227" s="21"/>
      <c r="J227" s="21"/>
    </row>
    <row r="228" spans="2:10" s="26" customFormat="1">
      <c r="B228" s="16" t="s">
        <v>137</v>
      </c>
      <c r="C228" s="21" t="s">
        <v>138</v>
      </c>
      <c r="D228" s="21" t="s">
        <v>697</v>
      </c>
      <c r="E228" s="21" t="s">
        <v>695</v>
      </c>
      <c r="F228" s="21" t="s">
        <v>141</v>
      </c>
      <c r="G228" s="21"/>
      <c r="H228" s="21"/>
      <c r="I228" s="21"/>
      <c r="J228" s="21"/>
    </row>
    <row r="229" spans="2:10" s="26" customFormat="1">
      <c r="B229" s="16" t="s">
        <v>137</v>
      </c>
      <c r="C229" s="21" t="s">
        <v>138</v>
      </c>
      <c r="D229" s="21" t="s">
        <v>698</v>
      </c>
      <c r="E229" s="21" t="s">
        <v>695</v>
      </c>
      <c r="F229" s="21" t="s">
        <v>141</v>
      </c>
      <c r="G229" s="21"/>
      <c r="H229" s="21"/>
      <c r="I229" s="21"/>
      <c r="J229" s="21"/>
    </row>
    <row r="230" spans="2:10" s="26" customFormat="1">
      <c r="B230" s="16" t="s">
        <v>137</v>
      </c>
      <c r="C230" s="21" t="s">
        <v>138</v>
      </c>
      <c r="D230" s="21" t="s">
        <v>699</v>
      </c>
      <c r="E230" s="21" t="s">
        <v>695</v>
      </c>
      <c r="F230" s="21" t="s">
        <v>141</v>
      </c>
      <c r="G230" s="21"/>
      <c r="H230" s="21"/>
      <c r="I230" s="21"/>
      <c r="J230" s="21"/>
    </row>
    <row r="231" spans="2:10" s="26" customFormat="1">
      <c r="B231" s="16" t="s">
        <v>137</v>
      </c>
      <c r="C231" s="21" t="s">
        <v>138</v>
      </c>
      <c r="D231" s="21" t="s">
        <v>700</v>
      </c>
      <c r="E231" s="21" t="s">
        <v>695</v>
      </c>
      <c r="F231" s="21" t="s">
        <v>141</v>
      </c>
      <c r="G231" s="21"/>
      <c r="H231" s="21"/>
      <c r="I231" s="21"/>
      <c r="J231" s="21"/>
    </row>
    <row r="232" spans="2:10" s="26" customFormat="1">
      <c r="B232" s="16" t="s">
        <v>137</v>
      </c>
      <c r="C232" s="21" t="s">
        <v>138</v>
      </c>
      <c r="D232" s="21" t="s">
        <v>701</v>
      </c>
      <c r="E232" s="21" t="s">
        <v>695</v>
      </c>
      <c r="F232" s="21" t="s">
        <v>141</v>
      </c>
      <c r="G232" s="21"/>
      <c r="H232" s="21"/>
      <c r="I232" s="21"/>
      <c r="J232" s="21"/>
    </row>
    <row r="233" spans="2:10" s="26" customFormat="1">
      <c r="B233" s="16" t="s">
        <v>137</v>
      </c>
      <c r="C233" s="21" t="s">
        <v>138</v>
      </c>
      <c r="D233" s="21" t="s">
        <v>642</v>
      </c>
      <c r="E233" s="21" t="s">
        <v>643</v>
      </c>
      <c r="F233" s="21" t="s">
        <v>141</v>
      </c>
      <c r="G233" s="21"/>
      <c r="H233" s="21"/>
      <c r="I233" s="21"/>
      <c r="J233" s="21"/>
    </row>
    <row r="234" spans="2:10" s="26" customFormat="1">
      <c r="B234" s="16" t="s">
        <v>137</v>
      </c>
      <c r="C234" s="21" t="s">
        <v>138</v>
      </c>
      <c r="D234" s="21" t="s">
        <v>640</v>
      </c>
      <c r="E234" s="42" t="s">
        <v>641</v>
      </c>
      <c r="F234" s="21" t="s">
        <v>141</v>
      </c>
      <c r="G234" s="21"/>
      <c r="H234" s="21"/>
      <c r="I234" s="21"/>
      <c r="J234" s="21"/>
    </row>
    <row r="235" spans="2:10" s="26" customFormat="1">
      <c r="B235" s="16" t="s">
        <v>137</v>
      </c>
      <c r="C235" s="21" t="s">
        <v>138</v>
      </c>
      <c r="D235" s="21" t="s">
        <v>644</v>
      </c>
      <c r="E235" s="21" t="s">
        <v>645</v>
      </c>
      <c r="F235" s="21" t="s">
        <v>141</v>
      </c>
      <c r="G235" s="21"/>
      <c r="H235" s="21"/>
      <c r="I235" s="21"/>
      <c r="J235" s="21"/>
    </row>
    <row r="236" spans="2:10" s="26" customFormat="1">
      <c r="B236" s="16" t="s">
        <v>137</v>
      </c>
      <c r="C236" s="21" t="s">
        <v>138</v>
      </c>
      <c r="D236" s="21" t="s">
        <v>671</v>
      </c>
      <c r="E236" s="21" t="s">
        <v>672</v>
      </c>
      <c r="F236" s="21" t="s">
        <v>141</v>
      </c>
      <c r="G236" s="21"/>
      <c r="H236" s="21"/>
      <c r="I236" s="21"/>
      <c r="J236" s="21"/>
    </row>
    <row r="237" spans="2:10" s="26" customFormat="1">
      <c r="B237" s="16" t="s">
        <v>137</v>
      </c>
      <c r="C237" s="21" t="s">
        <v>138</v>
      </c>
      <c r="D237" s="21" t="s">
        <v>667</v>
      </c>
      <c r="E237" s="21" t="s">
        <v>668</v>
      </c>
      <c r="F237" s="21" t="s">
        <v>141</v>
      </c>
      <c r="G237" s="21"/>
      <c r="H237" s="21"/>
      <c r="I237" s="21"/>
      <c r="J237" s="21"/>
    </row>
    <row r="238" spans="2:10" s="26" customFormat="1">
      <c r="B238" s="16" t="s">
        <v>137</v>
      </c>
      <c r="C238" s="65" t="s">
        <v>77</v>
      </c>
      <c r="D238" s="65" t="s">
        <v>1512</v>
      </c>
      <c r="E238" s="65" t="s">
        <v>1513</v>
      </c>
      <c r="F238" s="65" t="s">
        <v>141</v>
      </c>
      <c r="G238" s="43"/>
      <c r="H238" s="21" t="s">
        <v>56</v>
      </c>
      <c r="I238" s="43"/>
      <c r="J238" s="21" t="s">
        <v>57</v>
      </c>
    </row>
    <row r="239" spans="2:10" s="26" customFormat="1">
      <c r="B239" s="16" t="s">
        <v>137</v>
      </c>
      <c r="C239" s="21" t="s">
        <v>138</v>
      </c>
      <c r="D239" s="21" t="s">
        <v>680</v>
      </c>
      <c r="E239" s="21" t="s">
        <v>681</v>
      </c>
      <c r="F239" s="21" t="s">
        <v>141</v>
      </c>
      <c r="G239" s="21"/>
      <c r="H239" s="21"/>
      <c r="I239" s="21"/>
      <c r="J239" s="21"/>
    </row>
    <row r="240" spans="2:10" s="26" customFormat="1">
      <c r="B240" s="16" t="s">
        <v>137</v>
      </c>
      <c r="C240" s="26" t="s">
        <v>138</v>
      </c>
      <c r="D240" s="33" t="s">
        <v>679</v>
      </c>
      <c r="E240" s="26" t="s">
        <v>837</v>
      </c>
      <c r="F240" s="26" t="s">
        <v>141</v>
      </c>
      <c r="H240" s="21"/>
    </row>
    <row r="241" spans="2:10" s="26" customFormat="1">
      <c r="B241" s="16" t="s">
        <v>137</v>
      </c>
      <c r="C241" s="65" t="s">
        <v>77</v>
      </c>
      <c r="D241" s="65" t="s">
        <v>1509</v>
      </c>
      <c r="E241" s="65" t="s">
        <v>1510</v>
      </c>
      <c r="F241" s="65" t="s">
        <v>141</v>
      </c>
      <c r="G241" s="43"/>
      <c r="H241" s="21" t="s">
        <v>56</v>
      </c>
      <c r="I241" s="43"/>
      <c r="J241" s="21" t="s">
        <v>57</v>
      </c>
    </row>
    <row r="242" spans="2:10" s="26" customFormat="1" ht="13">
      <c r="B242" s="16" t="s">
        <v>137</v>
      </c>
      <c r="C242" s="26" t="s">
        <v>138</v>
      </c>
      <c r="D242" s="47" t="s">
        <v>666</v>
      </c>
      <c r="E242" s="47" t="s">
        <v>844</v>
      </c>
      <c r="F242" s="25" t="s">
        <v>141</v>
      </c>
      <c r="G242" s="45"/>
      <c r="H242" s="21"/>
    </row>
    <row r="243" spans="2:10" s="26" customFormat="1">
      <c r="B243" s="16" t="s">
        <v>137</v>
      </c>
      <c r="C243" s="21" t="s">
        <v>138</v>
      </c>
      <c r="D243" s="21" t="s">
        <v>734</v>
      </c>
      <c r="E243" s="21" t="s">
        <v>735</v>
      </c>
      <c r="F243" s="21" t="s">
        <v>141</v>
      </c>
      <c r="G243" s="21"/>
      <c r="H243" s="21"/>
      <c r="I243" s="21"/>
      <c r="J243" s="21"/>
    </row>
    <row r="244" spans="2:10" s="26" customFormat="1">
      <c r="B244" s="16" t="s">
        <v>137</v>
      </c>
      <c r="C244" s="21" t="s">
        <v>138</v>
      </c>
      <c r="D244" s="21" t="s">
        <v>660</v>
      </c>
      <c r="E244" s="21" t="s">
        <v>661</v>
      </c>
      <c r="F244" s="21" t="s">
        <v>141</v>
      </c>
      <c r="G244" s="21"/>
      <c r="H244" s="21"/>
      <c r="I244" s="21"/>
      <c r="J244" s="21"/>
    </row>
    <row r="245" spans="2:10" s="26" customFormat="1">
      <c r="B245" s="16" t="s">
        <v>137</v>
      </c>
      <c r="C245" s="21" t="s">
        <v>138</v>
      </c>
      <c r="D245" s="21" t="s">
        <v>662</v>
      </c>
      <c r="E245" s="21" t="s">
        <v>663</v>
      </c>
      <c r="F245" s="21" t="s">
        <v>141</v>
      </c>
      <c r="G245" s="21"/>
      <c r="H245" s="21"/>
      <c r="I245" s="21"/>
      <c r="J245" s="21"/>
    </row>
    <row r="246" spans="2:10" s="26" customFormat="1">
      <c r="B246" s="16" t="s">
        <v>137</v>
      </c>
      <c r="C246" s="21" t="s">
        <v>138</v>
      </c>
      <c r="D246" s="21" t="s">
        <v>664</v>
      </c>
      <c r="E246" s="21" t="s">
        <v>665</v>
      </c>
      <c r="F246" s="21" t="s">
        <v>141</v>
      </c>
      <c r="G246" s="21"/>
      <c r="H246" s="21"/>
      <c r="I246" s="21"/>
      <c r="J246" s="21"/>
    </row>
    <row r="247" spans="2:10" s="26" customFormat="1">
      <c r="B247" s="16" t="s">
        <v>137</v>
      </c>
      <c r="C247" s="65" t="s">
        <v>77</v>
      </c>
      <c r="D247" s="65" t="s">
        <v>1518</v>
      </c>
      <c r="E247" s="65" t="s">
        <v>1519</v>
      </c>
      <c r="F247" s="65" t="s">
        <v>141</v>
      </c>
      <c r="G247" s="43"/>
      <c r="H247" s="21" t="s">
        <v>56</v>
      </c>
      <c r="I247" s="43"/>
      <c r="J247" s="21" t="s">
        <v>57</v>
      </c>
    </row>
    <row r="248" spans="2:10" s="26" customFormat="1">
      <c r="B248" s="16" t="s">
        <v>137</v>
      </c>
      <c r="C248" s="65" t="s">
        <v>77</v>
      </c>
      <c r="D248" s="65" t="s">
        <v>1514</v>
      </c>
      <c r="E248" s="65" t="s">
        <v>1515</v>
      </c>
      <c r="F248" s="65" t="s">
        <v>141</v>
      </c>
      <c r="G248" s="43"/>
      <c r="H248" s="21" t="s">
        <v>56</v>
      </c>
      <c r="I248" s="43"/>
      <c r="J248" s="21" t="s">
        <v>57</v>
      </c>
    </row>
    <row r="249" spans="2:10" s="26" customFormat="1">
      <c r="B249" s="16" t="s">
        <v>137</v>
      </c>
      <c r="C249" s="65" t="s">
        <v>77</v>
      </c>
      <c r="D249" s="65" t="s">
        <v>1516</v>
      </c>
      <c r="E249" s="65" t="s">
        <v>1517</v>
      </c>
      <c r="F249" s="65" t="s">
        <v>141</v>
      </c>
      <c r="G249" s="43"/>
      <c r="H249" s="21" t="s">
        <v>56</v>
      </c>
      <c r="I249" s="43"/>
      <c r="J249" s="21" t="s">
        <v>57</v>
      </c>
    </row>
    <row r="250" spans="2:10" s="26" customFormat="1">
      <c r="B250" s="16" t="s">
        <v>137</v>
      </c>
      <c r="C250" s="26" t="s">
        <v>138</v>
      </c>
      <c r="D250" s="26" t="s">
        <v>650</v>
      </c>
      <c r="E250" s="26" t="s">
        <v>1195</v>
      </c>
      <c r="F250" s="26" t="s">
        <v>141</v>
      </c>
      <c r="H250" s="21"/>
    </row>
    <row r="251" spans="2:10" s="26" customFormat="1">
      <c r="B251" s="16" t="s">
        <v>137</v>
      </c>
      <c r="C251" s="21" t="s">
        <v>138</v>
      </c>
      <c r="D251" s="21" t="s">
        <v>648</v>
      </c>
      <c r="E251" s="21" t="s">
        <v>649</v>
      </c>
      <c r="F251" s="21" t="s">
        <v>141</v>
      </c>
      <c r="G251" s="21"/>
      <c r="H251" s="21"/>
      <c r="I251" s="21"/>
      <c r="J251" s="21"/>
    </row>
    <row r="252" spans="2:10" s="26" customFormat="1">
      <c r="B252" s="16" t="s">
        <v>137</v>
      </c>
      <c r="C252" s="21" t="s">
        <v>138</v>
      </c>
      <c r="D252" s="41" t="s">
        <v>656</v>
      </c>
      <c r="E252" s="21" t="s">
        <v>657</v>
      </c>
      <c r="F252" s="21" t="s">
        <v>141</v>
      </c>
      <c r="G252" s="21"/>
      <c r="H252" s="21"/>
      <c r="I252" s="21"/>
      <c r="J252" s="21"/>
    </row>
    <row r="253" spans="2:10" s="26" customFormat="1">
      <c r="B253" s="16" t="s">
        <v>137</v>
      </c>
      <c r="C253" s="21" t="s">
        <v>138</v>
      </c>
      <c r="D253" s="21" t="s">
        <v>652</v>
      </c>
      <c r="E253" s="21" t="s">
        <v>653</v>
      </c>
      <c r="F253" s="21" t="s">
        <v>141</v>
      </c>
      <c r="G253" s="21"/>
      <c r="H253" s="21"/>
      <c r="I253" s="21"/>
      <c r="J253" s="21"/>
    </row>
    <row r="254" spans="2:10" s="26" customFormat="1">
      <c r="B254" s="16" t="s">
        <v>137</v>
      </c>
      <c r="C254" s="26" t="s">
        <v>138</v>
      </c>
      <c r="D254" s="26" t="s">
        <v>651</v>
      </c>
      <c r="E254" s="26" t="s">
        <v>1192</v>
      </c>
      <c r="F254" s="26" t="s">
        <v>141</v>
      </c>
      <c r="H254" s="21"/>
    </row>
    <row r="255" spans="2:10" s="26" customFormat="1">
      <c r="B255" s="16" t="s">
        <v>137</v>
      </c>
      <c r="C255" s="21" t="s">
        <v>138</v>
      </c>
      <c r="D255" s="21" t="s">
        <v>646</v>
      </c>
      <c r="E255" s="42" t="s">
        <v>647</v>
      </c>
      <c r="F255" s="21" t="s">
        <v>141</v>
      </c>
      <c r="G255" s="21"/>
      <c r="H255" s="21"/>
      <c r="I255" s="21"/>
      <c r="J255" s="21"/>
    </row>
    <row r="256" spans="2:10" s="26" customFormat="1">
      <c r="B256" s="16" t="s">
        <v>137</v>
      </c>
      <c r="C256" s="21" t="s">
        <v>138</v>
      </c>
      <c r="D256" s="41" t="s">
        <v>658</v>
      </c>
      <c r="E256" s="21" t="s">
        <v>659</v>
      </c>
      <c r="F256" s="21" t="s">
        <v>141</v>
      </c>
      <c r="G256" s="21"/>
      <c r="H256" s="21"/>
      <c r="I256" s="21"/>
      <c r="J256" s="21"/>
    </row>
    <row r="257" spans="2:10" s="26" customFormat="1">
      <c r="B257" s="16" t="s">
        <v>137</v>
      </c>
      <c r="C257" s="21" t="s">
        <v>138</v>
      </c>
      <c r="D257" s="21" t="s">
        <v>654</v>
      </c>
      <c r="E257" s="21" t="s">
        <v>655</v>
      </c>
      <c r="F257" s="21" t="s">
        <v>141</v>
      </c>
      <c r="G257" s="21"/>
      <c r="H257" s="21"/>
      <c r="I257" s="21"/>
      <c r="J257" s="21"/>
    </row>
    <row r="258" spans="2:10" s="26" customFormat="1">
      <c r="B258" s="16" t="s">
        <v>137</v>
      </c>
      <c r="C258" s="21" t="s">
        <v>138</v>
      </c>
      <c r="D258" s="21" t="s">
        <v>240</v>
      </c>
      <c r="E258" s="21" t="s">
        <v>241</v>
      </c>
      <c r="F258" s="21" t="s">
        <v>141</v>
      </c>
      <c r="G258" s="21"/>
      <c r="H258" s="21"/>
      <c r="I258" s="21"/>
      <c r="J258" s="21"/>
    </row>
    <row r="259" spans="2:10" s="26" customFormat="1">
      <c r="B259" s="16" t="s">
        <v>137</v>
      </c>
      <c r="C259" s="26" t="s">
        <v>170</v>
      </c>
      <c r="D259" s="26" t="s">
        <v>1222</v>
      </c>
      <c r="E259" s="29" t="s">
        <v>1223</v>
      </c>
      <c r="F259" s="26" t="s">
        <v>141</v>
      </c>
      <c r="G259" s="46"/>
      <c r="H259" s="21"/>
    </row>
    <row r="260" spans="2:10" s="26" customFormat="1">
      <c r="B260" s="16" t="s">
        <v>137</v>
      </c>
      <c r="C260" s="26" t="s">
        <v>170</v>
      </c>
      <c r="D260" s="26" t="s">
        <v>1278</v>
      </c>
      <c r="E260" s="29" t="s">
        <v>1279</v>
      </c>
      <c r="F260" s="26" t="s">
        <v>141</v>
      </c>
      <c r="H260" s="21"/>
    </row>
    <row r="261" spans="2:10" s="26" customFormat="1">
      <c r="B261" s="16" t="s">
        <v>137</v>
      </c>
      <c r="C261" s="26" t="s">
        <v>170</v>
      </c>
      <c r="D261" s="26" t="s">
        <v>1250</v>
      </c>
      <c r="E261" s="29" t="s">
        <v>1251</v>
      </c>
      <c r="F261" s="26" t="s">
        <v>141</v>
      </c>
      <c r="H261" s="21"/>
    </row>
    <row r="262" spans="2:10" s="26" customFormat="1">
      <c r="B262" s="16" t="s">
        <v>137</v>
      </c>
      <c r="C262" s="21" t="s">
        <v>138</v>
      </c>
      <c r="D262" s="21" t="s">
        <v>279</v>
      </c>
      <c r="E262" s="21" t="s">
        <v>280</v>
      </c>
      <c r="F262" s="21" t="s">
        <v>141</v>
      </c>
      <c r="G262" s="21"/>
      <c r="H262" s="21"/>
      <c r="I262" s="21"/>
      <c r="J262" s="21"/>
    </row>
    <row r="263" spans="2:10" s="26" customFormat="1">
      <c r="B263" s="16" t="s">
        <v>137</v>
      </c>
      <c r="C263" s="21" t="s">
        <v>138</v>
      </c>
      <c r="D263" s="21" t="s">
        <v>277</v>
      </c>
      <c r="E263" s="21" t="s">
        <v>278</v>
      </c>
      <c r="F263" s="21" t="s">
        <v>141</v>
      </c>
      <c r="G263" s="21"/>
      <c r="H263" s="21"/>
      <c r="I263" s="21"/>
      <c r="J263" s="21"/>
    </row>
    <row r="264" spans="2:10" s="26" customFormat="1" ht="13">
      <c r="B264" s="16" t="s">
        <v>137</v>
      </c>
      <c r="C264" s="26" t="s">
        <v>170</v>
      </c>
      <c r="D264" s="26" t="s">
        <v>993</v>
      </c>
      <c r="E264" s="26" t="s">
        <v>1508</v>
      </c>
      <c r="F264" s="26" t="s">
        <v>141</v>
      </c>
      <c r="G264" s="45"/>
      <c r="H264" s="21"/>
    </row>
    <row r="265" spans="2:10" s="26" customFormat="1">
      <c r="B265" s="16" t="s">
        <v>137</v>
      </c>
      <c r="C265" s="21" t="s">
        <v>268</v>
      </c>
      <c r="D265" s="21" t="s">
        <v>269</v>
      </c>
      <c r="E265" s="21" t="s">
        <v>270</v>
      </c>
      <c r="F265" s="21" t="s">
        <v>141</v>
      </c>
      <c r="G265" s="21"/>
      <c r="H265" s="21"/>
      <c r="I265" s="21"/>
      <c r="J265" s="21"/>
    </row>
    <row r="266" spans="2:10" s="26" customFormat="1">
      <c r="B266" s="16" t="s">
        <v>137</v>
      </c>
      <c r="C266" s="21" t="s">
        <v>271</v>
      </c>
      <c r="D266" s="21" t="s">
        <v>272</v>
      </c>
      <c r="E266" s="21" t="s">
        <v>273</v>
      </c>
      <c r="F266" s="21" t="s">
        <v>141</v>
      </c>
      <c r="G266" s="21"/>
      <c r="H266" s="21"/>
      <c r="I266" s="21"/>
      <c r="J266" s="21"/>
    </row>
    <row r="267" spans="2:10" s="26" customFormat="1">
      <c r="B267" s="16" t="s">
        <v>137</v>
      </c>
      <c r="C267" s="79" t="s">
        <v>268</v>
      </c>
      <c r="D267" s="79" t="s">
        <v>1530</v>
      </c>
      <c r="E267" s="79" t="s">
        <v>1531</v>
      </c>
      <c r="F267" s="79" t="s">
        <v>141</v>
      </c>
      <c r="G267" s="79"/>
      <c r="H267" s="79"/>
      <c r="I267" s="79"/>
      <c r="J267" s="79"/>
    </row>
    <row r="268" spans="2:10" s="26" customFormat="1">
      <c r="B268" s="16" t="s">
        <v>137</v>
      </c>
      <c r="C268" s="79" t="s">
        <v>271</v>
      </c>
      <c r="D268" s="79" t="s">
        <v>1532</v>
      </c>
      <c r="E268" s="79" t="s">
        <v>1533</v>
      </c>
      <c r="F268" s="79" t="s">
        <v>141</v>
      </c>
      <c r="G268" s="79"/>
      <c r="H268" s="79"/>
      <c r="I268" s="79"/>
      <c r="J268" s="79"/>
    </row>
    <row r="269" spans="2:10" s="26" customFormat="1">
      <c r="B269" s="16" t="s">
        <v>137</v>
      </c>
      <c r="C269" s="79" t="s">
        <v>268</v>
      </c>
      <c r="D269" s="79" t="s">
        <v>1534</v>
      </c>
      <c r="E269" s="79" t="s">
        <v>1535</v>
      </c>
      <c r="F269" s="79" t="s">
        <v>141</v>
      </c>
      <c r="G269" s="79"/>
      <c r="H269" s="79"/>
      <c r="I269" s="79"/>
      <c r="J269" s="79"/>
    </row>
    <row r="270" spans="2:10" s="26" customFormat="1">
      <c r="B270" s="16" t="s">
        <v>137</v>
      </c>
      <c r="C270" s="79" t="s">
        <v>271</v>
      </c>
      <c r="D270" s="79" t="s">
        <v>1536</v>
      </c>
      <c r="E270" s="79" t="s">
        <v>1537</v>
      </c>
      <c r="F270" s="79" t="s">
        <v>141</v>
      </c>
      <c r="G270" s="79"/>
      <c r="H270" s="79"/>
      <c r="I270" s="79"/>
      <c r="J270" s="79"/>
    </row>
    <row r="271" spans="2:10" s="26" customFormat="1">
      <c r="B271" s="16" t="s">
        <v>137</v>
      </c>
      <c r="C271" s="79" t="s">
        <v>268</v>
      </c>
      <c r="D271" s="79" t="s">
        <v>1538</v>
      </c>
      <c r="E271" s="79" t="s">
        <v>1539</v>
      </c>
      <c r="F271" s="79" t="s">
        <v>141</v>
      </c>
      <c r="G271" s="79"/>
      <c r="H271" s="79"/>
      <c r="I271" s="79"/>
      <c r="J271" s="79"/>
    </row>
    <row r="272" spans="2:10" s="26" customFormat="1">
      <c r="B272" s="16" t="s">
        <v>137</v>
      </c>
      <c r="C272" s="79" t="s">
        <v>271</v>
      </c>
      <c r="D272" s="79" t="s">
        <v>1540</v>
      </c>
      <c r="E272" s="79" t="s">
        <v>1541</v>
      </c>
      <c r="F272" s="79" t="s">
        <v>141</v>
      </c>
      <c r="G272" s="79"/>
      <c r="H272" s="79"/>
      <c r="I272" s="79"/>
      <c r="J272" s="79"/>
    </row>
    <row r="273" spans="2:11" s="26" customFormat="1">
      <c r="B273" s="16" t="s">
        <v>137</v>
      </c>
      <c r="C273" s="21" t="s">
        <v>138</v>
      </c>
      <c r="D273" s="21" t="s">
        <v>180</v>
      </c>
      <c r="E273" s="21" t="s">
        <v>674</v>
      </c>
      <c r="F273" s="21" t="s">
        <v>167</v>
      </c>
      <c r="G273" s="21"/>
      <c r="H273" s="21"/>
      <c r="I273" s="21"/>
      <c r="J273" s="21"/>
    </row>
    <row r="274" spans="2:11" s="26" customFormat="1">
      <c r="B274" s="16" t="s">
        <v>137</v>
      </c>
      <c r="C274" s="21" t="s">
        <v>138</v>
      </c>
      <c r="D274" s="21" t="s">
        <v>192</v>
      </c>
      <c r="E274" s="21" t="s">
        <v>193</v>
      </c>
      <c r="F274" s="21" t="s">
        <v>141</v>
      </c>
      <c r="G274" s="21"/>
      <c r="H274" s="21"/>
      <c r="I274" s="21"/>
      <c r="J274" s="21"/>
    </row>
    <row r="275" spans="2:11" s="26" customFormat="1" ht="13">
      <c r="B275" s="16" t="s">
        <v>137</v>
      </c>
      <c r="C275" s="71" t="s">
        <v>138</v>
      </c>
      <c r="D275" s="72" t="s">
        <v>150</v>
      </c>
      <c r="E275" s="73" t="s">
        <v>151</v>
      </c>
      <c r="F275" s="71" t="s">
        <v>141</v>
      </c>
      <c r="G275" s="71"/>
      <c r="H275" s="71"/>
      <c r="I275" s="71"/>
      <c r="J275" s="71"/>
      <c r="K275" s="67"/>
    </row>
    <row r="276" spans="2:11" s="26" customFormat="1">
      <c r="B276" s="16" t="s">
        <v>137</v>
      </c>
      <c r="C276" s="26" t="s">
        <v>170</v>
      </c>
      <c r="D276" s="30" t="s">
        <v>1200</v>
      </c>
      <c r="E276" s="29" t="s">
        <v>1201</v>
      </c>
      <c r="F276" s="26" t="s">
        <v>141</v>
      </c>
      <c r="G276" s="46"/>
      <c r="H276" s="21"/>
    </row>
    <row r="277" spans="2:11" s="26" customFormat="1">
      <c r="B277" s="16" t="s">
        <v>137</v>
      </c>
      <c r="C277" s="26" t="s">
        <v>170</v>
      </c>
      <c r="D277" s="30" t="s">
        <v>1256</v>
      </c>
      <c r="E277" s="29" t="s">
        <v>1257</v>
      </c>
      <c r="F277" s="26" t="s">
        <v>141</v>
      </c>
      <c r="H277" s="21"/>
    </row>
    <row r="278" spans="2:11" s="26" customFormat="1">
      <c r="B278" s="16" t="s">
        <v>137</v>
      </c>
      <c r="C278" s="26" t="s">
        <v>170</v>
      </c>
      <c r="D278" s="30" t="s">
        <v>1228</v>
      </c>
      <c r="E278" s="29" t="s">
        <v>1229</v>
      </c>
      <c r="F278" s="26" t="s">
        <v>141</v>
      </c>
      <c r="H278" s="21"/>
    </row>
    <row r="279" spans="2:11" s="26" customFormat="1">
      <c r="B279" s="16" t="s">
        <v>137</v>
      </c>
      <c r="C279" s="26" t="s">
        <v>138</v>
      </c>
      <c r="D279" s="26" t="s">
        <v>1125</v>
      </c>
      <c r="E279" s="26" t="s">
        <v>1126</v>
      </c>
      <c r="F279" s="26" t="s">
        <v>141</v>
      </c>
      <c r="H279" s="21"/>
    </row>
    <row r="280" spans="2:11" s="26" customFormat="1">
      <c r="B280" s="16" t="s">
        <v>137</v>
      </c>
      <c r="C280" s="26" t="s">
        <v>138</v>
      </c>
      <c r="D280" s="26" t="s">
        <v>1151</v>
      </c>
      <c r="E280" s="26" t="s">
        <v>1152</v>
      </c>
      <c r="F280" s="26" t="s">
        <v>141</v>
      </c>
      <c r="H280" s="21"/>
    </row>
    <row r="281" spans="2:11" s="26" customFormat="1" ht="13">
      <c r="B281" s="16" t="s">
        <v>137</v>
      </c>
      <c r="C281" s="26" t="s">
        <v>994</v>
      </c>
      <c r="D281" s="47" t="s">
        <v>1001</v>
      </c>
      <c r="E281" s="47" t="s">
        <v>1002</v>
      </c>
      <c r="F281" s="26" t="s">
        <v>141</v>
      </c>
      <c r="G281" s="45"/>
      <c r="H281" s="21"/>
    </row>
    <row r="282" spans="2:11" s="26" customFormat="1" ht="13">
      <c r="B282" s="16" t="s">
        <v>137</v>
      </c>
      <c r="C282" s="26" t="s">
        <v>917</v>
      </c>
      <c r="D282" s="26" t="s">
        <v>1027</v>
      </c>
      <c r="E282" s="26" t="s">
        <v>1028</v>
      </c>
      <c r="F282" s="26" t="s">
        <v>141</v>
      </c>
      <c r="G282" s="45"/>
      <c r="H282" s="21"/>
    </row>
    <row r="283" spans="2:11" s="26" customFormat="1" ht="13">
      <c r="B283" s="16" t="s">
        <v>137</v>
      </c>
      <c r="C283" s="26" t="s">
        <v>920</v>
      </c>
      <c r="D283" s="26" t="s">
        <v>1053</v>
      </c>
      <c r="E283" s="26" t="s">
        <v>1054</v>
      </c>
      <c r="F283" s="26" t="s">
        <v>141</v>
      </c>
      <c r="G283" s="45"/>
      <c r="H283" s="21"/>
    </row>
    <row r="284" spans="2:11" s="26" customFormat="1">
      <c r="B284" s="16" t="s">
        <v>137</v>
      </c>
      <c r="C284" s="26" t="s">
        <v>469</v>
      </c>
      <c r="D284" s="53" t="s">
        <v>1079</v>
      </c>
      <c r="E284" s="53" t="s">
        <v>1080</v>
      </c>
      <c r="F284" s="26" t="s">
        <v>141</v>
      </c>
      <c r="H284" s="21"/>
    </row>
    <row r="285" spans="2:11" s="26" customFormat="1">
      <c r="B285" s="16" t="s">
        <v>137</v>
      </c>
      <c r="C285" s="26" t="s">
        <v>423</v>
      </c>
      <c r="D285" s="26" t="s">
        <v>1105</v>
      </c>
      <c r="E285" s="26" t="s">
        <v>1106</v>
      </c>
      <c r="F285" s="26" t="s">
        <v>141</v>
      </c>
      <c r="H285" s="21"/>
    </row>
    <row r="286" spans="2:11" s="26" customFormat="1" ht="13">
      <c r="B286" s="16" t="s">
        <v>137</v>
      </c>
      <c r="C286" s="26" t="s">
        <v>170</v>
      </c>
      <c r="D286" s="30" t="s">
        <v>977</v>
      </c>
      <c r="E286" s="29" t="s">
        <v>1496</v>
      </c>
      <c r="F286" s="26" t="s">
        <v>141</v>
      </c>
      <c r="G286" s="28"/>
      <c r="H286" s="21"/>
    </row>
    <row r="287" spans="2:11" s="26" customFormat="1">
      <c r="B287" s="16" t="s">
        <v>137</v>
      </c>
      <c r="C287" s="26" t="s">
        <v>170</v>
      </c>
      <c r="D287" s="30" t="s">
        <v>1202</v>
      </c>
      <c r="E287" s="29" t="s">
        <v>1203</v>
      </c>
      <c r="F287" s="26" t="s">
        <v>141</v>
      </c>
      <c r="G287" s="46"/>
      <c r="H287" s="21"/>
    </row>
    <row r="288" spans="2:11" s="26" customFormat="1">
      <c r="B288" s="16" t="s">
        <v>137</v>
      </c>
      <c r="C288" s="26" t="s">
        <v>170</v>
      </c>
      <c r="D288" s="30" t="s">
        <v>1258</v>
      </c>
      <c r="E288" s="29" t="s">
        <v>1259</v>
      </c>
      <c r="F288" s="26" t="s">
        <v>141</v>
      </c>
      <c r="H288" s="21"/>
    </row>
    <row r="289" spans="2:11" s="26" customFormat="1">
      <c r="B289" s="16" t="s">
        <v>137</v>
      </c>
      <c r="C289" s="26" t="s">
        <v>170</v>
      </c>
      <c r="D289" s="30" t="s">
        <v>1230</v>
      </c>
      <c r="E289" s="29" t="s">
        <v>1231</v>
      </c>
      <c r="F289" s="26" t="s">
        <v>141</v>
      </c>
      <c r="H289" s="21"/>
    </row>
    <row r="290" spans="2:11" s="26" customFormat="1">
      <c r="B290" s="16" t="s">
        <v>137</v>
      </c>
      <c r="C290" s="26" t="s">
        <v>138</v>
      </c>
      <c r="D290" s="26" t="s">
        <v>1127</v>
      </c>
      <c r="E290" s="26" t="s">
        <v>1128</v>
      </c>
      <c r="F290" s="26" t="s">
        <v>141</v>
      </c>
      <c r="H290" s="21"/>
    </row>
    <row r="291" spans="2:11" s="26" customFormat="1">
      <c r="B291" s="16" t="s">
        <v>137</v>
      </c>
      <c r="C291" s="26" t="s">
        <v>138</v>
      </c>
      <c r="D291" s="26" t="s">
        <v>1153</v>
      </c>
      <c r="E291" s="26" t="s">
        <v>1154</v>
      </c>
      <c r="F291" s="26" t="s">
        <v>141</v>
      </c>
      <c r="H291" s="21"/>
    </row>
    <row r="292" spans="2:11" s="26" customFormat="1" ht="13">
      <c r="B292" s="16" t="s">
        <v>137</v>
      </c>
      <c r="C292" s="26" t="s">
        <v>994</v>
      </c>
      <c r="D292" s="26" t="s">
        <v>1003</v>
      </c>
      <c r="E292" s="26" t="s">
        <v>1004</v>
      </c>
      <c r="F292" s="26" t="s">
        <v>141</v>
      </c>
      <c r="G292" s="45"/>
      <c r="H292" s="21"/>
    </row>
    <row r="293" spans="2:11" s="26" customFormat="1" ht="13">
      <c r="B293" s="16" t="s">
        <v>137</v>
      </c>
      <c r="C293" s="26" t="s">
        <v>917</v>
      </c>
      <c r="D293" s="26" t="s">
        <v>1029</v>
      </c>
      <c r="E293" s="26" t="s">
        <v>1030</v>
      </c>
      <c r="F293" s="26" t="s">
        <v>141</v>
      </c>
      <c r="G293" s="45"/>
      <c r="H293" s="21"/>
    </row>
    <row r="294" spans="2:11" s="26" customFormat="1" ht="13">
      <c r="B294" s="16" t="s">
        <v>137</v>
      </c>
      <c r="C294" s="26" t="s">
        <v>920</v>
      </c>
      <c r="D294" s="26" t="s">
        <v>1055</v>
      </c>
      <c r="E294" s="26" t="s">
        <v>1056</v>
      </c>
      <c r="F294" s="26" t="s">
        <v>141</v>
      </c>
      <c r="G294" s="45"/>
      <c r="H294" s="21"/>
    </row>
    <row r="295" spans="2:11" s="26" customFormat="1">
      <c r="B295" s="16" t="s">
        <v>137</v>
      </c>
      <c r="C295" s="26" t="s">
        <v>469</v>
      </c>
      <c r="D295" s="53" t="s">
        <v>1081</v>
      </c>
      <c r="E295" s="53" t="s">
        <v>1082</v>
      </c>
      <c r="F295" s="26" t="s">
        <v>141</v>
      </c>
      <c r="H295" s="21"/>
    </row>
    <row r="296" spans="2:11" s="26" customFormat="1">
      <c r="B296" s="16" t="s">
        <v>137</v>
      </c>
      <c r="C296" s="26" t="s">
        <v>423</v>
      </c>
      <c r="D296" s="26" t="s">
        <v>1107</v>
      </c>
      <c r="E296" s="26" t="s">
        <v>1108</v>
      </c>
      <c r="F296" s="26" t="s">
        <v>141</v>
      </c>
      <c r="H296" s="21"/>
    </row>
    <row r="297" spans="2:11" s="26" customFormat="1" ht="13">
      <c r="B297" s="16" t="s">
        <v>137</v>
      </c>
      <c r="C297" s="26" t="s">
        <v>170</v>
      </c>
      <c r="D297" s="30" t="s">
        <v>886</v>
      </c>
      <c r="E297" s="29" t="s">
        <v>1495</v>
      </c>
      <c r="F297" s="26" t="s">
        <v>141</v>
      </c>
      <c r="G297" s="45"/>
      <c r="H297" s="21"/>
    </row>
    <row r="298" spans="2:11" s="26" customFormat="1">
      <c r="B298" s="16" t="s">
        <v>137</v>
      </c>
      <c r="C298" s="21" t="s">
        <v>138</v>
      </c>
      <c r="D298" s="21" t="s">
        <v>160</v>
      </c>
      <c r="E298" s="22" t="s">
        <v>160</v>
      </c>
      <c r="F298" s="35" t="s">
        <v>141</v>
      </c>
      <c r="G298" s="21"/>
      <c r="H298" s="21"/>
      <c r="I298" s="21"/>
      <c r="J298" s="21"/>
    </row>
    <row r="299" spans="2:11" s="26" customFormat="1">
      <c r="B299" s="16" t="s">
        <v>137</v>
      </c>
      <c r="C299" s="21" t="s">
        <v>138</v>
      </c>
      <c r="D299" s="21" t="s">
        <v>144</v>
      </c>
      <c r="E299" s="21" t="s">
        <v>145</v>
      </c>
      <c r="F299" s="21" t="s">
        <v>141</v>
      </c>
      <c r="G299" s="21"/>
      <c r="H299" s="21"/>
      <c r="I299" s="21"/>
      <c r="J299" s="21"/>
    </row>
    <row r="300" spans="2:11" s="26" customFormat="1">
      <c r="B300" s="16" t="s">
        <v>137</v>
      </c>
      <c r="C300" s="75" t="s">
        <v>138</v>
      </c>
      <c r="D300" s="75" t="s">
        <v>1542</v>
      </c>
      <c r="E300" s="75" t="s">
        <v>1543</v>
      </c>
      <c r="F300" s="76" t="s">
        <v>141</v>
      </c>
      <c r="G300" s="77"/>
      <c r="H300" s="78"/>
      <c r="I300" s="78"/>
      <c r="J300" s="78"/>
    </row>
    <row r="301" spans="2:11" s="26" customFormat="1">
      <c r="B301" s="16" t="s">
        <v>137</v>
      </c>
      <c r="C301" s="52" t="s">
        <v>138</v>
      </c>
      <c r="D301" s="52" t="s">
        <v>797</v>
      </c>
      <c r="E301" s="53" t="s">
        <v>798</v>
      </c>
      <c r="F301" s="49" t="s">
        <v>141</v>
      </c>
      <c r="G301" s="49"/>
      <c r="H301" s="21"/>
      <c r="I301" s="49"/>
      <c r="J301" s="49"/>
      <c r="K301" s="52"/>
    </row>
    <row r="302" spans="2:11" s="26" customFormat="1">
      <c r="B302" s="16" t="s">
        <v>137</v>
      </c>
      <c r="C302" s="26" t="s">
        <v>138</v>
      </c>
      <c r="D302" s="26" t="s">
        <v>206</v>
      </c>
      <c r="E302" s="47" t="s">
        <v>207</v>
      </c>
      <c r="F302" s="26" t="s">
        <v>141</v>
      </c>
      <c r="H302" s="21"/>
    </row>
    <row r="303" spans="2:11" s="26" customFormat="1">
      <c r="B303" s="16" t="s">
        <v>137</v>
      </c>
      <c r="C303" s="75" t="s">
        <v>138</v>
      </c>
      <c r="D303" s="75" t="s">
        <v>1544</v>
      </c>
      <c r="E303" s="75" t="s">
        <v>1545</v>
      </c>
      <c r="F303" s="76" t="s">
        <v>141</v>
      </c>
      <c r="G303" s="77"/>
      <c r="H303" s="78"/>
      <c r="I303" s="78"/>
      <c r="J303" s="78"/>
    </row>
    <row r="304" spans="2:11" s="26" customFormat="1">
      <c r="B304" s="16" t="s">
        <v>137</v>
      </c>
      <c r="C304" s="21" t="s">
        <v>138</v>
      </c>
      <c r="D304" s="21" t="s">
        <v>208</v>
      </c>
      <c r="E304" s="21" t="s">
        <v>209</v>
      </c>
      <c r="F304" s="21" t="s">
        <v>141</v>
      </c>
      <c r="G304" s="21"/>
      <c r="H304" s="21"/>
      <c r="I304" s="21"/>
      <c r="J304" s="21"/>
    </row>
    <row r="305" spans="2:11" s="26" customFormat="1">
      <c r="B305" s="16" t="s">
        <v>137</v>
      </c>
      <c r="C305" s="75" t="s">
        <v>138</v>
      </c>
      <c r="D305" s="75" t="s">
        <v>1546</v>
      </c>
      <c r="E305" s="75" t="s">
        <v>1547</v>
      </c>
      <c r="F305" s="76" t="s">
        <v>141</v>
      </c>
      <c r="G305" s="77"/>
      <c r="H305" s="78"/>
      <c r="I305" s="78"/>
      <c r="J305" s="78"/>
    </row>
    <row r="306" spans="2:11" s="26" customFormat="1">
      <c r="B306" s="16" t="s">
        <v>137</v>
      </c>
      <c r="C306" s="26" t="s">
        <v>138</v>
      </c>
      <c r="D306" s="26" t="s">
        <v>474</v>
      </c>
      <c r="E306" s="26" t="s">
        <v>475</v>
      </c>
      <c r="F306" s="25" t="s">
        <v>141</v>
      </c>
      <c r="H306" s="21"/>
    </row>
    <row r="307" spans="2:11" s="26" customFormat="1">
      <c r="B307" s="16" t="s">
        <v>137</v>
      </c>
      <c r="C307" s="75" t="s">
        <v>138</v>
      </c>
      <c r="D307" s="75" t="s">
        <v>1548</v>
      </c>
      <c r="E307" s="75" t="s">
        <v>1549</v>
      </c>
      <c r="F307" s="76" t="s">
        <v>141</v>
      </c>
      <c r="G307" s="77"/>
      <c r="H307" s="78"/>
      <c r="I307" s="78"/>
      <c r="J307" s="78"/>
    </row>
    <row r="308" spans="2:11" s="26" customFormat="1">
      <c r="B308" s="16" t="s">
        <v>137</v>
      </c>
      <c r="C308" s="21" t="s">
        <v>138</v>
      </c>
      <c r="D308" s="21" t="s">
        <v>224</v>
      </c>
      <c r="E308" s="21" t="s">
        <v>225</v>
      </c>
      <c r="F308" s="21" t="s">
        <v>141</v>
      </c>
      <c r="G308" s="21"/>
      <c r="H308" s="21"/>
      <c r="I308" s="21"/>
      <c r="J308" s="21"/>
    </row>
    <row r="309" spans="2:11" s="26" customFormat="1">
      <c r="B309" s="16" t="s">
        <v>137</v>
      </c>
      <c r="C309" s="79" t="s">
        <v>138</v>
      </c>
      <c r="D309" s="79" t="s">
        <v>1550</v>
      </c>
      <c r="E309" s="79" t="s">
        <v>1551</v>
      </c>
      <c r="F309" s="79" t="s">
        <v>141</v>
      </c>
      <c r="G309" s="79"/>
      <c r="H309" s="79"/>
      <c r="I309" s="79"/>
      <c r="J309" s="79"/>
    </row>
    <row r="310" spans="2:11" s="26" customFormat="1">
      <c r="B310" s="16" t="s">
        <v>137</v>
      </c>
      <c r="C310" s="52" t="s">
        <v>138</v>
      </c>
      <c r="D310" s="53" t="s">
        <v>222</v>
      </c>
      <c r="E310" s="53" t="s">
        <v>223</v>
      </c>
      <c r="F310" s="49" t="s">
        <v>141</v>
      </c>
      <c r="G310" s="49"/>
      <c r="H310" s="21"/>
      <c r="I310" s="49"/>
      <c r="J310" s="21" t="s">
        <v>57</v>
      </c>
      <c r="K310" s="52"/>
    </row>
    <row r="311" spans="2:11" s="26" customFormat="1">
      <c r="B311" s="16" t="s">
        <v>137</v>
      </c>
      <c r="C311" s="52" t="s">
        <v>138</v>
      </c>
      <c r="D311" s="53" t="s">
        <v>2003</v>
      </c>
      <c r="E311" s="53" t="s">
        <v>2004</v>
      </c>
      <c r="F311" s="49" t="s">
        <v>141</v>
      </c>
      <c r="G311" s="49"/>
      <c r="H311" s="21"/>
      <c r="I311" s="49"/>
      <c r="J311" s="21" t="s">
        <v>57</v>
      </c>
      <c r="K311" s="52"/>
    </row>
    <row r="312" spans="2:11" s="26" customFormat="1">
      <c r="B312" s="16" t="s">
        <v>137</v>
      </c>
      <c r="C312" s="21" t="s">
        <v>138</v>
      </c>
      <c r="D312" s="21" t="s">
        <v>210</v>
      </c>
      <c r="E312" s="21" t="s">
        <v>211</v>
      </c>
      <c r="F312" s="21" t="s">
        <v>141</v>
      </c>
      <c r="G312" s="21"/>
      <c r="H312" s="21"/>
      <c r="I312" s="21"/>
      <c r="J312" s="21"/>
    </row>
    <row r="313" spans="2:11" s="26" customFormat="1">
      <c r="B313" s="16" t="s">
        <v>137</v>
      </c>
      <c r="C313" s="75" t="s">
        <v>138</v>
      </c>
      <c r="D313" s="86" t="s">
        <v>1552</v>
      </c>
      <c r="E313" s="75" t="s">
        <v>1553</v>
      </c>
      <c r="F313" s="76" t="s">
        <v>141</v>
      </c>
      <c r="G313" s="77"/>
      <c r="H313" s="78"/>
      <c r="I313" s="78"/>
      <c r="J313" s="78"/>
    </row>
    <row r="314" spans="2:11" s="26" customFormat="1">
      <c r="B314" s="16" t="s">
        <v>137</v>
      </c>
      <c r="C314" s="26" t="s">
        <v>138</v>
      </c>
      <c r="D314" s="26" t="s">
        <v>802</v>
      </c>
      <c r="E314" s="26" t="s">
        <v>1186</v>
      </c>
      <c r="F314" s="26" t="s">
        <v>141</v>
      </c>
      <c r="H314" s="21"/>
    </row>
    <row r="315" spans="2:11" s="26" customFormat="1">
      <c r="B315" s="16" t="s">
        <v>137</v>
      </c>
      <c r="C315" s="21" t="s">
        <v>138</v>
      </c>
      <c r="D315" s="21" t="s">
        <v>139</v>
      </c>
      <c r="E315" s="21" t="s">
        <v>140</v>
      </c>
      <c r="F315" s="21" t="s">
        <v>141</v>
      </c>
      <c r="G315" s="21"/>
      <c r="H315" s="21"/>
      <c r="I315" s="21"/>
      <c r="J315" s="21"/>
    </row>
    <row r="316" spans="2:11" s="26" customFormat="1">
      <c r="B316" s="16" t="s">
        <v>137</v>
      </c>
      <c r="C316" s="52" t="s">
        <v>138</v>
      </c>
      <c r="D316" s="52" t="s">
        <v>793</v>
      </c>
      <c r="E316" s="53" t="s">
        <v>794</v>
      </c>
      <c r="F316" s="49" t="s">
        <v>141</v>
      </c>
      <c r="G316" s="49"/>
      <c r="H316" s="21"/>
      <c r="I316" s="49"/>
      <c r="J316" s="49"/>
      <c r="K316" s="52"/>
    </row>
    <row r="317" spans="2:11" s="26" customFormat="1">
      <c r="B317" s="16" t="s">
        <v>137</v>
      </c>
      <c r="C317" s="21" t="s">
        <v>138</v>
      </c>
      <c r="D317" s="21" t="s">
        <v>142</v>
      </c>
      <c r="E317" s="21" t="s">
        <v>143</v>
      </c>
      <c r="F317" s="21" t="s">
        <v>141</v>
      </c>
      <c r="G317" s="21"/>
      <c r="H317" s="21"/>
      <c r="I317" s="21"/>
      <c r="J317" s="21"/>
    </row>
    <row r="318" spans="2:11" s="26" customFormat="1">
      <c r="B318" s="16" t="s">
        <v>137</v>
      </c>
      <c r="C318" s="76" t="s">
        <v>138</v>
      </c>
      <c r="D318" s="75" t="s">
        <v>1554</v>
      </c>
      <c r="E318" s="75" t="s">
        <v>1555</v>
      </c>
      <c r="F318" s="76" t="s">
        <v>141</v>
      </c>
      <c r="G318" s="77"/>
      <c r="H318" s="78"/>
      <c r="I318" s="78"/>
      <c r="J318" s="78"/>
    </row>
    <row r="319" spans="2:11" s="26" customFormat="1">
      <c r="B319" s="16" t="s">
        <v>137</v>
      </c>
      <c r="C319" s="26" t="s">
        <v>138</v>
      </c>
      <c r="D319" s="26" t="s">
        <v>799</v>
      </c>
      <c r="E319" s="26" t="s">
        <v>987</v>
      </c>
      <c r="F319" s="26" t="s">
        <v>141</v>
      </c>
      <c r="H319" s="21"/>
    </row>
    <row r="320" spans="2:11" s="26" customFormat="1">
      <c r="B320" s="16" t="s">
        <v>137</v>
      </c>
      <c r="C320" s="52" t="s">
        <v>138</v>
      </c>
      <c r="D320" s="52" t="s">
        <v>795</v>
      </c>
      <c r="E320" s="53" t="s">
        <v>796</v>
      </c>
      <c r="F320" s="49" t="s">
        <v>141</v>
      </c>
      <c r="G320" s="49"/>
      <c r="H320" s="21"/>
      <c r="I320" s="49"/>
      <c r="J320" s="49"/>
      <c r="K320" s="52"/>
    </row>
    <row r="321" spans="2:11" s="26" customFormat="1">
      <c r="B321" s="16" t="s">
        <v>137</v>
      </c>
      <c r="C321" s="52" t="s">
        <v>138</v>
      </c>
      <c r="D321" s="52" t="s">
        <v>800</v>
      </c>
      <c r="E321" s="53" t="s">
        <v>801</v>
      </c>
      <c r="F321" s="49" t="s">
        <v>141</v>
      </c>
      <c r="G321" s="49"/>
      <c r="H321" s="21"/>
      <c r="I321" s="49"/>
      <c r="J321" s="49"/>
      <c r="K321" s="52"/>
    </row>
    <row r="322" spans="2:11" s="26" customFormat="1">
      <c r="B322" s="16" t="s">
        <v>137</v>
      </c>
      <c r="C322" s="26" t="s">
        <v>170</v>
      </c>
      <c r="D322" s="30" t="s">
        <v>1204</v>
      </c>
      <c r="E322" s="29" t="s">
        <v>1205</v>
      </c>
      <c r="F322" s="26" t="s">
        <v>141</v>
      </c>
      <c r="G322" s="46"/>
      <c r="H322" s="21"/>
    </row>
    <row r="323" spans="2:11" s="26" customFormat="1">
      <c r="B323" s="16" t="s">
        <v>137</v>
      </c>
      <c r="C323" s="26" t="s">
        <v>170</v>
      </c>
      <c r="D323" s="30" t="s">
        <v>1260</v>
      </c>
      <c r="E323" s="29" t="s">
        <v>1261</v>
      </c>
      <c r="F323" s="26" t="s">
        <v>141</v>
      </c>
      <c r="H323" s="21"/>
    </row>
    <row r="324" spans="2:11" s="26" customFormat="1">
      <c r="B324" s="16" t="s">
        <v>137</v>
      </c>
      <c r="C324" s="26" t="s">
        <v>170</v>
      </c>
      <c r="D324" s="30" t="s">
        <v>1232</v>
      </c>
      <c r="E324" s="29" t="s">
        <v>1233</v>
      </c>
      <c r="F324" s="26" t="s">
        <v>141</v>
      </c>
      <c r="H324" s="21"/>
    </row>
    <row r="325" spans="2:11" s="26" customFormat="1">
      <c r="B325" s="16" t="s">
        <v>137</v>
      </c>
      <c r="C325" s="26" t="s">
        <v>138</v>
      </c>
      <c r="D325" s="26" t="s">
        <v>1135</v>
      </c>
      <c r="E325" s="26" t="s">
        <v>1136</v>
      </c>
      <c r="F325" s="26" t="s">
        <v>141</v>
      </c>
      <c r="H325" s="21"/>
    </row>
    <row r="326" spans="2:11" s="26" customFormat="1">
      <c r="B326" s="16" t="s">
        <v>137</v>
      </c>
      <c r="C326" s="26" t="s">
        <v>138</v>
      </c>
      <c r="D326" s="26" t="s">
        <v>1161</v>
      </c>
      <c r="E326" s="26" t="s">
        <v>1162</v>
      </c>
      <c r="F326" s="26" t="s">
        <v>141</v>
      </c>
      <c r="H326" s="21"/>
    </row>
    <row r="327" spans="2:11" s="26" customFormat="1" ht="13">
      <c r="B327" s="16" t="s">
        <v>137</v>
      </c>
      <c r="C327" s="26" t="s">
        <v>994</v>
      </c>
      <c r="D327" s="26" t="s">
        <v>1005</v>
      </c>
      <c r="E327" s="26" t="s">
        <v>1006</v>
      </c>
      <c r="F327" s="26" t="s">
        <v>141</v>
      </c>
      <c r="G327" s="45"/>
      <c r="H327" s="21"/>
    </row>
    <row r="328" spans="2:11" s="26" customFormat="1" ht="13">
      <c r="B328" s="16" t="s">
        <v>137</v>
      </c>
      <c r="C328" s="26" t="s">
        <v>917</v>
      </c>
      <c r="D328" s="26" t="s">
        <v>1031</v>
      </c>
      <c r="E328" s="26" t="s">
        <v>1032</v>
      </c>
      <c r="F328" s="26" t="s">
        <v>141</v>
      </c>
      <c r="G328" s="45"/>
      <c r="H328" s="21"/>
    </row>
    <row r="329" spans="2:11" s="26" customFormat="1" ht="13">
      <c r="B329" s="16" t="s">
        <v>137</v>
      </c>
      <c r="C329" s="26" t="s">
        <v>920</v>
      </c>
      <c r="D329" s="26" t="s">
        <v>1057</v>
      </c>
      <c r="E329" s="26" t="s">
        <v>1058</v>
      </c>
      <c r="F329" s="26" t="s">
        <v>141</v>
      </c>
      <c r="G329" s="45"/>
      <c r="H329" s="21"/>
    </row>
    <row r="330" spans="2:11" s="26" customFormat="1">
      <c r="B330" s="16" t="s">
        <v>137</v>
      </c>
      <c r="C330" s="26" t="s">
        <v>469</v>
      </c>
      <c r="D330" s="53" t="s">
        <v>1083</v>
      </c>
      <c r="E330" s="53" t="s">
        <v>1084</v>
      </c>
      <c r="F330" s="26" t="s">
        <v>141</v>
      </c>
      <c r="H330" s="21"/>
    </row>
    <row r="331" spans="2:11" s="26" customFormat="1">
      <c r="B331" s="16" t="s">
        <v>137</v>
      </c>
      <c r="C331" s="26" t="s">
        <v>423</v>
      </c>
      <c r="D331" s="26" t="s">
        <v>1109</v>
      </c>
      <c r="E331" s="26" t="s">
        <v>1110</v>
      </c>
      <c r="F331" s="26" t="s">
        <v>141</v>
      </c>
      <c r="H331" s="21"/>
    </row>
    <row r="332" spans="2:11" s="26" customFormat="1" ht="13">
      <c r="B332" s="16" t="s">
        <v>137</v>
      </c>
      <c r="C332" s="26" t="s">
        <v>170</v>
      </c>
      <c r="D332" s="30" t="s">
        <v>983</v>
      </c>
      <c r="E332" s="29" t="s">
        <v>1500</v>
      </c>
      <c r="F332" s="26" t="s">
        <v>141</v>
      </c>
      <c r="G332" s="45"/>
      <c r="H332" s="21"/>
    </row>
    <row r="333" spans="2:11" s="26" customFormat="1">
      <c r="B333" s="16" t="s">
        <v>137</v>
      </c>
      <c r="C333" s="26" t="s">
        <v>170</v>
      </c>
      <c r="D333" s="30" t="s">
        <v>1212</v>
      </c>
      <c r="E333" s="29" t="s">
        <v>1213</v>
      </c>
      <c r="F333" s="26" t="s">
        <v>141</v>
      </c>
      <c r="G333" s="46"/>
      <c r="H333" s="21"/>
    </row>
    <row r="334" spans="2:11" s="26" customFormat="1">
      <c r="B334" s="16" t="s">
        <v>137</v>
      </c>
      <c r="C334" s="26" t="s">
        <v>170</v>
      </c>
      <c r="D334" s="30" t="s">
        <v>1268</v>
      </c>
      <c r="E334" s="29" t="s">
        <v>1269</v>
      </c>
      <c r="F334" s="26" t="s">
        <v>141</v>
      </c>
      <c r="H334" s="21"/>
    </row>
    <row r="335" spans="2:11" s="26" customFormat="1">
      <c r="B335" s="16" t="s">
        <v>137</v>
      </c>
      <c r="C335" s="26" t="s">
        <v>170</v>
      </c>
      <c r="D335" s="30" t="s">
        <v>1240</v>
      </c>
      <c r="E335" s="29" t="s">
        <v>1241</v>
      </c>
      <c r="F335" s="26" t="s">
        <v>141</v>
      </c>
      <c r="H335" s="21"/>
    </row>
    <row r="336" spans="2:11" s="26" customFormat="1">
      <c r="B336" s="16" t="s">
        <v>137</v>
      </c>
      <c r="C336" s="26" t="s">
        <v>138</v>
      </c>
      <c r="D336" s="26" t="s">
        <v>1137</v>
      </c>
      <c r="E336" s="26" t="s">
        <v>1138</v>
      </c>
      <c r="F336" s="26" t="s">
        <v>141</v>
      </c>
      <c r="H336" s="21"/>
    </row>
    <row r="337" spans="2:10" s="26" customFormat="1">
      <c r="B337" s="16" t="s">
        <v>137</v>
      </c>
      <c r="C337" s="26" t="s">
        <v>138</v>
      </c>
      <c r="D337" s="26" t="s">
        <v>1163</v>
      </c>
      <c r="E337" s="26" t="s">
        <v>1164</v>
      </c>
      <c r="F337" s="26" t="s">
        <v>141</v>
      </c>
      <c r="H337" s="21"/>
    </row>
    <row r="338" spans="2:10" s="26" customFormat="1" ht="13">
      <c r="B338" s="16" t="s">
        <v>137</v>
      </c>
      <c r="C338" s="26" t="s">
        <v>994</v>
      </c>
      <c r="D338" s="26" t="s">
        <v>1007</v>
      </c>
      <c r="E338" s="26" t="s">
        <v>1008</v>
      </c>
      <c r="F338" s="26" t="s">
        <v>141</v>
      </c>
      <c r="G338" s="45"/>
      <c r="H338" s="21"/>
    </row>
    <row r="339" spans="2:10" s="26" customFormat="1" ht="13">
      <c r="B339" s="16" t="s">
        <v>137</v>
      </c>
      <c r="C339" s="26" t="s">
        <v>917</v>
      </c>
      <c r="D339" s="26" t="s">
        <v>1033</v>
      </c>
      <c r="E339" s="26" t="s">
        <v>1034</v>
      </c>
      <c r="F339" s="26" t="s">
        <v>141</v>
      </c>
      <c r="G339" s="45"/>
      <c r="H339" s="21"/>
    </row>
    <row r="340" spans="2:10" s="26" customFormat="1" ht="13">
      <c r="B340" s="16" t="s">
        <v>137</v>
      </c>
      <c r="C340" s="26" t="s">
        <v>920</v>
      </c>
      <c r="D340" s="26" t="s">
        <v>1059</v>
      </c>
      <c r="E340" s="26" t="s">
        <v>1060</v>
      </c>
      <c r="F340" s="26" t="s">
        <v>141</v>
      </c>
      <c r="G340" s="45"/>
      <c r="H340" s="21"/>
    </row>
    <row r="341" spans="2:10" s="26" customFormat="1">
      <c r="B341" s="16" t="s">
        <v>137</v>
      </c>
      <c r="C341" s="26" t="s">
        <v>469</v>
      </c>
      <c r="D341" s="53" t="s">
        <v>1085</v>
      </c>
      <c r="E341" s="53" t="s">
        <v>1086</v>
      </c>
      <c r="F341" s="26" t="s">
        <v>141</v>
      </c>
      <c r="H341" s="21"/>
    </row>
    <row r="342" spans="2:10" s="26" customFormat="1">
      <c r="B342" s="16" t="s">
        <v>137</v>
      </c>
      <c r="C342" s="26" t="s">
        <v>423</v>
      </c>
      <c r="D342" s="26" t="s">
        <v>1111</v>
      </c>
      <c r="E342" s="26" t="s">
        <v>1112</v>
      </c>
      <c r="F342" s="26" t="s">
        <v>141</v>
      </c>
      <c r="H342" s="21"/>
    </row>
    <row r="343" spans="2:10" s="26" customFormat="1" ht="13">
      <c r="B343" s="16" t="s">
        <v>137</v>
      </c>
      <c r="C343" s="26" t="s">
        <v>170</v>
      </c>
      <c r="D343" s="30" t="s">
        <v>984</v>
      </c>
      <c r="E343" s="29" t="s">
        <v>1501</v>
      </c>
      <c r="F343" s="26" t="s">
        <v>141</v>
      </c>
      <c r="G343" s="45"/>
      <c r="H343" s="21"/>
    </row>
    <row r="344" spans="2:10" s="26" customFormat="1">
      <c r="B344" s="16" t="s">
        <v>137</v>
      </c>
      <c r="C344" s="21" t="s">
        <v>138</v>
      </c>
      <c r="D344" s="21" t="s">
        <v>692</v>
      </c>
      <c r="E344" s="21" t="s">
        <v>693</v>
      </c>
      <c r="F344" s="21" t="s">
        <v>141</v>
      </c>
      <c r="G344" s="21"/>
      <c r="H344" s="21"/>
      <c r="I344" s="21"/>
      <c r="J344" s="21"/>
    </row>
    <row r="345" spans="2:10" s="26" customFormat="1">
      <c r="B345" s="16" t="s">
        <v>137</v>
      </c>
      <c r="C345" s="21" t="s">
        <v>138</v>
      </c>
      <c r="D345" s="21" t="s">
        <v>690</v>
      </c>
      <c r="E345" s="21" t="s">
        <v>691</v>
      </c>
      <c r="F345" s="21" t="s">
        <v>141</v>
      </c>
      <c r="G345" s="21"/>
      <c r="H345" s="21"/>
      <c r="I345" s="21"/>
      <c r="J345" s="21"/>
    </row>
    <row r="346" spans="2:10" s="26" customFormat="1">
      <c r="B346" s="16" t="s">
        <v>137</v>
      </c>
      <c r="C346" s="21" t="s">
        <v>138</v>
      </c>
      <c r="D346" s="44" t="s">
        <v>686</v>
      </c>
      <c r="E346" s="21" t="s">
        <v>687</v>
      </c>
      <c r="F346" s="21" t="s">
        <v>141</v>
      </c>
      <c r="G346" s="21"/>
      <c r="H346" s="21"/>
      <c r="I346" s="21"/>
      <c r="J346" s="21"/>
    </row>
    <row r="347" spans="2:10" s="26" customFormat="1">
      <c r="B347" s="16" t="s">
        <v>137</v>
      </c>
      <c r="C347" s="21" t="s">
        <v>138</v>
      </c>
      <c r="D347" s="44" t="s">
        <v>684</v>
      </c>
      <c r="E347" s="21" t="s">
        <v>685</v>
      </c>
      <c r="F347" s="21" t="s">
        <v>141</v>
      </c>
      <c r="G347" s="21"/>
      <c r="H347" s="21"/>
      <c r="I347" s="21"/>
      <c r="J347" s="21"/>
    </row>
    <row r="348" spans="2:10" s="26" customFormat="1">
      <c r="B348" s="16" t="s">
        <v>137</v>
      </c>
      <c r="C348" s="21" t="s">
        <v>138</v>
      </c>
      <c r="D348" s="44" t="s">
        <v>688</v>
      </c>
      <c r="E348" s="21" t="s">
        <v>689</v>
      </c>
      <c r="F348" s="21" t="s">
        <v>141</v>
      </c>
      <c r="G348" s="21"/>
      <c r="H348" s="21"/>
      <c r="I348" s="21"/>
      <c r="J348" s="21"/>
    </row>
    <row r="349" spans="2:10" s="26" customFormat="1">
      <c r="B349" s="16" t="s">
        <v>137</v>
      </c>
      <c r="C349" s="21" t="s">
        <v>138</v>
      </c>
      <c r="D349" s="21" t="s">
        <v>159</v>
      </c>
      <c r="E349" s="22" t="s">
        <v>159</v>
      </c>
      <c r="F349" s="35" t="s">
        <v>141</v>
      </c>
      <c r="G349" s="21"/>
      <c r="H349" s="21"/>
      <c r="I349" s="21"/>
      <c r="J349" s="21"/>
    </row>
    <row r="350" spans="2:10" s="26" customFormat="1">
      <c r="B350" s="16" t="s">
        <v>137</v>
      </c>
      <c r="C350" s="26" t="s">
        <v>170</v>
      </c>
      <c r="D350" s="30" t="s">
        <v>1198</v>
      </c>
      <c r="E350" s="29" t="s">
        <v>1199</v>
      </c>
      <c r="F350" s="26" t="s">
        <v>141</v>
      </c>
      <c r="G350" s="46"/>
      <c r="H350" s="21"/>
    </row>
    <row r="351" spans="2:10" s="26" customFormat="1">
      <c r="B351" s="16" t="s">
        <v>137</v>
      </c>
      <c r="C351" s="26" t="s">
        <v>170</v>
      </c>
      <c r="D351" s="30" t="s">
        <v>1254</v>
      </c>
      <c r="E351" s="29" t="s">
        <v>1255</v>
      </c>
      <c r="F351" s="26" t="s">
        <v>141</v>
      </c>
      <c r="H351" s="21"/>
    </row>
    <row r="352" spans="2:10" s="26" customFormat="1">
      <c r="B352" s="16" t="s">
        <v>137</v>
      </c>
      <c r="C352" s="26" t="s">
        <v>170</v>
      </c>
      <c r="D352" s="30" t="s">
        <v>1226</v>
      </c>
      <c r="E352" s="29" t="s">
        <v>1227</v>
      </c>
      <c r="F352" s="26" t="s">
        <v>141</v>
      </c>
      <c r="H352" s="21"/>
    </row>
    <row r="353" spans="2:10" s="26" customFormat="1">
      <c r="B353" s="16" t="s">
        <v>137</v>
      </c>
      <c r="C353" s="26" t="s">
        <v>170</v>
      </c>
      <c r="D353" s="53" t="s">
        <v>880</v>
      </c>
      <c r="E353" s="47" t="s">
        <v>881</v>
      </c>
      <c r="F353" s="25" t="s">
        <v>141</v>
      </c>
      <c r="H353" s="21"/>
    </row>
    <row r="354" spans="2:10" s="26" customFormat="1">
      <c r="B354" s="16" t="s">
        <v>137</v>
      </c>
      <c r="C354" s="26" t="s">
        <v>138</v>
      </c>
      <c r="D354" s="26" t="s">
        <v>1139</v>
      </c>
      <c r="E354" s="26" t="s">
        <v>1140</v>
      </c>
      <c r="F354" s="26" t="s">
        <v>141</v>
      </c>
      <c r="H354" s="21"/>
    </row>
    <row r="355" spans="2:10" s="26" customFormat="1">
      <c r="B355" s="16" t="s">
        <v>137</v>
      </c>
      <c r="C355" s="26" t="s">
        <v>138</v>
      </c>
      <c r="D355" s="26" t="s">
        <v>1165</v>
      </c>
      <c r="E355" s="26" t="s">
        <v>1166</v>
      </c>
      <c r="F355" s="26" t="s">
        <v>141</v>
      </c>
      <c r="H355" s="21"/>
    </row>
    <row r="356" spans="2:10" s="26" customFormat="1" ht="13">
      <c r="B356" s="16" t="s">
        <v>137</v>
      </c>
      <c r="C356" s="26" t="s">
        <v>994</v>
      </c>
      <c r="D356" s="26" t="s">
        <v>1009</v>
      </c>
      <c r="E356" s="26" t="s">
        <v>1010</v>
      </c>
      <c r="F356" s="26" t="s">
        <v>141</v>
      </c>
      <c r="G356" s="45"/>
      <c r="H356" s="21"/>
    </row>
    <row r="357" spans="2:10" s="26" customFormat="1" ht="13">
      <c r="B357" s="16" t="s">
        <v>137</v>
      </c>
      <c r="C357" s="26" t="s">
        <v>917</v>
      </c>
      <c r="D357" s="26" t="s">
        <v>1035</v>
      </c>
      <c r="E357" s="26" t="s">
        <v>1036</v>
      </c>
      <c r="F357" s="26" t="s">
        <v>141</v>
      </c>
      <c r="G357" s="45"/>
      <c r="H357" s="21"/>
    </row>
    <row r="358" spans="2:10" s="26" customFormat="1">
      <c r="B358" s="16" t="s">
        <v>137</v>
      </c>
      <c r="C358" s="26" t="s">
        <v>920</v>
      </c>
      <c r="D358" s="26" t="s">
        <v>1061</v>
      </c>
      <c r="E358" s="26" t="s">
        <v>1062</v>
      </c>
      <c r="F358" s="26" t="s">
        <v>141</v>
      </c>
      <c r="H358" s="21"/>
    </row>
    <row r="359" spans="2:10" s="26" customFormat="1">
      <c r="B359" s="16" t="s">
        <v>137</v>
      </c>
      <c r="C359" s="26" t="s">
        <v>469</v>
      </c>
      <c r="D359" s="26" t="s">
        <v>1087</v>
      </c>
      <c r="E359" s="26" t="s">
        <v>1088</v>
      </c>
      <c r="F359" s="26" t="s">
        <v>141</v>
      </c>
      <c r="H359" s="21"/>
    </row>
    <row r="360" spans="2:10" s="26" customFormat="1">
      <c r="B360" s="16" t="s">
        <v>137</v>
      </c>
      <c r="C360" s="26" t="s">
        <v>423</v>
      </c>
      <c r="D360" s="26" t="s">
        <v>1113</v>
      </c>
      <c r="E360" s="26" t="s">
        <v>1114</v>
      </c>
      <c r="F360" s="26" t="s">
        <v>141</v>
      </c>
      <c r="H360" s="21"/>
    </row>
    <row r="361" spans="2:10" s="26" customFormat="1">
      <c r="B361" s="16" t="s">
        <v>137</v>
      </c>
      <c r="C361" s="26" t="s">
        <v>170</v>
      </c>
      <c r="D361" s="53" t="s">
        <v>888</v>
      </c>
      <c r="E361" s="47" t="s">
        <v>1502</v>
      </c>
      <c r="F361" s="25" t="s">
        <v>141</v>
      </c>
      <c r="H361" s="21"/>
      <c r="I361" s="23"/>
      <c r="J361" s="23"/>
    </row>
    <row r="362" spans="2:10" s="26" customFormat="1">
      <c r="B362" s="16" t="s">
        <v>137</v>
      </c>
      <c r="C362" s="26" t="s">
        <v>138</v>
      </c>
      <c r="D362" s="26" t="s">
        <v>476</v>
      </c>
      <c r="E362" s="26" t="s">
        <v>477</v>
      </c>
      <c r="F362" s="25" t="s">
        <v>141</v>
      </c>
      <c r="H362" s="21"/>
    </row>
    <row r="363" spans="2:10" s="26" customFormat="1" ht="13">
      <c r="B363" s="16" t="s">
        <v>137</v>
      </c>
      <c r="C363" s="26" t="s">
        <v>138</v>
      </c>
      <c r="D363" s="26" t="s">
        <v>835</v>
      </c>
      <c r="E363" s="26" t="s">
        <v>836</v>
      </c>
      <c r="F363" s="26" t="s">
        <v>167</v>
      </c>
      <c r="G363" s="45"/>
      <c r="H363" s="21"/>
    </row>
    <row r="364" spans="2:10" s="26" customFormat="1">
      <c r="B364" s="16" t="s">
        <v>137</v>
      </c>
      <c r="C364" s="26" t="s">
        <v>138</v>
      </c>
      <c r="D364" s="26" t="s">
        <v>1141</v>
      </c>
      <c r="E364" s="26" t="s">
        <v>1142</v>
      </c>
      <c r="F364" s="26" t="s">
        <v>141</v>
      </c>
      <c r="H364" s="21"/>
    </row>
    <row r="365" spans="2:10" s="26" customFormat="1">
      <c r="B365" s="16" t="s">
        <v>137</v>
      </c>
      <c r="C365" s="26" t="s">
        <v>138</v>
      </c>
      <c r="D365" s="26" t="s">
        <v>1167</v>
      </c>
      <c r="E365" s="26" t="s">
        <v>1168</v>
      </c>
      <c r="F365" s="26" t="s">
        <v>141</v>
      </c>
      <c r="H365" s="21"/>
    </row>
    <row r="366" spans="2:10" s="26" customFormat="1" ht="13">
      <c r="B366" s="16" t="s">
        <v>137</v>
      </c>
      <c r="C366" s="26" t="s">
        <v>994</v>
      </c>
      <c r="D366" s="26" t="s">
        <v>1011</v>
      </c>
      <c r="E366" s="26" t="s">
        <v>1012</v>
      </c>
      <c r="F366" s="26" t="s">
        <v>141</v>
      </c>
      <c r="G366" s="45"/>
      <c r="H366" s="21"/>
    </row>
    <row r="367" spans="2:10" s="26" customFormat="1" ht="13">
      <c r="B367" s="16" t="s">
        <v>137</v>
      </c>
      <c r="C367" s="26" t="s">
        <v>917</v>
      </c>
      <c r="D367" s="26" t="s">
        <v>1037</v>
      </c>
      <c r="E367" s="26" t="s">
        <v>1038</v>
      </c>
      <c r="F367" s="26" t="s">
        <v>141</v>
      </c>
      <c r="G367" s="45"/>
      <c r="H367" s="21"/>
    </row>
    <row r="368" spans="2:10" s="26" customFormat="1">
      <c r="B368" s="16" t="s">
        <v>137</v>
      </c>
      <c r="C368" s="26" t="s">
        <v>920</v>
      </c>
      <c r="D368" s="26" t="s">
        <v>1063</v>
      </c>
      <c r="E368" s="26" t="s">
        <v>1064</v>
      </c>
      <c r="F368" s="26" t="s">
        <v>141</v>
      </c>
      <c r="H368" s="21"/>
    </row>
    <row r="369" spans="2:8" s="26" customFormat="1">
      <c r="B369" s="16" t="s">
        <v>137</v>
      </c>
      <c r="C369" s="26" t="s">
        <v>469</v>
      </c>
      <c r="D369" s="26" t="s">
        <v>1089</v>
      </c>
      <c r="E369" s="26" t="s">
        <v>1090</v>
      </c>
      <c r="F369" s="26" t="s">
        <v>141</v>
      </c>
      <c r="H369" s="21"/>
    </row>
    <row r="370" spans="2:8" s="26" customFormat="1">
      <c r="B370" s="16" t="s">
        <v>137</v>
      </c>
      <c r="C370" s="26" t="s">
        <v>423</v>
      </c>
      <c r="D370" s="26" t="s">
        <v>1115</v>
      </c>
      <c r="E370" s="26" t="s">
        <v>1116</v>
      </c>
      <c r="F370" s="26" t="s">
        <v>141</v>
      </c>
      <c r="H370" s="21"/>
    </row>
    <row r="371" spans="2:8" s="26" customFormat="1" ht="13">
      <c r="B371" s="16" t="s">
        <v>137</v>
      </c>
      <c r="C371" s="26" t="s">
        <v>170</v>
      </c>
      <c r="D371" s="26" t="s">
        <v>985</v>
      </c>
      <c r="E371" s="26" t="s">
        <v>1503</v>
      </c>
      <c r="F371" s="26" t="s">
        <v>141</v>
      </c>
      <c r="G371" s="45"/>
      <c r="H371" s="21"/>
    </row>
    <row r="372" spans="2:8" s="26" customFormat="1" ht="13">
      <c r="B372" s="16" t="s">
        <v>137</v>
      </c>
      <c r="C372" s="26" t="s">
        <v>138</v>
      </c>
      <c r="D372" s="26" t="s">
        <v>838</v>
      </c>
      <c r="E372" s="26" t="s">
        <v>839</v>
      </c>
      <c r="F372" s="26" t="s">
        <v>141</v>
      </c>
      <c r="G372" s="45"/>
      <c r="H372" s="21"/>
    </row>
    <row r="373" spans="2:8" s="26" customFormat="1">
      <c r="B373" s="16" t="s">
        <v>137</v>
      </c>
      <c r="C373" s="26" t="s">
        <v>77</v>
      </c>
      <c r="D373" s="47" t="s">
        <v>858</v>
      </c>
      <c r="E373" s="47" t="s">
        <v>859</v>
      </c>
      <c r="F373" s="25" t="s">
        <v>141</v>
      </c>
      <c r="H373" s="21"/>
    </row>
    <row r="374" spans="2:8" s="26" customFormat="1">
      <c r="B374" s="16" t="s">
        <v>137</v>
      </c>
      <c r="C374" s="26" t="s">
        <v>849</v>
      </c>
      <c r="D374" s="53" t="s">
        <v>860</v>
      </c>
      <c r="E374" s="47" t="s">
        <v>861</v>
      </c>
      <c r="F374" s="25" t="s">
        <v>141</v>
      </c>
      <c r="H374" s="21"/>
    </row>
    <row r="375" spans="2:8" s="26" customFormat="1">
      <c r="B375" s="16" t="s">
        <v>137</v>
      </c>
      <c r="C375" s="26" t="s">
        <v>862</v>
      </c>
      <c r="D375" s="53" t="s">
        <v>863</v>
      </c>
      <c r="E375" s="47" t="s">
        <v>864</v>
      </c>
      <c r="F375" s="25" t="s">
        <v>141</v>
      </c>
      <c r="H375" s="21"/>
    </row>
    <row r="376" spans="2:8" s="26" customFormat="1">
      <c r="B376" s="16" t="s">
        <v>137</v>
      </c>
      <c r="C376" s="26" t="s">
        <v>865</v>
      </c>
      <c r="D376" s="53" t="s">
        <v>866</v>
      </c>
      <c r="E376" s="47" t="s">
        <v>867</v>
      </c>
      <c r="F376" s="25" t="s">
        <v>141</v>
      </c>
      <c r="H376" s="21"/>
    </row>
    <row r="377" spans="2:8" s="26" customFormat="1">
      <c r="B377" s="16" t="s">
        <v>137</v>
      </c>
      <c r="C377" s="26" t="s">
        <v>868</v>
      </c>
      <c r="D377" s="53" t="s">
        <v>869</v>
      </c>
      <c r="E377" s="47" t="s">
        <v>870</v>
      </c>
      <c r="F377" s="25" t="s">
        <v>141</v>
      </c>
      <c r="H377" s="21"/>
    </row>
    <row r="378" spans="2:8" s="26" customFormat="1">
      <c r="B378" s="16" t="s">
        <v>137</v>
      </c>
      <c r="C378" s="26" t="s">
        <v>871</v>
      </c>
      <c r="D378" s="53" t="s">
        <v>872</v>
      </c>
      <c r="E378" s="47" t="s">
        <v>873</v>
      </c>
      <c r="F378" s="25" t="s">
        <v>141</v>
      </c>
      <c r="H378" s="21"/>
    </row>
    <row r="379" spans="2:8" s="26" customFormat="1" ht="13">
      <c r="B379" s="16" t="s">
        <v>137</v>
      </c>
      <c r="C379" s="26" t="s">
        <v>170</v>
      </c>
      <c r="D379" s="47" t="s">
        <v>840</v>
      </c>
      <c r="E379" s="27" t="s">
        <v>841</v>
      </c>
      <c r="F379" s="25" t="s">
        <v>141</v>
      </c>
      <c r="G379" s="45"/>
      <c r="H379" s="21"/>
    </row>
    <row r="380" spans="2:8" s="26" customFormat="1">
      <c r="B380" s="16" t="s">
        <v>137</v>
      </c>
      <c r="C380" s="26" t="s">
        <v>77</v>
      </c>
      <c r="D380" s="47" t="s">
        <v>847</v>
      </c>
      <c r="E380" s="47" t="s">
        <v>848</v>
      </c>
      <c r="F380" s="25" t="s">
        <v>141</v>
      </c>
      <c r="H380" s="21"/>
    </row>
    <row r="381" spans="2:8" s="26" customFormat="1">
      <c r="B381" s="16" t="s">
        <v>137</v>
      </c>
      <c r="C381" s="26" t="s">
        <v>849</v>
      </c>
      <c r="D381" s="47" t="s">
        <v>850</v>
      </c>
      <c r="E381" s="47" t="s">
        <v>851</v>
      </c>
      <c r="F381" s="25" t="s">
        <v>141</v>
      </c>
      <c r="H381" s="21"/>
    </row>
    <row r="382" spans="2:8" s="26" customFormat="1">
      <c r="B382" s="16" t="s">
        <v>137</v>
      </c>
      <c r="C382" s="26" t="s">
        <v>852</v>
      </c>
      <c r="D382" s="47" t="s">
        <v>853</v>
      </c>
      <c r="E382" s="47" t="s">
        <v>854</v>
      </c>
      <c r="F382" s="25" t="s">
        <v>141</v>
      </c>
      <c r="H382" s="21"/>
    </row>
    <row r="383" spans="2:8" s="26" customFormat="1">
      <c r="B383" s="16" t="s">
        <v>137</v>
      </c>
      <c r="C383" s="26" t="s">
        <v>855</v>
      </c>
      <c r="D383" s="47" t="s">
        <v>856</v>
      </c>
      <c r="E383" s="47" t="s">
        <v>857</v>
      </c>
      <c r="F383" s="25" t="s">
        <v>141</v>
      </c>
      <c r="H383" s="21"/>
    </row>
    <row r="384" spans="2:8" s="26" customFormat="1">
      <c r="B384" s="16" t="s">
        <v>137</v>
      </c>
      <c r="C384" s="26" t="s">
        <v>170</v>
      </c>
      <c r="D384" s="53" t="s">
        <v>874</v>
      </c>
      <c r="E384" s="47" t="s">
        <v>875</v>
      </c>
      <c r="F384" s="25" t="s">
        <v>141</v>
      </c>
      <c r="H384" s="21"/>
    </row>
    <row r="385" spans="2:8" s="26" customFormat="1">
      <c r="B385" s="16" t="s">
        <v>137</v>
      </c>
      <c r="C385" s="26" t="s">
        <v>170</v>
      </c>
      <c r="D385" s="53" t="s">
        <v>882</v>
      </c>
      <c r="E385" s="47" t="s">
        <v>883</v>
      </c>
      <c r="F385" s="25" t="s">
        <v>141</v>
      </c>
      <c r="H385" s="21"/>
    </row>
    <row r="386" spans="2:8" s="26" customFormat="1" ht="13">
      <c r="B386" s="16" t="s">
        <v>137</v>
      </c>
      <c r="C386" s="26" t="s">
        <v>170</v>
      </c>
      <c r="D386" s="26" t="s">
        <v>889</v>
      </c>
      <c r="E386" s="27" t="s">
        <v>890</v>
      </c>
      <c r="F386" s="26" t="s">
        <v>141</v>
      </c>
      <c r="G386" s="28"/>
      <c r="H386" s="21"/>
    </row>
    <row r="387" spans="2:8" s="26" customFormat="1" ht="13">
      <c r="B387" s="16" t="s">
        <v>137</v>
      </c>
      <c r="C387" s="26" t="s">
        <v>891</v>
      </c>
      <c r="D387" s="47" t="s">
        <v>892</v>
      </c>
      <c r="E387" s="27" t="s">
        <v>893</v>
      </c>
      <c r="F387" s="26" t="s">
        <v>141</v>
      </c>
      <c r="G387" s="45"/>
      <c r="H387" s="21"/>
    </row>
    <row r="388" spans="2:8" s="26" customFormat="1" ht="13">
      <c r="B388" s="16" t="s">
        <v>137</v>
      </c>
      <c r="C388" s="26" t="s">
        <v>894</v>
      </c>
      <c r="D388" s="47" t="s">
        <v>895</v>
      </c>
      <c r="E388" s="27" t="s">
        <v>896</v>
      </c>
      <c r="F388" s="26" t="s">
        <v>141</v>
      </c>
      <c r="G388" s="45"/>
      <c r="H388" s="21"/>
    </row>
    <row r="389" spans="2:8" s="26" customFormat="1" ht="13">
      <c r="B389" s="16" t="s">
        <v>137</v>
      </c>
      <c r="C389" s="26" t="s">
        <v>897</v>
      </c>
      <c r="D389" s="47" t="s">
        <v>898</v>
      </c>
      <c r="E389" s="27" t="s">
        <v>899</v>
      </c>
      <c r="F389" s="26" t="s">
        <v>141</v>
      </c>
      <c r="G389" s="45"/>
      <c r="H389" s="21"/>
    </row>
    <row r="390" spans="2:8" s="26" customFormat="1" ht="13">
      <c r="B390" s="16" t="s">
        <v>137</v>
      </c>
      <c r="C390" s="26" t="s">
        <v>364</v>
      </c>
      <c r="D390" s="47" t="s">
        <v>900</v>
      </c>
      <c r="E390" s="27" t="s">
        <v>901</v>
      </c>
      <c r="F390" s="26" t="s">
        <v>141</v>
      </c>
      <c r="G390" s="45"/>
      <c r="H390" s="21"/>
    </row>
    <row r="391" spans="2:8" s="26" customFormat="1" ht="13">
      <c r="B391" s="16" t="s">
        <v>137</v>
      </c>
      <c r="C391" s="26" t="s">
        <v>902</v>
      </c>
      <c r="D391" s="47" t="s">
        <v>903</v>
      </c>
      <c r="E391" s="27" t="s">
        <v>904</v>
      </c>
      <c r="F391" s="26" t="s">
        <v>141</v>
      </c>
      <c r="G391" s="45"/>
      <c r="H391" s="21"/>
    </row>
    <row r="392" spans="2:8" s="26" customFormat="1" ht="13">
      <c r="B392" s="16" t="s">
        <v>137</v>
      </c>
      <c r="C392" s="26" t="s">
        <v>905</v>
      </c>
      <c r="D392" s="47" t="s">
        <v>906</v>
      </c>
      <c r="E392" s="27" t="s">
        <v>907</v>
      </c>
      <c r="F392" s="26" t="s">
        <v>141</v>
      </c>
      <c r="G392" s="45"/>
      <c r="H392" s="21"/>
    </row>
    <row r="393" spans="2:8" s="26" customFormat="1" ht="13">
      <c r="B393" s="16" t="s">
        <v>137</v>
      </c>
      <c r="C393" s="26" t="s">
        <v>908</v>
      </c>
      <c r="D393" s="47" t="s">
        <v>909</v>
      </c>
      <c r="E393" s="27" t="s">
        <v>910</v>
      </c>
      <c r="F393" s="26" t="s">
        <v>141</v>
      </c>
      <c r="G393" s="45"/>
      <c r="H393" s="21"/>
    </row>
    <row r="394" spans="2:8" s="26" customFormat="1" ht="13">
      <c r="B394" s="16" t="s">
        <v>137</v>
      </c>
      <c r="C394" s="26" t="s">
        <v>911</v>
      </c>
      <c r="D394" s="47" t="s">
        <v>912</v>
      </c>
      <c r="E394" s="27" t="s">
        <v>913</v>
      </c>
      <c r="F394" s="26" t="s">
        <v>141</v>
      </c>
      <c r="G394" s="45"/>
      <c r="H394" s="21"/>
    </row>
    <row r="395" spans="2:8" s="26" customFormat="1" ht="13">
      <c r="B395" s="16" t="s">
        <v>137</v>
      </c>
      <c r="C395" s="26" t="s">
        <v>77</v>
      </c>
      <c r="D395" s="26" t="s">
        <v>927</v>
      </c>
      <c r="E395" s="26" t="s">
        <v>928</v>
      </c>
      <c r="F395" s="26" t="s">
        <v>141</v>
      </c>
      <c r="G395" s="45"/>
      <c r="H395" s="21"/>
    </row>
    <row r="396" spans="2:8" s="26" customFormat="1" ht="13">
      <c r="B396" s="16" t="s">
        <v>137</v>
      </c>
      <c r="C396" s="26" t="s">
        <v>77</v>
      </c>
      <c r="D396" s="26" t="s">
        <v>929</v>
      </c>
      <c r="E396" s="26" t="s">
        <v>930</v>
      </c>
      <c r="F396" s="26" t="s">
        <v>141</v>
      </c>
      <c r="G396" s="45"/>
      <c r="H396" s="21"/>
    </row>
    <row r="397" spans="2:8" s="26" customFormat="1" ht="13">
      <c r="B397" s="16" t="s">
        <v>137</v>
      </c>
      <c r="C397" s="26" t="s">
        <v>77</v>
      </c>
      <c r="D397" s="26" t="s">
        <v>931</v>
      </c>
      <c r="E397" s="26" t="s">
        <v>932</v>
      </c>
      <c r="F397" s="26" t="s">
        <v>141</v>
      </c>
      <c r="G397" s="45"/>
      <c r="H397" s="21"/>
    </row>
    <row r="398" spans="2:8" s="26" customFormat="1" ht="13">
      <c r="B398" s="16" t="s">
        <v>137</v>
      </c>
      <c r="C398" s="26" t="s">
        <v>77</v>
      </c>
      <c r="D398" s="26" t="s">
        <v>933</v>
      </c>
      <c r="E398" s="26" t="s">
        <v>934</v>
      </c>
      <c r="F398" s="26" t="s">
        <v>141</v>
      </c>
      <c r="G398" s="45"/>
      <c r="H398" s="21"/>
    </row>
    <row r="399" spans="2:8" s="26" customFormat="1" ht="13">
      <c r="B399" s="16" t="s">
        <v>137</v>
      </c>
      <c r="C399" s="26" t="s">
        <v>77</v>
      </c>
      <c r="D399" s="26" t="s">
        <v>935</v>
      </c>
      <c r="E399" s="26" t="s">
        <v>936</v>
      </c>
      <c r="F399" s="26" t="s">
        <v>141</v>
      </c>
      <c r="G399" s="45"/>
      <c r="H399" s="21"/>
    </row>
    <row r="400" spans="2:8" s="26" customFormat="1" ht="13">
      <c r="B400" s="16" t="s">
        <v>137</v>
      </c>
      <c r="C400" s="26" t="s">
        <v>77</v>
      </c>
      <c r="D400" s="26" t="s">
        <v>937</v>
      </c>
      <c r="E400" s="26" t="s">
        <v>938</v>
      </c>
      <c r="F400" s="26" t="s">
        <v>141</v>
      </c>
      <c r="G400" s="45"/>
      <c r="H400" s="21"/>
    </row>
    <row r="401" spans="2:8" s="26" customFormat="1" ht="13">
      <c r="B401" s="16" t="s">
        <v>137</v>
      </c>
      <c r="C401" s="26" t="s">
        <v>77</v>
      </c>
      <c r="D401" s="26" t="s">
        <v>939</v>
      </c>
      <c r="E401" s="26" t="s">
        <v>940</v>
      </c>
      <c r="F401" s="26" t="s">
        <v>141</v>
      </c>
      <c r="G401" s="45"/>
      <c r="H401" s="21"/>
    </row>
    <row r="402" spans="2:8" s="26" customFormat="1" ht="13">
      <c r="B402" s="16" t="s">
        <v>137</v>
      </c>
      <c r="C402" s="26" t="s">
        <v>77</v>
      </c>
      <c r="D402" s="26" t="s">
        <v>941</v>
      </c>
      <c r="E402" s="26" t="s">
        <v>942</v>
      </c>
      <c r="F402" s="26" t="s">
        <v>141</v>
      </c>
      <c r="G402" s="45"/>
      <c r="H402" s="21"/>
    </row>
    <row r="403" spans="2:8" s="26" customFormat="1" ht="13">
      <c r="B403" s="16" t="s">
        <v>137</v>
      </c>
      <c r="C403" s="26" t="s">
        <v>77</v>
      </c>
      <c r="D403" s="26" t="s">
        <v>943</v>
      </c>
      <c r="E403" s="26" t="s">
        <v>944</v>
      </c>
      <c r="F403" s="26" t="s">
        <v>141</v>
      </c>
      <c r="G403" s="45"/>
      <c r="H403" s="21"/>
    </row>
    <row r="404" spans="2:8" s="26" customFormat="1" ht="13">
      <c r="B404" s="16" t="s">
        <v>137</v>
      </c>
      <c r="C404" s="26" t="s">
        <v>77</v>
      </c>
      <c r="D404" s="26" t="s">
        <v>945</v>
      </c>
      <c r="E404" s="26" t="s">
        <v>946</v>
      </c>
      <c r="F404" s="26" t="s">
        <v>141</v>
      </c>
      <c r="G404" s="45"/>
      <c r="H404" s="21"/>
    </row>
    <row r="405" spans="2:8" s="26" customFormat="1" ht="13">
      <c r="B405" s="16" t="s">
        <v>137</v>
      </c>
      <c r="C405" s="26" t="s">
        <v>77</v>
      </c>
      <c r="D405" s="26" t="s">
        <v>947</v>
      </c>
      <c r="E405" s="26" t="s">
        <v>948</v>
      </c>
      <c r="F405" s="26" t="s">
        <v>141</v>
      </c>
      <c r="G405" s="45"/>
      <c r="H405" s="21"/>
    </row>
    <row r="406" spans="2:8" s="26" customFormat="1" ht="13">
      <c r="B406" s="16" t="s">
        <v>137</v>
      </c>
      <c r="C406" s="26" t="s">
        <v>77</v>
      </c>
      <c r="D406" s="26" t="s">
        <v>949</v>
      </c>
      <c r="E406" s="26" t="s">
        <v>950</v>
      </c>
      <c r="F406" s="26" t="s">
        <v>141</v>
      </c>
      <c r="G406" s="45"/>
      <c r="H406" s="21"/>
    </row>
    <row r="407" spans="2:8" s="26" customFormat="1" ht="13">
      <c r="B407" s="16" t="s">
        <v>137</v>
      </c>
      <c r="C407" s="26" t="s">
        <v>77</v>
      </c>
      <c r="D407" s="26" t="s">
        <v>951</v>
      </c>
      <c r="E407" s="26" t="s">
        <v>952</v>
      </c>
      <c r="F407" s="26" t="s">
        <v>141</v>
      </c>
      <c r="G407" s="45"/>
      <c r="H407" s="21"/>
    </row>
    <row r="408" spans="2:8" s="26" customFormat="1" ht="13">
      <c r="B408" s="16" t="s">
        <v>137</v>
      </c>
      <c r="C408" s="26" t="s">
        <v>77</v>
      </c>
      <c r="D408" s="26" t="s">
        <v>953</v>
      </c>
      <c r="E408" s="26" t="s">
        <v>954</v>
      </c>
      <c r="F408" s="26" t="s">
        <v>141</v>
      </c>
      <c r="G408" s="45"/>
      <c r="H408" s="21"/>
    </row>
    <row r="409" spans="2:8" s="26" customFormat="1" ht="13">
      <c r="B409" s="16" t="s">
        <v>137</v>
      </c>
      <c r="C409" s="26" t="s">
        <v>77</v>
      </c>
      <c r="D409" s="26" t="s">
        <v>955</v>
      </c>
      <c r="E409" s="26" t="s">
        <v>956</v>
      </c>
      <c r="F409" s="26" t="s">
        <v>141</v>
      </c>
      <c r="G409" s="45"/>
      <c r="H409" s="21"/>
    </row>
    <row r="410" spans="2:8" s="26" customFormat="1" ht="13">
      <c r="B410" s="16" t="s">
        <v>137</v>
      </c>
      <c r="C410" s="26" t="s">
        <v>914</v>
      </c>
      <c r="D410" s="47" t="s">
        <v>915</v>
      </c>
      <c r="E410" s="47" t="s">
        <v>916</v>
      </c>
      <c r="F410" s="26" t="s">
        <v>141</v>
      </c>
      <c r="G410" s="45"/>
      <c r="H410" s="21"/>
    </row>
    <row r="411" spans="2:8" s="26" customFormat="1" ht="13">
      <c r="B411" s="16" t="s">
        <v>137</v>
      </c>
      <c r="C411" s="26" t="s">
        <v>917</v>
      </c>
      <c r="D411" s="26" t="s">
        <v>918</v>
      </c>
      <c r="E411" s="26" t="s">
        <v>919</v>
      </c>
      <c r="F411" s="26" t="s">
        <v>141</v>
      </c>
      <c r="G411" s="45"/>
      <c r="H411" s="21"/>
    </row>
    <row r="412" spans="2:8" s="26" customFormat="1" ht="13">
      <c r="B412" s="16" t="s">
        <v>137</v>
      </c>
      <c r="C412" s="26" t="s">
        <v>920</v>
      </c>
      <c r="D412" s="26" t="s">
        <v>921</v>
      </c>
      <c r="E412" s="26" t="s">
        <v>922</v>
      </c>
      <c r="F412" s="26" t="s">
        <v>141</v>
      </c>
      <c r="G412" s="45"/>
      <c r="H412" s="21"/>
    </row>
    <row r="413" spans="2:8" s="26" customFormat="1" ht="13">
      <c r="B413" s="16" t="s">
        <v>137</v>
      </c>
      <c r="C413" s="26" t="s">
        <v>469</v>
      </c>
      <c r="D413" s="26" t="s">
        <v>923</v>
      </c>
      <c r="E413" s="26" t="s">
        <v>924</v>
      </c>
      <c r="F413" s="26" t="s">
        <v>141</v>
      </c>
      <c r="G413" s="45"/>
      <c r="H413" s="21"/>
    </row>
    <row r="414" spans="2:8" s="26" customFormat="1" ht="13">
      <c r="B414" s="16" t="s">
        <v>137</v>
      </c>
      <c r="C414" s="26" t="s">
        <v>423</v>
      </c>
      <c r="D414" s="26" t="s">
        <v>925</v>
      </c>
      <c r="E414" s="26" t="s">
        <v>926</v>
      </c>
      <c r="F414" s="26" t="s">
        <v>141</v>
      </c>
      <c r="G414" s="45"/>
      <c r="H414" s="21"/>
    </row>
    <row r="415" spans="2:8" s="26" customFormat="1" ht="13">
      <c r="B415" s="16" t="s">
        <v>137</v>
      </c>
      <c r="C415" s="26" t="s">
        <v>77</v>
      </c>
      <c r="D415" s="26" t="s">
        <v>957</v>
      </c>
      <c r="E415" s="26" t="s">
        <v>958</v>
      </c>
      <c r="F415" s="26" t="s">
        <v>141</v>
      </c>
      <c r="G415" s="45"/>
      <c r="H415" s="21"/>
    </row>
    <row r="416" spans="2:8" s="26" customFormat="1" ht="13">
      <c r="B416" s="16" t="s">
        <v>137</v>
      </c>
      <c r="C416" s="26" t="s">
        <v>77</v>
      </c>
      <c r="D416" s="26" t="s">
        <v>959</v>
      </c>
      <c r="E416" s="26" t="s">
        <v>960</v>
      </c>
      <c r="F416" s="26" t="s">
        <v>141</v>
      </c>
      <c r="G416" s="45"/>
      <c r="H416" s="21"/>
    </row>
    <row r="417" spans="2:8" s="26" customFormat="1" ht="13">
      <c r="B417" s="16" t="s">
        <v>137</v>
      </c>
      <c r="C417" s="26" t="s">
        <v>77</v>
      </c>
      <c r="D417" s="26" t="s">
        <v>961</v>
      </c>
      <c r="E417" s="26" t="s">
        <v>962</v>
      </c>
      <c r="F417" s="26" t="s">
        <v>141</v>
      </c>
      <c r="G417" s="45"/>
      <c r="H417" s="21"/>
    </row>
    <row r="418" spans="2:8" s="26" customFormat="1" ht="13">
      <c r="B418" s="16" t="s">
        <v>137</v>
      </c>
      <c r="C418" s="26" t="s">
        <v>77</v>
      </c>
      <c r="D418" s="29" t="s">
        <v>963</v>
      </c>
      <c r="E418" s="26" t="s">
        <v>964</v>
      </c>
      <c r="F418" s="26" t="s">
        <v>141</v>
      </c>
      <c r="G418" s="45"/>
      <c r="H418" s="21"/>
    </row>
    <row r="419" spans="2:8" s="26" customFormat="1" ht="13">
      <c r="B419" s="16" t="s">
        <v>137</v>
      </c>
      <c r="C419" s="26" t="s">
        <v>77</v>
      </c>
      <c r="D419" s="29" t="s">
        <v>965</v>
      </c>
      <c r="E419" s="26" t="s">
        <v>966</v>
      </c>
      <c r="F419" s="26" t="s">
        <v>141</v>
      </c>
      <c r="G419" s="45"/>
      <c r="H419" s="21"/>
    </row>
    <row r="420" spans="2:8" s="26" customFormat="1" ht="13">
      <c r="B420" s="16" t="s">
        <v>137</v>
      </c>
      <c r="C420" s="26" t="s">
        <v>77</v>
      </c>
      <c r="D420" s="29" t="s">
        <v>967</v>
      </c>
      <c r="E420" s="26" t="s">
        <v>968</v>
      </c>
      <c r="F420" s="26" t="s">
        <v>141</v>
      </c>
      <c r="G420" s="45"/>
      <c r="H420" s="21"/>
    </row>
    <row r="421" spans="2:8" s="26" customFormat="1" ht="13">
      <c r="B421" s="16" t="s">
        <v>137</v>
      </c>
      <c r="C421" s="26" t="s">
        <v>77</v>
      </c>
      <c r="D421" s="29" t="s">
        <v>969</v>
      </c>
      <c r="E421" s="26" t="s">
        <v>970</v>
      </c>
      <c r="F421" s="26" t="s">
        <v>141</v>
      </c>
      <c r="G421" s="45"/>
      <c r="H421" s="21"/>
    </row>
    <row r="422" spans="2:8" s="26" customFormat="1" ht="13">
      <c r="B422" s="16" t="s">
        <v>137</v>
      </c>
      <c r="C422" s="26" t="s">
        <v>77</v>
      </c>
      <c r="D422" s="29" t="s">
        <v>971</v>
      </c>
      <c r="E422" s="26" t="s">
        <v>972</v>
      </c>
      <c r="F422" s="26" t="s">
        <v>141</v>
      </c>
      <c r="G422" s="45"/>
      <c r="H422" s="21"/>
    </row>
    <row r="423" spans="2:8" s="26" customFormat="1" ht="13">
      <c r="B423" s="16" t="s">
        <v>137</v>
      </c>
      <c r="C423" s="26" t="s">
        <v>77</v>
      </c>
      <c r="D423" s="26" t="s">
        <v>973</v>
      </c>
      <c r="E423" s="26" t="s">
        <v>974</v>
      </c>
      <c r="F423" s="26" t="s">
        <v>141</v>
      </c>
      <c r="G423" s="45"/>
      <c r="H423" s="21"/>
    </row>
    <row r="424" spans="2:8" s="26" customFormat="1" ht="13">
      <c r="B424" s="16" t="s">
        <v>137</v>
      </c>
      <c r="C424" s="26" t="s">
        <v>77</v>
      </c>
      <c r="D424" s="26" t="s">
        <v>975</v>
      </c>
      <c r="E424" s="26" t="s">
        <v>976</v>
      </c>
      <c r="F424" s="26" t="s">
        <v>141</v>
      </c>
      <c r="G424" s="45"/>
      <c r="H424" s="21"/>
    </row>
    <row r="425" spans="2:8" s="26" customFormat="1">
      <c r="B425" s="16" t="s">
        <v>137</v>
      </c>
      <c r="C425" s="26" t="s">
        <v>170</v>
      </c>
      <c r="D425" s="53" t="s">
        <v>876</v>
      </c>
      <c r="E425" s="47" t="s">
        <v>877</v>
      </c>
      <c r="F425" s="25" t="s">
        <v>141</v>
      </c>
      <c r="H425" s="21"/>
    </row>
    <row r="426" spans="2:8" s="26" customFormat="1">
      <c r="B426" s="16" t="s">
        <v>137</v>
      </c>
      <c r="C426" s="26" t="s">
        <v>170</v>
      </c>
      <c r="D426" s="30" t="s">
        <v>1214</v>
      </c>
      <c r="E426" s="29" t="s">
        <v>1215</v>
      </c>
      <c r="F426" s="26" t="s">
        <v>141</v>
      </c>
      <c r="G426" s="46"/>
      <c r="H426" s="21"/>
    </row>
    <row r="427" spans="2:8" s="26" customFormat="1">
      <c r="B427" s="16" t="s">
        <v>137</v>
      </c>
      <c r="C427" s="26" t="s">
        <v>170</v>
      </c>
      <c r="D427" s="30" t="s">
        <v>1270</v>
      </c>
      <c r="E427" s="29" t="s">
        <v>1271</v>
      </c>
      <c r="F427" s="26" t="s">
        <v>141</v>
      </c>
      <c r="H427" s="21"/>
    </row>
    <row r="428" spans="2:8" s="26" customFormat="1">
      <c r="B428" s="16" t="s">
        <v>137</v>
      </c>
      <c r="C428" s="26" t="s">
        <v>170</v>
      </c>
      <c r="D428" s="30" t="s">
        <v>1242</v>
      </c>
      <c r="E428" s="29" t="s">
        <v>1243</v>
      </c>
      <c r="F428" s="26" t="s">
        <v>141</v>
      </c>
      <c r="H428" s="21"/>
    </row>
    <row r="429" spans="2:8" s="26" customFormat="1">
      <c r="B429" s="16" t="s">
        <v>137</v>
      </c>
      <c r="C429" s="26" t="s">
        <v>170</v>
      </c>
      <c r="D429" s="53" t="s">
        <v>878</v>
      </c>
      <c r="E429" s="47" t="s">
        <v>879</v>
      </c>
      <c r="F429" s="25" t="s">
        <v>141</v>
      </c>
      <c r="H429" s="21"/>
    </row>
    <row r="430" spans="2:8" s="26" customFormat="1">
      <c r="B430" s="16" t="s">
        <v>137</v>
      </c>
      <c r="C430" s="26" t="s">
        <v>138</v>
      </c>
      <c r="D430" s="26" t="s">
        <v>1143</v>
      </c>
      <c r="E430" s="26" t="s">
        <v>1144</v>
      </c>
      <c r="F430" s="26" t="s">
        <v>141</v>
      </c>
      <c r="H430" s="21"/>
    </row>
    <row r="431" spans="2:8" s="26" customFormat="1">
      <c r="B431" s="16" t="s">
        <v>137</v>
      </c>
      <c r="C431" s="26" t="s">
        <v>138</v>
      </c>
      <c r="D431" s="26" t="s">
        <v>1169</v>
      </c>
      <c r="E431" s="26" t="s">
        <v>1170</v>
      </c>
      <c r="F431" s="26" t="s">
        <v>141</v>
      </c>
      <c r="H431" s="21"/>
    </row>
    <row r="432" spans="2:8" s="26" customFormat="1" ht="13">
      <c r="B432" s="16" t="s">
        <v>137</v>
      </c>
      <c r="C432" s="26" t="s">
        <v>994</v>
      </c>
      <c r="D432" s="26" t="s">
        <v>1013</v>
      </c>
      <c r="E432" s="26" t="s">
        <v>1014</v>
      </c>
      <c r="F432" s="26" t="s">
        <v>141</v>
      </c>
      <c r="G432" s="45"/>
      <c r="H432" s="21"/>
    </row>
    <row r="433" spans="2:10" s="26" customFormat="1" ht="13">
      <c r="B433" s="16" t="s">
        <v>137</v>
      </c>
      <c r="C433" s="26" t="s">
        <v>917</v>
      </c>
      <c r="D433" s="26" t="s">
        <v>1039</v>
      </c>
      <c r="E433" s="26" t="s">
        <v>1040</v>
      </c>
      <c r="F433" s="26" t="s">
        <v>141</v>
      </c>
      <c r="G433" s="45"/>
      <c r="H433" s="21"/>
    </row>
    <row r="434" spans="2:10" s="26" customFormat="1">
      <c r="B434" s="16" t="s">
        <v>137</v>
      </c>
      <c r="C434" s="26" t="s">
        <v>920</v>
      </c>
      <c r="D434" s="26" t="s">
        <v>1065</v>
      </c>
      <c r="E434" s="26" t="s">
        <v>1066</v>
      </c>
      <c r="F434" s="26" t="s">
        <v>141</v>
      </c>
      <c r="H434" s="21"/>
    </row>
    <row r="435" spans="2:10" s="26" customFormat="1">
      <c r="B435" s="16" t="s">
        <v>137</v>
      </c>
      <c r="C435" s="26" t="s">
        <v>469</v>
      </c>
      <c r="D435" s="26" t="s">
        <v>1091</v>
      </c>
      <c r="E435" s="26" t="s">
        <v>1092</v>
      </c>
      <c r="F435" s="26" t="s">
        <v>141</v>
      </c>
      <c r="H435" s="21"/>
    </row>
    <row r="436" spans="2:10" s="26" customFormat="1">
      <c r="B436" s="16" t="s">
        <v>137</v>
      </c>
      <c r="C436" s="26" t="s">
        <v>423</v>
      </c>
      <c r="D436" s="26" t="s">
        <v>1117</v>
      </c>
      <c r="E436" s="26" t="s">
        <v>1118</v>
      </c>
      <c r="F436" s="26" t="s">
        <v>141</v>
      </c>
      <c r="H436" s="21"/>
    </row>
    <row r="437" spans="2:10" s="26" customFormat="1">
      <c r="B437" s="16" t="s">
        <v>137</v>
      </c>
      <c r="C437" s="26" t="s">
        <v>170</v>
      </c>
      <c r="D437" s="53" t="s">
        <v>887</v>
      </c>
      <c r="E437" s="47" t="s">
        <v>1504</v>
      </c>
      <c r="F437" s="25" t="s">
        <v>141</v>
      </c>
      <c r="H437" s="21"/>
      <c r="I437" s="23"/>
      <c r="J437" s="23"/>
    </row>
    <row r="438" spans="2:10" s="26" customFormat="1">
      <c r="B438" s="16" t="s">
        <v>137</v>
      </c>
      <c r="C438" s="21" t="s">
        <v>138</v>
      </c>
      <c r="D438" s="21" t="s">
        <v>181</v>
      </c>
      <c r="E438" s="21" t="s">
        <v>675</v>
      </c>
      <c r="F438" s="21" t="s">
        <v>167</v>
      </c>
      <c r="G438" s="21"/>
      <c r="H438" s="21"/>
      <c r="I438" s="21"/>
      <c r="J438" s="21"/>
    </row>
    <row r="439" spans="2:10" s="26" customFormat="1">
      <c r="B439" s="16" t="s">
        <v>137</v>
      </c>
      <c r="C439" s="21" t="s">
        <v>138</v>
      </c>
      <c r="D439" s="21" t="s">
        <v>194</v>
      </c>
      <c r="E439" s="21" t="s">
        <v>195</v>
      </c>
      <c r="F439" s="21" t="s">
        <v>141</v>
      </c>
      <c r="G439" s="21"/>
      <c r="H439" s="21"/>
      <c r="I439" s="21"/>
      <c r="J439" s="21"/>
    </row>
    <row r="440" spans="2:10" s="26" customFormat="1">
      <c r="B440" s="16" t="s">
        <v>137</v>
      </c>
      <c r="C440" s="26" t="s">
        <v>170</v>
      </c>
      <c r="D440" s="30" t="s">
        <v>803</v>
      </c>
      <c r="E440" s="29" t="s">
        <v>804</v>
      </c>
      <c r="F440" s="26" t="s">
        <v>141</v>
      </c>
      <c r="G440" s="46"/>
      <c r="H440" s="21"/>
    </row>
    <row r="441" spans="2:10" s="26" customFormat="1">
      <c r="B441" s="16" t="s">
        <v>137</v>
      </c>
      <c r="C441" s="26" t="s">
        <v>170</v>
      </c>
      <c r="D441" s="30" t="s">
        <v>807</v>
      </c>
      <c r="E441" s="29" t="s">
        <v>808</v>
      </c>
      <c r="F441" s="26" t="s">
        <v>141</v>
      </c>
      <c r="H441" s="21"/>
    </row>
    <row r="442" spans="2:10" s="26" customFormat="1">
      <c r="B442" s="16" t="s">
        <v>137</v>
      </c>
      <c r="C442" s="26" t="s">
        <v>170</v>
      </c>
      <c r="D442" s="30" t="s">
        <v>805</v>
      </c>
      <c r="E442" s="29" t="s">
        <v>806</v>
      </c>
      <c r="F442" s="26" t="s">
        <v>141</v>
      </c>
      <c r="H442" s="21"/>
    </row>
    <row r="443" spans="2:10" s="26" customFormat="1">
      <c r="B443" s="16" t="s">
        <v>137</v>
      </c>
      <c r="C443" s="80" t="s">
        <v>138</v>
      </c>
      <c r="D443" s="80" t="s">
        <v>1556</v>
      </c>
      <c r="E443" s="80" t="s">
        <v>1557</v>
      </c>
      <c r="F443" s="80" t="s">
        <v>141</v>
      </c>
      <c r="G443" s="80"/>
      <c r="H443" s="79"/>
      <c r="I443" s="80"/>
      <c r="J443" s="80"/>
    </row>
    <row r="444" spans="2:10" s="26" customFormat="1">
      <c r="B444" s="16" t="s">
        <v>137</v>
      </c>
      <c r="C444" s="80" t="s">
        <v>138</v>
      </c>
      <c r="D444" s="80" t="s">
        <v>1558</v>
      </c>
      <c r="E444" s="80" t="s">
        <v>1559</v>
      </c>
      <c r="F444" s="80" t="s">
        <v>141</v>
      </c>
      <c r="G444" s="80"/>
      <c r="H444" s="79"/>
      <c r="I444" s="80"/>
      <c r="J444" s="80"/>
    </row>
    <row r="445" spans="2:10" s="26" customFormat="1" ht="13">
      <c r="B445" s="16" t="s">
        <v>137</v>
      </c>
      <c r="C445" s="26" t="s">
        <v>170</v>
      </c>
      <c r="D445" s="30" t="s">
        <v>992</v>
      </c>
      <c r="E445" s="29" t="s">
        <v>1507</v>
      </c>
      <c r="F445" s="26" t="s">
        <v>141</v>
      </c>
      <c r="G445" s="45"/>
      <c r="H445" s="21"/>
    </row>
    <row r="446" spans="2:10" s="26" customFormat="1">
      <c r="B446" s="16" t="s">
        <v>137</v>
      </c>
      <c r="C446" s="21" t="s">
        <v>138</v>
      </c>
      <c r="D446" s="21" t="s">
        <v>202</v>
      </c>
      <c r="E446" s="21" t="s">
        <v>203</v>
      </c>
      <c r="F446" s="21" t="s">
        <v>141</v>
      </c>
      <c r="G446" s="21"/>
      <c r="H446" s="21"/>
      <c r="I446" s="21"/>
      <c r="J446" s="21"/>
    </row>
    <row r="447" spans="2:10" s="26" customFormat="1">
      <c r="B447" s="16" t="s">
        <v>137</v>
      </c>
      <c r="C447" s="55" t="s">
        <v>138</v>
      </c>
      <c r="D447" s="32" t="s">
        <v>1179</v>
      </c>
      <c r="E447" s="36" t="s">
        <v>1180</v>
      </c>
      <c r="F447" s="39" t="s">
        <v>141</v>
      </c>
      <c r="G447" s="39"/>
      <c r="H447" s="21"/>
      <c r="I447" s="39"/>
      <c r="J447" s="39"/>
    </row>
    <row r="448" spans="2:10" s="26" customFormat="1">
      <c r="B448" s="16" t="s">
        <v>137</v>
      </c>
      <c r="C448" s="26" t="s">
        <v>138</v>
      </c>
      <c r="D448" s="26" t="s">
        <v>1184</v>
      </c>
      <c r="E448" s="26" t="s">
        <v>1185</v>
      </c>
      <c r="F448" s="26" t="s">
        <v>141</v>
      </c>
      <c r="H448" s="21"/>
    </row>
    <row r="449" spans="2:10" s="26" customFormat="1">
      <c r="B449" s="16" t="s">
        <v>137</v>
      </c>
      <c r="C449" s="55" t="s">
        <v>138</v>
      </c>
      <c r="D449" s="69" t="s">
        <v>1187</v>
      </c>
      <c r="E449" s="36" t="s">
        <v>1188</v>
      </c>
      <c r="F449" s="39" t="s">
        <v>141</v>
      </c>
      <c r="G449" s="39"/>
      <c r="H449" s="21"/>
      <c r="I449" s="39"/>
      <c r="J449" s="39"/>
    </row>
    <row r="450" spans="2:10" s="26" customFormat="1" ht="13">
      <c r="B450" s="16" t="s">
        <v>137</v>
      </c>
      <c r="C450" s="26" t="s">
        <v>138</v>
      </c>
      <c r="D450" s="68" t="s">
        <v>842</v>
      </c>
      <c r="E450" s="47" t="s">
        <v>843</v>
      </c>
      <c r="F450" s="25" t="s">
        <v>141</v>
      </c>
      <c r="G450" s="45"/>
      <c r="H450" s="21"/>
    </row>
    <row r="451" spans="2:10" s="26" customFormat="1">
      <c r="B451" s="16" t="s">
        <v>137</v>
      </c>
      <c r="C451" s="55" t="s">
        <v>138</v>
      </c>
      <c r="D451" s="69" t="s">
        <v>1302</v>
      </c>
      <c r="E451" s="36" t="s">
        <v>1303</v>
      </c>
      <c r="F451" s="39" t="s">
        <v>141</v>
      </c>
      <c r="G451" s="39"/>
      <c r="H451" s="21"/>
      <c r="I451" s="39"/>
      <c r="J451" s="39"/>
    </row>
    <row r="452" spans="2:10" s="26" customFormat="1">
      <c r="B452" s="16" t="s">
        <v>137</v>
      </c>
      <c r="C452" s="26" t="s">
        <v>170</v>
      </c>
      <c r="D452" s="66" t="s">
        <v>1210</v>
      </c>
      <c r="E452" s="29" t="s">
        <v>1211</v>
      </c>
      <c r="F452" s="26" t="s">
        <v>141</v>
      </c>
      <c r="G452" s="46"/>
      <c r="H452" s="21"/>
    </row>
    <row r="453" spans="2:10" s="26" customFormat="1">
      <c r="B453" s="16" t="s">
        <v>137</v>
      </c>
      <c r="C453" s="26" t="s">
        <v>170</v>
      </c>
      <c r="D453" s="66" t="s">
        <v>1266</v>
      </c>
      <c r="E453" s="29" t="s">
        <v>1267</v>
      </c>
      <c r="F453" s="26" t="s">
        <v>141</v>
      </c>
      <c r="H453" s="21"/>
    </row>
    <row r="454" spans="2:10" s="26" customFormat="1">
      <c r="B454" s="16" t="s">
        <v>137</v>
      </c>
      <c r="C454" s="26" t="s">
        <v>170</v>
      </c>
      <c r="D454" s="30" t="s">
        <v>1238</v>
      </c>
      <c r="E454" s="29" t="s">
        <v>1239</v>
      </c>
      <c r="F454" s="26" t="s">
        <v>141</v>
      </c>
      <c r="H454" s="21"/>
    </row>
    <row r="455" spans="2:10" s="26" customFormat="1">
      <c r="B455" s="16" t="s">
        <v>137</v>
      </c>
      <c r="C455" s="26" t="s">
        <v>138</v>
      </c>
      <c r="D455" s="29" t="s">
        <v>1145</v>
      </c>
      <c r="E455" s="26" t="s">
        <v>1146</v>
      </c>
      <c r="F455" s="26" t="s">
        <v>141</v>
      </c>
      <c r="H455" s="21"/>
    </row>
    <row r="456" spans="2:10" s="26" customFormat="1">
      <c r="B456" s="16" t="s">
        <v>137</v>
      </c>
      <c r="C456" s="26" t="s">
        <v>138</v>
      </c>
      <c r="D456" s="29" t="s">
        <v>1171</v>
      </c>
      <c r="E456" s="26" t="s">
        <v>1172</v>
      </c>
      <c r="F456" s="26" t="s">
        <v>141</v>
      </c>
      <c r="H456" s="21"/>
    </row>
    <row r="457" spans="2:10" s="26" customFormat="1" ht="13">
      <c r="B457" s="16" t="s">
        <v>137</v>
      </c>
      <c r="C457" s="26" t="s">
        <v>994</v>
      </c>
      <c r="D457" s="29" t="s">
        <v>1015</v>
      </c>
      <c r="E457" s="26" t="s">
        <v>1016</v>
      </c>
      <c r="F457" s="26" t="s">
        <v>141</v>
      </c>
      <c r="G457" s="45"/>
      <c r="H457" s="21"/>
    </row>
    <row r="458" spans="2:10" s="26" customFormat="1" ht="13">
      <c r="B458" s="16" t="s">
        <v>137</v>
      </c>
      <c r="C458" s="26" t="s">
        <v>917</v>
      </c>
      <c r="D458" s="29" t="s">
        <v>1041</v>
      </c>
      <c r="E458" s="26" t="s">
        <v>1042</v>
      </c>
      <c r="F458" s="26" t="s">
        <v>141</v>
      </c>
      <c r="G458" s="45"/>
      <c r="H458" s="21"/>
    </row>
    <row r="459" spans="2:10" s="26" customFormat="1">
      <c r="B459" s="16" t="s">
        <v>137</v>
      </c>
      <c r="C459" s="26" t="s">
        <v>920</v>
      </c>
      <c r="D459" s="29" t="s">
        <v>1067</v>
      </c>
      <c r="E459" s="26" t="s">
        <v>1068</v>
      </c>
      <c r="F459" s="26" t="s">
        <v>141</v>
      </c>
      <c r="H459" s="21"/>
    </row>
    <row r="460" spans="2:10" s="26" customFormat="1">
      <c r="B460" s="16" t="s">
        <v>137</v>
      </c>
      <c r="C460" s="26" t="s">
        <v>469</v>
      </c>
      <c r="D460" s="26" t="s">
        <v>1093</v>
      </c>
      <c r="E460" s="26" t="s">
        <v>1094</v>
      </c>
      <c r="F460" s="26" t="s">
        <v>141</v>
      </c>
      <c r="H460" s="21"/>
    </row>
    <row r="461" spans="2:10" s="26" customFormat="1">
      <c r="B461" s="16" t="s">
        <v>137</v>
      </c>
      <c r="C461" s="26" t="s">
        <v>423</v>
      </c>
      <c r="D461" s="26" t="s">
        <v>1119</v>
      </c>
      <c r="E461" s="26" t="s">
        <v>1120</v>
      </c>
      <c r="F461" s="26" t="s">
        <v>141</v>
      </c>
      <c r="H461" s="21"/>
    </row>
    <row r="462" spans="2:10" s="26" customFormat="1" ht="13">
      <c r="B462" s="16" t="s">
        <v>137</v>
      </c>
      <c r="C462" s="26" t="s">
        <v>170</v>
      </c>
      <c r="D462" s="30" t="s">
        <v>988</v>
      </c>
      <c r="E462" s="29" t="s">
        <v>1505</v>
      </c>
      <c r="F462" s="26" t="s">
        <v>141</v>
      </c>
      <c r="G462" s="45"/>
      <c r="H462" s="21"/>
    </row>
    <row r="463" spans="2:10" s="26" customFormat="1">
      <c r="B463" s="16" t="s">
        <v>137</v>
      </c>
      <c r="C463" s="26" t="s">
        <v>170</v>
      </c>
      <c r="D463" s="30" t="s">
        <v>1208</v>
      </c>
      <c r="E463" s="29" t="s">
        <v>1209</v>
      </c>
      <c r="F463" s="26" t="s">
        <v>141</v>
      </c>
      <c r="G463" s="46"/>
      <c r="H463" s="21"/>
    </row>
    <row r="464" spans="2:10" s="26" customFormat="1">
      <c r="B464" s="16" t="s">
        <v>137</v>
      </c>
      <c r="C464" s="26" t="s">
        <v>170</v>
      </c>
      <c r="D464" s="30" t="s">
        <v>1264</v>
      </c>
      <c r="E464" s="29" t="s">
        <v>1265</v>
      </c>
      <c r="F464" s="26" t="s">
        <v>141</v>
      </c>
      <c r="H464" s="21"/>
    </row>
    <row r="465" spans="2:10" s="26" customFormat="1">
      <c r="B465" s="16" t="s">
        <v>137</v>
      </c>
      <c r="C465" s="26" t="s">
        <v>170</v>
      </c>
      <c r="D465" s="30" t="s">
        <v>1236</v>
      </c>
      <c r="E465" s="29" t="s">
        <v>1237</v>
      </c>
      <c r="F465" s="26" t="s">
        <v>141</v>
      </c>
      <c r="H465" s="21"/>
    </row>
    <row r="466" spans="2:10" s="26" customFormat="1">
      <c r="B466" s="16" t="s">
        <v>137</v>
      </c>
      <c r="C466" s="26" t="s">
        <v>138</v>
      </c>
      <c r="D466" s="26" t="s">
        <v>1147</v>
      </c>
      <c r="E466" s="26" t="s">
        <v>1148</v>
      </c>
      <c r="F466" s="26" t="s">
        <v>141</v>
      </c>
      <c r="H466" s="21"/>
    </row>
    <row r="467" spans="2:10" s="26" customFormat="1">
      <c r="B467" s="16" t="s">
        <v>137</v>
      </c>
      <c r="C467" s="26" t="s">
        <v>138</v>
      </c>
      <c r="D467" s="26" t="s">
        <v>1173</v>
      </c>
      <c r="E467" s="26" t="s">
        <v>1174</v>
      </c>
      <c r="F467" s="26" t="s">
        <v>141</v>
      </c>
      <c r="H467" s="21"/>
    </row>
    <row r="468" spans="2:10" s="26" customFormat="1" ht="13">
      <c r="B468" s="16" t="s">
        <v>137</v>
      </c>
      <c r="C468" s="26" t="s">
        <v>994</v>
      </c>
      <c r="D468" s="26" t="s">
        <v>1017</v>
      </c>
      <c r="E468" s="26" t="s">
        <v>1018</v>
      </c>
      <c r="F468" s="26" t="s">
        <v>141</v>
      </c>
      <c r="G468" s="45"/>
      <c r="H468" s="21"/>
    </row>
    <row r="469" spans="2:10" s="26" customFormat="1" ht="13">
      <c r="B469" s="16" t="s">
        <v>137</v>
      </c>
      <c r="C469" s="26" t="s">
        <v>917</v>
      </c>
      <c r="D469" s="26" t="s">
        <v>1043</v>
      </c>
      <c r="E469" s="26" t="s">
        <v>1044</v>
      </c>
      <c r="F469" s="26" t="s">
        <v>141</v>
      </c>
      <c r="G469" s="45"/>
      <c r="H469" s="21"/>
    </row>
    <row r="470" spans="2:10" s="26" customFormat="1">
      <c r="B470" s="16" t="s">
        <v>137</v>
      </c>
      <c r="C470" s="26" t="s">
        <v>920</v>
      </c>
      <c r="D470" s="53" t="s">
        <v>1069</v>
      </c>
      <c r="E470" s="53" t="s">
        <v>1070</v>
      </c>
      <c r="F470" s="26" t="s">
        <v>141</v>
      </c>
      <c r="H470" s="21"/>
    </row>
    <row r="471" spans="2:10" s="26" customFormat="1">
      <c r="B471" s="16" t="s">
        <v>137</v>
      </c>
      <c r="C471" s="26" t="s">
        <v>469</v>
      </c>
      <c r="D471" s="26" t="s">
        <v>1095</v>
      </c>
      <c r="E471" s="26" t="s">
        <v>1096</v>
      </c>
      <c r="F471" s="26" t="s">
        <v>141</v>
      </c>
      <c r="H471" s="21"/>
    </row>
    <row r="472" spans="2:10" s="26" customFormat="1">
      <c r="B472" s="16" t="s">
        <v>137</v>
      </c>
      <c r="C472" s="26" t="s">
        <v>423</v>
      </c>
      <c r="D472" s="26" t="s">
        <v>1121</v>
      </c>
      <c r="E472" s="26" t="s">
        <v>1122</v>
      </c>
      <c r="F472" s="26" t="s">
        <v>141</v>
      </c>
      <c r="H472" s="21"/>
    </row>
    <row r="473" spans="2:10" s="26" customFormat="1" ht="13">
      <c r="B473" s="16" t="s">
        <v>137</v>
      </c>
      <c r="C473" s="26" t="s">
        <v>170</v>
      </c>
      <c r="D473" s="30" t="s">
        <v>989</v>
      </c>
      <c r="E473" s="29" t="s">
        <v>990</v>
      </c>
      <c r="F473" s="26" t="s">
        <v>141</v>
      </c>
      <c r="G473" s="45"/>
      <c r="H473" s="21"/>
    </row>
    <row r="474" spans="2:10" s="26" customFormat="1">
      <c r="B474" s="16" t="s">
        <v>137</v>
      </c>
      <c r="C474" s="21" t="s">
        <v>138</v>
      </c>
      <c r="D474" s="21" t="s">
        <v>507</v>
      </c>
      <c r="E474" s="21" t="s">
        <v>673</v>
      </c>
      <c r="F474" s="21" t="s">
        <v>141</v>
      </c>
      <c r="G474" s="21"/>
      <c r="H474" s="21"/>
      <c r="I474" s="21"/>
      <c r="J474" s="21"/>
    </row>
    <row r="475" spans="2:10" s="26" customFormat="1" ht="13">
      <c r="B475" s="16" t="s">
        <v>137</v>
      </c>
      <c r="C475" s="71" t="s">
        <v>138</v>
      </c>
      <c r="D475" s="21" t="s">
        <v>173</v>
      </c>
      <c r="E475" s="21" t="s">
        <v>676</v>
      </c>
      <c r="F475" s="21" t="s">
        <v>167</v>
      </c>
      <c r="G475" s="21"/>
      <c r="H475" s="21"/>
      <c r="I475" s="21"/>
      <c r="J475" s="21"/>
    </row>
    <row r="476" spans="2:10" s="26" customFormat="1" ht="13">
      <c r="B476" s="16" t="s">
        <v>137</v>
      </c>
      <c r="C476" s="71" t="s">
        <v>138</v>
      </c>
      <c r="D476" s="21" t="s">
        <v>198</v>
      </c>
      <c r="E476" s="21" t="s">
        <v>199</v>
      </c>
      <c r="F476" s="21" t="s">
        <v>141</v>
      </c>
      <c r="G476" s="21"/>
      <c r="H476" s="21"/>
      <c r="I476" s="21"/>
      <c r="J476" s="21"/>
    </row>
    <row r="477" spans="2:10" s="26" customFormat="1">
      <c r="B477" s="16" t="s">
        <v>137</v>
      </c>
      <c r="C477" s="55" t="s">
        <v>138</v>
      </c>
      <c r="D477" s="25" t="s">
        <v>1342</v>
      </c>
      <c r="E477" s="25" t="s">
        <v>1343</v>
      </c>
      <c r="F477" s="25" t="s">
        <v>141</v>
      </c>
      <c r="G477" s="39"/>
      <c r="H477" s="21"/>
      <c r="I477" s="39"/>
      <c r="J477" s="39"/>
    </row>
    <row r="478" spans="2:10" s="26" customFormat="1">
      <c r="B478" s="16" t="s">
        <v>137</v>
      </c>
      <c r="C478" s="55" t="s">
        <v>138</v>
      </c>
      <c r="D478" s="26" t="s">
        <v>1344</v>
      </c>
      <c r="E478" s="26" t="s">
        <v>1345</v>
      </c>
      <c r="F478" s="26" t="s">
        <v>141</v>
      </c>
      <c r="H478" s="21"/>
    </row>
    <row r="479" spans="2:10" s="26" customFormat="1">
      <c r="B479" s="16" t="s">
        <v>137</v>
      </c>
      <c r="C479" s="55" t="s">
        <v>138</v>
      </c>
      <c r="D479" s="25" t="s">
        <v>1346</v>
      </c>
      <c r="E479" s="25" t="s">
        <v>1410</v>
      </c>
      <c r="F479" s="25" t="s">
        <v>141</v>
      </c>
      <c r="G479" s="39"/>
      <c r="H479" s="21"/>
      <c r="I479" s="39"/>
      <c r="J479" s="39"/>
    </row>
    <row r="480" spans="2:10" s="26" customFormat="1">
      <c r="B480" s="16" t="s">
        <v>137</v>
      </c>
      <c r="C480" s="55" t="s">
        <v>138</v>
      </c>
      <c r="D480" s="26" t="s">
        <v>1347</v>
      </c>
      <c r="E480" s="26" t="s">
        <v>1348</v>
      </c>
      <c r="F480" s="26" t="s">
        <v>141</v>
      </c>
      <c r="H480" s="21"/>
    </row>
    <row r="481" spans="2:11" s="26" customFormat="1">
      <c r="B481" s="16" t="s">
        <v>137</v>
      </c>
      <c r="C481" s="55" t="s">
        <v>138</v>
      </c>
      <c r="D481" s="25" t="s">
        <v>1349</v>
      </c>
      <c r="E481" s="25" t="s">
        <v>1350</v>
      </c>
      <c r="F481" s="25" t="s">
        <v>141</v>
      </c>
      <c r="G481" s="39"/>
      <c r="H481" s="21"/>
      <c r="I481" s="39"/>
      <c r="J481" s="39"/>
    </row>
    <row r="482" spans="2:11" s="26" customFormat="1">
      <c r="B482" s="16" t="s">
        <v>137</v>
      </c>
      <c r="C482" s="55" t="s">
        <v>138</v>
      </c>
      <c r="D482" s="26" t="s">
        <v>1351</v>
      </c>
      <c r="E482" s="26" t="s">
        <v>1352</v>
      </c>
      <c r="F482" s="26" t="s">
        <v>141</v>
      </c>
      <c r="H482" s="21"/>
    </row>
    <row r="483" spans="2:11" s="26" customFormat="1">
      <c r="B483" s="16" t="s">
        <v>137</v>
      </c>
      <c r="C483" s="55" t="s">
        <v>138</v>
      </c>
      <c r="D483" s="25" t="s">
        <v>1353</v>
      </c>
      <c r="E483" s="25" t="s">
        <v>1409</v>
      </c>
      <c r="F483" s="25" t="s">
        <v>141</v>
      </c>
      <c r="G483" s="39"/>
      <c r="H483" s="21"/>
      <c r="I483" s="39"/>
      <c r="J483" s="39"/>
    </row>
    <row r="484" spans="2:11" s="26" customFormat="1">
      <c r="B484" s="16" t="s">
        <v>137</v>
      </c>
      <c r="C484" s="55" t="s">
        <v>138</v>
      </c>
      <c r="D484" s="53" t="s">
        <v>1354</v>
      </c>
      <c r="E484" s="53" t="s">
        <v>1355</v>
      </c>
      <c r="F484" s="53" t="s">
        <v>141</v>
      </c>
      <c r="H484" s="21"/>
    </row>
    <row r="485" spans="2:11" s="26" customFormat="1">
      <c r="B485" s="16" t="s">
        <v>137</v>
      </c>
      <c r="C485" s="55" t="s">
        <v>138</v>
      </c>
      <c r="D485" s="25" t="s">
        <v>1356</v>
      </c>
      <c r="E485" s="25" t="s">
        <v>1408</v>
      </c>
      <c r="F485" s="25" t="s">
        <v>141</v>
      </c>
      <c r="G485" s="39"/>
      <c r="H485" s="21"/>
      <c r="I485" s="39"/>
      <c r="J485" s="39"/>
    </row>
    <row r="486" spans="2:11" s="94" customFormat="1">
      <c r="B486" s="103" t="s">
        <v>137</v>
      </c>
      <c r="C486" s="98" t="s">
        <v>138</v>
      </c>
      <c r="D486" s="105" t="s">
        <v>2095</v>
      </c>
      <c r="E486" s="105" t="s">
        <v>2101</v>
      </c>
      <c r="F486" s="105" t="s">
        <v>141</v>
      </c>
      <c r="H486" s="100"/>
    </row>
    <row r="487" spans="2:11" s="94" customFormat="1">
      <c r="B487" s="103" t="s">
        <v>137</v>
      </c>
      <c r="C487" s="98" t="s">
        <v>138</v>
      </c>
      <c r="D487" s="105" t="s">
        <v>2096</v>
      </c>
      <c r="E487" s="105" t="s">
        <v>2102</v>
      </c>
      <c r="F487" s="105" t="s">
        <v>141</v>
      </c>
      <c r="H487" s="100"/>
    </row>
    <row r="488" spans="2:11" s="94" customFormat="1">
      <c r="B488" s="103" t="s">
        <v>137</v>
      </c>
      <c r="C488" s="98" t="s">
        <v>138</v>
      </c>
      <c r="D488" s="99" t="s">
        <v>2097</v>
      </c>
      <c r="E488" s="99" t="s">
        <v>2103</v>
      </c>
      <c r="F488" s="99" t="s">
        <v>141</v>
      </c>
      <c r="G488" s="102"/>
      <c r="H488" s="100"/>
      <c r="I488" s="102"/>
      <c r="J488" s="102"/>
    </row>
    <row r="489" spans="2:11" s="94" customFormat="1">
      <c r="B489" s="103" t="s">
        <v>137</v>
      </c>
      <c r="C489" s="98" t="s">
        <v>138</v>
      </c>
      <c r="D489" s="99" t="s">
        <v>2098</v>
      </c>
      <c r="E489" s="99" t="s">
        <v>2104</v>
      </c>
      <c r="F489" s="99" t="s">
        <v>141</v>
      </c>
      <c r="G489" s="102"/>
      <c r="H489" s="100"/>
      <c r="I489" s="102"/>
      <c r="J489" s="102"/>
    </row>
    <row r="490" spans="2:11" s="94" customFormat="1">
      <c r="B490" s="103" t="s">
        <v>137</v>
      </c>
      <c r="C490" s="98" t="s">
        <v>138</v>
      </c>
      <c r="D490" s="94" t="s">
        <v>2099</v>
      </c>
      <c r="E490" s="94" t="s">
        <v>2105</v>
      </c>
      <c r="F490" s="94" t="s">
        <v>141</v>
      </c>
      <c r="H490" s="100"/>
    </row>
    <row r="491" spans="2:11" s="94" customFormat="1">
      <c r="B491" s="103" t="s">
        <v>137</v>
      </c>
      <c r="C491" s="98" t="s">
        <v>138</v>
      </c>
      <c r="D491" s="94" t="s">
        <v>2100</v>
      </c>
      <c r="E491" s="94" t="s">
        <v>2106</v>
      </c>
      <c r="F491" s="94" t="s">
        <v>141</v>
      </c>
      <c r="H491" s="100"/>
    </row>
    <row r="492" spans="2:11" s="94" customFormat="1">
      <c r="B492" s="103" t="s">
        <v>137</v>
      </c>
      <c r="C492" s="98" t="s">
        <v>138</v>
      </c>
      <c r="D492" s="99" t="s">
        <v>2133</v>
      </c>
      <c r="E492" s="99" t="s">
        <v>2134</v>
      </c>
      <c r="F492" s="99" t="s">
        <v>141</v>
      </c>
      <c r="G492" s="102"/>
      <c r="H492" s="100"/>
      <c r="I492" s="102"/>
      <c r="J492" s="102"/>
    </row>
    <row r="493" spans="2:11" s="94" customFormat="1">
      <c r="B493" s="103" t="s">
        <v>137</v>
      </c>
      <c r="C493" s="98" t="s">
        <v>138</v>
      </c>
      <c r="D493" s="99" t="s">
        <v>2135</v>
      </c>
      <c r="E493" s="99" t="s">
        <v>2136</v>
      </c>
      <c r="F493" s="99" t="s">
        <v>141</v>
      </c>
      <c r="G493" s="102"/>
      <c r="H493" s="100"/>
      <c r="I493" s="102"/>
      <c r="J493" s="102"/>
    </row>
    <row r="494" spans="2:11" s="26" customFormat="1">
      <c r="B494" s="16" t="s">
        <v>137</v>
      </c>
      <c r="C494" s="21" t="s">
        <v>138</v>
      </c>
      <c r="D494" s="21" t="s">
        <v>184</v>
      </c>
      <c r="E494" s="21" t="s">
        <v>185</v>
      </c>
      <c r="F494" s="21" t="s">
        <v>167</v>
      </c>
      <c r="G494" s="21"/>
      <c r="H494" s="21"/>
      <c r="I494" s="21"/>
      <c r="J494" s="21"/>
    </row>
    <row r="495" spans="2:11" s="26" customFormat="1" ht="13">
      <c r="B495" s="16" t="s">
        <v>137</v>
      </c>
      <c r="C495" s="55" t="s">
        <v>138</v>
      </c>
      <c r="D495" s="54" t="s">
        <v>1520</v>
      </c>
      <c r="E495" s="26" t="s">
        <v>1521</v>
      </c>
      <c r="F495" s="28" t="s">
        <v>141</v>
      </c>
      <c r="G495" s="64"/>
      <c r="H495" s="64"/>
      <c r="I495" s="64"/>
      <c r="J495" s="64"/>
      <c r="K495" s="64"/>
    </row>
    <row r="496" spans="2:11" s="26" customFormat="1">
      <c r="B496" s="16" t="s">
        <v>137</v>
      </c>
      <c r="C496" s="55" t="s">
        <v>138</v>
      </c>
      <c r="D496" s="26" t="s">
        <v>1357</v>
      </c>
      <c r="E496" s="26" t="s">
        <v>1358</v>
      </c>
      <c r="F496" s="26" t="s">
        <v>141</v>
      </c>
      <c r="H496" s="21"/>
    </row>
    <row r="497" spans="2:11" s="26" customFormat="1" ht="13">
      <c r="B497" s="16" t="s">
        <v>137</v>
      </c>
      <c r="C497" s="55" t="s">
        <v>138</v>
      </c>
      <c r="D497" s="54" t="s">
        <v>1524</v>
      </c>
      <c r="E497" s="26" t="s">
        <v>1525</v>
      </c>
      <c r="F497" s="28" t="s">
        <v>141</v>
      </c>
      <c r="G497" s="64"/>
      <c r="H497" s="64"/>
      <c r="I497" s="64"/>
      <c r="J497" s="21" t="s">
        <v>57</v>
      </c>
      <c r="K497" s="64"/>
    </row>
    <row r="498" spans="2:11" s="26" customFormat="1" ht="13">
      <c r="B498" s="16" t="s">
        <v>137</v>
      </c>
      <c r="C498" s="55" t="s">
        <v>138</v>
      </c>
      <c r="D498" s="54" t="s">
        <v>2016</v>
      </c>
      <c r="E498" s="26" t="s">
        <v>2017</v>
      </c>
      <c r="F498" s="28" t="s">
        <v>141</v>
      </c>
      <c r="G498" s="64"/>
      <c r="H498" s="64"/>
      <c r="I498" s="64"/>
      <c r="J498" s="21" t="s">
        <v>57</v>
      </c>
      <c r="K498" s="64"/>
    </row>
    <row r="499" spans="2:11" s="94" customFormat="1" ht="13">
      <c r="B499" s="103" t="s">
        <v>137</v>
      </c>
      <c r="C499" s="98" t="s">
        <v>138</v>
      </c>
      <c r="D499" s="101" t="s">
        <v>2107</v>
      </c>
      <c r="E499" s="94" t="s">
        <v>2109</v>
      </c>
      <c r="F499" s="104" t="s">
        <v>141</v>
      </c>
      <c r="G499" s="96"/>
      <c r="H499" s="96"/>
      <c r="I499" s="96"/>
      <c r="J499" s="100" t="s">
        <v>57</v>
      </c>
      <c r="K499" s="96"/>
    </row>
    <row r="500" spans="2:11" s="94" customFormat="1" ht="13">
      <c r="B500" s="103" t="s">
        <v>137</v>
      </c>
      <c r="C500" s="98" t="s">
        <v>138</v>
      </c>
      <c r="D500" s="101" t="s">
        <v>2108</v>
      </c>
      <c r="E500" s="94" t="s">
        <v>2110</v>
      </c>
      <c r="F500" s="104" t="s">
        <v>141</v>
      </c>
      <c r="G500" s="96"/>
      <c r="H500" s="96"/>
      <c r="I500" s="96"/>
      <c r="J500" s="100" t="s">
        <v>57</v>
      </c>
      <c r="K500" s="96"/>
    </row>
    <row r="501" spans="2:11" s="26" customFormat="1" ht="13">
      <c r="B501" s="16" t="s">
        <v>137</v>
      </c>
      <c r="C501" s="55" t="s">
        <v>138</v>
      </c>
      <c r="D501" s="54" t="s">
        <v>2018</v>
      </c>
      <c r="E501" s="26" t="s">
        <v>2019</v>
      </c>
      <c r="F501" s="28" t="s">
        <v>141</v>
      </c>
      <c r="G501" s="64"/>
      <c r="H501" s="64"/>
      <c r="I501" s="64"/>
      <c r="J501" s="21" t="s">
        <v>57</v>
      </c>
      <c r="K501" s="64"/>
    </row>
    <row r="502" spans="2:11" s="26" customFormat="1" ht="13">
      <c r="B502" s="16" t="s">
        <v>137</v>
      </c>
      <c r="C502" s="55" t="s">
        <v>138</v>
      </c>
      <c r="D502" s="54" t="s">
        <v>2020</v>
      </c>
      <c r="E502" s="26" t="s">
        <v>2021</v>
      </c>
      <c r="F502" s="28" t="s">
        <v>141</v>
      </c>
      <c r="G502" s="64"/>
      <c r="H502" s="64"/>
      <c r="I502" s="64"/>
      <c r="J502" s="21" t="s">
        <v>57</v>
      </c>
      <c r="K502" s="64"/>
    </row>
    <row r="503" spans="2:11" s="26" customFormat="1" ht="13">
      <c r="B503" s="16" t="s">
        <v>137</v>
      </c>
      <c r="C503" s="55" t="s">
        <v>138</v>
      </c>
      <c r="D503" s="54" t="s">
        <v>2046</v>
      </c>
      <c r="E503" s="26" t="s">
        <v>2047</v>
      </c>
      <c r="F503" s="28" t="s">
        <v>141</v>
      </c>
      <c r="G503" s="64"/>
      <c r="H503" s="64"/>
      <c r="I503" s="64"/>
      <c r="J503" s="21" t="s">
        <v>57</v>
      </c>
      <c r="K503" s="64"/>
    </row>
    <row r="504" spans="2:11" s="26" customFormat="1" ht="13">
      <c r="B504" s="16" t="s">
        <v>137</v>
      </c>
      <c r="C504" s="55" t="s">
        <v>138</v>
      </c>
      <c r="D504" s="54" t="s">
        <v>2044</v>
      </c>
      <c r="E504" s="26" t="s">
        <v>1386</v>
      </c>
      <c r="F504" s="28" t="s">
        <v>141</v>
      </c>
      <c r="G504" s="64"/>
      <c r="H504" s="64"/>
      <c r="I504" s="64"/>
      <c r="J504" s="21" t="s">
        <v>57</v>
      </c>
      <c r="K504" s="64"/>
    </row>
    <row r="505" spans="2:11" s="26" customFormat="1" ht="13">
      <c r="B505" s="16" t="s">
        <v>137</v>
      </c>
      <c r="C505" s="55" t="s">
        <v>138</v>
      </c>
      <c r="D505" s="54" t="s">
        <v>2045</v>
      </c>
      <c r="E505" s="26" t="s">
        <v>2048</v>
      </c>
      <c r="F505" s="28" t="s">
        <v>141</v>
      </c>
      <c r="G505" s="64"/>
      <c r="H505" s="64"/>
      <c r="I505" s="64"/>
      <c r="J505" s="21" t="s">
        <v>57</v>
      </c>
      <c r="K505" s="64"/>
    </row>
    <row r="506" spans="2:11" s="26" customFormat="1" ht="13">
      <c r="B506" s="16" t="s">
        <v>137</v>
      </c>
      <c r="C506" s="55" t="s">
        <v>138</v>
      </c>
      <c r="D506" s="54" t="s">
        <v>2052</v>
      </c>
      <c r="E506" s="26" t="s">
        <v>2056</v>
      </c>
      <c r="F506" s="28" t="s">
        <v>141</v>
      </c>
      <c r="G506" s="64"/>
      <c r="H506" s="64"/>
      <c r="I506" s="64"/>
      <c r="J506" s="21" t="s">
        <v>57</v>
      </c>
      <c r="K506" s="64"/>
    </row>
    <row r="507" spans="2:11" s="26" customFormat="1" ht="13">
      <c r="B507" s="16" t="s">
        <v>137</v>
      </c>
      <c r="C507" s="55" t="s">
        <v>138</v>
      </c>
      <c r="D507" s="54" t="s">
        <v>2053</v>
      </c>
      <c r="E507" s="26" t="s">
        <v>2057</v>
      </c>
      <c r="F507" s="28" t="s">
        <v>141</v>
      </c>
      <c r="G507" s="64"/>
      <c r="H507" s="64"/>
      <c r="I507" s="64"/>
      <c r="J507" s="21" t="s">
        <v>57</v>
      </c>
      <c r="K507" s="64"/>
    </row>
    <row r="508" spans="2:11" s="26" customFormat="1" ht="13">
      <c r="B508" s="16" t="s">
        <v>137</v>
      </c>
      <c r="C508" s="55" t="s">
        <v>138</v>
      </c>
      <c r="D508" s="54" t="s">
        <v>2054</v>
      </c>
      <c r="E508" s="26" t="s">
        <v>2058</v>
      </c>
      <c r="F508" s="28" t="s">
        <v>141</v>
      </c>
      <c r="G508" s="64"/>
      <c r="H508" s="64"/>
      <c r="I508" s="64"/>
      <c r="J508" s="21" t="s">
        <v>57</v>
      </c>
    </row>
    <row r="509" spans="2:11" s="94" customFormat="1" ht="13">
      <c r="B509" s="103" t="s">
        <v>137</v>
      </c>
      <c r="C509" s="98" t="s">
        <v>138</v>
      </c>
      <c r="D509" s="101" t="s">
        <v>2111</v>
      </c>
      <c r="E509" s="94" t="s">
        <v>2112</v>
      </c>
      <c r="F509" s="104" t="s">
        <v>141</v>
      </c>
      <c r="G509" s="96"/>
      <c r="H509" s="96"/>
      <c r="I509" s="96"/>
      <c r="J509" s="100" t="s">
        <v>57</v>
      </c>
    </row>
    <row r="510" spans="2:11" s="94" customFormat="1" ht="13">
      <c r="B510" s="103" t="s">
        <v>137</v>
      </c>
      <c r="C510" s="98" t="s">
        <v>138</v>
      </c>
      <c r="D510" s="101" t="s">
        <v>2113</v>
      </c>
      <c r="E510" s="94" t="s">
        <v>2114</v>
      </c>
      <c r="F510" s="104" t="s">
        <v>141</v>
      </c>
      <c r="G510" s="96"/>
      <c r="H510" s="96"/>
      <c r="I510" s="96"/>
      <c r="J510" s="100" t="s">
        <v>57</v>
      </c>
    </row>
    <row r="511" spans="2:11" s="26" customFormat="1" ht="13">
      <c r="B511" s="16" t="s">
        <v>137</v>
      </c>
      <c r="C511" s="55" t="s">
        <v>138</v>
      </c>
      <c r="D511" s="54" t="s">
        <v>2055</v>
      </c>
      <c r="E511" s="26" t="s">
        <v>2059</v>
      </c>
      <c r="F511" s="28" t="s">
        <v>141</v>
      </c>
      <c r="G511" s="64"/>
      <c r="H511" s="64"/>
      <c r="I511" s="64"/>
      <c r="J511" s="21" t="s">
        <v>57</v>
      </c>
    </row>
    <row r="512" spans="2:11" s="26" customFormat="1">
      <c r="B512" s="16" t="s">
        <v>137</v>
      </c>
      <c r="C512" s="55" t="s">
        <v>138</v>
      </c>
      <c r="D512" s="25" t="s">
        <v>1359</v>
      </c>
      <c r="E512" s="25" t="s">
        <v>156</v>
      </c>
      <c r="F512" s="25" t="s">
        <v>141</v>
      </c>
      <c r="G512" s="39"/>
      <c r="H512" s="21"/>
      <c r="I512" s="39"/>
      <c r="J512" s="39"/>
    </row>
    <row r="513" spans="2:11" s="26" customFormat="1" ht="13">
      <c r="B513" s="103" t="s">
        <v>2132</v>
      </c>
      <c r="C513" s="98" t="s">
        <v>138</v>
      </c>
      <c r="D513" s="101" t="s">
        <v>1526</v>
      </c>
      <c r="E513" s="94" t="s">
        <v>1527</v>
      </c>
      <c r="F513" s="28" t="s">
        <v>141</v>
      </c>
      <c r="G513" s="64"/>
      <c r="H513" s="64"/>
      <c r="I513" s="64"/>
      <c r="J513" s="64"/>
    </row>
    <row r="514" spans="2:11" s="26" customFormat="1" ht="13">
      <c r="B514" s="103" t="s">
        <v>2132</v>
      </c>
      <c r="C514" s="98" t="s">
        <v>138</v>
      </c>
      <c r="D514" s="101" t="s">
        <v>2060</v>
      </c>
      <c r="E514" s="94" t="s">
        <v>2061</v>
      </c>
      <c r="F514" s="28" t="s">
        <v>141</v>
      </c>
      <c r="G514" s="64"/>
      <c r="H514" s="64"/>
      <c r="I514" s="64"/>
      <c r="J514" s="64"/>
    </row>
    <row r="515" spans="2:11" s="26" customFormat="1" ht="13">
      <c r="B515" s="103" t="s">
        <v>2132</v>
      </c>
      <c r="C515" s="98" t="s">
        <v>138</v>
      </c>
      <c r="D515" s="101" t="s">
        <v>2010</v>
      </c>
      <c r="E515" s="94" t="s">
        <v>2011</v>
      </c>
      <c r="F515" s="28" t="s">
        <v>141</v>
      </c>
      <c r="G515" s="64"/>
      <c r="H515" s="64"/>
      <c r="I515" s="64"/>
      <c r="J515" s="64"/>
    </row>
    <row r="516" spans="2:11" s="26" customFormat="1" ht="13">
      <c r="B516" s="103" t="s">
        <v>2132</v>
      </c>
      <c r="C516" s="98" t="s">
        <v>138</v>
      </c>
      <c r="D516" s="101" t="s">
        <v>2012</v>
      </c>
      <c r="E516" s="94" t="s">
        <v>2013</v>
      </c>
      <c r="F516" s="28" t="s">
        <v>141</v>
      </c>
      <c r="G516" s="64"/>
      <c r="H516" s="64"/>
      <c r="I516" s="64"/>
      <c r="J516" s="64"/>
    </row>
    <row r="517" spans="2:11" s="26" customFormat="1" ht="13">
      <c r="B517" s="103" t="s">
        <v>2132</v>
      </c>
      <c r="C517" s="98" t="s">
        <v>138</v>
      </c>
      <c r="D517" s="101" t="s">
        <v>2014</v>
      </c>
      <c r="E517" s="94" t="s">
        <v>2015</v>
      </c>
      <c r="F517" s="28" t="s">
        <v>141</v>
      </c>
      <c r="G517" s="64"/>
      <c r="H517" s="64"/>
      <c r="I517" s="64"/>
      <c r="J517" s="64"/>
    </row>
    <row r="518" spans="2:11" s="94" customFormat="1" ht="13">
      <c r="B518" s="103" t="s">
        <v>2132</v>
      </c>
      <c r="C518" s="98" t="s">
        <v>138</v>
      </c>
      <c r="D518" s="101" t="s">
        <v>2115</v>
      </c>
      <c r="E518" s="94" t="s">
        <v>2116</v>
      </c>
      <c r="F518" s="104" t="s">
        <v>141</v>
      </c>
      <c r="G518" s="96"/>
      <c r="H518" s="96"/>
      <c r="I518" s="96"/>
      <c r="J518" s="96"/>
    </row>
    <row r="519" spans="2:11" s="94" customFormat="1" ht="13">
      <c r="B519" s="103" t="s">
        <v>2132</v>
      </c>
      <c r="C519" s="98" t="s">
        <v>138</v>
      </c>
      <c r="D519" s="101" t="s">
        <v>2117</v>
      </c>
      <c r="E519" s="94" t="s">
        <v>2118</v>
      </c>
      <c r="F519" s="104" t="s">
        <v>141</v>
      </c>
      <c r="G519" s="96"/>
      <c r="H519" s="96"/>
      <c r="I519" s="96"/>
      <c r="J519" s="96"/>
    </row>
    <row r="520" spans="2:11" s="26" customFormat="1" ht="13">
      <c r="B520" s="103" t="s">
        <v>2132</v>
      </c>
      <c r="C520" s="98" t="s">
        <v>138</v>
      </c>
      <c r="D520" s="101" t="s">
        <v>2049</v>
      </c>
      <c r="E520" s="94" t="s">
        <v>1414</v>
      </c>
      <c r="F520" s="28" t="s">
        <v>141</v>
      </c>
      <c r="G520" s="64"/>
      <c r="H520" s="64"/>
      <c r="I520" s="64"/>
      <c r="J520" s="64"/>
      <c r="K520" s="64"/>
    </row>
    <row r="521" spans="2:11" s="26" customFormat="1" ht="13">
      <c r="B521" s="103" t="s">
        <v>2132</v>
      </c>
      <c r="C521" s="98" t="s">
        <v>138</v>
      </c>
      <c r="D521" s="101" t="s">
        <v>2050</v>
      </c>
      <c r="E521" s="94" t="s">
        <v>2051</v>
      </c>
      <c r="F521" s="28" t="s">
        <v>141</v>
      </c>
      <c r="G521" s="64"/>
      <c r="H521" s="64"/>
      <c r="I521" s="64"/>
      <c r="J521" s="64"/>
      <c r="K521" s="64"/>
    </row>
    <row r="522" spans="2:11" s="26" customFormat="1" ht="13">
      <c r="B522" s="16" t="s">
        <v>137</v>
      </c>
      <c r="C522" s="55" t="s">
        <v>138</v>
      </c>
      <c r="D522" s="54" t="s">
        <v>1522</v>
      </c>
      <c r="E522" s="26" t="s">
        <v>1523</v>
      </c>
      <c r="F522" s="28" t="s">
        <v>141</v>
      </c>
      <c r="G522" s="64"/>
      <c r="H522" s="64"/>
      <c r="I522" s="64"/>
      <c r="J522" s="64"/>
      <c r="K522" s="64"/>
    </row>
    <row r="523" spans="2:11" s="64" customFormat="1" ht="13">
      <c r="B523" s="16" t="s">
        <v>137</v>
      </c>
      <c r="C523" s="55" t="s">
        <v>138</v>
      </c>
      <c r="D523" s="54" t="s">
        <v>2026</v>
      </c>
      <c r="E523" s="26" t="s">
        <v>2027</v>
      </c>
      <c r="F523" s="28" t="s">
        <v>141</v>
      </c>
    </row>
    <row r="524" spans="2:11" s="64" customFormat="1" ht="13">
      <c r="B524" s="16" t="s">
        <v>137</v>
      </c>
      <c r="C524" s="55" t="s">
        <v>138</v>
      </c>
      <c r="D524" s="54" t="s">
        <v>2028</v>
      </c>
      <c r="E524" s="26" t="s">
        <v>1479</v>
      </c>
      <c r="F524" s="28" t="s">
        <v>141</v>
      </c>
    </row>
    <row r="525" spans="2:11" s="96" customFormat="1" ht="13">
      <c r="B525" s="103" t="s">
        <v>137</v>
      </c>
      <c r="C525" s="98" t="s">
        <v>138</v>
      </c>
      <c r="D525" s="101" t="s">
        <v>2119</v>
      </c>
      <c r="E525" s="94" t="s">
        <v>2120</v>
      </c>
      <c r="F525" s="104" t="s">
        <v>141</v>
      </c>
    </row>
    <row r="526" spans="2:11" s="64" customFormat="1" ht="13">
      <c r="B526" s="16" t="s">
        <v>137</v>
      </c>
      <c r="C526" s="55" t="s">
        <v>138</v>
      </c>
      <c r="D526" s="54" t="s">
        <v>2029</v>
      </c>
      <c r="E526" s="26" t="s">
        <v>2030</v>
      </c>
      <c r="F526" s="28" t="s">
        <v>141</v>
      </c>
    </row>
    <row r="527" spans="2:11" s="26" customFormat="1">
      <c r="B527" s="16" t="s">
        <v>137</v>
      </c>
      <c r="C527" s="55" t="s">
        <v>138</v>
      </c>
      <c r="D527" s="53" t="s">
        <v>1360</v>
      </c>
      <c r="E527" s="53" t="s">
        <v>1361</v>
      </c>
      <c r="F527" s="53" t="s">
        <v>141</v>
      </c>
      <c r="H527" s="21"/>
    </row>
    <row r="528" spans="2:11" s="26" customFormat="1">
      <c r="B528" s="16" t="s">
        <v>137</v>
      </c>
      <c r="C528" s="55" t="s">
        <v>138</v>
      </c>
      <c r="D528" s="25" t="s">
        <v>1362</v>
      </c>
      <c r="E528" s="25" t="s">
        <v>1415</v>
      </c>
      <c r="F528" s="25" t="s">
        <v>141</v>
      </c>
      <c r="G528" s="39"/>
      <c r="H528" s="21"/>
      <c r="I528" s="39"/>
      <c r="J528" s="39"/>
    </row>
    <row r="529" spans="2:10" s="26" customFormat="1">
      <c r="B529" s="16" t="s">
        <v>137</v>
      </c>
      <c r="C529" s="55" t="s">
        <v>138</v>
      </c>
      <c r="D529" s="26" t="s">
        <v>1363</v>
      </c>
      <c r="E529" s="26" t="s">
        <v>1364</v>
      </c>
      <c r="F529" s="26" t="s">
        <v>141</v>
      </c>
      <c r="H529" s="21"/>
    </row>
    <row r="530" spans="2:10" s="26" customFormat="1">
      <c r="B530" s="16" t="s">
        <v>137</v>
      </c>
      <c r="C530" s="55" t="s">
        <v>138</v>
      </c>
      <c r="D530" s="25" t="s">
        <v>1365</v>
      </c>
      <c r="E530" s="25" t="s">
        <v>1366</v>
      </c>
      <c r="F530" s="25" t="s">
        <v>141</v>
      </c>
      <c r="G530" s="39"/>
      <c r="H530" s="21"/>
      <c r="I530" s="39"/>
      <c r="J530" s="39"/>
    </row>
    <row r="531" spans="2:10" s="26" customFormat="1">
      <c r="B531" s="16" t="s">
        <v>137</v>
      </c>
      <c r="C531" s="55" t="s">
        <v>138</v>
      </c>
      <c r="D531" s="25" t="s">
        <v>1466</v>
      </c>
      <c r="E531" s="25" t="s">
        <v>1467</v>
      </c>
      <c r="F531" s="25" t="s">
        <v>141</v>
      </c>
      <c r="G531" s="39"/>
      <c r="H531" s="21"/>
      <c r="I531" s="39"/>
      <c r="J531" s="39"/>
    </row>
    <row r="532" spans="2:10" s="26" customFormat="1">
      <c r="B532" s="16" t="s">
        <v>137</v>
      </c>
      <c r="C532" s="55" t="s">
        <v>138</v>
      </c>
      <c r="D532" s="53" t="s">
        <v>1367</v>
      </c>
      <c r="E532" s="53" t="s">
        <v>1368</v>
      </c>
      <c r="F532" s="53" t="s">
        <v>141</v>
      </c>
      <c r="H532" s="21"/>
    </row>
    <row r="533" spans="2:10" s="26" customFormat="1">
      <c r="B533" s="16" t="s">
        <v>137</v>
      </c>
      <c r="C533" s="55" t="s">
        <v>138</v>
      </c>
      <c r="D533" s="25" t="s">
        <v>1416</v>
      </c>
      <c r="E533" s="25" t="s">
        <v>1417</v>
      </c>
      <c r="F533" s="25" t="s">
        <v>141</v>
      </c>
      <c r="G533" s="39"/>
      <c r="H533" s="21"/>
      <c r="I533" s="39"/>
      <c r="J533" s="39"/>
    </row>
    <row r="534" spans="2:10" s="26" customFormat="1">
      <c r="B534" s="16" t="s">
        <v>137</v>
      </c>
      <c r="C534" s="21" t="s">
        <v>138</v>
      </c>
      <c r="D534" s="21" t="s">
        <v>250</v>
      </c>
      <c r="E534" s="21" t="s">
        <v>251</v>
      </c>
      <c r="F534" s="35" t="s">
        <v>141</v>
      </c>
      <c r="G534" s="21"/>
      <c r="H534" s="21"/>
      <c r="I534" s="21"/>
      <c r="J534" s="21"/>
    </row>
    <row r="535" spans="2:10" s="26" customFormat="1">
      <c r="B535" s="16" t="s">
        <v>137</v>
      </c>
      <c r="C535" s="21" t="s">
        <v>138</v>
      </c>
      <c r="D535" s="21" t="s">
        <v>266</v>
      </c>
      <c r="E535" s="21" t="s">
        <v>267</v>
      </c>
      <c r="F535" s="21" t="s">
        <v>141</v>
      </c>
      <c r="G535" s="21"/>
      <c r="H535" s="21"/>
      <c r="I535" s="21"/>
      <c r="J535" s="21"/>
    </row>
    <row r="536" spans="2:10" s="26" customFormat="1">
      <c r="B536" s="16" t="s">
        <v>137</v>
      </c>
      <c r="C536" s="21" t="s">
        <v>138</v>
      </c>
      <c r="D536" s="21" t="s">
        <v>264</v>
      </c>
      <c r="E536" s="21" t="s">
        <v>265</v>
      </c>
      <c r="F536" s="21" t="s">
        <v>141</v>
      </c>
      <c r="G536" s="21"/>
      <c r="H536" s="21"/>
      <c r="I536" s="21"/>
      <c r="J536" s="21"/>
    </row>
    <row r="537" spans="2:10" s="26" customFormat="1">
      <c r="B537" s="16" t="s">
        <v>137</v>
      </c>
      <c r="C537" s="55" t="s">
        <v>138</v>
      </c>
      <c r="D537" s="25" t="s">
        <v>1411</v>
      </c>
      <c r="E537" s="25" t="s">
        <v>1412</v>
      </c>
      <c r="F537" s="25" t="s">
        <v>141</v>
      </c>
      <c r="G537" s="39"/>
      <c r="H537" s="21"/>
      <c r="I537" s="39"/>
      <c r="J537" s="39"/>
    </row>
    <row r="538" spans="2:10" s="26" customFormat="1">
      <c r="B538" s="16" t="s">
        <v>137</v>
      </c>
      <c r="C538" s="26" t="s">
        <v>138</v>
      </c>
      <c r="D538" s="26" t="s">
        <v>1181</v>
      </c>
      <c r="E538" s="26" t="s">
        <v>162</v>
      </c>
      <c r="F538" s="26" t="s">
        <v>141</v>
      </c>
      <c r="H538" s="21"/>
    </row>
    <row r="539" spans="2:10" s="26" customFormat="1">
      <c r="B539" s="16" t="s">
        <v>137</v>
      </c>
      <c r="C539" s="26" t="s">
        <v>138</v>
      </c>
      <c r="D539" s="26" t="s">
        <v>1182</v>
      </c>
      <c r="E539" s="26" t="s">
        <v>982</v>
      </c>
      <c r="F539" s="26" t="s">
        <v>141</v>
      </c>
      <c r="H539" s="21"/>
    </row>
    <row r="540" spans="2:10" s="26" customFormat="1">
      <c r="B540" s="16" t="s">
        <v>137</v>
      </c>
      <c r="C540" s="21" t="s">
        <v>138</v>
      </c>
      <c r="D540" s="50" t="s">
        <v>148</v>
      </c>
      <c r="E540" s="22" t="s">
        <v>149</v>
      </c>
      <c r="F540" s="21" t="s">
        <v>141</v>
      </c>
      <c r="G540" s="21"/>
      <c r="H540" s="21"/>
      <c r="I540" s="21"/>
      <c r="J540" s="21"/>
    </row>
    <row r="541" spans="2:10" s="26" customFormat="1">
      <c r="B541" s="16" t="s">
        <v>137</v>
      </c>
      <c r="C541" s="55" t="s">
        <v>138</v>
      </c>
      <c r="D541" s="25" t="s">
        <v>1177</v>
      </c>
      <c r="E541" s="25" t="s">
        <v>1464</v>
      </c>
      <c r="F541" s="25" t="s">
        <v>141</v>
      </c>
      <c r="G541" s="39"/>
      <c r="H541" s="21"/>
      <c r="I541" s="39"/>
      <c r="J541" s="39"/>
    </row>
    <row r="542" spans="2:10" s="26" customFormat="1">
      <c r="B542" s="16" t="s">
        <v>137</v>
      </c>
      <c r="C542" s="21" t="s">
        <v>138</v>
      </c>
      <c r="D542" s="50" t="s">
        <v>146</v>
      </c>
      <c r="E542" s="22" t="s">
        <v>147</v>
      </c>
      <c r="F542" s="21" t="s">
        <v>141</v>
      </c>
      <c r="G542" s="21"/>
      <c r="H542" s="21"/>
      <c r="I542" s="21"/>
      <c r="J542" s="21"/>
    </row>
    <row r="543" spans="2:10" s="26" customFormat="1">
      <c r="B543" s="16" t="s">
        <v>137</v>
      </c>
      <c r="C543" s="26" t="s">
        <v>138</v>
      </c>
      <c r="D543" s="26" t="s">
        <v>1178</v>
      </c>
      <c r="E543" s="26" t="s">
        <v>978</v>
      </c>
      <c r="F543" s="26" t="s">
        <v>141</v>
      </c>
      <c r="H543" s="21"/>
    </row>
    <row r="544" spans="2:10" s="26" customFormat="1">
      <c r="B544" s="16" t="s">
        <v>137</v>
      </c>
      <c r="C544" s="55" t="s">
        <v>138</v>
      </c>
      <c r="D544" s="25" t="s">
        <v>1460</v>
      </c>
      <c r="E544" s="25" t="s">
        <v>1461</v>
      </c>
      <c r="F544" s="25" t="s">
        <v>141</v>
      </c>
      <c r="G544" s="39"/>
      <c r="H544" s="21"/>
      <c r="I544" s="39"/>
      <c r="J544" s="39"/>
    </row>
    <row r="545" spans="2:11" s="26" customFormat="1">
      <c r="B545" s="16" t="s">
        <v>137</v>
      </c>
      <c r="C545" s="21" t="s">
        <v>138</v>
      </c>
      <c r="D545" s="21" t="s">
        <v>258</v>
      </c>
      <c r="E545" s="21" t="s">
        <v>259</v>
      </c>
      <c r="F545" s="21" t="s">
        <v>141</v>
      </c>
      <c r="G545" s="21"/>
      <c r="H545" s="21"/>
      <c r="I545" s="21"/>
      <c r="J545" s="21"/>
    </row>
    <row r="546" spans="2:11" s="26" customFormat="1">
      <c r="B546" s="16" t="s">
        <v>137</v>
      </c>
      <c r="C546" s="55" t="s">
        <v>138</v>
      </c>
      <c r="D546" s="25" t="s">
        <v>1369</v>
      </c>
      <c r="E546" s="25" t="s">
        <v>1370</v>
      </c>
      <c r="F546" s="25" t="s">
        <v>141</v>
      </c>
      <c r="G546" s="39"/>
      <c r="H546" s="21"/>
      <c r="I546" s="39"/>
      <c r="J546" s="39"/>
    </row>
    <row r="547" spans="2:11" s="26" customFormat="1">
      <c r="B547" s="16" t="s">
        <v>137</v>
      </c>
      <c r="C547" s="21" t="s">
        <v>138</v>
      </c>
      <c r="D547" s="21" t="s">
        <v>157</v>
      </c>
      <c r="E547" s="21" t="s">
        <v>158</v>
      </c>
      <c r="F547" s="35" t="s">
        <v>141</v>
      </c>
      <c r="G547" s="21"/>
      <c r="H547" s="21"/>
      <c r="I547" s="21"/>
      <c r="J547" s="21"/>
    </row>
    <row r="548" spans="2:11" s="26" customFormat="1">
      <c r="B548" s="16" t="s">
        <v>137</v>
      </c>
      <c r="C548" s="55" t="s">
        <v>138</v>
      </c>
      <c r="D548" s="25" t="s">
        <v>1371</v>
      </c>
      <c r="E548" s="25" t="s">
        <v>1456</v>
      </c>
      <c r="F548" s="25" t="s">
        <v>141</v>
      </c>
      <c r="G548" s="39"/>
      <c r="H548" s="21"/>
      <c r="I548" s="39"/>
      <c r="J548" s="39"/>
    </row>
    <row r="549" spans="2:11" s="26" customFormat="1" ht="13">
      <c r="B549" s="16" t="s">
        <v>137</v>
      </c>
      <c r="C549" s="55" t="s">
        <v>138</v>
      </c>
      <c r="D549" s="26" t="s">
        <v>1372</v>
      </c>
      <c r="E549" s="26" t="s">
        <v>1373</v>
      </c>
      <c r="F549" s="28" t="s">
        <v>141</v>
      </c>
      <c r="H549" s="21"/>
    </row>
    <row r="550" spans="2:11" s="26" customFormat="1">
      <c r="B550" s="16" t="s">
        <v>137</v>
      </c>
      <c r="C550" s="55" t="s">
        <v>138</v>
      </c>
      <c r="D550" s="25" t="s">
        <v>1457</v>
      </c>
      <c r="E550" s="25" t="s">
        <v>1458</v>
      </c>
      <c r="F550" s="25" t="s">
        <v>141</v>
      </c>
      <c r="G550" s="39"/>
      <c r="H550" s="21"/>
      <c r="I550" s="39"/>
      <c r="J550" s="39"/>
    </row>
    <row r="551" spans="2:11" s="26" customFormat="1">
      <c r="B551" s="16" t="s">
        <v>137</v>
      </c>
      <c r="C551" s="55" t="s">
        <v>138</v>
      </c>
      <c r="D551" s="26" t="s">
        <v>1374</v>
      </c>
      <c r="E551" s="26" t="s">
        <v>1375</v>
      </c>
      <c r="F551" s="26" t="s">
        <v>141</v>
      </c>
      <c r="H551" s="21"/>
    </row>
    <row r="552" spans="2:11" s="26" customFormat="1">
      <c r="B552" s="16" t="s">
        <v>137</v>
      </c>
      <c r="C552" s="55" t="s">
        <v>138</v>
      </c>
      <c r="D552" s="25" t="s">
        <v>1376</v>
      </c>
      <c r="E552" s="25" t="s">
        <v>1377</v>
      </c>
      <c r="F552" s="25" t="s">
        <v>141</v>
      </c>
      <c r="G552" s="39"/>
      <c r="H552" s="21"/>
      <c r="I552" s="39"/>
      <c r="J552" s="39"/>
    </row>
    <row r="553" spans="2:11" s="26" customFormat="1">
      <c r="B553" s="16" t="s">
        <v>137</v>
      </c>
      <c r="C553" s="21" t="s">
        <v>138</v>
      </c>
      <c r="D553" s="21" t="s">
        <v>153</v>
      </c>
      <c r="E553" s="21" t="s">
        <v>154</v>
      </c>
      <c r="F553" s="21" t="s">
        <v>141</v>
      </c>
      <c r="G553" s="21"/>
      <c r="H553" s="21"/>
      <c r="I553" s="21"/>
      <c r="J553" s="21"/>
    </row>
    <row r="554" spans="2:11" s="26" customFormat="1">
      <c r="B554" s="16" t="s">
        <v>137</v>
      </c>
      <c r="C554" s="55" t="s">
        <v>138</v>
      </c>
      <c r="D554" s="25" t="s">
        <v>152</v>
      </c>
      <c r="E554" s="25" t="s">
        <v>1459</v>
      </c>
      <c r="F554" s="25" t="s">
        <v>141</v>
      </c>
      <c r="G554" s="39"/>
      <c r="H554" s="21"/>
      <c r="I554" s="39"/>
      <c r="J554" s="39"/>
    </row>
    <row r="555" spans="2:11" s="26" customFormat="1">
      <c r="B555" s="16" t="s">
        <v>137</v>
      </c>
      <c r="C555" s="21" t="s">
        <v>138</v>
      </c>
      <c r="D555" s="21" t="s">
        <v>254</v>
      </c>
      <c r="E555" s="21" t="s">
        <v>255</v>
      </c>
      <c r="F555" s="21" t="s">
        <v>141</v>
      </c>
      <c r="G555" s="21"/>
      <c r="H555" s="21"/>
      <c r="I555" s="21"/>
      <c r="J555" s="21"/>
    </row>
    <row r="556" spans="2:11" s="26" customFormat="1">
      <c r="B556" s="16" t="s">
        <v>137</v>
      </c>
      <c r="C556" s="55" t="s">
        <v>138</v>
      </c>
      <c r="D556" s="25" t="s">
        <v>1378</v>
      </c>
      <c r="E556" s="25" t="s">
        <v>1468</v>
      </c>
      <c r="F556" s="25" t="s">
        <v>141</v>
      </c>
      <c r="G556" s="39"/>
      <c r="H556" s="21"/>
      <c r="I556" s="39"/>
      <c r="J556" s="39"/>
    </row>
    <row r="557" spans="2:11" s="26" customFormat="1">
      <c r="B557" s="16" t="s">
        <v>137</v>
      </c>
      <c r="C557" s="21" t="s">
        <v>138</v>
      </c>
      <c r="D557" s="21" t="s">
        <v>256</v>
      </c>
      <c r="E557" s="21" t="s">
        <v>257</v>
      </c>
      <c r="F557" s="21" t="s">
        <v>141</v>
      </c>
      <c r="G557" s="21"/>
      <c r="H557" s="21"/>
      <c r="I557" s="21"/>
      <c r="J557" s="21"/>
    </row>
    <row r="558" spans="2:11" s="26" customFormat="1">
      <c r="B558" s="16" t="s">
        <v>137</v>
      </c>
      <c r="C558" s="21" t="s">
        <v>138</v>
      </c>
      <c r="D558" s="21" t="s">
        <v>252</v>
      </c>
      <c r="E558" s="21" t="s">
        <v>253</v>
      </c>
      <c r="F558" s="21" t="s">
        <v>141</v>
      </c>
      <c r="G558" s="21"/>
      <c r="H558" s="21"/>
      <c r="I558" s="21"/>
      <c r="J558" s="21"/>
    </row>
    <row r="559" spans="2:11" s="64" customFormat="1">
      <c r="B559" s="16" t="s">
        <v>137</v>
      </c>
      <c r="C559" s="55" t="s">
        <v>138</v>
      </c>
      <c r="D559" s="26" t="s">
        <v>1379</v>
      </c>
      <c r="E559" s="26" t="s">
        <v>1380</v>
      </c>
      <c r="F559" s="26" t="s">
        <v>141</v>
      </c>
      <c r="G559" s="26"/>
      <c r="H559" s="21"/>
      <c r="I559" s="26"/>
      <c r="J559" s="26"/>
      <c r="K559" s="26"/>
    </row>
    <row r="560" spans="2:11" s="64" customFormat="1" ht="13">
      <c r="B560" s="16" t="s">
        <v>137</v>
      </c>
      <c r="C560" s="55" t="s">
        <v>138</v>
      </c>
      <c r="D560" s="26" t="s">
        <v>1381</v>
      </c>
      <c r="E560" s="26" t="s">
        <v>1382</v>
      </c>
      <c r="F560" s="28" t="s">
        <v>141</v>
      </c>
      <c r="G560" s="26"/>
      <c r="H560" s="21"/>
      <c r="I560" s="26"/>
      <c r="J560" s="26"/>
      <c r="K560" s="26"/>
    </row>
    <row r="561" spans="2:11" s="64" customFormat="1">
      <c r="B561" s="16" t="s">
        <v>137</v>
      </c>
      <c r="C561" s="55" t="s">
        <v>138</v>
      </c>
      <c r="D561" s="26" t="s">
        <v>1383</v>
      </c>
      <c r="E561" s="26" t="s">
        <v>1384</v>
      </c>
      <c r="F561" s="26" t="s">
        <v>141</v>
      </c>
      <c r="G561" s="26"/>
      <c r="H561" s="21"/>
      <c r="I561" s="26"/>
      <c r="J561" s="26"/>
      <c r="K561" s="26"/>
    </row>
    <row r="562" spans="2:11" s="64" customFormat="1" ht="13">
      <c r="B562" s="16" t="s">
        <v>137</v>
      </c>
      <c r="C562" s="55" t="s">
        <v>138</v>
      </c>
      <c r="D562" s="26" t="s">
        <v>1385</v>
      </c>
      <c r="E562" s="26" t="s">
        <v>1386</v>
      </c>
      <c r="F562" s="28" t="s">
        <v>141</v>
      </c>
      <c r="G562" s="26"/>
      <c r="H562" s="21"/>
      <c r="I562" s="26"/>
      <c r="J562" s="21" t="s">
        <v>57</v>
      </c>
      <c r="K562" s="26"/>
    </row>
    <row r="563" spans="2:11" s="26" customFormat="1">
      <c r="B563" s="16" t="s">
        <v>137</v>
      </c>
      <c r="C563" s="55" t="s">
        <v>138</v>
      </c>
      <c r="D563" s="25" t="s">
        <v>242</v>
      </c>
      <c r="E563" s="25" t="s">
        <v>243</v>
      </c>
      <c r="F563" s="25" t="s">
        <v>141</v>
      </c>
      <c r="G563" s="39"/>
      <c r="H563" s="21"/>
      <c r="I563" s="39"/>
      <c r="J563" s="39"/>
    </row>
    <row r="564" spans="2:11" s="26" customFormat="1">
      <c r="B564" s="16" t="s">
        <v>137</v>
      </c>
      <c r="C564" s="21" t="s">
        <v>138</v>
      </c>
      <c r="D564" s="21" t="s">
        <v>244</v>
      </c>
      <c r="E564" s="21" t="s">
        <v>245</v>
      </c>
      <c r="F564" s="21" t="s">
        <v>141</v>
      </c>
      <c r="G564" s="21"/>
      <c r="H564" s="21"/>
      <c r="I564" s="21"/>
      <c r="J564" s="21"/>
    </row>
    <row r="565" spans="2:11" s="26" customFormat="1">
      <c r="B565" s="16" t="s">
        <v>137</v>
      </c>
      <c r="C565" s="21" t="s">
        <v>138</v>
      </c>
      <c r="D565" s="21" t="s">
        <v>155</v>
      </c>
      <c r="E565" s="21" t="s">
        <v>156</v>
      </c>
      <c r="F565" s="21" t="s">
        <v>141</v>
      </c>
      <c r="G565" s="21"/>
      <c r="H565" s="21"/>
      <c r="I565" s="21"/>
      <c r="J565" s="21"/>
    </row>
    <row r="566" spans="2:11" s="26" customFormat="1">
      <c r="B566" s="16" t="s">
        <v>137</v>
      </c>
      <c r="C566" s="55" t="s">
        <v>138</v>
      </c>
      <c r="D566" s="25" t="s">
        <v>1406</v>
      </c>
      <c r="E566" s="25" t="s">
        <v>1407</v>
      </c>
      <c r="F566" s="25" t="s">
        <v>141</v>
      </c>
      <c r="G566" s="39"/>
      <c r="H566" s="21"/>
      <c r="I566" s="39"/>
      <c r="J566" s="39"/>
    </row>
    <row r="567" spans="2:11" s="26" customFormat="1">
      <c r="B567" s="16" t="s">
        <v>137</v>
      </c>
      <c r="C567" s="55" t="s">
        <v>138</v>
      </c>
      <c r="D567" s="25" t="s">
        <v>1413</v>
      </c>
      <c r="E567" s="25" t="s">
        <v>1414</v>
      </c>
      <c r="F567" s="25" t="s">
        <v>141</v>
      </c>
      <c r="G567" s="39"/>
      <c r="H567" s="21"/>
      <c r="I567" s="39"/>
      <c r="J567" s="39"/>
    </row>
    <row r="568" spans="2:11" s="26" customFormat="1">
      <c r="B568" s="16" t="s">
        <v>137</v>
      </c>
      <c r="C568" s="55" t="s">
        <v>138</v>
      </c>
      <c r="D568" s="25" t="s">
        <v>1183</v>
      </c>
      <c r="E568" s="25" t="s">
        <v>1405</v>
      </c>
      <c r="F568" s="25" t="s">
        <v>141</v>
      </c>
      <c r="G568" s="39"/>
      <c r="H568" s="21"/>
      <c r="I568" s="39"/>
      <c r="J568" s="39"/>
    </row>
    <row r="569" spans="2:11" s="26" customFormat="1" ht="13">
      <c r="B569" s="16" t="s">
        <v>137</v>
      </c>
      <c r="C569" s="55" t="s">
        <v>138</v>
      </c>
      <c r="D569" s="26" t="s">
        <v>1387</v>
      </c>
      <c r="E569" s="26" t="s">
        <v>1387</v>
      </c>
      <c r="F569" s="28" t="s">
        <v>141</v>
      </c>
      <c r="H569" s="21"/>
    </row>
    <row r="570" spans="2:11" s="26" customFormat="1">
      <c r="B570" s="16" t="s">
        <v>137</v>
      </c>
      <c r="C570" s="55" t="s">
        <v>138</v>
      </c>
      <c r="D570" s="26" t="s">
        <v>1388</v>
      </c>
      <c r="E570" s="26" t="s">
        <v>1389</v>
      </c>
      <c r="F570" s="26" t="s">
        <v>141</v>
      </c>
      <c r="H570" s="21"/>
    </row>
    <row r="571" spans="2:11" s="26" customFormat="1">
      <c r="B571" s="16" t="s">
        <v>137</v>
      </c>
      <c r="C571" s="26" t="s">
        <v>138</v>
      </c>
      <c r="D571" s="26" t="s">
        <v>1189</v>
      </c>
      <c r="E571" s="26" t="s">
        <v>1190</v>
      </c>
      <c r="F571" s="26" t="s">
        <v>141</v>
      </c>
      <c r="H571" s="21"/>
    </row>
    <row r="572" spans="2:11" s="26" customFormat="1">
      <c r="B572" s="16" t="s">
        <v>137</v>
      </c>
      <c r="C572" s="55" t="s">
        <v>138</v>
      </c>
      <c r="D572" s="25" t="s">
        <v>1390</v>
      </c>
      <c r="E572" s="25" t="s">
        <v>1404</v>
      </c>
      <c r="F572" s="25" t="s">
        <v>141</v>
      </c>
      <c r="G572" s="39"/>
      <c r="H572" s="21"/>
      <c r="I572" s="39"/>
      <c r="J572" s="39"/>
    </row>
    <row r="573" spans="2:11" ht="13">
      <c r="B573" s="16" t="s">
        <v>137</v>
      </c>
      <c r="C573" s="55" t="s">
        <v>138</v>
      </c>
      <c r="D573" s="26" t="s">
        <v>1391</v>
      </c>
      <c r="E573" s="26" t="s">
        <v>1392</v>
      </c>
      <c r="F573" s="28" t="s">
        <v>141</v>
      </c>
      <c r="G573" s="26"/>
      <c r="H573" s="21"/>
      <c r="I573" s="26"/>
      <c r="J573" s="26"/>
    </row>
    <row r="574" spans="2:11">
      <c r="B574" s="16" t="s">
        <v>137</v>
      </c>
      <c r="C574" s="55" t="s">
        <v>138</v>
      </c>
      <c r="D574" s="25" t="s">
        <v>1462</v>
      </c>
      <c r="E574" s="25" t="s">
        <v>1463</v>
      </c>
      <c r="F574" s="25" t="s">
        <v>141</v>
      </c>
      <c r="G574" s="39"/>
      <c r="H574" s="21"/>
      <c r="I574" s="39"/>
      <c r="J574" s="39"/>
    </row>
    <row r="575" spans="2:11">
      <c r="B575" s="16" t="s">
        <v>137</v>
      </c>
      <c r="C575" s="55" t="s">
        <v>138</v>
      </c>
      <c r="D575" s="26" t="s">
        <v>1393</v>
      </c>
      <c r="E575" s="26" t="s">
        <v>1394</v>
      </c>
      <c r="F575" s="26" t="s">
        <v>141</v>
      </c>
      <c r="G575" s="26"/>
      <c r="H575" s="21"/>
      <c r="I575" s="26"/>
      <c r="J575" s="26"/>
    </row>
    <row r="576" spans="2:11">
      <c r="B576" s="16" t="s">
        <v>137</v>
      </c>
      <c r="C576" s="26" t="s">
        <v>138</v>
      </c>
      <c r="D576" s="26" t="s">
        <v>1191</v>
      </c>
      <c r="E576" s="26" t="s">
        <v>986</v>
      </c>
      <c r="F576" s="26" t="s">
        <v>141</v>
      </c>
      <c r="G576" s="26"/>
      <c r="H576" s="21"/>
      <c r="I576" s="26"/>
      <c r="J576" s="26"/>
    </row>
    <row r="577" spans="2:10" ht="13">
      <c r="B577" s="16" t="s">
        <v>137</v>
      </c>
      <c r="C577" s="26" t="s">
        <v>138</v>
      </c>
      <c r="D577" s="47" t="s">
        <v>845</v>
      </c>
      <c r="E577" s="47" t="s">
        <v>846</v>
      </c>
      <c r="F577" s="25" t="s">
        <v>141</v>
      </c>
      <c r="G577" s="45"/>
      <c r="H577" s="21"/>
      <c r="I577" s="26"/>
      <c r="J577" s="26"/>
    </row>
    <row r="578" spans="2:10">
      <c r="B578" s="16" t="s">
        <v>137</v>
      </c>
      <c r="C578" s="55" t="s">
        <v>138</v>
      </c>
      <c r="D578" s="25" t="s">
        <v>1193</v>
      </c>
      <c r="E578" s="25" t="s">
        <v>1194</v>
      </c>
      <c r="F578" s="25" t="s">
        <v>141</v>
      </c>
      <c r="G578" s="39"/>
      <c r="H578" s="21"/>
      <c r="I578" s="39"/>
      <c r="J578" s="39"/>
    </row>
    <row r="579" spans="2:10" s="26" customFormat="1" ht="13">
      <c r="B579" s="16" t="s">
        <v>137</v>
      </c>
      <c r="C579" s="55" t="s">
        <v>138</v>
      </c>
      <c r="D579" s="26" t="s">
        <v>1395</v>
      </c>
      <c r="E579" s="26" t="s">
        <v>1395</v>
      </c>
      <c r="F579" s="28" t="s">
        <v>141</v>
      </c>
      <c r="H579" s="21"/>
    </row>
    <row r="580" spans="2:10" s="26" customFormat="1">
      <c r="B580" s="16" t="s">
        <v>137</v>
      </c>
      <c r="C580" s="55" t="s">
        <v>138</v>
      </c>
      <c r="D580" s="25" t="s">
        <v>1396</v>
      </c>
      <c r="E580" s="25" t="s">
        <v>1397</v>
      </c>
      <c r="F580" s="25" t="s">
        <v>141</v>
      </c>
      <c r="G580" s="39"/>
      <c r="H580" s="21"/>
      <c r="I580" s="39"/>
      <c r="J580" s="39"/>
    </row>
    <row r="581" spans="2:10" s="26" customFormat="1" ht="13">
      <c r="B581" s="16" t="s">
        <v>137</v>
      </c>
      <c r="C581" s="55" t="s">
        <v>138</v>
      </c>
      <c r="D581" s="26" t="s">
        <v>1398</v>
      </c>
      <c r="E581" s="26" t="s">
        <v>1399</v>
      </c>
      <c r="F581" s="28" t="s">
        <v>141</v>
      </c>
      <c r="H581" s="21"/>
    </row>
    <row r="582" spans="2:10" s="26" customFormat="1" ht="13">
      <c r="B582" s="16" t="s">
        <v>137</v>
      </c>
      <c r="C582" s="55" t="s">
        <v>138</v>
      </c>
      <c r="D582" s="26" t="s">
        <v>1400</v>
      </c>
      <c r="E582" s="26" t="s">
        <v>1401</v>
      </c>
      <c r="F582" s="28" t="s">
        <v>141</v>
      </c>
      <c r="H582" s="21"/>
    </row>
    <row r="583" spans="2:10" s="26" customFormat="1">
      <c r="B583" s="16" t="s">
        <v>137</v>
      </c>
      <c r="C583" s="55" t="s">
        <v>138</v>
      </c>
      <c r="D583" s="25" t="s">
        <v>1418</v>
      </c>
      <c r="E583" s="25" t="s">
        <v>1419</v>
      </c>
      <c r="F583" s="25" t="s">
        <v>141</v>
      </c>
      <c r="G583" s="39"/>
      <c r="H583" s="21"/>
      <c r="I583" s="39"/>
      <c r="J583" s="39"/>
    </row>
    <row r="584" spans="2:10" s="26" customFormat="1">
      <c r="B584" s="16" t="s">
        <v>137</v>
      </c>
      <c r="C584" s="55" t="s">
        <v>138</v>
      </c>
      <c r="D584" s="26" t="s">
        <v>1402</v>
      </c>
      <c r="E584" s="26" t="s">
        <v>1403</v>
      </c>
      <c r="F584" s="26" t="s">
        <v>141</v>
      </c>
      <c r="H584" s="21"/>
    </row>
    <row r="585" spans="2:10" s="26" customFormat="1">
      <c r="B585" s="16" t="s">
        <v>137</v>
      </c>
      <c r="C585" s="21" t="s">
        <v>138</v>
      </c>
      <c r="D585" s="21" t="s">
        <v>182</v>
      </c>
      <c r="E585" s="21" t="s">
        <v>183</v>
      </c>
      <c r="F585" s="21" t="s">
        <v>167</v>
      </c>
      <c r="G585" s="21"/>
      <c r="H585" s="21"/>
      <c r="I585" s="21"/>
      <c r="J585" s="21"/>
    </row>
    <row r="586" spans="2:10" s="26" customFormat="1">
      <c r="B586" s="16" t="s">
        <v>137</v>
      </c>
      <c r="C586" s="21" t="s">
        <v>138</v>
      </c>
      <c r="D586" s="21" t="s">
        <v>196</v>
      </c>
      <c r="E586" s="21" t="s">
        <v>197</v>
      </c>
      <c r="F586" s="21" t="s">
        <v>141</v>
      </c>
      <c r="G586" s="21"/>
      <c r="H586" s="21"/>
      <c r="I586" s="21"/>
      <c r="J586" s="21"/>
    </row>
    <row r="587" spans="2:10" s="26" customFormat="1" ht="13">
      <c r="B587" s="16" t="s">
        <v>137</v>
      </c>
      <c r="C587" s="71" t="s">
        <v>170</v>
      </c>
      <c r="D587" s="21" t="s">
        <v>212</v>
      </c>
      <c r="E587" s="21" t="s">
        <v>213</v>
      </c>
      <c r="F587" s="21" t="s">
        <v>141</v>
      </c>
      <c r="G587" s="21"/>
      <c r="H587" s="21"/>
      <c r="I587" s="21"/>
      <c r="J587" s="21"/>
    </row>
    <row r="588" spans="2:10" s="26" customFormat="1">
      <c r="B588" s="16" t="s">
        <v>137</v>
      </c>
      <c r="C588" s="21" t="s">
        <v>138</v>
      </c>
      <c r="D588" s="21" t="s">
        <v>669</v>
      </c>
      <c r="E588" s="21" t="s">
        <v>670</v>
      </c>
      <c r="F588" s="21" t="s">
        <v>141</v>
      </c>
      <c r="G588" s="21"/>
      <c r="H588" s="21"/>
      <c r="I588" s="21"/>
      <c r="J588" s="21"/>
    </row>
    <row r="589" spans="2:10" s="26" customFormat="1">
      <c r="B589" s="16" t="s">
        <v>137</v>
      </c>
      <c r="C589" s="21" t="s">
        <v>138</v>
      </c>
      <c r="D589" s="21" t="s">
        <v>218</v>
      </c>
      <c r="E589" s="21" t="s">
        <v>219</v>
      </c>
      <c r="F589" s="21" t="s">
        <v>141</v>
      </c>
      <c r="G589" s="21"/>
      <c r="H589" s="21"/>
      <c r="I589" s="21"/>
      <c r="J589" s="21"/>
    </row>
    <row r="590" spans="2:10" s="26" customFormat="1">
      <c r="B590" s="16" t="s">
        <v>137</v>
      </c>
      <c r="C590" s="21" t="s">
        <v>138</v>
      </c>
      <c r="D590" s="21" t="s">
        <v>216</v>
      </c>
      <c r="E590" s="21" t="s">
        <v>217</v>
      </c>
      <c r="F590" s="21" t="s">
        <v>141</v>
      </c>
      <c r="G590" s="21"/>
      <c r="H590" s="21"/>
      <c r="I590" s="21"/>
      <c r="J590" s="21"/>
    </row>
    <row r="591" spans="2:10" s="26" customFormat="1">
      <c r="B591" s="16" t="s">
        <v>137</v>
      </c>
      <c r="C591" s="26" t="s">
        <v>138</v>
      </c>
      <c r="D591" s="47" t="s">
        <v>163</v>
      </c>
      <c r="E591" s="47" t="s">
        <v>164</v>
      </c>
      <c r="F591" s="26" t="s">
        <v>141</v>
      </c>
      <c r="H591" s="21"/>
    </row>
    <row r="592" spans="2:10" s="26" customFormat="1">
      <c r="B592" s="16" t="s">
        <v>137</v>
      </c>
      <c r="C592" s="21" t="s">
        <v>138</v>
      </c>
      <c r="D592" s="21" t="s">
        <v>508</v>
      </c>
      <c r="E592" s="21" t="s">
        <v>738</v>
      </c>
      <c r="F592" s="21" t="s">
        <v>141</v>
      </c>
      <c r="G592" s="21"/>
      <c r="H592" s="21"/>
      <c r="I592" s="21"/>
      <c r="J592" s="21"/>
    </row>
    <row r="593" spans="2:10" s="26" customFormat="1">
      <c r="B593" s="16" t="s">
        <v>137</v>
      </c>
      <c r="C593" s="21" t="s">
        <v>138</v>
      </c>
      <c r="D593" s="21" t="s">
        <v>739</v>
      </c>
      <c r="E593" s="21" t="s">
        <v>740</v>
      </c>
      <c r="F593" s="21" t="s">
        <v>141</v>
      </c>
      <c r="G593" s="21"/>
      <c r="H593" s="21"/>
      <c r="I593" s="21"/>
      <c r="J593" s="21"/>
    </row>
    <row r="594" spans="2:10" s="26" customFormat="1">
      <c r="B594" s="16" t="s">
        <v>137</v>
      </c>
      <c r="C594" s="21" t="s">
        <v>138</v>
      </c>
      <c r="D594" s="21" t="s">
        <v>741</v>
      </c>
      <c r="E594" s="21" t="s">
        <v>742</v>
      </c>
      <c r="F594" s="21" t="s">
        <v>141</v>
      </c>
      <c r="G594" s="21"/>
      <c r="H594" s="21"/>
      <c r="I594" s="21"/>
      <c r="J594" s="21"/>
    </row>
    <row r="595" spans="2:10" s="26" customFormat="1">
      <c r="B595" s="16" t="s">
        <v>137</v>
      </c>
      <c r="C595" s="76" t="s">
        <v>138</v>
      </c>
      <c r="D595" s="75" t="s">
        <v>1560</v>
      </c>
      <c r="E595" s="87" t="s">
        <v>1561</v>
      </c>
      <c r="F595" s="76" t="s">
        <v>141</v>
      </c>
      <c r="G595" s="77"/>
      <c r="H595" s="78"/>
      <c r="I595" s="78"/>
      <c r="J595" s="78"/>
    </row>
    <row r="596" spans="2:10" s="26" customFormat="1">
      <c r="B596" s="16" t="s">
        <v>137</v>
      </c>
      <c r="C596" s="76" t="s">
        <v>138</v>
      </c>
      <c r="D596" s="75" t="s">
        <v>1562</v>
      </c>
      <c r="E596" s="87" t="s">
        <v>1563</v>
      </c>
      <c r="F596" s="76" t="s">
        <v>141</v>
      </c>
      <c r="G596" s="77"/>
      <c r="H596" s="78"/>
      <c r="I596" s="78"/>
      <c r="J596" s="78"/>
    </row>
    <row r="597" spans="2:10" s="26" customFormat="1">
      <c r="B597" s="16" t="s">
        <v>137</v>
      </c>
      <c r="C597" s="76" t="s">
        <v>138</v>
      </c>
      <c r="D597" s="75" t="s">
        <v>1564</v>
      </c>
      <c r="E597" s="75" t="s">
        <v>1565</v>
      </c>
      <c r="F597" s="76" t="s">
        <v>141</v>
      </c>
      <c r="G597" s="77"/>
      <c r="H597" s="78"/>
      <c r="I597" s="78"/>
      <c r="J597" s="78"/>
    </row>
    <row r="598" spans="2:10" s="26" customFormat="1">
      <c r="B598" s="16" t="s">
        <v>137</v>
      </c>
      <c r="C598" s="76" t="s">
        <v>138</v>
      </c>
      <c r="D598" s="75" t="s">
        <v>1566</v>
      </c>
      <c r="E598" s="87" t="s">
        <v>1567</v>
      </c>
      <c r="F598" s="76" t="s">
        <v>141</v>
      </c>
      <c r="G598" s="77"/>
      <c r="H598" s="78"/>
      <c r="I598" s="78"/>
      <c r="J598" s="78"/>
    </row>
    <row r="599" spans="2:10" s="26" customFormat="1">
      <c r="B599" s="16" t="s">
        <v>137</v>
      </c>
      <c r="C599" s="76" t="s">
        <v>138</v>
      </c>
      <c r="D599" s="75" t="s">
        <v>1568</v>
      </c>
      <c r="E599" s="87" t="s">
        <v>1569</v>
      </c>
      <c r="F599" s="76" t="s">
        <v>141</v>
      </c>
      <c r="G599" s="77"/>
      <c r="H599" s="78"/>
      <c r="I599" s="78"/>
      <c r="J599" s="78"/>
    </row>
    <row r="600" spans="2:10" s="26" customFormat="1">
      <c r="B600" s="16" t="s">
        <v>137</v>
      </c>
      <c r="C600" s="76" t="s">
        <v>138</v>
      </c>
      <c r="D600" s="75" t="s">
        <v>1570</v>
      </c>
      <c r="E600" s="75" t="s">
        <v>1571</v>
      </c>
      <c r="F600" s="76" t="s">
        <v>141</v>
      </c>
      <c r="G600" s="77"/>
      <c r="H600" s="78"/>
      <c r="I600" s="78"/>
      <c r="J600" s="78"/>
    </row>
    <row r="601" spans="2:10" s="26" customFormat="1">
      <c r="B601" s="16" t="s">
        <v>137</v>
      </c>
      <c r="C601" s="76" t="s">
        <v>138</v>
      </c>
      <c r="D601" s="75" t="s">
        <v>1572</v>
      </c>
      <c r="E601" s="87" t="s">
        <v>1573</v>
      </c>
      <c r="F601" s="76" t="s">
        <v>141</v>
      </c>
      <c r="G601" s="77"/>
      <c r="H601" s="78"/>
      <c r="I601" s="78"/>
      <c r="J601" s="78"/>
    </row>
    <row r="602" spans="2:10" s="26" customFormat="1">
      <c r="B602" s="16" t="s">
        <v>137</v>
      </c>
      <c r="C602" s="76" t="s">
        <v>138</v>
      </c>
      <c r="D602" s="75" t="s">
        <v>1574</v>
      </c>
      <c r="E602" s="87" t="s">
        <v>1575</v>
      </c>
      <c r="F602" s="76" t="s">
        <v>141</v>
      </c>
      <c r="G602" s="77"/>
      <c r="H602" s="78"/>
      <c r="I602" s="78"/>
      <c r="J602" s="78"/>
    </row>
    <row r="603" spans="2:10" s="26" customFormat="1">
      <c r="B603" s="16" t="s">
        <v>137</v>
      </c>
      <c r="C603" s="76" t="s">
        <v>138</v>
      </c>
      <c r="D603" s="75" t="s">
        <v>1576</v>
      </c>
      <c r="E603" s="87" t="s">
        <v>1577</v>
      </c>
      <c r="F603" s="76" t="s">
        <v>141</v>
      </c>
      <c r="G603" s="77"/>
      <c r="H603" s="78"/>
      <c r="I603" s="78"/>
      <c r="J603" s="78"/>
    </row>
    <row r="604" spans="2:10" s="26" customFormat="1">
      <c r="B604" s="16" t="s">
        <v>137</v>
      </c>
      <c r="C604" s="76" t="s">
        <v>138</v>
      </c>
      <c r="D604" s="75" t="s">
        <v>1578</v>
      </c>
      <c r="E604" s="87" t="s">
        <v>1579</v>
      </c>
      <c r="F604" s="76" t="s">
        <v>141</v>
      </c>
      <c r="G604" s="77"/>
      <c r="H604" s="78"/>
      <c r="I604" s="78"/>
      <c r="J604" s="78"/>
    </row>
    <row r="605" spans="2:10" s="26" customFormat="1">
      <c r="B605" s="16" t="s">
        <v>137</v>
      </c>
      <c r="C605" s="76" t="s">
        <v>138</v>
      </c>
      <c r="D605" s="75" t="s">
        <v>1580</v>
      </c>
      <c r="E605" s="87" t="s">
        <v>1581</v>
      </c>
      <c r="F605" s="76" t="s">
        <v>141</v>
      </c>
      <c r="G605" s="77"/>
      <c r="H605" s="78"/>
      <c r="I605" s="78"/>
      <c r="J605" s="78"/>
    </row>
    <row r="606" spans="2:10" s="26" customFormat="1">
      <c r="B606" s="16" t="s">
        <v>137</v>
      </c>
      <c r="C606" s="76" t="s">
        <v>138</v>
      </c>
      <c r="D606" s="75" t="s">
        <v>1582</v>
      </c>
      <c r="E606" s="75" t="s">
        <v>1583</v>
      </c>
      <c r="F606" s="76" t="s">
        <v>141</v>
      </c>
      <c r="G606" s="77"/>
      <c r="H606" s="78"/>
      <c r="I606" s="78"/>
      <c r="J606" s="78"/>
    </row>
    <row r="607" spans="2:10" s="26" customFormat="1">
      <c r="B607" s="16" t="s">
        <v>137</v>
      </c>
      <c r="C607" s="76" t="s">
        <v>138</v>
      </c>
      <c r="D607" s="75" t="s">
        <v>1584</v>
      </c>
      <c r="E607" s="87" t="s">
        <v>1585</v>
      </c>
      <c r="F607" s="76" t="s">
        <v>141</v>
      </c>
      <c r="G607" s="77"/>
      <c r="H607" s="78"/>
      <c r="I607" s="78"/>
      <c r="J607" s="78"/>
    </row>
    <row r="608" spans="2:10" s="26" customFormat="1">
      <c r="B608" s="16" t="s">
        <v>137</v>
      </c>
      <c r="C608" s="76" t="s">
        <v>138</v>
      </c>
      <c r="D608" s="75" t="s">
        <v>1586</v>
      </c>
      <c r="E608" s="87" t="s">
        <v>1587</v>
      </c>
      <c r="F608" s="76" t="s">
        <v>141</v>
      </c>
      <c r="G608" s="77"/>
      <c r="H608" s="78"/>
      <c r="I608" s="78"/>
      <c r="J608" s="78"/>
    </row>
    <row r="609" spans="2:10" s="26" customFormat="1">
      <c r="B609" s="16" t="s">
        <v>137</v>
      </c>
      <c r="C609" s="76" t="s">
        <v>138</v>
      </c>
      <c r="D609" s="75" t="s">
        <v>1588</v>
      </c>
      <c r="E609" s="75" t="s">
        <v>1589</v>
      </c>
      <c r="F609" s="76" t="s">
        <v>141</v>
      </c>
      <c r="G609" s="77"/>
      <c r="H609" s="78"/>
      <c r="I609" s="78"/>
      <c r="J609" s="78"/>
    </row>
    <row r="610" spans="2:10" s="26" customFormat="1">
      <c r="B610" s="16" t="s">
        <v>137</v>
      </c>
      <c r="C610" s="76" t="s">
        <v>138</v>
      </c>
      <c r="D610" s="75" t="s">
        <v>1590</v>
      </c>
      <c r="E610" s="87" t="s">
        <v>1591</v>
      </c>
      <c r="F610" s="76" t="s">
        <v>141</v>
      </c>
      <c r="G610" s="77"/>
      <c r="H610" s="78"/>
      <c r="I610" s="78"/>
      <c r="J610" s="78"/>
    </row>
    <row r="611" spans="2:10" s="26" customFormat="1">
      <c r="B611" s="16" t="s">
        <v>137</v>
      </c>
      <c r="C611" s="76" t="s">
        <v>138</v>
      </c>
      <c r="D611" s="75" t="s">
        <v>1592</v>
      </c>
      <c r="E611" s="87" t="s">
        <v>1593</v>
      </c>
      <c r="F611" s="76" t="s">
        <v>141</v>
      </c>
      <c r="G611" s="77"/>
      <c r="H611" s="78"/>
      <c r="I611" s="78"/>
      <c r="J611" s="78"/>
    </row>
    <row r="612" spans="2:10" s="26" customFormat="1">
      <c r="B612" s="16" t="s">
        <v>137</v>
      </c>
      <c r="C612" s="76" t="s">
        <v>138</v>
      </c>
      <c r="D612" s="75" t="s">
        <v>1594</v>
      </c>
      <c r="E612" s="87" t="s">
        <v>1595</v>
      </c>
      <c r="F612" s="76" t="s">
        <v>141</v>
      </c>
      <c r="G612" s="77"/>
      <c r="H612" s="78"/>
      <c r="I612" s="78"/>
      <c r="J612" s="78"/>
    </row>
    <row r="613" spans="2:10" s="26" customFormat="1">
      <c r="B613" s="16" t="s">
        <v>137</v>
      </c>
      <c r="C613" s="76" t="s">
        <v>138</v>
      </c>
      <c r="D613" s="75" t="s">
        <v>1596</v>
      </c>
      <c r="E613" s="87" t="s">
        <v>1597</v>
      </c>
      <c r="F613" s="76" t="s">
        <v>141</v>
      </c>
      <c r="G613" s="77"/>
      <c r="H613" s="78"/>
      <c r="I613" s="78"/>
      <c r="J613" s="78"/>
    </row>
    <row r="614" spans="2:10" s="26" customFormat="1">
      <c r="B614" s="16" t="s">
        <v>137</v>
      </c>
      <c r="C614" s="76" t="s">
        <v>138</v>
      </c>
      <c r="D614" s="75" t="s">
        <v>1598</v>
      </c>
      <c r="E614" s="87" t="s">
        <v>1599</v>
      </c>
      <c r="F614" s="76" t="s">
        <v>141</v>
      </c>
      <c r="G614" s="77"/>
      <c r="H614" s="78"/>
      <c r="I614" s="78"/>
      <c r="J614" s="78"/>
    </row>
    <row r="615" spans="2:10" s="26" customFormat="1">
      <c r="B615" s="16" t="s">
        <v>137</v>
      </c>
      <c r="C615" s="76" t="s">
        <v>138</v>
      </c>
      <c r="D615" s="75" t="s">
        <v>1600</v>
      </c>
      <c r="E615" s="75" t="s">
        <v>1601</v>
      </c>
      <c r="F615" s="76" t="s">
        <v>141</v>
      </c>
      <c r="G615" s="77"/>
      <c r="H615" s="78"/>
      <c r="I615" s="78"/>
      <c r="J615" s="78"/>
    </row>
    <row r="616" spans="2:10" s="26" customFormat="1">
      <c r="B616" s="16" t="s">
        <v>137</v>
      </c>
      <c r="C616" s="76" t="s">
        <v>138</v>
      </c>
      <c r="D616" s="75" t="s">
        <v>1602</v>
      </c>
      <c r="E616" s="87" t="s">
        <v>1603</v>
      </c>
      <c r="F616" s="76" t="s">
        <v>141</v>
      </c>
      <c r="G616" s="77"/>
      <c r="H616" s="78"/>
      <c r="I616" s="78"/>
      <c r="J616" s="78"/>
    </row>
    <row r="617" spans="2:10" s="26" customFormat="1">
      <c r="B617" s="16" t="s">
        <v>137</v>
      </c>
      <c r="C617" s="76" t="s">
        <v>138</v>
      </c>
      <c r="D617" s="75" t="s">
        <v>1604</v>
      </c>
      <c r="E617" s="87" t="s">
        <v>1605</v>
      </c>
      <c r="F617" s="76" t="s">
        <v>141</v>
      </c>
      <c r="G617" s="77"/>
      <c r="H617" s="78"/>
      <c r="I617" s="78"/>
      <c r="J617" s="78"/>
    </row>
    <row r="618" spans="2:10" s="26" customFormat="1">
      <c r="B618" s="16" t="s">
        <v>137</v>
      </c>
      <c r="C618" s="76" t="s">
        <v>138</v>
      </c>
      <c r="D618" s="75" t="s">
        <v>1606</v>
      </c>
      <c r="E618" s="75" t="s">
        <v>1607</v>
      </c>
      <c r="F618" s="76" t="s">
        <v>141</v>
      </c>
      <c r="G618" s="77"/>
      <c r="H618" s="78"/>
      <c r="I618" s="78"/>
      <c r="J618" s="78"/>
    </row>
    <row r="619" spans="2:10" s="26" customFormat="1">
      <c r="B619" s="16" t="s">
        <v>137</v>
      </c>
      <c r="C619" s="76" t="s">
        <v>138</v>
      </c>
      <c r="D619" s="75" t="s">
        <v>1608</v>
      </c>
      <c r="E619" s="87" t="s">
        <v>1609</v>
      </c>
      <c r="F619" s="76" t="s">
        <v>141</v>
      </c>
      <c r="G619" s="77"/>
      <c r="H619" s="78"/>
      <c r="I619" s="78"/>
      <c r="J619" s="78"/>
    </row>
    <row r="620" spans="2:10" s="26" customFormat="1">
      <c r="B620" s="16" t="s">
        <v>137</v>
      </c>
      <c r="C620" s="76" t="s">
        <v>138</v>
      </c>
      <c r="D620" s="75" t="s">
        <v>1610</v>
      </c>
      <c r="E620" s="87" t="s">
        <v>1611</v>
      </c>
      <c r="F620" s="76" t="s">
        <v>141</v>
      </c>
      <c r="G620" s="77"/>
      <c r="H620" s="78"/>
      <c r="I620" s="78"/>
      <c r="J620" s="78"/>
    </row>
    <row r="621" spans="2:10" s="26" customFormat="1">
      <c r="B621" s="16" t="s">
        <v>137</v>
      </c>
      <c r="C621" s="76" t="s">
        <v>138</v>
      </c>
      <c r="D621" s="75" t="s">
        <v>1612</v>
      </c>
      <c r="E621" s="87" t="s">
        <v>1613</v>
      </c>
      <c r="F621" s="76" t="s">
        <v>141</v>
      </c>
      <c r="G621" s="77"/>
      <c r="H621" s="78"/>
      <c r="I621" s="78"/>
      <c r="J621" s="78"/>
    </row>
    <row r="622" spans="2:10" s="26" customFormat="1">
      <c r="B622" s="16" t="s">
        <v>137</v>
      </c>
      <c r="C622" s="76" t="s">
        <v>138</v>
      </c>
      <c r="D622" s="75" t="s">
        <v>1614</v>
      </c>
      <c r="E622" s="87" t="s">
        <v>1615</v>
      </c>
      <c r="F622" s="76" t="s">
        <v>141</v>
      </c>
      <c r="G622" s="77"/>
      <c r="H622" s="78"/>
      <c r="I622" s="78"/>
      <c r="J622" s="78"/>
    </row>
    <row r="623" spans="2:10" s="26" customFormat="1">
      <c r="B623" s="16" t="s">
        <v>137</v>
      </c>
      <c r="C623" s="76" t="s">
        <v>138</v>
      </c>
      <c r="D623" s="75" t="s">
        <v>1616</v>
      </c>
      <c r="E623" s="87" t="s">
        <v>1617</v>
      </c>
      <c r="F623" s="76" t="s">
        <v>141</v>
      </c>
      <c r="G623" s="77"/>
      <c r="H623" s="78"/>
      <c r="I623" s="78"/>
      <c r="J623" s="78"/>
    </row>
    <row r="624" spans="2:10" s="26" customFormat="1">
      <c r="B624" s="16" t="s">
        <v>137</v>
      </c>
      <c r="C624" s="76" t="s">
        <v>138</v>
      </c>
      <c r="D624" s="75" t="s">
        <v>1618</v>
      </c>
      <c r="E624" s="75" t="s">
        <v>1619</v>
      </c>
      <c r="F624" s="76" t="s">
        <v>141</v>
      </c>
      <c r="G624" s="77"/>
      <c r="H624" s="78"/>
      <c r="I624" s="78"/>
      <c r="J624" s="78"/>
    </row>
    <row r="625" spans="2:10" s="26" customFormat="1">
      <c r="B625" s="16" t="s">
        <v>137</v>
      </c>
      <c r="C625" s="76" t="s">
        <v>138</v>
      </c>
      <c r="D625" s="75" t="s">
        <v>1620</v>
      </c>
      <c r="E625" s="87" t="s">
        <v>1621</v>
      </c>
      <c r="F625" s="76" t="s">
        <v>141</v>
      </c>
      <c r="G625" s="77"/>
      <c r="H625" s="78"/>
      <c r="I625" s="78"/>
      <c r="J625" s="78"/>
    </row>
    <row r="626" spans="2:10" s="26" customFormat="1">
      <c r="B626" s="16" t="s">
        <v>137</v>
      </c>
      <c r="C626" s="76" t="s">
        <v>138</v>
      </c>
      <c r="D626" s="75" t="s">
        <v>1622</v>
      </c>
      <c r="E626" s="87" t="s">
        <v>1623</v>
      </c>
      <c r="F626" s="76" t="s">
        <v>141</v>
      </c>
      <c r="G626" s="77"/>
      <c r="H626" s="78"/>
      <c r="I626" s="78"/>
      <c r="J626" s="78"/>
    </row>
    <row r="627" spans="2:10" s="26" customFormat="1">
      <c r="B627" s="16" t="s">
        <v>137</v>
      </c>
      <c r="C627" s="76" t="s">
        <v>138</v>
      </c>
      <c r="D627" s="75" t="s">
        <v>1624</v>
      </c>
      <c r="E627" s="75" t="s">
        <v>1625</v>
      </c>
      <c r="F627" s="76" t="s">
        <v>141</v>
      </c>
      <c r="G627" s="77"/>
      <c r="H627" s="78"/>
      <c r="I627" s="78"/>
      <c r="J627" s="78"/>
    </row>
    <row r="628" spans="2:10" s="26" customFormat="1">
      <c r="B628" s="16" t="s">
        <v>137</v>
      </c>
      <c r="C628" s="76" t="s">
        <v>138</v>
      </c>
      <c r="D628" s="75" t="s">
        <v>1626</v>
      </c>
      <c r="E628" s="87" t="s">
        <v>1627</v>
      </c>
      <c r="F628" s="76" t="s">
        <v>141</v>
      </c>
      <c r="G628" s="77"/>
      <c r="H628" s="78"/>
      <c r="I628" s="78"/>
      <c r="J628" s="78"/>
    </row>
    <row r="629" spans="2:10" s="26" customFormat="1">
      <c r="B629" s="16" t="s">
        <v>137</v>
      </c>
      <c r="C629" s="76" t="s">
        <v>138</v>
      </c>
      <c r="D629" s="75" t="s">
        <v>1628</v>
      </c>
      <c r="E629" s="87" t="s">
        <v>1629</v>
      </c>
      <c r="F629" s="76" t="s">
        <v>141</v>
      </c>
      <c r="G629" s="77"/>
      <c r="H629" s="78"/>
      <c r="I629" s="78"/>
      <c r="J629" s="78"/>
    </row>
    <row r="630" spans="2:10" s="26" customFormat="1">
      <c r="B630" s="16" t="s">
        <v>137</v>
      </c>
      <c r="C630" s="76" t="s">
        <v>138</v>
      </c>
      <c r="D630" s="75" t="s">
        <v>1630</v>
      </c>
      <c r="E630" s="87" t="s">
        <v>1631</v>
      </c>
      <c r="F630" s="76" t="s">
        <v>141</v>
      </c>
      <c r="G630" s="77"/>
      <c r="H630" s="78"/>
      <c r="I630" s="78"/>
      <c r="J630" s="78"/>
    </row>
    <row r="631" spans="2:10" s="26" customFormat="1">
      <c r="B631" s="16" t="s">
        <v>137</v>
      </c>
      <c r="C631" s="76" t="s">
        <v>138</v>
      </c>
      <c r="D631" s="75" t="s">
        <v>1632</v>
      </c>
      <c r="E631" s="87" t="s">
        <v>1633</v>
      </c>
      <c r="F631" s="76" t="s">
        <v>141</v>
      </c>
      <c r="G631" s="77"/>
      <c r="H631" s="78"/>
      <c r="I631" s="78"/>
      <c r="J631" s="78"/>
    </row>
    <row r="632" spans="2:10" s="26" customFormat="1">
      <c r="B632" s="16" t="s">
        <v>137</v>
      </c>
      <c r="C632" s="76" t="s">
        <v>138</v>
      </c>
      <c r="D632" s="75" t="s">
        <v>1634</v>
      </c>
      <c r="E632" s="87" t="s">
        <v>1635</v>
      </c>
      <c r="F632" s="76" t="s">
        <v>141</v>
      </c>
      <c r="G632" s="77"/>
      <c r="H632" s="78"/>
      <c r="I632" s="78"/>
      <c r="J632" s="78"/>
    </row>
    <row r="633" spans="2:10" s="26" customFormat="1">
      <c r="B633" s="16" t="s">
        <v>137</v>
      </c>
      <c r="C633" s="76" t="s">
        <v>138</v>
      </c>
      <c r="D633" s="75" t="s">
        <v>1636</v>
      </c>
      <c r="E633" s="75" t="s">
        <v>1637</v>
      </c>
      <c r="F633" s="76" t="s">
        <v>141</v>
      </c>
      <c r="G633" s="77"/>
      <c r="H633" s="78"/>
      <c r="I633" s="78"/>
      <c r="J633" s="78"/>
    </row>
    <row r="634" spans="2:10" s="26" customFormat="1">
      <c r="B634" s="16" t="s">
        <v>137</v>
      </c>
      <c r="C634" s="76" t="s">
        <v>138</v>
      </c>
      <c r="D634" s="75" t="s">
        <v>1638</v>
      </c>
      <c r="E634" s="87" t="s">
        <v>1639</v>
      </c>
      <c r="F634" s="76" t="s">
        <v>141</v>
      </c>
      <c r="G634" s="77"/>
      <c r="H634" s="78"/>
      <c r="I634" s="78"/>
      <c r="J634" s="78"/>
    </row>
    <row r="635" spans="2:10" s="26" customFormat="1">
      <c r="B635" s="16" t="s">
        <v>137</v>
      </c>
      <c r="C635" s="76" t="s">
        <v>138</v>
      </c>
      <c r="D635" s="75" t="s">
        <v>1640</v>
      </c>
      <c r="E635" s="87" t="s">
        <v>1641</v>
      </c>
      <c r="F635" s="76" t="s">
        <v>141</v>
      </c>
      <c r="G635" s="77"/>
      <c r="H635" s="78"/>
      <c r="I635" s="78"/>
      <c r="J635" s="78"/>
    </row>
    <row r="636" spans="2:10" s="26" customFormat="1">
      <c r="B636" s="16" t="s">
        <v>137</v>
      </c>
      <c r="C636" s="76" t="s">
        <v>138</v>
      </c>
      <c r="D636" s="75" t="s">
        <v>1642</v>
      </c>
      <c r="E636" s="87" t="s">
        <v>1643</v>
      </c>
      <c r="F636" s="76" t="s">
        <v>141</v>
      </c>
      <c r="G636" s="77"/>
      <c r="H636" s="78"/>
      <c r="I636" s="78"/>
      <c r="J636" s="78"/>
    </row>
    <row r="637" spans="2:10" s="26" customFormat="1">
      <c r="B637" s="16" t="s">
        <v>137</v>
      </c>
      <c r="C637" s="76" t="s">
        <v>138</v>
      </c>
      <c r="D637" s="75" t="s">
        <v>1644</v>
      </c>
      <c r="E637" s="75" t="s">
        <v>1645</v>
      </c>
      <c r="F637" s="76" t="s">
        <v>141</v>
      </c>
      <c r="G637" s="77"/>
      <c r="H637" s="78"/>
      <c r="I637" s="78"/>
      <c r="J637" s="78"/>
    </row>
    <row r="638" spans="2:10" s="26" customFormat="1">
      <c r="B638" s="16" t="s">
        <v>137</v>
      </c>
      <c r="C638" s="76" t="s">
        <v>138</v>
      </c>
      <c r="D638" s="75" t="s">
        <v>1646</v>
      </c>
      <c r="E638" s="87" t="s">
        <v>1647</v>
      </c>
      <c r="F638" s="76" t="s">
        <v>141</v>
      </c>
      <c r="G638" s="77"/>
      <c r="H638" s="78"/>
      <c r="I638" s="78"/>
      <c r="J638" s="78"/>
    </row>
    <row r="639" spans="2:10" s="26" customFormat="1">
      <c r="B639" s="16" t="s">
        <v>137</v>
      </c>
      <c r="C639" s="75" t="s">
        <v>138</v>
      </c>
      <c r="D639" s="75" t="s">
        <v>1648</v>
      </c>
      <c r="E639" s="75" t="s">
        <v>1649</v>
      </c>
      <c r="F639" s="76" t="s">
        <v>141</v>
      </c>
      <c r="G639" s="77"/>
      <c r="H639" s="78"/>
      <c r="I639" s="78"/>
      <c r="J639" s="78"/>
    </row>
    <row r="640" spans="2:10" s="26" customFormat="1">
      <c r="B640" s="16" t="s">
        <v>137</v>
      </c>
      <c r="C640" s="75" t="s">
        <v>138</v>
      </c>
      <c r="D640" s="75" t="s">
        <v>1650</v>
      </c>
      <c r="E640" s="75" t="s">
        <v>1651</v>
      </c>
      <c r="F640" s="76" t="s">
        <v>141</v>
      </c>
      <c r="G640" s="77"/>
      <c r="H640" s="78"/>
      <c r="I640" s="78"/>
      <c r="J640" s="78"/>
    </row>
    <row r="641" spans="2:10" s="26" customFormat="1">
      <c r="B641" s="16" t="s">
        <v>137</v>
      </c>
      <c r="C641" s="75" t="s">
        <v>138</v>
      </c>
      <c r="D641" s="75" t="s">
        <v>1652</v>
      </c>
      <c r="E641" s="75" t="s">
        <v>1653</v>
      </c>
      <c r="F641" s="76" t="s">
        <v>141</v>
      </c>
      <c r="G641" s="77"/>
      <c r="H641" s="78"/>
      <c r="I641" s="78"/>
      <c r="J641" s="78"/>
    </row>
    <row r="642" spans="2:10" s="26" customFormat="1">
      <c r="B642" s="16" t="s">
        <v>137</v>
      </c>
      <c r="C642" s="76" t="s">
        <v>138</v>
      </c>
      <c r="D642" s="75" t="s">
        <v>1654</v>
      </c>
      <c r="E642" s="75" t="s">
        <v>1655</v>
      </c>
      <c r="F642" s="76" t="s">
        <v>141</v>
      </c>
      <c r="G642" s="77"/>
      <c r="H642" s="78"/>
      <c r="I642" s="78"/>
      <c r="J642" s="78"/>
    </row>
    <row r="643" spans="2:10" s="26" customFormat="1">
      <c r="B643" s="16" t="s">
        <v>137</v>
      </c>
      <c r="C643" s="75" t="s">
        <v>138</v>
      </c>
      <c r="D643" s="75" t="s">
        <v>1656</v>
      </c>
      <c r="E643" s="75" t="s">
        <v>1657</v>
      </c>
      <c r="F643" s="76" t="s">
        <v>141</v>
      </c>
      <c r="G643" s="77"/>
      <c r="H643" s="78"/>
      <c r="I643" s="78"/>
      <c r="J643" s="78"/>
    </row>
    <row r="644" spans="2:10" s="26" customFormat="1">
      <c r="B644" s="16" t="s">
        <v>137</v>
      </c>
      <c r="C644" s="75" t="s">
        <v>138</v>
      </c>
      <c r="D644" s="75" t="s">
        <v>1658</v>
      </c>
      <c r="E644" s="75" t="s">
        <v>1659</v>
      </c>
      <c r="F644" s="76" t="s">
        <v>141</v>
      </c>
      <c r="G644" s="77"/>
      <c r="H644" s="78"/>
      <c r="I644" s="78"/>
      <c r="J644" s="78"/>
    </row>
    <row r="645" spans="2:10" s="26" customFormat="1">
      <c r="B645" s="16" t="s">
        <v>137</v>
      </c>
      <c r="C645" s="75" t="s">
        <v>138</v>
      </c>
      <c r="D645" s="75" t="s">
        <v>1660</v>
      </c>
      <c r="E645" s="75" t="s">
        <v>1661</v>
      </c>
      <c r="F645" s="76" t="s">
        <v>141</v>
      </c>
      <c r="G645" s="77"/>
      <c r="H645" s="78"/>
      <c r="I645" s="78"/>
      <c r="J645" s="78"/>
    </row>
    <row r="646" spans="2:10" s="26" customFormat="1">
      <c r="B646" s="16" t="s">
        <v>137</v>
      </c>
      <c r="C646" s="76" t="s">
        <v>138</v>
      </c>
      <c r="D646" s="75" t="s">
        <v>1662</v>
      </c>
      <c r="E646" s="75" t="s">
        <v>1663</v>
      </c>
      <c r="F646" s="76" t="s">
        <v>141</v>
      </c>
      <c r="G646" s="77"/>
      <c r="H646" s="78"/>
      <c r="I646" s="78"/>
      <c r="J646" s="78"/>
    </row>
    <row r="647" spans="2:10" s="26" customFormat="1">
      <c r="B647" s="16" t="s">
        <v>137</v>
      </c>
      <c r="C647" s="75" t="s">
        <v>138</v>
      </c>
      <c r="D647" s="75" t="s">
        <v>1664</v>
      </c>
      <c r="E647" s="75" t="s">
        <v>1665</v>
      </c>
      <c r="F647" s="76" t="s">
        <v>141</v>
      </c>
      <c r="G647" s="77"/>
      <c r="H647" s="78"/>
      <c r="I647" s="78"/>
      <c r="J647" s="78"/>
    </row>
    <row r="648" spans="2:10" s="26" customFormat="1">
      <c r="B648" s="16" t="s">
        <v>137</v>
      </c>
      <c r="C648" s="76" t="s">
        <v>138</v>
      </c>
      <c r="D648" s="75" t="s">
        <v>1666</v>
      </c>
      <c r="E648" s="87" t="s">
        <v>1667</v>
      </c>
      <c r="F648" s="76" t="s">
        <v>141</v>
      </c>
      <c r="G648" s="77"/>
      <c r="H648" s="78"/>
      <c r="I648" s="78"/>
      <c r="J648" s="78"/>
    </row>
    <row r="649" spans="2:10" s="26" customFormat="1">
      <c r="B649" s="16" t="s">
        <v>137</v>
      </c>
      <c r="C649" s="76" t="s">
        <v>138</v>
      </c>
      <c r="D649" s="75" t="s">
        <v>1668</v>
      </c>
      <c r="E649" s="87" t="s">
        <v>1669</v>
      </c>
      <c r="F649" s="76" t="s">
        <v>141</v>
      </c>
      <c r="G649" s="77"/>
      <c r="H649" s="78"/>
      <c r="I649" s="78"/>
      <c r="J649" s="78"/>
    </row>
    <row r="650" spans="2:10" s="26" customFormat="1">
      <c r="B650" s="16" t="s">
        <v>137</v>
      </c>
      <c r="C650" s="76" t="s">
        <v>138</v>
      </c>
      <c r="D650" s="75" t="s">
        <v>1670</v>
      </c>
      <c r="E650" s="87" t="s">
        <v>1671</v>
      </c>
      <c r="F650" s="76" t="s">
        <v>141</v>
      </c>
      <c r="G650" s="77"/>
      <c r="H650" s="78"/>
      <c r="I650" s="78"/>
      <c r="J650" s="78"/>
    </row>
    <row r="651" spans="2:10" s="26" customFormat="1">
      <c r="B651" s="16" t="s">
        <v>137</v>
      </c>
      <c r="C651" s="76" t="s">
        <v>138</v>
      </c>
      <c r="D651" s="75" t="s">
        <v>1672</v>
      </c>
      <c r="E651" s="75" t="s">
        <v>1673</v>
      </c>
      <c r="F651" s="76" t="s">
        <v>141</v>
      </c>
      <c r="G651" s="77"/>
      <c r="H651" s="78"/>
      <c r="I651" s="78"/>
      <c r="J651" s="78"/>
    </row>
    <row r="652" spans="2:10" s="26" customFormat="1">
      <c r="B652" s="16" t="s">
        <v>137</v>
      </c>
      <c r="C652" s="76" t="s">
        <v>138</v>
      </c>
      <c r="D652" s="75" t="s">
        <v>1674</v>
      </c>
      <c r="E652" s="87" t="s">
        <v>1675</v>
      </c>
      <c r="F652" s="76" t="s">
        <v>141</v>
      </c>
      <c r="G652" s="77"/>
      <c r="H652" s="78"/>
      <c r="I652" s="78"/>
      <c r="J652" s="78"/>
    </row>
    <row r="653" spans="2:10" s="26" customFormat="1">
      <c r="B653" s="16" t="s">
        <v>137</v>
      </c>
      <c r="C653" s="76" t="s">
        <v>138</v>
      </c>
      <c r="D653" s="75" t="s">
        <v>1676</v>
      </c>
      <c r="E653" s="87" t="s">
        <v>1677</v>
      </c>
      <c r="F653" s="76" t="s">
        <v>141</v>
      </c>
      <c r="G653" s="77"/>
      <c r="H653" s="78"/>
      <c r="I653" s="78"/>
      <c r="J653" s="78"/>
    </row>
    <row r="654" spans="2:10" s="26" customFormat="1">
      <c r="B654" s="16" t="s">
        <v>137</v>
      </c>
      <c r="C654" s="76" t="s">
        <v>138</v>
      </c>
      <c r="D654" s="75" t="s">
        <v>1678</v>
      </c>
      <c r="E654" s="75" t="s">
        <v>1679</v>
      </c>
      <c r="F654" s="76" t="s">
        <v>141</v>
      </c>
      <c r="G654" s="77"/>
      <c r="H654" s="78"/>
      <c r="I654" s="78"/>
      <c r="J654" s="78"/>
    </row>
    <row r="655" spans="2:10" s="26" customFormat="1">
      <c r="B655" s="16" t="s">
        <v>137</v>
      </c>
      <c r="C655" s="76" t="s">
        <v>138</v>
      </c>
      <c r="D655" s="75" t="s">
        <v>1680</v>
      </c>
      <c r="E655" s="87" t="s">
        <v>1681</v>
      </c>
      <c r="F655" s="76" t="s">
        <v>141</v>
      </c>
      <c r="G655" s="77"/>
      <c r="H655" s="78"/>
      <c r="I655" s="78"/>
      <c r="J655" s="78"/>
    </row>
    <row r="656" spans="2:10" s="26" customFormat="1">
      <c r="B656" s="16" t="s">
        <v>137</v>
      </c>
      <c r="C656" s="76" t="s">
        <v>138</v>
      </c>
      <c r="D656" s="75" t="s">
        <v>1682</v>
      </c>
      <c r="E656" s="87" t="s">
        <v>1683</v>
      </c>
      <c r="F656" s="76" t="s">
        <v>141</v>
      </c>
      <c r="G656" s="77"/>
      <c r="H656" s="78"/>
      <c r="I656" s="78"/>
      <c r="J656" s="78"/>
    </row>
    <row r="657" spans="2:10" s="26" customFormat="1">
      <c r="B657" s="16" t="s">
        <v>137</v>
      </c>
      <c r="C657" s="76" t="s">
        <v>138</v>
      </c>
      <c r="D657" s="75" t="s">
        <v>1684</v>
      </c>
      <c r="E657" s="87" t="s">
        <v>1685</v>
      </c>
      <c r="F657" s="76" t="s">
        <v>141</v>
      </c>
      <c r="G657" s="77"/>
      <c r="H657" s="78"/>
      <c r="I657" s="78"/>
      <c r="J657" s="78"/>
    </row>
    <row r="658" spans="2:10" s="26" customFormat="1">
      <c r="B658" s="16" t="s">
        <v>137</v>
      </c>
      <c r="C658" s="76" t="s">
        <v>138</v>
      </c>
      <c r="D658" s="75" t="s">
        <v>1686</v>
      </c>
      <c r="E658" s="75" t="s">
        <v>1687</v>
      </c>
      <c r="F658" s="76" t="s">
        <v>141</v>
      </c>
      <c r="G658" s="77"/>
      <c r="H658" s="78"/>
      <c r="I658" s="78"/>
      <c r="J658" s="78"/>
    </row>
    <row r="659" spans="2:10" s="26" customFormat="1">
      <c r="B659" s="16" t="s">
        <v>137</v>
      </c>
      <c r="C659" s="76" t="s">
        <v>138</v>
      </c>
      <c r="D659" s="75" t="s">
        <v>1688</v>
      </c>
      <c r="E659" s="87" t="s">
        <v>1689</v>
      </c>
      <c r="F659" s="76" t="s">
        <v>141</v>
      </c>
      <c r="G659" s="77"/>
      <c r="H659" s="78"/>
      <c r="I659" s="78"/>
      <c r="J659" s="78"/>
    </row>
    <row r="660" spans="2:10" s="26" customFormat="1">
      <c r="B660" s="16" t="s">
        <v>137</v>
      </c>
      <c r="C660" s="76" t="s">
        <v>138</v>
      </c>
      <c r="D660" s="75" t="s">
        <v>1690</v>
      </c>
      <c r="E660" s="87" t="s">
        <v>1691</v>
      </c>
      <c r="F660" s="76" t="s">
        <v>141</v>
      </c>
      <c r="G660" s="77"/>
      <c r="H660" s="78"/>
      <c r="I660" s="78"/>
      <c r="J660" s="78"/>
    </row>
    <row r="661" spans="2:10" s="26" customFormat="1">
      <c r="B661" s="16" t="s">
        <v>137</v>
      </c>
      <c r="C661" s="76" t="s">
        <v>138</v>
      </c>
      <c r="D661" s="75" t="s">
        <v>1692</v>
      </c>
      <c r="E661" s="75" t="s">
        <v>1693</v>
      </c>
      <c r="F661" s="76" t="s">
        <v>141</v>
      </c>
      <c r="G661" s="77"/>
      <c r="H661" s="78"/>
      <c r="I661" s="78"/>
      <c r="J661" s="78"/>
    </row>
    <row r="662" spans="2:10" s="26" customFormat="1">
      <c r="B662" s="16" t="s">
        <v>137</v>
      </c>
      <c r="C662" s="76" t="s">
        <v>138</v>
      </c>
      <c r="D662" s="75" t="s">
        <v>1694</v>
      </c>
      <c r="E662" s="87" t="s">
        <v>1695</v>
      </c>
      <c r="F662" s="76" t="s">
        <v>141</v>
      </c>
      <c r="G662" s="77"/>
      <c r="H662" s="78"/>
      <c r="I662" s="78"/>
      <c r="J662" s="78"/>
    </row>
    <row r="663" spans="2:10" s="26" customFormat="1">
      <c r="B663" s="16" t="s">
        <v>137</v>
      </c>
      <c r="C663" s="76" t="s">
        <v>138</v>
      </c>
      <c r="D663" s="75" t="s">
        <v>1696</v>
      </c>
      <c r="E663" s="87" t="s">
        <v>1697</v>
      </c>
      <c r="F663" s="76" t="s">
        <v>141</v>
      </c>
      <c r="G663" s="77"/>
      <c r="H663" s="78"/>
      <c r="I663" s="78"/>
      <c r="J663" s="78"/>
    </row>
    <row r="664" spans="2:10" s="26" customFormat="1">
      <c r="B664" s="16" t="s">
        <v>137</v>
      </c>
      <c r="C664" s="76" t="s">
        <v>138</v>
      </c>
      <c r="D664" s="75" t="s">
        <v>1698</v>
      </c>
      <c r="E664" s="87" t="s">
        <v>1699</v>
      </c>
      <c r="F664" s="76" t="s">
        <v>141</v>
      </c>
      <c r="G664" s="77"/>
      <c r="H664" s="78"/>
      <c r="I664" s="78"/>
      <c r="J664" s="78"/>
    </row>
    <row r="665" spans="2:10" s="26" customFormat="1">
      <c r="B665" s="16" t="s">
        <v>137</v>
      </c>
      <c r="C665" s="76" t="s">
        <v>138</v>
      </c>
      <c r="D665" s="75" t="s">
        <v>1700</v>
      </c>
      <c r="E665" s="87" t="s">
        <v>1701</v>
      </c>
      <c r="F665" s="76" t="s">
        <v>141</v>
      </c>
      <c r="G665" s="77"/>
      <c r="H665" s="78"/>
      <c r="I665" s="78"/>
      <c r="J665" s="78"/>
    </row>
    <row r="666" spans="2:10" s="26" customFormat="1">
      <c r="B666" s="16" t="s">
        <v>137</v>
      </c>
      <c r="C666" s="76" t="s">
        <v>138</v>
      </c>
      <c r="D666" s="75" t="s">
        <v>1702</v>
      </c>
      <c r="E666" s="87" t="s">
        <v>1703</v>
      </c>
      <c r="F666" s="76" t="s">
        <v>141</v>
      </c>
      <c r="G666" s="77"/>
      <c r="H666" s="78"/>
      <c r="I666" s="78"/>
      <c r="J666" s="78"/>
    </row>
    <row r="667" spans="2:10" s="26" customFormat="1">
      <c r="B667" s="16" t="s">
        <v>137</v>
      </c>
      <c r="C667" s="76" t="s">
        <v>138</v>
      </c>
      <c r="D667" s="75" t="s">
        <v>1704</v>
      </c>
      <c r="E667" s="75" t="s">
        <v>1705</v>
      </c>
      <c r="F667" s="76" t="s">
        <v>141</v>
      </c>
      <c r="G667" s="77"/>
      <c r="H667" s="78"/>
      <c r="I667" s="78"/>
      <c r="J667" s="78"/>
    </row>
    <row r="668" spans="2:10" s="26" customFormat="1">
      <c r="B668" s="16" t="s">
        <v>137</v>
      </c>
      <c r="C668" s="76" t="s">
        <v>138</v>
      </c>
      <c r="D668" s="75" t="s">
        <v>1706</v>
      </c>
      <c r="E668" s="87" t="s">
        <v>1707</v>
      </c>
      <c r="F668" s="76" t="s">
        <v>141</v>
      </c>
      <c r="G668" s="77"/>
      <c r="H668" s="78"/>
      <c r="I668" s="78"/>
      <c r="J668" s="78"/>
    </row>
    <row r="669" spans="2:10" s="26" customFormat="1">
      <c r="B669" s="16" t="s">
        <v>137</v>
      </c>
      <c r="C669" s="76" t="s">
        <v>138</v>
      </c>
      <c r="D669" s="75" t="s">
        <v>1708</v>
      </c>
      <c r="E669" s="87" t="s">
        <v>1709</v>
      </c>
      <c r="F669" s="76" t="s">
        <v>141</v>
      </c>
      <c r="G669" s="77"/>
      <c r="H669" s="78"/>
      <c r="I669" s="78"/>
      <c r="J669" s="78"/>
    </row>
    <row r="670" spans="2:10" s="26" customFormat="1">
      <c r="B670" s="16" t="s">
        <v>137</v>
      </c>
      <c r="C670" s="76" t="s">
        <v>138</v>
      </c>
      <c r="D670" s="75" t="s">
        <v>1710</v>
      </c>
      <c r="E670" s="75" t="s">
        <v>1711</v>
      </c>
      <c r="F670" s="76" t="s">
        <v>141</v>
      </c>
      <c r="G670" s="77"/>
      <c r="H670" s="78"/>
      <c r="I670" s="78"/>
      <c r="J670" s="78"/>
    </row>
    <row r="671" spans="2:10" s="26" customFormat="1">
      <c r="B671" s="16" t="s">
        <v>137</v>
      </c>
      <c r="C671" s="76" t="s">
        <v>138</v>
      </c>
      <c r="D671" s="75" t="s">
        <v>1712</v>
      </c>
      <c r="E671" s="87" t="s">
        <v>1713</v>
      </c>
      <c r="F671" s="76" t="s">
        <v>141</v>
      </c>
      <c r="G671" s="77"/>
      <c r="H671" s="78"/>
      <c r="I671" s="78"/>
      <c r="J671" s="78"/>
    </row>
    <row r="672" spans="2:10" s="26" customFormat="1">
      <c r="B672" s="16" t="s">
        <v>137</v>
      </c>
      <c r="C672" s="76" t="s">
        <v>138</v>
      </c>
      <c r="D672" s="75" t="s">
        <v>1714</v>
      </c>
      <c r="E672" s="87" t="s">
        <v>1715</v>
      </c>
      <c r="F672" s="76" t="s">
        <v>141</v>
      </c>
      <c r="G672" s="77"/>
      <c r="H672" s="78"/>
      <c r="I672" s="78"/>
      <c r="J672" s="78"/>
    </row>
    <row r="673" spans="2:10" s="26" customFormat="1">
      <c r="B673" s="16" t="s">
        <v>137</v>
      </c>
      <c r="C673" s="76" t="s">
        <v>138</v>
      </c>
      <c r="D673" s="75" t="s">
        <v>1716</v>
      </c>
      <c r="E673" s="87" t="s">
        <v>1717</v>
      </c>
      <c r="F673" s="76" t="s">
        <v>141</v>
      </c>
      <c r="G673" s="77"/>
      <c r="H673" s="78"/>
      <c r="I673" s="78"/>
      <c r="J673" s="78"/>
    </row>
    <row r="674" spans="2:10" s="26" customFormat="1">
      <c r="B674" s="16" t="s">
        <v>137</v>
      </c>
      <c r="C674" s="76" t="s">
        <v>138</v>
      </c>
      <c r="D674" s="75" t="s">
        <v>1718</v>
      </c>
      <c r="E674" s="87" t="s">
        <v>1719</v>
      </c>
      <c r="F674" s="76" t="s">
        <v>141</v>
      </c>
      <c r="G674" s="77"/>
      <c r="H674" s="78"/>
      <c r="I674" s="78"/>
      <c r="J674" s="78"/>
    </row>
    <row r="675" spans="2:10" s="26" customFormat="1">
      <c r="B675" s="16" t="s">
        <v>137</v>
      </c>
      <c r="C675" s="76" t="s">
        <v>138</v>
      </c>
      <c r="D675" s="75" t="s">
        <v>1720</v>
      </c>
      <c r="E675" s="87" t="s">
        <v>1721</v>
      </c>
      <c r="F675" s="76" t="s">
        <v>141</v>
      </c>
      <c r="G675" s="77"/>
      <c r="H675" s="78"/>
      <c r="I675" s="78"/>
      <c r="J675" s="78"/>
    </row>
    <row r="676" spans="2:10" s="26" customFormat="1">
      <c r="B676" s="16" t="s">
        <v>137</v>
      </c>
      <c r="C676" s="76" t="s">
        <v>138</v>
      </c>
      <c r="D676" s="75" t="s">
        <v>1722</v>
      </c>
      <c r="E676" s="75" t="s">
        <v>1723</v>
      </c>
      <c r="F676" s="76" t="s">
        <v>141</v>
      </c>
      <c r="G676" s="77"/>
      <c r="H676" s="78"/>
      <c r="I676" s="78"/>
      <c r="J676" s="78"/>
    </row>
    <row r="677" spans="2:10" s="26" customFormat="1">
      <c r="B677" s="16" t="s">
        <v>137</v>
      </c>
      <c r="C677" s="76" t="s">
        <v>138</v>
      </c>
      <c r="D677" s="75" t="s">
        <v>1724</v>
      </c>
      <c r="E677" s="87" t="s">
        <v>1725</v>
      </c>
      <c r="F677" s="76" t="s">
        <v>141</v>
      </c>
      <c r="G677" s="77"/>
      <c r="H677" s="78"/>
      <c r="I677" s="78"/>
      <c r="J677" s="78"/>
    </row>
    <row r="678" spans="2:10" s="26" customFormat="1">
      <c r="B678" s="16" t="s">
        <v>137</v>
      </c>
      <c r="C678" s="76" t="s">
        <v>138</v>
      </c>
      <c r="D678" s="75" t="s">
        <v>1726</v>
      </c>
      <c r="E678" s="87" t="s">
        <v>1727</v>
      </c>
      <c r="F678" s="76" t="s">
        <v>141</v>
      </c>
      <c r="G678" s="77"/>
      <c r="H678" s="78"/>
      <c r="I678" s="78"/>
      <c r="J678" s="78"/>
    </row>
    <row r="679" spans="2:10" s="26" customFormat="1">
      <c r="B679" s="16" t="s">
        <v>137</v>
      </c>
      <c r="C679" s="76" t="s">
        <v>138</v>
      </c>
      <c r="D679" s="75" t="s">
        <v>1728</v>
      </c>
      <c r="E679" s="75" t="s">
        <v>1729</v>
      </c>
      <c r="F679" s="76" t="s">
        <v>141</v>
      </c>
      <c r="G679" s="77"/>
      <c r="H679" s="78"/>
      <c r="I679" s="78"/>
      <c r="J679" s="78"/>
    </row>
    <row r="680" spans="2:10" s="26" customFormat="1">
      <c r="B680" s="16" t="s">
        <v>137</v>
      </c>
      <c r="C680" s="76" t="s">
        <v>138</v>
      </c>
      <c r="D680" s="75" t="s">
        <v>1730</v>
      </c>
      <c r="E680" s="87" t="s">
        <v>1731</v>
      </c>
      <c r="F680" s="76" t="s">
        <v>141</v>
      </c>
      <c r="G680" s="77"/>
      <c r="H680" s="78"/>
      <c r="I680" s="78"/>
      <c r="J680" s="78"/>
    </row>
    <row r="681" spans="2:10" s="26" customFormat="1">
      <c r="B681" s="16" t="s">
        <v>137</v>
      </c>
      <c r="C681" s="76" t="s">
        <v>138</v>
      </c>
      <c r="D681" s="75" t="s">
        <v>1732</v>
      </c>
      <c r="E681" s="87" t="s">
        <v>1733</v>
      </c>
      <c r="F681" s="76" t="s">
        <v>141</v>
      </c>
      <c r="G681" s="77"/>
      <c r="H681" s="78"/>
      <c r="I681" s="78"/>
      <c r="J681" s="78"/>
    </row>
    <row r="682" spans="2:10" s="26" customFormat="1">
      <c r="B682" s="16" t="s">
        <v>137</v>
      </c>
      <c r="C682" s="76" t="s">
        <v>138</v>
      </c>
      <c r="D682" s="75" t="s">
        <v>1734</v>
      </c>
      <c r="E682" s="87" t="s">
        <v>1735</v>
      </c>
      <c r="F682" s="76" t="s">
        <v>141</v>
      </c>
      <c r="G682" s="77"/>
      <c r="H682" s="78"/>
      <c r="I682" s="78"/>
      <c r="J682" s="78"/>
    </row>
    <row r="683" spans="2:10" s="26" customFormat="1">
      <c r="B683" s="16" t="s">
        <v>137</v>
      </c>
      <c r="C683" s="76" t="s">
        <v>138</v>
      </c>
      <c r="D683" s="75" t="s">
        <v>1736</v>
      </c>
      <c r="E683" s="87" t="s">
        <v>1737</v>
      </c>
      <c r="F683" s="76" t="s">
        <v>141</v>
      </c>
      <c r="G683" s="77"/>
      <c r="H683" s="78"/>
      <c r="I683" s="78"/>
      <c r="J683" s="78"/>
    </row>
    <row r="684" spans="2:10" s="26" customFormat="1">
      <c r="B684" s="16" t="s">
        <v>137</v>
      </c>
      <c r="C684" s="76" t="s">
        <v>138</v>
      </c>
      <c r="D684" s="75" t="s">
        <v>1738</v>
      </c>
      <c r="E684" s="87" t="s">
        <v>1739</v>
      </c>
      <c r="F684" s="76" t="s">
        <v>141</v>
      </c>
      <c r="G684" s="77"/>
      <c r="H684" s="78"/>
      <c r="I684" s="78"/>
      <c r="J684" s="78"/>
    </row>
    <row r="685" spans="2:10" s="26" customFormat="1">
      <c r="B685" s="16" t="s">
        <v>137</v>
      </c>
      <c r="C685" s="76" t="s">
        <v>138</v>
      </c>
      <c r="D685" s="75" t="s">
        <v>1740</v>
      </c>
      <c r="E685" s="75" t="s">
        <v>1741</v>
      </c>
      <c r="F685" s="76" t="s">
        <v>141</v>
      </c>
      <c r="G685" s="77"/>
      <c r="H685" s="78"/>
      <c r="I685" s="78"/>
      <c r="J685" s="78"/>
    </row>
    <row r="686" spans="2:10" s="26" customFormat="1">
      <c r="B686" s="16" t="s">
        <v>137</v>
      </c>
      <c r="C686" s="76" t="s">
        <v>138</v>
      </c>
      <c r="D686" s="75" t="s">
        <v>1742</v>
      </c>
      <c r="E686" s="87" t="s">
        <v>1743</v>
      </c>
      <c r="F686" s="76" t="s">
        <v>141</v>
      </c>
      <c r="G686" s="77"/>
      <c r="H686" s="78"/>
      <c r="I686" s="78"/>
      <c r="J686" s="78"/>
    </row>
    <row r="687" spans="2:10" s="26" customFormat="1">
      <c r="B687" s="16" t="s">
        <v>137</v>
      </c>
      <c r="C687" s="76" t="s">
        <v>138</v>
      </c>
      <c r="D687" s="75" t="s">
        <v>1744</v>
      </c>
      <c r="E687" s="87" t="s">
        <v>1745</v>
      </c>
      <c r="F687" s="76" t="s">
        <v>141</v>
      </c>
      <c r="G687" s="77"/>
      <c r="H687" s="78"/>
      <c r="I687" s="78"/>
      <c r="J687" s="78"/>
    </row>
    <row r="688" spans="2:10" s="26" customFormat="1">
      <c r="B688" s="16" t="s">
        <v>137</v>
      </c>
      <c r="C688" s="76" t="s">
        <v>138</v>
      </c>
      <c r="D688" s="75" t="s">
        <v>1746</v>
      </c>
      <c r="E688" s="75" t="s">
        <v>1747</v>
      </c>
      <c r="F688" s="76" t="s">
        <v>141</v>
      </c>
      <c r="G688" s="77"/>
      <c r="H688" s="78"/>
      <c r="I688" s="78"/>
      <c r="J688" s="78"/>
    </row>
    <row r="689" spans="2:10" s="26" customFormat="1">
      <c r="B689" s="16" t="s">
        <v>137</v>
      </c>
      <c r="C689" s="76" t="s">
        <v>138</v>
      </c>
      <c r="D689" s="75" t="s">
        <v>1748</v>
      </c>
      <c r="E689" s="87" t="s">
        <v>1749</v>
      </c>
      <c r="F689" s="76" t="s">
        <v>141</v>
      </c>
      <c r="G689" s="77"/>
      <c r="H689" s="78"/>
      <c r="I689" s="78"/>
      <c r="J689" s="78"/>
    </row>
    <row r="690" spans="2:10" s="26" customFormat="1">
      <c r="B690" s="16" t="s">
        <v>137</v>
      </c>
      <c r="C690" s="76" t="s">
        <v>138</v>
      </c>
      <c r="D690" s="75" t="s">
        <v>1750</v>
      </c>
      <c r="E690" s="87" t="s">
        <v>1751</v>
      </c>
      <c r="F690" s="76" t="s">
        <v>141</v>
      </c>
      <c r="G690" s="77"/>
      <c r="H690" s="78"/>
      <c r="I690" s="78"/>
      <c r="J690" s="78"/>
    </row>
    <row r="691" spans="2:10" s="26" customFormat="1">
      <c r="B691" s="16" t="s">
        <v>137</v>
      </c>
      <c r="C691" s="76" t="s">
        <v>138</v>
      </c>
      <c r="D691" s="75" t="s">
        <v>1752</v>
      </c>
      <c r="E691" s="87" t="s">
        <v>1753</v>
      </c>
      <c r="F691" s="76" t="s">
        <v>141</v>
      </c>
      <c r="G691" s="77"/>
      <c r="H691" s="78"/>
      <c r="I691" s="78"/>
      <c r="J691" s="78"/>
    </row>
    <row r="692" spans="2:10" s="26" customFormat="1">
      <c r="B692" s="16" t="s">
        <v>137</v>
      </c>
      <c r="C692" s="76" t="s">
        <v>138</v>
      </c>
      <c r="D692" s="75" t="s">
        <v>1754</v>
      </c>
      <c r="E692" s="87" t="s">
        <v>1755</v>
      </c>
      <c r="F692" s="76" t="s">
        <v>141</v>
      </c>
      <c r="G692" s="77"/>
      <c r="H692" s="78"/>
      <c r="I692" s="78"/>
      <c r="J692" s="78"/>
    </row>
    <row r="693" spans="2:10" s="26" customFormat="1">
      <c r="B693" s="16" t="s">
        <v>137</v>
      </c>
      <c r="C693" s="76" t="s">
        <v>138</v>
      </c>
      <c r="D693" s="75" t="s">
        <v>1756</v>
      </c>
      <c r="E693" s="75" t="s">
        <v>1757</v>
      </c>
      <c r="F693" s="76" t="s">
        <v>141</v>
      </c>
      <c r="G693" s="77"/>
      <c r="H693" s="78"/>
      <c r="I693" s="78"/>
      <c r="J693" s="78"/>
    </row>
    <row r="694" spans="2:10" s="26" customFormat="1">
      <c r="B694" s="16" t="s">
        <v>137</v>
      </c>
      <c r="C694" s="76" t="s">
        <v>138</v>
      </c>
      <c r="D694" s="75" t="s">
        <v>1758</v>
      </c>
      <c r="E694" s="87" t="s">
        <v>1759</v>
      </c>
      <c r="F694" s="76" t="s">
        <v>141</v>
      </c>
      <c r="G694" s="77"/>
      <c r="H694" s="78"/>
      <c r="I694" s="78"/>
      <c r="J694" s="78"/>
    </row>
    <row r="695" spans="2:10" s="26" customFormat="1">
      <c r="B695" s="16" t="s">
        <v>137</v>
      </c>
      <c r="C695" s="76" t="s">
        <v>138</v>
      </c>
      <c r="D695" s="75" t="s">
        <v>1760</v>
      </c>
      <c r="E695" s="87" t="s">
        <v>1761</v>
      </c>
      <c r="F695" s="76" t="s">
        <v>141</v>
      </c>
      <c r="G695" s="77"/>
      <c r="H695" s="78"/>
      <c r="I695" s="78"/>
      <c r="J695" s="78"/>
    </row>
    <row r="696" spans="2:10" s="26" customFormat="1">
      <c r="B696" s="16" t="s">
        <v>137</v>
      </c>
      <c r="C696" s="76" t="s">
        <v>138</v>
      </c>
      <c r="D696" s="75" t="s">
        <v>1762</v>
      </c>
      <c r="E696" s="75" t="s">
        <v>1763</v>
      </c>
      <c r="F696" s="76" t="s">
        <v>141</v>
      </c>
      <c r="G696" s="77"/>
      <c r="H696" s="78"/>
      <c r="I696" s="78"/>
      <c r="J696" s="78"/>
    </row>
    <row r="697" spans="2:10" s="26" customFormat="1">
      <c r="B697" s="16" t="s">
        <v>137</v>
      </c>
      <c r="C697" s="76" t="s">
        <v>138</v>
      </c>
      <c r="D697" s="75" t="s">
        <v>1764</v>
      </c>
      <c r="E697" s="87" t="s">
        <v>1765</v>
      </c>
      <c r="F697" s="76" t="s">
        <v>141</v>
      </c>
      <c r="G697" s="77"/>
      <c r="H697" s="78"/>
      <c r="I697" s="78"/>
      <c r="J697" s="78"/>
    </row>
    <row r="698" spans="2:10" s="26" customFormat="1">
      <c r="B698" s="16" t="s">
        <v>137</v>
      </c>
      <c r="C698" s="76" t="s">
        <v>138</v>
      </c>
      <c r="D698" s="75" t="s">
        <v>1766</v>
      </c>
      <c r="E698" s="87" t="s">
        <v>1767</v>
      </c>
      <c r="F698" s="76" t="s">
        <v>141</v>
      </c>
      <c r="G698" s="77"/>
      <c r="H698" s="78"/>
      <c r="I698" s="78"/>
      <c r="J698" s="78"/>
    </row>
    <row r="699" spans="2:10" s="26" customFormat="1">
      <c r="B699" s="16" t="s">
        <v>137</v>
      </c>
      <c r="C699" s="76" t="s">
        <v>138</v>
      </c>
      <c r="D699" s="75" t="s">
        <v>1768</v>
      </c>
      <c r="E699" s="87" t="s">
        <v>1769</v>
      </c>
      <c r="F699" s="76" t="s">
        <v>141</v>
      </c>
      <c r="G699" s="77"/>
      <c r="H699" s="78"/>
      <c r="I699" s="78"/>
      <c r="J699" s="78"/>
    </row>
    <row r="700" spans="2:10" s="26" customFormat="1">
      <c r="B700" s="16" t="s">
        <v>137</v>
      </c>
      <c r="C700" s="76" t="s">
        <v>138</v>
      </c>
      <c r="D700" s="75" t="s">
        <v>1770</v>
      </c>
      <c r="E700" s="87" t="s">
        <v>1771</v>
      </c>
      <c r="F700" s="76" t="s">
        <v>141</v>
      </c>
      <c r="G700" s="77"/>
      <c r="H700" s="78"/>
      <c r="I700" s="78"/>
      <c r="J700" s="78"/>
    </row>
    <row r="701" spans="2:10" s="26" customFormat="1">
      <c r="B701" s="16" t="s">
        <v>137</v>
      </c>
      <c r="C701" s="76" t="s">
        <v>138</v>
      </c>
      <c r="D701" s="75" t="s">
        <v>1772</v>
      </c>
      <c r="E701" s="75" t="s">
        <v>1773</v>
      </c>
      <c r="F701" s="76" t="s">
        <v>141</v>
      </c>
      <c r="G701" s="77"/>
      <c r="H701" s="78"/>
      <c r="I701" s="78"/>
      <c r="J701" s="78"/>
    </row>
    <row r="702" spans="2:10" s="26" customFormat="1">
      <c r="B702" s="16" t="s">
        <v>137</v>
      </c>
      <c r="C702" s="76" t="s">
        <v>138</v>
      </c>
      <c r="D702" s="75" t="s">
        <v>1774</v>
      </c>
      <c r="E702" s="87" t="s">
        <v>1775</v>
      </c>
      <c r="F702" s="76" t="s">
        <v>141</v>
      </c>
      <c r="G702" s="77"/>
      <c r="H702" s="78"/>
      <c r="I702" s="78"/>
      <c r="J702" s="78"/>
    </row>
    <row r="703" spans="2:10" s="26" customFormat="1">
      <c r="B703" s="16" t="s">
        <v>137</v>
      </c>
      <c r="C703" s="76" t="s">
        <v>138</v>
      </c>
      <c r="D703" s="75" t="s">
        <v>1776</v>
      </c>
      <c r="E703" s="87" t="s">
        <v>1777</v>
      </c>
      <c r="F703" s="76" t="s">
        <v>141</v>
      </c>
      <c r="G703" s="77"/>
      <c r="H703" s="78"/>
      <c r="I703" s="78"/>
      <c r="J703" s="78"/>
    </row>
    <row r="704" spans="2:10" s="26" customFormat="1">
      <c r="B704" s="16" t="s">
        <v>137</v>
      </c>
      <c r="C704" s="76" t="s">
        <v>138</v>
      </c>
      <c r="D704" s="75" t="s">
        <v>1778</v>
      </c>
      <c r="E704" s="75" t="s">
        <v>1779</v>
      </c>
      <c r="F704" s="76" t="s">
        <v>141</v>
      </c>
      <c r="G704" s="77"/>
      <c r="H704" s="78"/>
      <c r="I704" s="78"/>
      <c r="J704" s="78"/>
    </row>
    <row r="705" spans="2:10" s="26" customFormat="1">
      <c r="B705" s="16" t="s">
        <v>137</v>
      </c>
      <c r="C705" s="76" t="s">
        <v>138</v>
      </c>
      <c r="D705" s="75" t="s">
        <v>1780</v>
      </c>
      <c r="E705" s="87" t="s">
        <v>1781</v>
      </c>
      <c r="F705" s="76" t="s">
        <v>141</v>
      </c>
      <c r="G705" s="77"/>
      <c r="H705" s="78"/>
      <c r="I705" s="78"/>
      <c r="J705" s="78"/>
    </row>
    <row r="706" spans="2:10" s="26" customFormat="1">
      <c r="B706" s="16" t="s">
        <v>137</v>
      </c>
      <c r="C706" s="76" t="s">
        <v>138</v>
      </c>
      <c r="D706" s="75" t="s">
        <v>1782</v>
      </c>
      <c r="E706" s="87" t="s">
        <v>1783</v>
      </c>
      <c r="F706" s="76" t="s">
        <v>141</v>
      </c>
      <c r="G706" s="77"/>
      <c r="H706" s="78"/>
      <c r="I706" s="78"/>
      <c r="J706" s="78"/>
    </row>
    <row r="707" spans="2:10" s="26" customFormat="1">
      <c r="B707" s="16" t="s">
        <v>137</v>
      </c>
      <c r="C707" s="76" t="s">
        <v>138</v>
      </c>
      <c r="D707" s="75" t="s">
        <v>1784</v>
      </c>
      <c r="E707" s="87" t="s">
        <v>1785</v>
      </c>
      <c r="F707" s="76" t="s">
        <v>141</v>
      </c>
      <c r="G707" s="77"/>
      <c r="H707" s="78"/>
      <c r="I707" s="78"/>
      <c r="J707" s="78"/>
    </row>
    <row r="708" spans="2:10" s="26" customFormat="1">
      <c r="B708" s="16" t="s">
        <v>137</v>
      </c>
      <c r="C708" s="76" t="s">
        <v>138</v>
      </c>
      <c r="D708" s="75" t="s">
        <v>1786</v>
      </c>
      <c r="E708" s="87" t="s">
        <v>1787</v>
      </c>
      <c r="F708" s="76" t="s">
        <v>141</v>
      </c>
      <c r="G708" s="77"/>
      <c r="H708" s="78"/>
      <c r="I708" s="78"/>
      <c r="J708" s="78"/>
    </row>
    <row r="709" spans="2:10" s="26" customFormat="1">
      <c r="B709" s="16" t="s">
        <v>137</v>
      </c>
      <c r="C709" s="76" t="s">
        <v>138</v>
      </c>
      <c r="D709" s="75" t="s">
        <v>1788</v>
      </c>
      <c r="E709" s="87" t="s">
        <v>1789</v>
      </c>
      <c r="F709" s="76" t="s">
        <v>141</v>
      </c>
      <c r="G709" s="77"/>
      <c r="H709" s="78"/>
      <c r="I709" s="78"/>
      <c r="J709" s="78"/>
    </row>
    <row r="710" spans="2:10" s="26" customFormat="1">
      <c r="B710" s="16" t="s">
        <v>137</v>
      </c>
      <c r="C710" s="76" t="s">
        <v>138</v>
      </c>
      <c r="D710" s="75" t="s">
        <v>1790</v>
      </c>
      <c r="E710" s="75" t="s">
        <v>1791</v>
      </c>
      <c r="F710" s="76" t="s">
        <v>141</v>
      </c>
      <c r="G710" s="77"/>
      <c r="H710" s="78"/>
      <c r="I710" s="78"/>
      <c r="J710" s="78"/>
    </row>
    <row r="711" spans="2:10" s="26" customFormat="1">
      <c r="B711" s="16" t="s">
        <v>137</v>
      </c>
      <c r="C711" s="76" t="s">
        <v>138</v>
      </c>
      <c r="D711" s="75" t="s">
        <v>1792</v>
      </c>
      <c r="E711" s="87" t="s">
        <v>1793</v>
      </c>
      <c r="F711" s="76" t="s">
        <v>141</v>
      </c>
      <c r="G711" s="77"/>
      <c r="H711" s="78"/>
      <c r="I711" s="78"/>
      <c r="J711" s="78"/>
    </row>
    <row r="712" spans="2:10" s="26" customFormat="1">
      <c r="B712" s="16" t="s">
        <v>137</v>
      </c>
      <c r="C712" s="76" t="s">
        <v>138</v>
      </c>
      <c r="D712" s="75" t="s">
        <v>1794</v>
      </c>
      <c r="E712" s="87" t="s">
        <v>1795</v>
      </c>
      <c r="F712" s="76" t="s">
        <v>141</v>
      </c>
      <c r="G712" s="77"/>
      <c r="H712" s="78"/>
      <c r="I712" s="78"/>
      <c r="J712" s="78"/>
    </row>
    <row r="713" spans="2:10" s="26" customFormat="1">
      <c r="B713" s="16" t="s">
        <v>137</v>
      </c>
      <c r="C713" s="76" t="s">
        <v>138</v>
      </c>
      <c r="D713" s="75" t="s">
        <v>1796</v>
      </c>
      <c r="E713" s="75" t="s">
        <v>1797</v>
      </c>
      <c r="F713" s="76" t="s">
        <v>141</v>
      </c>
      <c r="G713" s="77"/>
      <c r="H713" s="78"/>
      <c r="I713" s="78"/>
      <c r="J713" s="78"/>
    </row>
    <row r="714" spans="2:10" s="26" customFormat="1">
      <c r="B714" s="16" t="s">
        <v>137</v>
      </c>
      <c r="C714" s="76" t="s">
        <v>138</v>
      </c>
      <c r="D714" s="75" t="s">
        <v>1798</v>
      </c>
      <c r="E714" s="87" t="s">
        <v>1799</v>
      </c>
      <c r="F714" s="76" t="s">
        <v>141</v>
      </c>
      <c r="G714" s="77"/>
      <c r="H714" s="78"/>
      <c r="I714" s="78"/>
      <c r="J714" s="78"/>
    </row>
    <row r="715" spans="2:10" s="26" customFormat="1">
      <c r="B715" s="16" t="s">
        <v>137</v>
      </c>
      <c r="C715" s="76" t="s">
        <v>138</v>
      </c>
      <c r="D715" s="75" t="s">
        <v>1800</v>
      </c>
      <c r="E715" s="87" t="s">
        <v>1801</v>
      </c>
      <c r="F715" s="76" t="s">
        <v>141</v>
      </c>
      <c r="G715" s="77"/>
      <c r="H715" s="78"/>
      <c r="I715" s="78"/>
      <c r="J715" s="78"/>
    </row>
    <row r="716" spans="2:10" s="26" customFormat="1">
      <c r="B716" s="16" t="s">
        <v>137</v>
      </c>
      <c r="C716" s="76" t="s">
        <v>138</v>
      </c>
      <c r="D716" s="75" t="s">
        <v>1802</v>
      </c>
      <c r="E716" s="87" t="s">
        <v>1803</v>
      </c>
      <c r="F716" s="76" t="s">
        <v>141</v>
      </c>
      <c r="G716" s="77"/>
      <c r="H716" s="78"/>
      <c r="I716" s="78"/>
      <c r="J716" s="78"/>
    </row>
    <row r="717" spans="2:10" s="26" customFormat="1">
      <c r="B717" s="16" t="s">
        <v>137</v>
      </c>
      <c r="C717" s="76" t="s">
        <v>138</v>
      </c>
      <c r="D717" s="75" t="s">
        <v>1804</v>
      </c>
      <c r="E717" s="87" t="s">
        <v>1805</v>
      </c>
      <c r="F717" s="76" t="s">
        <v>141</v>
      </c>
      <c r="G717" s="77"/>
      <c r="H717" s="78"/>
      <c r="I717" s="78"/>
      <c r="J717" s="78"/>
    </row>
    <row r="718" spans="2:10" s="26" customFormat="1">
      <c r="B718" s="16" t="s">
        <v>137</v>
      </c>
      <c r="C718" s="76" t="s">
        <v>138</v>
      </c>
      <c r="D718" s="75" t="s">
        <v>1806</v>
      </c>
      <c r="E718" s="87" t="s">
        <v>1807</v>
      </c>
      <c r="F718" s="76" t="s">
        <v>141</v>
      </c>
      <c r="G718" s="77"/>
      <c r="H718" s="78"/>
      <c r="I718" s="78"/>
      <c r="J718" s="78"/>
    </row>
    <row r="719" spans="2:10" s="26" customFormat="1">
      <c r="B719" s="16" t="s">
        <v>137</v>
      </c>
      <c r="C719" s="75" t="s">
        <v>138</v>
      </c>
      <c r="D719" s="75" t="s">
        <v>1808</v>
      </c>
      <c r="E719" s="75" t="s">
        <v>1809</v>
      </c>
      <c r="F719" s="76" t="s">
        <v>141</v>
      </c>
      <c r="G719" s="77"/>
      <c r="H719" s="78"/>
      <c r="I719" s="78"/>
      <c r="J719" s="78"/>
    </row>
    <row r="720" spans="2:10" s="26" customFormat="1">
      <c r="B720" s="16" t="s">
        <v>137</v>
      </c>
      <c r="C720" s="76" t="s">
        <v>138</v>
      </c>
      <c r="D720" s="75" t="s">
        <v>1810</v>
      </c>
      <c r="E720" s="87" t="s">
        <v>1811</v>
      </c>
      <c r="F720" s="76" t="s">
        <v>141</v>
      </c>
      <c r="G720" s="77"/>
      <c r="H720" s="78"/>
      <c r="I720" s="78"/>
      <c r="J720" s="78"/>
    </row>
    <row r="721" spans="2:10" s="26" customFormat="1">
      <c r="B721" s="16" t="s">
        <v>137</v>
      </c>
      <c r="C721" s="76" t="s">
        <v>138</v>
      </c>
      <c r="D721" s="75" t="s">
        <v>1812</v>
      </c>
      <c r="E721" s="87" t="s">
        <v>1813</v>
      </c>
      <c r="F721" s="76" t="s">
        <v>141</v>
      </c>
      <c r="G721" s="77"/>
      <c r="H721" s="78"/>
      <c r="I721" s="78"/>
      <c r="J721" s="78"/>
    </row>
    <row r="722" spans="2:10" s="26" customFormat="1">
      <c r="B722" s="16" t="s">
        <v>137</v>
      </c>
      <c r="C722" s="75" t="s">
        <v>138</v>
      </c>
      <c r="D722" s="75" t="s">
        <v>1814</v>
      </c>
      <c r="E722" s="75" t="s">
        <v>1815</v>
      </c>
      <c r="F722" s="76" t="s">
        <v>141</v>
      </c>
      <c r="G722" s="77"/>
      <c r="H722" s="78"/>
      <c r="I722" s="78"/>
      <c r="J722" s="78"/>
    </row>
    <row r="723" spans="2:10" s="26" customFormat="1">
      <c r="B723" s="16" t="s">
        <v>137</v>
      </c>
      <c r="C723" s="76" t="s">
        <v>138</v>
      </c>
      <c r="D723" s="75" t="s">
        <v>1816</v>
      </c>
      <c r="E723" s="87" t="s">
        <v>1817</v>
      </c>
      <c r="F723" s="76" t="s">
        <v>141</v>
      </c>
      <c r="G723" s="77"/>
      <c r="H723" s="78"/>
      <c r="I723" s="78"/>
      <c r="J723" s="78"/>
    </row>
    <row r="724" spans="2:10" s="26" customFormat="1">
      <c r="B724" s="16" t="s">
        <v>137</v>
      </c>
      <c r="C724" s="76" t="s">
        <v>138</v>
      </c>
      <c r="D724" s="75" t="s">
        <v>1818</v>
      </c>
      <c r="E724" s="87" t="s">
        <v>1819</v>
      </c>
      <c r="F724" s="76" t="s">
        <v>141</v>
      </c>
      <c r="G724" s="77"/>
      <c r="H724" s="78"/>
      <c r="I724" s="78"/>
      <c r="J724" s="78"/>
    </row>
    <row r="725" spans="2:10" s="26" customFormat="1">
      <c r="B725" s="16" t="s">
        <v>137</v>
      </c>
      <c r="C725" s="76" t="s">
        <v>138</v>
      </c>
      <c r="D725" s="87" t="s">
        <v>1820</v>
      </c>
      <c r="E725" s="87" t="s">
        <v>1821</v>
      </c>
      <c r="F725" s="76" t="s">
        <v>141</v>
      </c>
      <c r="G725" s="77"/>
      <c r="H725" s="78"/>
      <c r="I725" s="78"/>
      <c r="J725" s="78"/>
    </row>
    <row r="726" spans="2:10" s="26" customFormat="1">
      <c r="B726" s="16" t="s">
        <v>137</v>
      </c>
      <c r="C726" s="76" t="s">
        <v>138</v>
      </c>
      <c r="D726" s="87" t="s">
        <v>1822</v>
      </c>
      <c r="E726" s="87" t="s">
        <v>1823</v>
      </c>
      <c r="F726" s="76" t="s">
        <v>141</v>
      </c>
      <c r="G726" s="77"/>
      <c r="H726" s="78"/>
      <c r="I726" s="78"/>
      <c r="J726" s="78"/>
    </row>
    <row r="727" spans="2:10">
      <c r="B727" s="16" t="s">
        <v>137</v>
      </c>
      <c r="C727" s="76" t="s">
        <v>138</v>
      </c>
      <c r="D727" s="75" t="s">
        <v>1824</v>
      </c>
      <c r="E727" s="75" t="s">
        <v>1825</v>
      </c>
      <c r="F727" s="76" t="s">
        <v>141</v>
      </c>
      <c r="G727" s="77"/>
      <c r="H727" s="78"/>
      <c r="I727" s="78"/>
      <c r="J727" s="78"/>
    </row>
    <row r="728" spans="2:10">
      <c r="B728" s="16" t="s">
        <v>137</v>
      </c>
      <c r="C728" s="76" t="s">
        <v>138</v>
      </c>
      <c r="D728" s="87" t="s">
        <v>1826</v>
      </c>
      <c r="E728" s="87" t="s">
        <v>1827</v>
      </c>
      <c r="F728" s="76" t="s">
        <v>141</v>
      </c>
      <c r="G728" s="77"/>
      <c r="H728" s="78"/>
      <c r="I728" s="78"/>
      <c r="J728" s="78"/>
    </row>
    <row r="729" spans="2:10">
      <c r="B729" s="16" t="s">
        <v>137</v>
      </c>
      <c r="C729" s="76" t="s">
        <v>138</v>
      </c>
      <c r="D729" s="87" t="s">
        <v>1828</v>
      </c>
      <c r="E729" s="87" t="s">
        <v>1829</v>
      </c>
      <c r="F729" s="76" t="s">
        <v>141</v>
      </c>
      <c r="G729" s="77"/>
      <c r="H729" s="78"/>
      <c r="I729" s="78"/>
      <c r="J729" s="78"/>
    </row>
    <row r="730" spans="2:10">
      <c r="B730" s="16" t="s">
        <v>137</v>
      </c>
      <c r="C730" s="76" t="s">
        <v>138</v>
      </c>
      <c r="D730" s="87" t="s">
        <v>1830</v>
      </c>
      <c r="E730" s="87" t="s">
        <v>1831</v>
      </c>
      <c r="F730" s="76" t="s">
        <v>141</v>
      </c>
      <c r="G730" s="77"/>
      <c r="H730" s="78"/>
      <c r="I730" s="78"/>
      <c r="J730" s="78"/>
    </row>
    <row r="731" spans="2:10">
      <c r="B731" s="16" t="s">
        <v>137</v>
      </c>
      <c r="C731" s="76" t="s">
        <v>138</v>
      </c>
      <c r="D731" s="75" t="s">
        <v>1832</v>
      </c>
      <c r="E731" s="75" t="s">
        <v>1833</v>
      </c>
      <c r="F731" s="76" t="s">
        <v>141</v>
      </c>
      <c r="G731" s="77"/>
      <c r="H731" s="78"/>
      <c r="I731" s="78"/>
      <c r="J731" s="78"/>
    </row>
    <row r="732" spans="2:10">
      <c r="B732" s="16" t="s">
        <v>137</v>
      </c>
      <c r="C732" s="76" t="s">
        <v>138</v>
      </c>
      <c r="D732" s="75" t="s">
        <v>1834</v>
      </c>
      <c r="E732" s="87" t="s">
        <v>1835</v>
      </c>
      <c r="F732" s="76" t="s">
        <v>141</v>
      </c>
      <c r="G732" s="77"/>
      <c r="H732" s="78"/>
      <c r="I732" s="78"/>
      <c r="J732" s="78"/>
    </row>
    <row r="733" spans="2:10">
      <c r="B733" s="16" t="s">
        <v>137</v>
      </c>
      <c r="C733" s="76" t="s">
        <v>138</v>
      </c>
      <c r="D733" s="87" t="s">
        <v>1836</v>
      </c>
      <c r="E733" s="87" t="s">
        <v>1837</v>
      </c>
      <c r="F733" s="76" t="s">
        <v>141</v>
      </c>
      <c r="G733" s="77"/>
      <c r="H733" s="78"/>
      <c r="I733" s="78"/>
      <c r="J733" s="78"/>
    </row>
    <row r="734" spans="2:10">
      <c r="B734" s="16" t="s">
        <v>137</v>
      </c>
      <c r="C734" s="76" t="s">
        <v>138</v>
      </c>
      <c r="D734" s="87" t="s">
        <v>1838</v>
      </c>
      <c r="E734" s="87" t="s">
        <v>1839</v>
      </c>
      <c r="F734" s="76" t="s">
        <v>141</v>
      </c>
      <c r="G734" s="77"/>
      <c r="H734" s="78"/>
      <c r="I734" s="78"/>
      <c r="J734" s="78"/>
    </row>
    <row r="735" spans="2:10">
      <c r="B735" s="16" t="s">
        <v>137</v>
      </c>
      <c r="C735" s="76" t="s">
        <v>138</v>
      </c>
      <c r="D735" s="75" t="s">
        <v>1840</v>
      </c>
      <c r="E735" s="87" t="s">
        <v>1841</v>
      </c>
      <c r="F735" s="76" t="s">
        <v>141</v>
      </c>
      <c r="G735" s="77"/>
      <c r="H735" s="78"/>
      <c r="I735" s="78"/>
      <c r="J735" s="78"/>
    </row>
    <row r="736" spans="2:10">
      <c r="B736" s="16" t="s">
        <v>137</v>
      </c>
      <c r="C736" s="76" t="s">
        <v>138</v>
      </c>
      <c r="D736" s="75" t="s">
        <v>1842</v>
      </c>
      <c r="E736" s="75" t="s">
        <v>1843</v>
      </c>
      <c r="F736" s="76" t="s">
        <v>141</v>
      </c>
      <c r="G736" s="77"/>
      <c r="H736" s="78"/>
      <c r="I736" s="78"/>
      <c r="J736" s="78"/>
    </row>
    <row r="737" spans="2:10">
      <c r="B737" s="16" t="s">
        <v>137</v>
      </c>
      <c r="C737" s="76" t="s">
        <v>138</v>
      </c>
      <c r="D737" s="75" t="s">
        <v>1844</v>
      </c>
      <c r="E737" s="75" t="s">
        <v>1845</v>
      </c>
      <c r="F737" s="76" t="s">
        <v>141</v>
      </c>
      <c r="G737" s="77"/>
      <c r="H737" s="78"/>
      <c r="I737" s="78"/>
      <c r="J737" s="78"/>
    </row>
    <row r="738" spans="2:10">
      <c r="B738" s="16" t="s">
        <v>137</v>
      </c>
      <c r="C738" s="76" t="s">
        <v>138</v>
      </c>
      <c r="D738" s="87" t="s">
        <v>1846</v>
      </c>
      <c r="E738" s="87" t="s">
        <v>1847</v>
      </c>
      <c r="F738" s="76" t="s">
        <v>141</v>
      </c>
      <c r="G738" s="77"/>
      <c r="H738" s="78"/>
      <c r="I738" s="78"/>
      <c r="J738" s="78"/>
    </row>
    <row r="739" spans="2:10">
      <c r="B739" s="16" t="s">
        <v>137</v>
      </c>
      <c r="C739" s="76" t="s">
        <v>138</v>
      </c>
      <c r="D739" s="87" t="s">
        <v>1848</v>
      </c>
      <c r="E739" s="87" t="s">
        <v>1849</v>
      </c>
      <c r="F739" s="76" t="s">
        <v>141</v>
      </c>
      <c r="G739" s="77"/>
      <c r="H739" s="78"/>
      <c r="I739" s="78"/>
      <c r="J739" s="78"/>
    </row>
    <row r="740" spans="2:10">
      <c r="B740" s="16" t="s">
        <v>137</v>
      </c>
      <c r="C740" s="76" t="s">
        <v>138</v>
      </c>
      <c r="D740" s="87" t="s">
        <v>1850</v>
      </c>
      <c r="E740" s="87" t="s">
        <v>1851</v>
      </c>
      <c r="F740" s="76" t="s">
        <v>141</v>
      </c>
      <c r="G740" s="77"/>
      <c r="H740" s="78"/>
      <c r="I740" s="78"/>
      <c r="J740" s="78"/>
    </row>
    <row r="741" spans="2:10">
      <c r="B741" s="16" t="s">
        <v>137</v>
      </c>
      <c r="C741" s="76" t="s">
        <v>138</v>
      </c>
      <c r="D741" s="75" t="s">
        <v>1852</v>
      </c>
      <c r="E741" s="75" t="s">
        <v>1853</v>
      </c>
      <c r="F741" s="76" t="s">
        <v>141</v>
      </c>
      <c r="G741" s="77"/>
      <c r="H741" s="78"/>
      <c r="I741" s="78"/>
      <c r="J741" s="78"/>
    </row>
    <row r="742" spans="2:10">
      <c r="B742" s="16" t="s">
        <v>137</v>
      </c>
      <c r="C742" s="76" t="s">
        <v>138</v>
      </c>
      <c r="D742" s="75" t="s">
        <v>1854</v>
      </c>
      <c r="E742" s="87" t="s">
        <v>1855</v>
      </c>
      <c r="F742" s="76" t="s">
        <v>141</v>
      </c>
      <c r="G742" s="77"/>
      <c r="H742" s="78"/>
      <c r="I742" s="78"/>
      <c r="J742" s="78"/>
    </row>
    <row r="743" spans="2:10">
      <c r="B743" s="16" t="s">
        <v>137</v>
      </c>
      <c r="C743" s="76" t="s">
        <v>138</v>
      </c>
      <c r="D743" s="87" t="s">
        <v>1856</v>
      </c>
      <c r="E743" s="87" t="s">
        <v>1857</v>
      </c>
      <c r="F743" s="76" t="s">
        <v>141</v>
      </c>
      <c r="G743" s="77"/>
      <c r="H743" s="78"/>
      <c r="I743" s="78"/>
      <c r="J743" s="78"/>
    </row>
    <row r="744" spans="2:10">
      <c r="B744" s="16" t="s">
        <v>137</v>
      </c>
      <c r="C744" s="76" t="s">
        <v>138</v>
      </c>
      <c r="D744" s="75" t="s">
        <v>1858</v>
      </c>
      <c r="E744" s="75" t="s">
        <v>1859</v>
      </c>
      <c r="F744" s="76" t="s">
        <v>141</v>
      </c>
      <c r="G744" s="77"/>
      <c r="H744" s="78"/>
      <c r="I744" s="78"/>
      <c r="J744" s="78"/>
    </row>
    <row r="745" spans="2:10">
      <c r="B745" s="16" t="s">
        <v>137</v>
      </c>
      <c r="C745" s="76" t="s">
        <v>138</v>
      </c>
      <c r="D745" s="87" t="s">
        <v>1860</v>
      </c>
      <c r="E745" s="87" t="s">
        <v>1861</v>
      </c>
      <c r="F745" s="76" t="s">
        <v>141</v>
      </c>
      <c r="G745" s="77"/>
      <c r="H745" s="78"/>
      <c r="I745" s="78"/>
      <c r="J745" s="78"/>
    </row>
    <row r="746" spans="2:10">
      <c r="B746" s="16" t="s">
        <v>137</v>
      </c>
      <c r="C746" s="76" t="s">
        <v>138</v>
      </c>
      <c r="D746" s="87" t="s">
        <v>1862</v>
      </c>
      <c r="E746" s="87" t="s">
        <v>1863</v>
      </c>
      <c r="F746" s="76" t="s">
        <v>141</v>
      </c>
      <c r="G746" s="77"/>
      <c r="H746" s="78"/>
      <c r="I746" s="78"/>
      <c r="J746" s="78"/>
    </row>
    <row r="747" spans="2:10">
      <c r="B747" s="16" t="s">
        <v>137</v>
      </c>
      <c r="C747" s="76" t="s">
        <v>138</v>
      </c>
      <c r="D747" s="87" t="s">
        <v>1864</v>
      </c>
      <c r="E747" s="87" t="s">
        <v>1865</v>
      </c>
      <c r="F747" s="76" t="s">
        <v>141</v>
      </c>
      <c r="G747" s="77"/>
      <c r="H747" s="78"/>
      <c r="I747" s="78"/>
      <c r="J747" s="78"/>
    </row>
    <row r="748" spans="2:10">
      <c r="B748" s="16" t="s">
        <v>137</v>
      </c>
      <c r="C748" s="76" t="s">
        <v>138</v>
      </c>
      <c r="D748" s="75" t="s">
        <v>1866</v>
      </c>
      <c r="E748" s="75" t="s">
        <v>1867</v>
      </c>
      <c r="F748" s="76" t="s">
        <v>141</v>
      </c>
      <c r="G748" s="77"/>
      <c r="H748" s="78"/>
      <c r="I748" s="78"/>
      <c r="J748" s="78"/>
    </row>
    <row r="749" spans="2:10">
      <c r="B749" s="16" t="s">
        <v>137</v>
      </c>
      <c r="C749" s="76" t="s">
        <v>138</v>
      </c>
      <c r="D749" s="75" t="s">
        <v>1868</v>
      </c>
      <c r="E749" s="87" t="s">
        <v>1869</v>
      </c>
      <c r="F749" s="76" t="s">
        <v>141</v>
      </c>
      <c r="G749" s="77"/>
      <c r="H749" s="78"/>
      <c r="I749" s="78"/>
      <c r="J749" s="78"/>
    </row>
    <row r="750" spans="2:10">
      <c r="B750" s="16" t="s">
        <v>137</v>
      </c>
      <c r="C750" s="76" t="s">
        <v>138</v>
      </c>
      <c r="D750" s="87" t="s">
        <v>1870</v>
      </c>
      <c r="E750" s="87" t="s">
        <v>1871</v>
      </c>
      <c r="F750" s="76" t="s">
        <v>141</v>
      </c>
      <c r="G750" s="77"/>
      <c r="H750" s="78"/>
      <c r="I750" s="78"/>
      <c r="J750" s="78"/>
    </row>
    <row r="751" spans="2:10">
      <c r="B751" s="16" t="s">
        <v>137</v>
      </c>
      <c r="C751" s="76" t="s">
        <v>138</v>
      </c>
      <c r="D751" s="75" t="s">
        <v>1872</v>
      </c>
      <c r="E751" s="75" t="s">
        <v>1873</v>
      </c>
      <c r="F751" s="76" t="s">
        <v>141</v>
      </c>
      <c r="G751" s="77"/>
      <c r="H751" s="78"/>
      <c r="I751" s="78"/>
      <c r="J751" s="78"/>
    </row>
    <row r="752" spans="2:10">
      <c r="B752" s="16" t="s">
        <v>137</v>
      </c>
      <c r="C752" s="76" t="s">
        <v>138</v>
      </c>
      <c r="D752" s="87" t="s">
        <v>1874</v>
      </c>
      <c r="E752" s="87" t="s">
        <v>1875</v>
      </c>
      <c r="F752" s="76" t="s">
        <v>141</v>
      </c>
      <c r="G752" s="77"/>
      <c r="H752" s="78"/>
      <c r="I752" s="78"/>
      <c r="J752" s="78"/>
    </row>
    <row r="753" spans="2:10">
      <c r="B753" s="16" t="s">
        <v>137</v>
      </c>
      <c r="C753" s="76" t="s">
        <v>138</v>
      </c>
      <c r="D753" s="87" t="s">
        <v>1876</v>
      </c>
      <c r="E753" s="87" t="s">
        <v>1877</v>
      </c>
      <c r="F753" s="76" t="s">
        <v>141</v>
      </c>
      <c r="G753" s="77"/>
      <c r="H753" s="78"/>
      <c r="I753" s="78"/>
      <c r="J753" s="78"/>
    </row>
    <row r="754" spans="2:10">
      <c r="B754" s="16" t="s">
        <v>137</v>
      </c>
      <c r="C754" s="76" t="s">
        <v>138</v>
      </c>
      <c r="D754" s="87" t="s">
        <v>1878</v>
      </c>
      <c r="E754" s="87" t="s">
        <v>1879</v>
      </c>
      <c r="F754" s="76" t="s">
        <v>141</v>
      </c>
      <c r="G754" s="77"/>
      <c r="H754" s="78"/>
      <c r="I754" s="78"/>
      <c r="J754" s="78"/>
    </row>
    <row r="755" spans="2:10">
      <c r="B755" s="16" t="s">
        <v>137</v>
      </c>
      <c r="C755" s="76" t="s">
        <v>138</v>
      </c>
      <c r="D755" s="75" t="s">
        <v>1880</v>
      </c>
      <c r="E755" s="75" t="s">
        <v>1881</v>
      </c>
      <c r="F755" s="76" t="s">
        <v>141</v>
      </c>
      <c r="G755" s="77"/>
      <c r="H755" s="78"/>
      <c r="I755" s="78"/>
      <c r="J755" s="78"/>
    </row>
    <row r="756" spans="2:10">
      <c r="B756" s="16" t="s">
        <v>137</v>
      </c>
      <c r="C756" s="76" t="s">
        <v>138</v>
      </c>
      <c r="D756" s="75" t="s">
        <v>1882</v>
      </c>
      <c r="E756" s="87" t="s">
        <v>1883</v>
      </c>
      <c r="F756" s="76" t="s">
        <v>141</v>
      </c>
      <c r="G756" s="77"/>
      <c r="H756" s="78"/>
      <c r="I756" s="78"/>
      <c r="J756" s="78"/>
    </row>
    <row r="757" spans="2:10">
      <c r="B757" s="16" t="s">
        <v>137</v>
      </c>
      <c r="C757" s="76" t="s">
        <v>138</v>
      </c>
      <c r="D757" s="75" t="s">
        <v>1884</v>
      </c>
      <c r="E757" s="75" t="s">
        <v>1885</v>
      </c>
      <c r="F757" s="76" t="s">
        <v>141</v>
      </c>
      <c r="G757" s="77"/>
      <c r="H757" s="78"/>
      <c r="I757" s="78"/>
      <c r="J757" s="78"/>
    </row>
    <row r="758" spans="2:10">
      <c r="B758" s="16" t="s">
        <v>137</v>
      </c>
      <c r="C758" s="76" t="s">
        <v>138</v>
      </c>
      <c r="D758" s="75" t="s">
        <v>1886</v>
      </c>
      <c r="E758" s="75" t="s">
        <v>1887</v>
      </c>
      <c r="F758" s="76" t="s">
        <v>141</v>
      </c>
      <c r="G758" s="77"/>
      <c r="H758" s="78"/>
      <c r="I758" s="78"/>
      <c r="J758" s="78"/>
    </row>
    <row r="759" spans="2:10">
      <c r="B759" s="16" t="s">
        <v>137</v>
      </c>
      <c r="C759" s="76" t="s">
        <v>138</v>
      </c>
      <c r="D759" s="75" t="s">
        <v>1888</v>
      </c>
      <c r="E759" s="75" t="s">
        <v>1889</v>
      </c>
      <c r="F759" s="76" t="s">
        <v>141</v>
      </c>
      <c r="G759" s="77"/>
      <c r="H759" s="78"/>
      <c r="I759" s="78"/>
      <c r="J759" s="78"/>
    </row>
    <row r="760" spans="2:10">
      <c r="B760" s="16" t="s">
        <v>137</v>
      </c>
      <c r="C760" s="76" t="s">
        <v>138</v>
      </c>
      <c r="D760" s="75" t="s">
        <v>1890</v>
      </c>
      <c r="E760" s="75" t="s">
        <v>1891</v>
      </c>
      <c r="F760" s="76" t="s">
        <v>141</v>
      </c>
      <c r="G760" s="77"/>
      <c r="H760" s="78"/>
      <c r="I760" s="78"/>
      <c r="J760" s="78"/>
    </row>
    <row r="761" spans="2:10">
      <c r="B761" s="16" t="s">
        <v>137</v>
      </c>
      <c r="C761" s="76" t="s">
        <v>138</v>
      </c>
      <c r="D761" s="75" t="s">
        <v>1892</v>
      </c>
      <c r="E761" s="75" t="s">
        <v>1893</v>
      </c>
      <c r="F761" s="76" t="s">
        <v>141</v>
      </c>
      <c r="G761" s="77"/>
      <c r="H761" s="78"/>
      <c r="I761" s="78"/>
      <c r="J761" s="78"/>
    </row>
    <row r="762" spans="2:10">
      <c r="B762" s="16" t="s">
        <v>137</v>
      </c>
      <c r="C762" s="75" t="s">
        <v>138</v>
      </c>
      <c r="D762" s="75" t="s">
        <v>1894</v>
      </c>
      <c r="E762" s="75" t="s">
        <v>1895</v>
      </c>
      <c r="F762" s="76" t="s">
        <v>141</v>
      </c>
      <c r="G762" s="77"/>
      <c r="H762" s="78"/>
      <c r="I762" s="78"/>
      <c r="J762" s="78"/>
    </row>
    <row r="763" spans="2:10">
      <c r="B763" s="16" t="s">
        <v>137</v>
      </c>
      <c r="C763" s="76" t="s">
        <v>138</v>
      </c>
      <c r="D763" s="75" t="s">
        <v>1896</v>
      </c>
      <c r="E763" s="75" t="s">
        <v>1897</v>
      </c>
      <c r="F763" s="76" t="s">
        <v>141</v>
      </c>
      <c r="G763" s="77"/>
      <c r="H763" s="78"/>
      <c r="I763" s="78"/>
      <c r="J763" s="78"/>
    </row>
    <row r="764" spans="2:10">
      <c r="B764" s="16" t="s">
        <v>137</v>
      </c>
      <c r="C764" s="76" t="s">
        <v>138</v>
      </c>
      <c r="D764" s="75" t="s">
        <v>1898</v>
      </c>
      <c r="E764" s="75" t="s">
        <v>1899</v>
      </c>
      <c r="F764" s="76" t="s">
        <v>141</v>
      </c>
      <c r="G764" s="77"/>
      <c r="H764" s="78"/>
      <c r="I764" s="78"/>
      <c r="J764" s="78"/>
    </row>
    <row r="765" spans="2:10">
      <c r="B765" s="16" t="s">
        <v>137</v>
      </c>
      <c r="C765" s="76" t="s">
        <v>138</v>
      </c>
      <c r="D765" s="75" t="s">
        <v>1900</v>
      </c>
      <c r="E765" s="75" t="s">
        <v>1901</v>
      </c>
      <c r="F765" s="76" t="s">
        <v>141</v>
      </c>
      <c r="G765" s="77"/>
      <c r="H765" s="78"/>
      <c r="I765" s="78"/>
      <c r="J765" s="78"/>
    </row>
    <row r="766" spans="2:10">
      <c r="B766" s="16" t="s">
        <v>137</v>
      </c>
      <c r="C766" s="76" t="s">
        <v>138</v>
      </c>
      <c r="D766" s="75" t="s">
        <v>1902</v>
      </c>
      <c r="E766" s="75" t="s">
        <v>1903</v>
      </c>
      <c r="F766" s="76" t="s">
        <v>141</v>
      </c>
      <c r="G766" s="77"/>
      <c r="H766" s="78"/>
      <c r="I766" s="78"/>
      <c r="J766" s="78"/>
    </row>
    <row r="767" spans="2:10">
      <c r="B767" s="16" t="s">
        <v>137</v>
      </c>
      <c r="C767" s="76" t="s">
        <v>138</v>
      </c>
      <c r="D767" s="75" t="s">
        <v>1904</v>
      </c>
      <c r="E767" s="75" t="s">
        <v>1905</v>
      </c>
      <c r="F767" s="76" t="s">
        <v>141</v>
      </c>
      <c r="G767" s="77"/>
      <c r="H767" s="78"/>
      <c r="I767" s="78"/>
      <c r="J767" s="78"/>
    </row>
    <row r="768" spans="2:10">
      <c r="B768" s="16" t="s">
        <v>137</v>
      </c>
      <c r="C768" s="76" t="s">
        <v>138</v>
      </c>
      <c r="D768" s="75" t="s">
        <v>1906</v>
      </c>
      <c r="E768" s="75" t="s">
        <v>1907</v>
      </c>
      <c r="F768" s="76" t="s">
        <v>141</v>
      </c>
      <c r="G768" s="77"/>
      <c r="H768" s="78"/>
      <c r="I768" s="78"/>
      <c r="J768" s="78"/>
    </row>
    <row r="769" spans="2:10">
      <c r="B769" s="16" t="s">
        <v>137</v>
      </c>
      <c r="C769" s="76" t="s">
        <v>138</v>
      </c>
      <c r="D769" s="75" t="s">
        <v>1908</v>
      </c>
      <c r="E769" s="75" t="s">
        <v>1909</v>
      </c>
      <c r="F769" s="76" t="s">
        <v>141</v>
      </c>
      <c r="G769" s="77"/>
      <c r="H769" s="78"/>
      <c r="I769" s="78"/>
      <c r="J769" s="78"/>
    </row>
    <row r="770" spans="2:10">
      <c r="B770" s="16" t="s">
        <v>137</v>
      </c>
      <c r="C770" s="76" t="s">
        <v>138</v>
      </c>
      <c r="D770" s="75" t="s">
        <v>1910</v>
      </c>
      <c r="E770" s="75" t="s">
        <v>1911</v>
      </c>
      <c r="F770" s="76" t="s">
        <v>141</v>
      </c>
      <c r="G770" s="77"/>
      <c r="H770" s="78"/>
      <c r="I770" s="78"/>
      <c r="J770" s="78"/>
    </row>
    <row r="771" spans="2:10">
      <c r="B771" s="16" t="s">
        <v>137</v>
      </c>
      <c r="C771" s="76" t="s">
        <v>138</v>
      </c>
      <c r="D771" s="75" t="s">
        <v>1912</v>
      </c>
      <c r="E771" s="75" t="s">
        <v>1913</v>
      </c>
      <c r="F771" s="76" t="s">
        <v>141</v>
      </c>
      <c r="G771" s="77"/>
      <c r="H771" s="78"/>
      <c r="I771" s="78"/>
      <c r="J771" s="78"/>
    </row>
    <row r="772" spans="2:10">
      <c r="B772" s="16" t="s">
        <v>137</v>
      </c>
      <c r="C772" s="76" t="s">
        <v>138</v>
      </c>
      <c r="D772" s="75" t="s">
        <v>1914</v>
      </c>
      <c r="E772" s="75" t="s">
        <v>1915</v>
      </c>
      <c r="F772" s="76" t="s">
        <v>141</v>
      </c>
      <c r="G772" s="77"/>
      <c r="H772" s="78"/>
      <c r="I772" s="78"/>
      <c r="J772" s="78"/>
    </row>
    <row r="773" spans="2:10">
      <c r="B773" s="16" t="s">
        <v>137</v>
      </c>
      <c r="C773" s="76" t="s">
        <v>138</v>
      </c>
      <c r="D773" s="75" t="s">
        <v>1916</v>
      </c>
      <c r="E773" s="75" t="s">
        <v>1917</v>
      </c>
      <c r="F773" s="76" t="s">
        <v>141</v>
      </c>
      <c r="G773" s="77"/>
      <c r="H773" s="78"/>
      <c r="I773" s="78"/>
      <c r="J773" s="78"/>
    </row>
    <row r="774" spans="2:10">
      <c r="B774" s="16" t="s">
        <v>137</v>
      </c>
      <c r="C774" s="76" t="s">
        <v>138</v>
      </c>
      <c r="D774" s="75" t="s">
        <v>1918</v>
      </c>
      <c r="E774" s="75" t="s">
        <v>1919</v>
      </c>
      <c r="F774" s="76" t="s">
        <v>141</v>
      </c>
      <c r="G774" s="77"/>
      <c r="H774" s="78"/>
      <c r="I774" s="78"/>
      <c r="J774" s="78"/>
    </row>
    <row r="775" spans="2:10">
      <c r="B775" s="16" t="s">
        <v>137</v>
      </c>
      <c r="C775" s="76" t="s">
        <v>138</v>
      </c>
      <c r="D775" s="75" t="s">
        <v>1920</v>
      </c>
      <c r="E775" s="75" t="s">
        <v>1921</v>
      </c>
      <c r="F775" s="76" t="s">
        <v>141</v>
      </c>
      <c r="G775" s="77"/>
      <c r="H775" s="78"/>
      <c r="I775" s="78"/>
      <c r="J775" s="78"/>
    </row>
    <row r="776" spans="2:10">
      <c r="B776" s="16" t="s">
        <v>137</v>
      </c>
      <c r="C776" s="76" t="s">
        <v>138</v>
      </c>
      <c r="D776" s="75" t="s">
        <v>1922</v>
      </c>
      <c r="E776" s="75" t="s">
        <v>1923</v>
      </c>
      <c r="F776" s="76" t="s">
        <v>141</v>
      </c>
      <c r="G776" s="77"/>
      <c r="H776" s="78"/>
      <c r="I776" s="78"/>
      <c r="J776" s="21" t="s">
        <v>57</v>
      </c>
    </row>
    <row r="777" spans="2:10">
      <c r="B777" s="16" t="s">
        <v>137</v>
      </c>
      <c r="C777" s="76" t="s">
        <v>138</v>
      </c>
      <c r="D777" s="75" t="s">
        <v>1924</v>
      </c>
      <c r="E777" s="75" t="s">
        <v>1925</v>
      </c>
      <c r="F777" s="76" t="s">
        <v>141</v>
      </c>
      <c r="G777" s="77"/>
      <c r="H777" s="78"/>
      <c r="I777" s="78"/>
      <c r="J777" s="21" t="s">
        <v>57</v>
      </c>
    </row>
    <row r="778" spans="2:10">
      <c r="B778" s="16" t="s">
        <v>137</v>
      </c>
      <c r="C778" s="76" t="s">
        <v>138</v>
      </c>
      <c r="D778" s="75" t="s">
        <v>1926</v>
      </c>
      <c r="E778" s="75" t="s">
        <v>1927</v>
      </c>
      <c r="F778" s="76" t="s">
        <v>141</v>
      </c>
      <c r="G778" s="77"/>
      <c r="H778" s="78"/>
      <c r="I778" s="78"/>
      <c r="J778" s="21" t="s">
        <v>57</v>
      </c>
    </row>
    <row r="779" spans="2:10">
      <c r="B779" s="16" t="s">
        <v>137</v>
      </c>
      <c r="C779" s="76" t="s">
        <v>138</v>
      </c>
      <c r="D779" s="75" t="s">
        <v>1928</v>
      </c>
      <c r="E779" s="75" t="s">
        <v>1929</v>
      </c>
      <c r="F779" s="76" t="s">
        <v>141</v>
      </c>
      <c r="G779" s="77"/>
      <c r="H779" s="78"/>
      <c r="I779" s="78"/>
      <c r="J779" s="21" t="s">
        <v>57</v>
      </c>
    </row>
    <row r="780" spans="2:10">
      <c r="B780" s="16" t="s">
        <v>137</v>
      </c>
      <c r="C780" s="76" t="s">
        <v>138</v>
      </c>
      <c r="D780" s="75" t="s">
        <v>1930</v>
      </c>
      <c r="E780" s="75" t="s">
        <v>1931</v>
      </c>
      <c r="F780" s="76" t="s">
        <v>141</v>
      </c>
      <c r="G780" s="77"/>
      <c r="H780" s="78"/>
      <c r="I780" s="78"/>
      <c r="J780" s="21" t="s">
        <v>57</v>
      </c>
    </row>
    <row r="781" spans="2:10">
      <c r="B781" s="16" t="s">
        <v>137</v>
      </c>
      <c r="C781" s="75" t="s">
        <v>138</v>
      </c>
      <c r="D781" s="75" t="s">
        <v>1932</v>
      </c>
      <c r="E781" s="75" t="s">
        <v>1933</v>
      </c>
      <c r="F781" s="76" t="s">
        <v>141</v>
      </c>
      <c r="G781" s="77"/>
      <c r="H781" s="78"/>
      <c r="I781" s="78"/>
      <c r="J781" s="21" t="s">
        <v>57</v>
      </c>
    </row>
    <row r="782" spans="2:10">
      <c r="B782" s="16" t="s">
        <v>137</v>
      </c>
      <c r="C782" s="76" t="s">
        <v>138</v>
      </c>
      <c r="D782" s="75" t="s">
        <v>1934</v>
      </c>
      <c r="E782" s="75" t="s">
        <v>1935</v>
      </c>
      <c r="F782" s="76" t="s">
        <v>141</v>
      </c>
      <c r="G782" s="77"/>
      <c r="H782" s="78"/>
      <c r="I782" s="78"/>
      <c r="J782" s="21" t="s">
        <v>57</v>
      </c>
    </row>
    <row r="783" spans="2:10">
      <c r="B783" s="16" t="s">
        <v>137</v>
      </c>
      <c r="C783" s="76" t="s">
        <v>138</v>
      </c>
      <c r="D783" s="75" t="s">
        <v>1936</v>
      </c>
      <c r="E783" s="75" t="s">
        <v>1937</v>
      </c>
      <c r="F783" s="76" t="s">
        <v>141</v>
      </c>
      <c r="G783" s="77"/>
      <c r="H783" s="78"/>
      <c r="I783" s="78"/>
      <c r="J783" s="21" t="s">
        <v>57</v>
      </c>
    </row>
    <row r="784" spans="2:10">
      <c r="B784" s="16" t="s">
        <v>137</v>
      </c>
      <c r="C784" s="76" t="s">
        <v>138</v>
      </c>
      <c r="D784" s="75" t="s">
        <v>1938</v>
      </c>
      <c r="E784" s="75" t="s">
        <v>1939</v>
      </c>
      <c r="F784" s="76" t="s">
        <v>141</v>
      </c>
      <c r="G784" s="77"/>
      <c r="H784" s="78"/>
      <c r="I784" s="78"/>
      <c r="J784" s="21" t="s">
        <v>57</v>
      </c>
    </row>
    <row r="785" spans="2:11">
      <c r="B785" s="16" t="s">
        <v>137</v>
      </c>
      <c r="C785" s="76" t="s">
        <v>138</v>
      </c>
      <c r="D785" s="75" t="s">
        <v>1940</v>
      </c>
      <c r="E785" s="75" t="s">
        <v>1941</v>
      </c>
      <c r="F785" s="76" t="s">
        <v>141</v>
      </c>
      <c r="G785" s="77"/>
      <c r="H785" s="78"/>
      <c r="I785" s="78"/>
      <c r="J785" s="21" t="s">
        <v>57</v>
      </c>
    </row>
    <row r="786" spans="2:11">
      <c r="B786" s="16" t="s">
        <v>137</v>
      </c>
      <c r="C786" s="76" t="s">
        <v>138</v>
      </c>
      <c r="D786" s="75" t="s">
        <v>1942</v>
      </c>
      <c r="E786" s="75" t="s">
        <v>1943</v>
      </c>
      <c r="F786" s="76" t="s">
        <v>141</v>
      </c>
      <c r="G786" s="77"/>
      <c r="H786" s="78"/>
      <c r="I786" s="78"/>
      <c r="J786" s="21" t="s">
        <v>57</v>
      </c>
    </row>
    <row r="787" spans="2:11">
      <c r="B787" s="16" t="s">
        <v>137</v>
      </c>
      <c r="C787" s="76" t="s">
        <v>138</v>
      </c>
      <c r="D787" s="75" t="s">
        <v>1944</v>
      </c>
      <c r="E787" s="75" t="s">
        <v>1945</v>
      </c>
      <c r="F787" s="76" t="s">
        <v>141</v>
      </c>
      <c r="G787" s="77"/>
      <c r="H787" s="78"/>
      <c r="I787" s="78"/>
      <c r="J787" s="21" t="s">
        <v>57</v>
      </c>
    </row>
    <row r="788" spans="2:11">
      <c r="B788" s="16" t="s">
        <v>137</v>
      </c>
      <c r="C788" s="76" t="s">
        <v>138</v>
      </c>
      <c r="D788" s="75" t="s">
        <v>1946</v>
      </c>
      <c r="E788" s="75" t="s">
        <v>1947</v>
      </c>
      <c r="F788" s="76" t="s">
        <v>141</v>
      </c>
      <c r="G788" s="77"/>
      <c r="H788" s="78"/>
      <c r="I788" s="78"/>
      <c r="J788" s="21" t="s">
        <v>57</v>
      </c>
    </row>
    <row r="789" spans="2:11">
      <c r="B789" s="16" t="s">
        <v>137</v>
      </c>
      <c r="C789" s="76" t="s">
        <v>138</v>
      </c>
      <c r="D789" s="75" t="s">
        <v>1948</v>
      </c>
      <c r="E789" s="75" t="s">
        <v>1949</v>
      </c>
      <c r="F789" s="76" t="s">
        <v>141</v>
      </c>
      <c r="G789" s="77"/>
      <c r="H789" s="78"/>
      <c r="I789" s="78"/>
      <c r="J789" s="21" t="s">
        <v>57</v>
      </c>
    </row>
    <row r="790" spans="2:11">
      <c r="B790" s="16" t="s">
        <v>137</v>
      </c>
      <c r="C790" s="76" t="s">
        <v>138</v>
      </c>
      <c r="D790" s="75" t="s">
        <v>1950</v>
      </c>
      <c r="E790" s="75" t="s">
        <v>1951</v>
      </c>
      <c r="F790" s="76" t="s">
        <v>141</v>
      </c>
      <c r="G790" s="77"/>
      <c r="H790" s="78"/>
      <c r="I790" s="78"/>
      <c r="J790" s="21" t="s">
        <v>57</v>
      </c>
    </row>
    <row r="791" spans="2:11">
      <c r="B791" s="16" t="s">
        <v>137</v>
      </c>
      <c r="C791" s="76" t="s">
        <v>138</v>
      </c>
      <c r="D791" s="75" t="s">
        <v>1952</v>
      </c>
      <c r="E791" s="75" t="s">
        <v>1953</v>
      </c>
      <c r="F791" s="76" t="s">
        <v>141</v>
      </c>
      <c r="G791" s="77"/>
      <c r="H791" s="78"/>
      <c r="I791" s="78"/>
      <c r="J791" s="21" t="s">
        <v>57</v>
      </c>
    </row>
    <row r="792" spans="2:11">
      <c r="B792" s="16" t="s">
        <v>137</v>
      </c>
      <c r="C792" s="76" t="s">
        <v>138</v>
      </c>
      <c r="D792" s="75" t="s">
        <v>1954</v>
      </c>
      <c r="E792" s="75" t="s">
        <v>1955</v>
      </c>
      <c r="F792" s="76" t="s">
        <v>141</v>
      </c>
      <c r="G792" s="77"/>
      <c r="H792" s="78"/>
      <c r="I792" s="78"/>
      <c r="J792" s="21" t="s">
        <v>57</v>
      </c>
    </row>
    <row r="793" spans="2:11">
      <c r="B793" s="16" t="s">
        <v>137</v>
      </c>
      <c r="C793" s="76" t="s">
        <v>138</v>
      </c>
      <c r="D793" s="75" t="s">
        <v>1956</v>
      </c>
      <c r="E793" s="75" t="s">
        <v>1957</v>
      </c>
      <c r="F793" s="76" t="s">
        <v>141</v>
      </c>
      <c r="G793" s="77"/>
      <c r="H793" s="78"/>
      <c r="I793" s="78"/>
      <c r="J793" s="21" t="s">
        <v>57</v>
      </c>
    </row>
    <row r="794" spans="2:11">
      <c r="B794" s="16" t="s">
        <v>137</v>
      </c>
      <c r="C794" s="76" t="s">
        <v>138</v>
      </c>
      <c r="D794" s="75" t="s">
        <v>1958</v>
      </c>
      <c r="E794" s="75" t="s">
        <v>1959</v>
      </c>
      <c r="F794" s="76" t="s">
        <v>141</v>
      </c>
      <c r="G794" s="77"/>
      <c r="H794" s="78"/>
      <c r="I794" s="78"/>
      <c r="J794" s="21" t="s">
        <v>57</v>
      </c>
    </row>
    <row r="795" spans="2:11">
      <c r="B795" s="16" t="s">
        <v>137</v>
      </c>
      <c r="C795" s="76" t="s">
        <v>138</v>
      </c>
      <c r="D795" s="75" t="s">
        <v>2081</v>
      </c>
      <c r="E795" s="75" t="s">
        <v>2082</v>
      </c>
      <c r="F795" s="76" t="s">
        <v>141</v>
      </c>
      <c r="G795" s="77"/>
      <c r="H795" s="78"/>
      <c r="I795" s="78"/>
      <c r="J795" s="21"/>
    </row>
    <row r="796" spans="2:11">
      <c r="B796" s="54" t="s">
        <v>509</v>
      </c>
      <c r="C796" s="56" t="s">
        <v>138</v>
      </c>
      <c r="D796" s="40" t="s">
        <v>519</v>
      </c>
      <c r="E796" s="53" t="s">
        <v>520</v>
      </c>
      <c r="F796" s="53" t="s">
        <v>141</v>
      </c>
      <c r="G796" s="54"/>
      <c r="H796" s="21"/>
      <c r="I796" s="54"/>
      <c r="J796" s="54"/>
      <c r="K796" s="56"/>
    </row>
    <row r="797" spans="2:11">
      <c r="B797" s="54" t="s">
        <v>509</v>
      </c>
      <c r="C797" s="56" t="s">
        <v>138</v>
      </c>
      <c r="D797" s="53" t="s">
        <v>521</v>
      </c>
      <c r="E797" s="53" t="s">
        <v>522</v>
      </c>
      <c r="F797" s="53" t="s">
        <v>523</v>
      </c>
      <c r="G797" s="54"/>
      <c r="H797" s="21"/>
      <c r="I797" s="54"/>
      <c r="J797" s="54"/>
      <c r="K797" s="56"/>
    </row>
    <row r="798" spans="2:11">
      <c r="B798" s="54" t="s">
        <v>509</v>
      </c>
      <c r="C798" s="56" t="s">
        <v>138</v>
      </c>
      <c r="D798" s="53" t="s">
        <v>528</v>
      </c>
      <c r="E798" s="53" t="s">
        <v>529</v>
      </c>
      <c r="F798" s="53" t="s">
        <v>141</v>
      </c>
      <c r="G798" s="54"/>
      <c r="H798" s="21"/>
      <c r="I798" s="54"/>
      <c r="J798" s="54"/>
      <c r="K798" s="56"/>
    </row>
    <row r="799" spans="2:11">
      <c r="B799" s="54" t="s">
        <v>509</v>
      </c>
      <c r="C799" s="56" t="s">
        <v>138</v>
      </c>
      <c r="D799" s="53" t="s">
        <v>530</v>
      </c>
      <c r="E799" s="53" t="s">
        <v>531</v>
      </c>
      <c r="F799" s="53" t="s">
        <v>141</v>
      </c>
      <c r="G799" s="54"/>
      <c r="H799" s="21"/>
      <c r="I799" s="54"/>
      <c r="J799" s="54"/>
      <c r="K799" s="56"/>
    </row>
    <row r="800" spans="2:11">
      <c r="B800" s="54" t="s">
        <v>509</v>
      </c>
      <c r="C800" s="56" t="s">
        <v>138</v>
      </c>
      <c r="D800" s="53" t="s">
        <v>534</v>
      </c>
      <c r="E800" s="53" t="s">
        <v>535</v>
      </c>
      <c r="F800" s="53" t="s">
        <v>141</v>
      </c>
      <c r="G800" s="54"/>
      <c r="H800" s="21"/>
      <c r="I800" s="54"/>
      <c r="J800" s="54"/>
      <c r="K800" s="56"/>
    </row>
    <row r="801" spans="2:11">
      <c r="B801" s="54" t="s">
        <v>509</v>
      </c>
      <c r="C801" s="56" t="s">
        <v>138</v>
      </c>
      <c r="D801" s="53" t="s">
        <v>532</v>
      </c>
      <c r="E801" s="53" t="s">
        <v>533</v>
      </c>
      <c r="F801" s="53" t="s">
        <v>141</v>
      </c>
      <c r="G801" s="54"/>
      <c r="H801" s="21"/>
      <c r="I801" s="54"/>
      <c r="J801" s="54"/>
      <c r="K801" s="56"/>
    </row>
    <row r="802" spans="2:11">
      <c r="B802" s="54" t="s">
        <v>509</v>
      </c>
      <c r="C802" s="56" t="s">
        <v>138</v>
      </c>
      <c r="D802" s="53" t="s">
        <v>536</v>
      </c>
      <c r="E802" s="53" t="s">
        <v>537</v>
      </c>
      <c r="F802" s="53" t="s">
        <v>141</v>
      </c>
      <c r="G802" s="54"/>
      <c r="H802" s="21"/>
      <c r="I802" s="54"/>
      <c r="J802" s="54"/>
      <c r="K802" s="56"/>
    </row>
    <row r="803" spans="2:11">
      <c r="B803" s="54" t="s">
        <v>509</v>
      </c>
      <c r="C803" s="56" t="s">
        <v>138</v>
      </c>
      <c r="D803" s="53" t="s">
        <v>526</v>
      </c>
      <c r="E803" s="53" t="s">
        <v>527</v>
      </c>
      <c r="F803" s="53" t="s">
        <v>141</v>
      </c>
      <c r="G803" s="54"/>
      <c r="H803" s="21"/>
      <c r="I803" s="54"/>
      <c r="J803" s="54"/>
      <c r="K803" s="56"/>
    </row>
    <row r="804" spans="2:11">
      <c r="B804" s="54" t="s">
        <v>509</v>
      </c>
      <c r="C804" s="56" t="s">
        <v>138</v>
      </c>
      <c r="D804" s="53" t="s">
        <v>524</v>
      </c>
      <c r="E804" s="53" t="s">
        <v>525</v>
      </c>
      <c r="F804" s="53" t="s">
        <v>141</v>
      </c>
      <c r="G804" s="54"/>
      <c r="H804" s="21"/>
      <c r="I804" s="54"/>
      <c r="J804" s="54"/>
      <c r="K804" s="56"/>
    </row>
    <row r="805" spans="2:11">
      <c r="B805" s="54" t="s">
        <v>509</v>
      </c>
      <c r="C805" s="56" t="s">
        <v>138</v>
      </c>
      <c r="D805" s="53" t="s">
        <v>512</v>
      </c>
      <c r="E805" s="53" t="s">
        <v>513</v>
      </c>
      <c r="F805" s="53" t="s">
        <v>141</v>
      </c>
      <c r="G805" s="54"/>
      <c r="H805" s="21"/>
      <c r="I805" s="54"/>
      <c r="J805" s="54"/>
      <c r="K805" s="56"/>
    </row>
    <row r="806" spans="2:11">
      <c r="B806" s="54" t="s">
        <v>509</v>
      </c>
      <c r="C806" s="56" t="s">
        <v>138</v>
      </c>
      <c r="D806" s="53" t="s">
        <v>510</v>
      </c>
      <c r="E806" s="53" t="s">
        <v>511</v>
      </c>
      <c r="F806" s="53" t="s">
        <v>141</v>
      </c>
      <c r="G806" s="54"/>
      <c r="H806" s="21"/>
      <c r="I806" s="54"/>
      <c r="J806" s="54"/>
      <c r="K806" s="56"/>
    </row>
    <row r="807" spans="2:11">
      <c r="B807" s="54" t="s">
        <v>509</v>
      </c>
      <c r="C807" s="56" t="s">
        <v>138</v>
      </c>
      <c r="D807" s="53" t="s">
        <v>516</v>
      </c>
      <c r="E807" s="53" t="s">
        <v>517</v>
      </c>
      <c r="F807" s="53" t="s">
        <v>518</v>
      </c>
      <c r="G807" s="54"/>
      <c r="H807" s="21"/>
      <c r="I807" s="54"/>
      <c r="J807" s="54"/>
      <c r="K807" s="56"/>
    </row>
    <row r="808" spans="2:11">
      <c r="B808" s="54" t="s">
        <v>509</v>
      </c>
      <c r="C808" s="56" t="s">
        <v>138</v>
      </c>
      <c r="D808" s="53" t="s">
        <v>514</v>
      </c>
      <c r="E808" s="53" t="s">
        <v>515</v>
      </c>
      <c r="F808" s="53" t="s">
        <v>141</v>
      </c>
      <c r="G808" s="54"/>
      <c r="H808" s="21"/>
      <c r="I808" s="54"/>
      <c r="J808" s="54"/>
      <c r="K808" s="56"/>
    </row>
    <row r="809" spans="2:11">
      <c r="B809" s="54" t="s">
        <v>509</v>
      </c>
      <c r="C809" s="75" t="s">
        <v>138</v>
      </c>
      <c r="D809" s="87" t="s">
        <v>1960</v>
      </c>
      <c r="E809" s="87" t="s">
        <v>1961</v>
      </c>
      <c r="F809" s="76" t="s">
        <v>141</v>
      </c>
      <c r="G809" s="77"/>
      <c r="H809" s="78"/>
      <c r="I809" s="78"/>
      <c r="J809" s="78"/>
      <c r="K809" s="52"/>
    </row>
    <row r="810" spans="2:11">
      <c r="B810" s="54" t="s">
        <v>509</v>
      </c>
      <c r="C810" s="75" t="s">
        <v>138</v>
      </c>
      <c r="D810" s="87" t="s">
        <v>1962</v>
      </c>
      <c r="E810" s="87" t="s">
        <v>1963</v>
      </c>
      <c r="F810" s="76" t="s">
        <v>141</v>
      </c>
      <c r="G810" s="77"/>
      <c r="H810" s="78"/>
      <c r="I810" s="78"/>
      <c r="J810" s="78"/>
      <c r="K810" s="52"/>
    </row>
    <row r="811" spans="2:11">
      <c r="B811" s="54" t="s">
        <v>509</v>
      </c>
      <c r="C811" s="75" t="s">
        <v>138</v>
      </c>
      <c r="D811" s="87" t="s">
        <v>1964</v>
      </c>
      <c r="E811" s="87" t="s">
        <v>1965</v>
      </c>
      <c r="F811" s="76" t="s">
        <v>141</v>
      </c>
      <c r="G811" s="77"/>
      <c r="H811" s="78"/>
      <c r="I811" s="78"/>
      <c r="J811" s="78"/>
      <c r="K811" s="52"/>
    </row>
    <row r="812" spans="2:11">
      <c r="B812" s="54" t="s">
        <v>509</v>
      </c>
      <c r="C812" s="75" t="s">
        <v>138</v>
      </c>
      <c r="D812" s="87" t="s">
        <v>1966</v>
      </c>
      <c r="E812" s="87" t="s">
        <v>1967</v>
      </c>
      <c r="F812" s="76" t="s">
        <v>141</v>
      </c>
      <c r="G812" s="77"/>
      <c r="H812" s="78"/>
      <c r="I812" s="78"/>
      <c r="J812" s="78"/>
      <c r="K812" s="52"/>
    </row>
    <row r="813" spans="2:11">
      <c r="B813" s="54" t="s">
        <v>509</v>
      </c>
      <c r="C813" s="75" t="s">
        <v>138</v>
      </c>
      <c r="D813" s="87" t="s">
        <v>1968</v>
      </c>
      <c r="E813" s="87" t="s">
        <v>1969</v>
      </c>
      <c r="F813" s="76" t="s">
        <v>141</v>
      </c>
      <c r="G813" s="77"/>
      <c r="H813" s="78"/>
      <c r="I813" s="78"/>
      <c r="J813" s="78"/>
      <c r="K813" s="52"/>
    </row>
    <row r="814" spans="2:11">
      <c r="B814" s="54" t="s">
        <v>509</v>
      </c>
      <c r="C814" s="75" t="s">
        <v>138</v>
      </c>
      <c r="D814" s="75" t="s">
        <v>1970</v>
      </c>
      <c r="E814" s="75" t="s">
        <v>1971</v>
      </c>
      <c r="F814" s="76" t="s">
        <v>141</v>
      </c>
      <c r="G814" s="77"/>
      <c r="H814" s="78"/>
      <c r="I814" s="78"/>
      <c r="J814" s="78"/>
      <c r="K814" s="52"/>
    </row>
    <row r="815" spans="2:11">
      <c r="B815" s="54" t="s">
        <v>509</v>
      </c>
      <c r="C815" s="75" t="s">
        <v>138</v>
      </c>
      <c r="D815" s="87" t="s">
        <v>1972</v>
      </c>
      <c r="E815" s="87" t="s">
        <v>1973</v>
      </c>
      <c r="F815" s="76" t="s">
        <v>141</v>
      </c>
      <c r="G815" s="77"/>
      <c r="H815" s="78"/>
      <c r="I815" s="78"/>
      <c r="J815" s="78"/>
      <c r="K815" s="52"/>
    </row>
    <row r="816" spans="2:11">
      <c r="B816" s="54" t="s">
        <v>509</v>
      </c>
      <c r="C816" s="75" t="s">
        <v>138</v>
      </c>
      <c r="D816" s="87" t="s">
        <v>1974</v>
      </c>
      <c r="E816" s="87" t="s">
        <v>1975</v>
      </c>
      <c r="F816" s="76" t="s">
        <v>141</v>
      </c>
      <c r="G816" s="77"/>
      <c r="H816" s="78"/>
      <c r="I816" s="78"/>
      <c r="J816" s="78"/>
      <c r="K816" s="52"/>
    </row>
    <row r="817" spans="2:11">
      <c r="B817" s="54" t="s">
        <v>509</v>
      </c>
      <c r="C817" s="75" t="s">
        <v>138</v>
      </c>
      <c r="D817" s="87" t="s">
        <v>1976</v>
      </c>
      <c r="E817" s="87" t="s">
        <v>1977</v>
      </c>
      <c r="F817" s="76" t="s">
        <v>141</v>
      </c>
      <c r="G817" s="77"/>
      <c r="H817" s="78"/>
      <c r="I817" s="78"/>
      <c r="J817" s="78"/>
      <c r="K817" s="52"/>
    </row>
    <row r="818" spans="2:11">
      <c r="B818" s="54" t="s">
        <v>509</v>
      </c>
      <c r="C818" s="75" t="s">
        <v>138</v>
      </c>
      <c r="D818" s="87" t="s">
        <v>1978</v>
      </c>
      <c r="E818" s="87" t="s">
        <v>1979</v>
      </c>
      <c r="F818" s="76" t="s">
        <v>141</v>
      </c>
      <c r="G818" s="77"/>
      <c r="H818" s="78"/>
      <c r="I818" s="78"/>
      <c r="J818" s="78"/>
      <c r="K818" s="52"/>
    </row>
    <row r="819" spans="2:11">
      <c r="B819" s="54" t="s">
        <v>509</v>
      </c>
      <c r="C819" s="75" t="s">
        <v>138</v>
      </c>
      <c r="D819" s="87" t="s">
        <v>1980</v>
      </c>
      <c r="E819" s="87" t="s">
        <v>1981</v>
      </c>
      <c r="F819" s="76" t="s">
        <v>141</v>
      </c>
      <c r="G819" s="77"/>
      <c r="H819" s="78"/>
      <c r="I819" s="78"/>
      <c r="J819" s="78"/>
      <c r="K819" s="52"/>
    </row>
    <row r="820" spans="2:11">
      <c r="B820" s="54" t="s">
        <v>509</v>
      </c>
      <c r="C820" s="75" t="s">
        <v>138</v>
      </c>
      <c r="D820" s="75" t="s">
        <v>1982</v>
      </c>
      <c r="E820" s="87" t="s">
        <v>1983</v>
      </c>
      <c r="F820" s="76" t="s">
        <v>141</v>
      </c>
      <c r="G820" s="77"/>
      <c r="H820" s="78"/>
      <c r="I820" s="78"/>
      <c r="J820" s="78"/>
      <c r="K820" s="52"/>
    </row>
    <row r="821" spans="2:11">
      <c r="B821" s="54" t="s">
        <v>509</v>
      </c>
      <c r="C821" s="75" t="s">
        <v>138</v>
      </c>
      <c r="D821" s="75" t="s">
        <v>1998</v>
      </c>
      <c r="E821" s="87" t="s">
        <v>1999</v>
      </c>
      <c r="F821" s="76" t="s">
        <v>141</v>
      </c>
      <c r="G821" s="77"/>
      <c r="H821" s="78"/>
      <c r="I821" s="78"/>
      <c r="J821" s="78"/>
      <c r="K821" s="52"/>
    </row>
    <row r="822" spans="2:11">
      <c r="B822" s="54" t="s">
        <v>509</v>
      </c>
      <c r="C822" s="75" t="s">
        <v>138</v>
      </c>
      <c r="D822" s="75" t="s">
        <v>1984</v>
      </c>
      <c r="E822" s="87" t="s">
        <v>1985</v>
      </c>
      <c r="F822" s="76" t="s">
        <v>141</v>
      </c>
      <c r="G822" s="77"/>
      <c r="H822" s="78"/>
      <c r="I822" s="78"/>
      <c r="J822" s="78"/>
      <c r="K822" s="52"/>
    </row>
    <row r="823" spans="2:11">
      <c r="B823" s="54" t="s">
        <v>509</v>
      </c>
      <c r="C823" s="75" t="s">
        <v>138</v>
      </c>
      <c r="D823" s="75" t="s">
        <v>1986</v>
      </c>
      <c r="E823" s="87" t="s">
        <v>1987</v>
      </c>
      <c r="F823" s="76" t="s">
        <v>141</v>
      </c>
      <c r="G823" s="77"/>
      <c r="H823" s="78"/>
      <c r="I823" s="78"/>
      <c r="J823" s="78"/>
      <c r="K823" s="52"/>
    </row>
    <row r="824" spans="2:11">
      <c r="B824" s="54" t="s">
        <v>509</v>
      </c>
      <c r="C824" s="75" t="s">
        <v>138</v>
      </c>
      <c r="D824" s="87" t="s">
        <v>1988</v>
      </c>
      <c r="E824" s="87" t="s">
        <v>1989</v>
      </c>
      <c r="F824" s="76" t="s">
        <v>141</v>
      </c>
      <c r="G824" s="77"/>
      <c r="H824" s="78"/>
      <c r="I824" s="78"/>
      <c r="J824" s="78"/>
      <c r="K824" s="52"/>
    </row>
    <row r="825" spans="2:11">
      <c r="B825" s="54" t="s">
        <v>509</v>
      </c>
      <c r="C825" s="75" t="s">
        <v>138</v>
      </c>
      <c r="D825" s="87" t="s">
        <v>1990</v>
      </c>
      <c r="E825" s="87" t="s">
        <v>1991</v>
      </c>
      <c r="F825" s="76" t="s">
        <v>141</v>
      </c>
      <c r="G825" s="77"/>
      <c r="H825" s="78"/>
      <c r="I825" s="78"/>
      <c r="J825" s="78"/>
      <c r="K825" s="52"/>
    </row>
    <row r="826" spans="2:11">
      <c r="B826" s="54" t="s">
        <v>509</v>
      </c>
      <c r="C826" s="75" t="s">
        <v>138</v>
      </c>
      <c r="D826" s="87" t="s">
        <v>1992</v>
      </c>
      <c r="E826" s="87" t="s">
        <v>1993</v>
      </c>
      <c r="F826" s="76" t="s">
        <v>141</v>
      </c>
      <c r="G826" s="77"/>
      <c r="H826" s="78"/>
      <c r="I826" s="78"/>
      <c r="J826" s="78"/>
      <c r="K826" s="52"/>
    </row>
    <row r="827" spans="2:11">
      <c r="B827" s="54" t="s">
        <v>509</v>
      </c>
      <c r="C827" s="75" t="s">
        <v>138</v>
      </c>
      <c r="D827" s="87" t="s">
        <v>1994</v>
      </c>
      <c r="E827" s="87" t="s">
        <v>1995</v>
      </c>
      <c r="F827" s="76" t="s">
        <v>141</v>
      </c>
      <c r="G827" s="77"/>
      <c r="H827" s="78"/>
      <c r="I827" s="78"/>
      <c r="J827" s="78"/>
      <c r="K827" s="52"/>
    </row>
    <row r="828" spans="2:11">
      <c r="B828" s="54" t="s">
        <v>509</v>
      </c>
      <c r="C828" s="75" t="s">
        <v>138</v>
      </c>
      <c r="D828" s="76" t="s">
        <v>1996</v>
      </c>
      <c r="E828" s="76" t="s">
        <v>1997</v>
      </c>
      <c r="F828" s="76" t="s">
        <v>141</v>
      </c>
      <c r="G828" s="77"/>
      <c r="H828" s="78"/>
      <c r="I828" s="78"/>
      <c r="J828" s="78"/>
      <c r="K828" s="52"/>
    </row>
    <row r="829" spans="2:11">
      <c r="B829" s="54" t="s">
        <v>509</v>
      </c>
      <c r="C829" s="55" t="s">
        <v>138</v>
      </c>
      <c r="D829" s="21" t="s">
        <v>1312</v>
      </c>
      <c r="E829" s="21" t="s">
        <v>1313</v>
      </c>
      <c r="F829" s="21" t="s">
        <v>141</v>
      </c>
      <c r="G829" s="39"/>
      <c r="H829" s="21"/>
      <c r="I829" s="39"/>
      <c r="J829" s="39"/>
    </row>
    <row r="830" spans="2:11">
      <c r="B830" s="54" t="s">
        <v>509</v>
      </c>
      <c r="C830" s="55" t="s">
        <v>138</v>
      </c>
      <c r="D830" s="21" t="s">
        <v>1314</v>
      </c>
      <c r="E830" s="21" t="s">
        <v>1315</v>
      </c>
      <c r="F830" s="21" t="s">
        <v>523</v>
      </c>
      <c r="G830" s="39"/>
      <c r="H830" s="21"/>
      <c r="I830" s="39"/>
      <c r="J830" s="39"/>
    </row>
    <row r="831" spans="2:11">
      <c r="B831" s="54" t="s">
        <v>509</v>
      </c>
      <c r="C831" s="55" t="s">
        <v>138</v>
      </c>
      <c r="D831" s="21" t="s">
        <v>1316</v>
      </c>
      <c r="E831" s="21" t="s">
        <v>1317</v>
      </c>
      <c r="F831" s="21" t="s">
        <v>141</v>
      </c>
      <c r="G831" s="39"/>
      <c r="H831" s="21"/>
      <c r="I831" s="39"/>
      <c r="J831" s="39"/>
    </row>
    <row r="832" spans="2:11">
      <c r="B832" s="54" t="s">
        <v>509</v>
      </c>
      <c r="C832" s="55" t="s">
        <v>138</v>
      </c>
      <c r="D832" s="21" t="s">
        <v>1318</v>
      </c>
      <c r="E832" s="21" t="s">
        <v>1319</v>
      </c>
      <c r="F832" s="21" t="s">
        <v>141</v>
      </c>
      <c r="G832" s="39"/>
      <c r="H832" s="21"/>
      <c r="I832" s="39"/>
      <c r="J832" s="39"/>
    </row>
    <row r="833" spans="2:10">
      <c r="B833" s="54" t="s">
        <v>509</v>
      </c>
      <c r="C833" s="55" t="s">
        <v>138</v>
      </c>
      <c r="D833" s="21" t="s">
        <v>1320</v>
      </c>
      <c r="E833" s="21" t="s">
        <v>1321</v>
      </c>
      <c r="F833" s="21" t="s">
        <v>141</v>
      </c>
      <c r="G833" s="39"/>
      <c r="H833" s="21"/>
      <c r="I833" s="39"/>
      <c r="J833" s="39"/>
    </row>
    <row r="834" spans="2:10">
      <c r="B834" s="54" t="s">
        <v>509</v>
      </c>
      <c r="C834" s="55" t="s">
        <v>138</v>
      </c>
      <c r="D834" s="21" t="s">
        <v>1310</v>
      </c>
      <c r="E834" s="21" t="s">
        <v>1311</v>
      </c>
      <c r="F834" s="21" t="s">
        <v>141</v>
      </c>
      <c r="G834" s="39"/>
      <c r="H834" s="21"/>
      <c r="I834" s="39"/>
      <c r="J834" s="39"/>
    </row>
    <row r="835" spans="2:10">
      <c r="B835" s="54" t="s">
        <v>509</v>
      </c>
      <c r="C835" s="55" t="s">
        <v>138</v>
      </c>
      <c r="D835" s="21" t="s">
        <v>1306</v>
      </c>
      <c r="E835" s="21" t="s">
        <v>1307</v>
      </c>
      <c r="F835" s="21" t="s">
        <v>141</v>
      </c>
      <c r="G835" s="39"/>
      <c r="H835" s="21"/>
      <c r="I835" s="39"/>
      <c r="J835" s="39"/>
    </row>
    <row r="836" spans="2:10">
      <c r="B836" s="54" t="s">
        <v>509</v>
      </c>
      <c r="C836" s="55" t="s">
        <v>138</v>
      </c>
      <c r="D836" s="21" t="s">
        <v>1304</v>
      </c>
      <c r="E836" s="21" t="s">
        <v>1305</v>
      </c>
      <c r="F836" s="21" t="s">
        <v>141</v>
      </c>
      <c r="G836" s="39"/>
      <c r="H836" s="21"/>
      <c r="I836" s="39"/>
      <c r="J836" s="39"/>
    </row>
    <row r="837" spans="2:10">
      <c r="B837" s="54" t="s">
        <v>509</v>
      </c>
      <c r="C837" s="55" t="s">
        <v>138</v>
      </c>
      <c r="D837" s="21" t="s">
        <v>1308</v>
      </c>
      <c r="E837" s="21" t="s">
        <v>1309</v>
      </c>
      <c r="F837" s="21" t="s">
        <v>141</v>
      </c>
      <c r="G837" s="39"/>
      <c r="H837" s="21"/>
      <c r="I837" s="39"/>
      <c r="J837" s="39"/>
    </row>
    <row r="838" spans="2:10">
      <c r="B838" s="54" t="s">
        <v>509</v>
      </c>
      <c r="C838" s="55" t="s">
        <v>138</v>
      </c>
      <c r="D838" s="21" t="s">
        <v>1420</v>
      </c>
      <c r="E838" s="21" t="s">
        <v>1421</v>
      </c>
      <c r="F838" s="21" t="s">
        <v>1422</v>
      </c>
      <c r="G838" s="39"/>
      <c r="H838" s="21"/>
      <c r="I838" s="39"/>
      <c r="J838" s="39"/>
    </row>
    <row r="839" spans="2:10">
      <c r="B839" s="54" t="s">
        <v>509</v>
      </c>
      <c r="C839" s="55" t="s">
        <v>138</v>
      </c>
      <c r="D839" s="21" t="s">
        <v>2022</v>
      </c>
      <c r="E839" s="21" t="s">
        <v>2024</v>
      </c>
      <c r="F839" s="21" t="s">
        <v>1423</v>
      </c>
      <c r="G839" s="39"/>
      <c r="H839" s="21"/>
      <c r="I839" s="39"/>
      <c r="J839" s="39"/>
    </row>
    <row r="840" spans="2:10">
      <c r="B840" s="54" t="s">
        <v>509</v>
      </c>
      <c r="C840" s="55" t="s">
        <v>138</v>
      </c>
      <c r="D840" s="21" t="s">
        <v>2023</v>
      </c>
      <c r="E840" s="21" t="s">
        <v>2025</v>
      </c>
      <c r="F840" s="21" t="s">
        <v>1423</v>
      </c>
      <c r="G840" s="39"/>
      <c r="H840" s="21"/>
      <c r="I840" s="39"/>
      <c r="J840" s="39"/>
    </row>
    <row r="841" spans="2:10">
      <c r="B841" s="54" t="s">
        <v>509</v>
      </c>
      <c r="C841" s="55" t="s">
        <v>138</v>
      </c>
      <c r="D841" s="21" t="s">
        <v>1432</v>
      </c>
      <c r="E841" s="21" t="s">
        <v>1433</v>
      </c>
      <c r="F841" s="21" t="s">
        <v>1423</v>
      </c>
      <c r="G841" s="39"/>
      <c r="H841" s="21"/>
      <c r="I841" s="39"/>
      <c r="J841" s="39"/>
    </row>
    <row r="842" spans="2:10" s="94" customFormat="1">
      <c r="B842" s="101" t="s">
        <v>509</v>
      </c>
      <c r="C842" s="98" t="s">
        <v>138</v>
      </c>
      <c r="D842" s="100" t="s">
        <v>2121</v>
      </c>
      <c r="E842" s="100" t="s">
        <v>2122</v>
      </c>
      <c r="F842" s="100" t="s">
        <v>1423</v>
      </c>
      <c r="G842" s="102"/>
      <c r="H842" s="100"/>
      <c r="I842" s="102"/>
      <c r="J842" s="102"/>
    </row>
    <row r="843" spans="2:10" s="94" customFormat="1">
      <c r="B843" s="101" t="s">
        <v>509</v>
      </c>
      <c r="C843" s="98" t="s">
        <v>138</v>
      </c>
      <c r="D843" s="100" t="s">
        <v>2123</v>
      </c>
      <c r="E843" s="100" t="s">
        <v>2124</v>
      </c>
      <c r="F843" s="100" t="s">
        <v>1423</v>
      </c>
      <c r="G843" s="102"/>
      <c r="H843" s="100"/>
      <c r="I843" s="102"/>
      <c r="J843" s="102"/>
    </row>
    <row r="844" spans="2:10">
      <c r="B844" s="54" t="s">
        <v>509</v>
      </c>
      <c r="C844" s="55" t="s">
        <v>138</v>
      </c>
      <c r="D844" s="21" t="s">
        <v>1465</v>
      </c>
      <c r="E844" s="21" t="s">
        <v>1475</v>
      </c>
      <c r="F844" s="21" t="s">
        <v>1423</v>
      </c>
      <c r="G844" s="39"/>
      <c r="H844" s="21"/>
      <c r="I844" s="39"/>
      <c r="J844" s="39"/>
    </row>
    <row r="845" spans="2:10">
      <c r="B845" s="54" t="s">
        <v>509</v>
      </c>
      <c r="C845" s="55" t="s">
        <v>138</v>
      </c>
      <c r="D845" s="21" t="s">
        <v>1424</v>
      </c>
      <c r="E845" s="21" t="s">
        <v>1476</v>
      </c>
      <c r="F845" s="21" t="s">
        <v>1423</v>
      </c>
      <c r="G845" s="39"/>
      <c r="H845" s="21"/>
      <c r="I845" s="39"/>
      <c r="J845" s="39"/>
    </row>
    <row r="846" spans="2:10">
      <c r="B846" s="54" t="s">
        <v>509</v>
      </c>
      <c r="C846" s="55" t="s">
        <v>138</v>
      </c>
      <c r="D846" s="51" t="s">
        <v>1469</v>
      </c>
      <c r="E846" s="51" t="s">
        <v>1470</v>
      </c>
      <c r="F846" s="51" t="s">
        <v>141</v>
      </c>
      <c r="G846" s="39"/>
      <c r="H846" s="21"/>
      <c r="I846" s="39"/>
      <c r="J846" s="39"/>
    </row>
    <row r="847" spans="2:10">
      <c r="B847" s="54" t="s">
        <v>509</v>
      </c>
      <c r="C847" s="55" t="s">
        <v>138</v>
      </c>
      <c r="D847" s="51" t="s">
        <v>1471</v>
      </c>
      <c r="E847" s="51" t="s">
        <v>1472</v>
      </c>
      <c r="F847" s="51" t="s">
        <v>141</v>
      </c>
      <c r="G847" s="39"/>
      <c r="H847" s="21"/>
      <c r="I847" s="39"/>
      <c r="J847" s="39"/>
    </row>
    <row r="848" spans="2:10">
      <c r="B848" s="54" t="s">
        <v>509</v>
      </c>
      <c r="C848" s="55" t="s">
        <v>138</v>
      </c>
      <c r="D848" s="21" t="s">
        <v>1428</v>
      </c>
      <c r="E848" s="21" t="s">
        <v>1429</v>
      </c>
      <c r="F848" s="21" t="s">
        <v>1427</v>
      </c>
      <c r="G848" s="39"/>
      <c r="H848" s="21"/>
      <c r="I848" s="39"/>
      <c r="J848" s="39"/>
    </row>
    <row r="849" spans="2:11">
      <c r="B849" s="54" t="s">
        <v>509</v>
      </c>
      <c r="C849" s="55" t="s">
        <v>138</v>
      </c>
      <c r="D849" s="21" t="s">
        <v>1430</v>
      </c>
      <c r="E849" s="21" t="s">
        <v>1431</v>
      </c>
      <c r="F849" s="21" t="s">
        <v>1422</v>
      </c>
      <c r="G849" s="39"/>
      <c r="H849" s="21"/>
      <c r="I849" s="39"/>
      <c r="J849" s="39"/>
    </row>
    <row r="850" spans="2:11">
      <c r="B850" s="54" t="s">
        <v>509</v>
      </c>
      <c r="C850" s="55" t="s">
        <v>138</v>
      </c>
      <c r="D850" s="21" t="s">
        <v>1425</v>
      </c>
      <c r="E850" s="21" t="s">
        <v>1426</v>
      </c>
      <c r="F850" s="21" t="s">
        <v>1427</v>
      </c>
      <c r="G850" s="39"/>
      <c r="H850" s="21"/>
      <c r="I850" s="39"/>
      <c r="J850" s="39"/>
    </row>
    <row r="851" spans="2:11" ht="13">
      <c r="B851" s="26" t="s">
        <v>294</v>
      </c>
      <c r="C851" s="26" t="s">
        <v>138</v>
      </c>
      <c r="D851" s="26" t="s">
        <v>365</v>
      </c>
      <c r="E851" s="26" t="s">
        <v>366</v>
      </c>
      <c r="F851" s="26" t="s">
        <v>167</v>
      </c>
      <c r="G851" s="28"/>
      <c r="H851" s="21"/>
      <c r="I851" s="26"/>
      <c r="J851" s="26"/>
    </row>
    <row r="852" spans="2:11" ht="13">
      <c r="B852" s="26" t="s">
        <v>294</v>
      </c>
      <c r="C852" s="26" t="s">
        <v>138</v>
      </c>
      <c r="D852" s="47" t="s">
        <v>367</v>
      </c>
      <c r="E852" s="26" t="s">
        <v>368</v>
      </c>
      <c r="F852" s="26" t="s">
        <v>297</v>
      </c>
      <c r="G852" s="28"/>
      <c r="H852" s="21"/>
      <c r="I852" s="26"/>
      <c r="J852" s="26"/>
    </row>
    <row r="853" spans="2:11">
      <c r="B853" s="26" t="s">
        <v>294</v>
      </c>
      <c r="C853" s="21" t="s">
        <v>138</v>
      </c>
      <c r="D853" s="21" t="s">
        <v>762</v>
      </c>
      <c r="E853" s="21" t="s">
        <v>763</v>
      </c>
      <c r="F853" s="21" t="s">
        <v>297</v>
      </c>
      <c r="G853" s="21"/>
      <c r="H853" s="21"/>
      <c r="I853" s="21"/>
      <c r="J853" s="21"/>
    </row>
    <row r="854" spans="2:11">
      <c r="B854" s="26" t="s">
        <v>294</v>
      </c>
      <c r="C854" s="21" t="s">
        <v>138</v>
      </c>
      <c r="D854" s="21" t="s">
        <v>736</v>
      </c>
      <c r="E854" s="21" t="s">
        <v>737</v>
      </c>
      <c r="F854" s="21" t="s">
        <v>297</v>
      </c>
      <c r="G854" s="21"/>
      <c r="H854" s="21"/>
      <c r="I854" s="21"/>
      <c r="J854" s="21"/>
    </row>
    <row r="855" spans="2:11">
      <c r="B855" s="26" t="s">
        <v>294</v>
      </c>
      <c r="C855" s="56" t="s">
        <v>138</v>
      </c>
      <c r="D855" s="53" t="s">
        <v>554</v>
      </c>
      <c r="E855" s="53" t="s">
        <v>555</v>
      </c>
      <c r="F855" s="53" t="s">
        <v>297</v>
      </c>
      <c r="G855" s="56"/>
      <c r="H855" s="21"/>
      <c r="I855" s="56"/>
      <c r="J855" s="56"/>
      <c r="K855" s="56"/>
    </row>
    <row r="856" spans="2:11">
      <c r="B856" s="26" t="s">
        <v>294</v>
      </c>
      <c r="C856" s="56" t="s">
        <v>138</v>
      </c>
      <c r="D856" s="53" t="s">
        <v>550</v>
      </c>
      <c r="E856" s="53" t="s">
        <v>551</v>
      </c>
      <c r="F856" s="53" t="s">
        <v>297</v>
      </c>
      <c r="G856" s="54"/>
      <c r="H856" s="21"/>
      <c r="I856" s="54"/>
      <c r="J856" s="54"/>
      <c r="K856" s="56"/>
    </row>
    <row r="857" spans="2:11">
      <c r="B857" s="26" t="s">
        <v>294</v>
      </c>
      <c r="C857" s="56" t="s">
        <v>138</v>
      </c>
      <c r="D857" s="53" t="s">
        <v>548</v>
      </c>
      <c r="E857" s="53" t="s">
        <v>549</v>
      </c>
      <c r="F857" s="53" t="s">
        <v>297</v>
      </c>
      <c r="G857" s="54"/>
      <c r="H857" s="21"/>
      <c r="I857" s="54"/>
      <c r="J857" s="54"/>
      <c r="K857" s="56"/>
    </row>
    <row r="858" spans="2:11">
      <c r="B858" s="26" t="s">
        <v>294</v>
      </c>
      <c r="C858" s="56" t="s">
        <v>138</v>
      </c>
      <c r="D858" s="53" t="s">
        <v>538</v>
      </c>
      <c r="E858" s="53" t="s">
        <v>539</v>
      </c>
      <c r="F858" s="53" t="s">
        <v>167</v>
      </c>
      <c r="G858" s="54"/>
      <c r="H858" s="21"/>
      <c r="I858" s="54"/>
      <c r="J858" s="54"/>
      <c r="K858" s="56"/>
    </row>
    <row r="859" spans="2:11">
      <c r="B859" s="26" t="s">
        <v>294</v>
      </c>
      <c r="C859" s="56" t="s">
        <v>138</v>
      </c>
      <c r="D859" s="53" t="s">
        <v>2062</v>
      </c>
      <c r="E859" s="53" t="s">
        <v>2063</v>
      </c>
      <c r="F859" s="53" t="s">
        <v>167</v>
      </c>
      <c r="G859" s="54"/>
      <c r="H859" s="21"/>
      <c r="I859" s="54"/>
      <c r="J859" s="54"/>
      <c r="K859" s="56"/>
    </row>
    <row r="860" spans="2:11">
      <c r="B860" s="26" t="s">
        <v>294</v>
      </c>
      <c r="C860" s="56" t="s">
        <v>138</v>
      </c>
      <c r="D860" s="53" t="s">
        <v>552</v>
      </c>
      <c r="E860" s="53" t="s">
        <v>553</v>
      </c>
      <c r="F860" s="53" t="s">
        <v>297</v>
      </c>
      <c r="G860" s="54"/>
      <c r="H860" s="21"/>
      <c r="I860" s="54"/>
      <c r="J860" s="54"/>
      <c r="K860" s="56"/>
    </row>
    <row r="861" spans="2:11">
      <c r="B861" s="26" t="s">
        <v>294</v>
      </c>
      <c r="C861" s="56" t="s">
        <v>138</v>
      </c>
      <c r="D861" s="53" t="s">
        <v>540</v>
      </c>
      <c r="E861" s="53" t="s">
        <v>541</v>
      </c>
      <c r="F861" s="53" t="s">
        <v>297</v>
      </c>
      <c r="G861" s="54"/>
      <c r="H861" s="21"/>
      <c r="I861" s="54"/>
      <c r="J861" s="54"/>
      <c r="K861" s="56"/>
    </row>
    <row r="862" spans="2:11">
      <c r="B862" s="26" t="s">
        <v>294</v>
      </c>
      <c r="C862" s="56" t="s">
        <v>138</v>
      </c>
      <c r="D862" s="53" t="s">
        <v>556</v>
      </c>
      <c r="E862" s="53" t="s">
        <v>557</v>
      </c>
      <c r="F862" s="53" t="s">
        <v>297</v>
      </c>
      <c r="G862" s="56"/>
      <c r="H862" s="21"/>
      <c r="I862" s="56"/>
      <c r="J862" s="56"/>
      <c r="K862" s="56"/>
    </row>
    <row r="863" spans="2:11">
      <c r="B863" s="26" t="s">
        <v>294</v>
      </c>
      <c r="C863" s="56" t="s">
        <v>138</v>
      </c>
      <c r="D863" s="53" t="s">
        <v>542</v>
      </c>
      <c r="E863" s="53" t="s">
        <v>543</v>
      </c>
      <c r="F863" s="53" t="s">
        <v>297</v>
      </c>
      <c r="G863" s="54"/>
      <c r="H863" s="21"/>
      <c r="I863" s="54"/>
      <c r="J863" s="54"/>
      <c r="K863" s="56"/>
    </row>
    <row r="864" spans="2:11">
      <c r="B864" s="26" t="s">
        <v>294</v>
      </c>
      <c r="C864" s="56" t="s">
        <v>138</v>
      </c>
      <c r="D864" s="53" t="s">
        <v>544</v>
      </c>
      <c r="E864" s="53" t="s">
        <v>545</v>
      </c>
      <c r="F864" s="53" t="s">
        <v>297</v>
      </c>
      <c r="G864" s="54"/>
      <c r="H864" s="21"/>
      <c r="I864" s="54"/>
      <c r="J864" s="54"/>
      <c r="K864" s="56"/>
    </row>
    <row r="865" spans="2:11">
      <c r="B865" s="26" t="s">
        <v>294</v>
      </c>
      <c r="C865" s="56" t="s">
        <v>138</v>
      </c>
      <c r="D865" s="53" t="s">
        <v>558</v>
      </c>
      <c r="E865" s="53" t="s">
        <v>559</v>
      </c>
      <c r="F865" s="53" t="s">
        <v>297</v>
      </c>
      <c r="G865" s="56"/>
      <c r="H865" s="21"/>
      <c r="I865" s="56"/>
      <c r="J865" s="56"/>
      <c r="K865" s="56"/>
    </row>
    <row r="866" spans="2:11">
      <c r="B866" s="26" t="s">
        <v>294</v>
      </c>
      <c r="C866" s="56" t="s">
        <v>138</v>
      </c>
      <c r="D866" s="53" t="s">
        <v>546</v>
      </c>
      <c r="E866" s="53" t="s">
        <v>547</v>
      </c>
      <c r="F866" s="53" t="s">
        <v>297</v>
      </c>
      <c r="G866" s="54"/>
      <c r="H866" s="21"/>
      <c r="I866" s="54"/>
      <c r="J866" s="54"/>
      <c r="K866" s="56"/>
    </row>
    <row r="867" spans="2:11">
      <c r="B867" s="26" t="s">
        <v>294</v>
      </c>
      <c r="C867" s="21" t="s">
        <v>138</v>
      </c>
      <c r="D867" s="21" t="s">
        <v>782</v>
      </c>
      <c r="E867" s="21" t="s">
        <v>783</v>
      </c>
      <c r="F867" s="21" t="s">
        <v>297</v>
      </c>
      <c r="G867" s="21"/>
      <c r="H867" s="21"/>
      <c r="I867" s="21"/>
      <c r="J867" s="21"/>
    </row>
    <row r="868" spans="2:11">
      <c r="B868" s="26" t="s">
        <v>294</v>
      </c>
      <c r="C868" s="21" t="s">
        <v>138</v>
      </c>
      <c r="D868" s="21" t="s">
        <v>776</v>
      </c>
      <c r="E868" s="21" t="s">
        <v>777</v>
      </c>
      <c r="F868" s="21" t="s">
        <v>297</v>
      </c>
      <c r="G868" s="21"/>
      <c r="H868" s="21"/>
      <c r="I868" s="21"/>
      <c r="J868" s="21"/>
    </row>
    <row r="869" spans="2:11">
      <c r="B869" s="26" t="s">
        <v>294</v>
      </c>
      <c r="C869" s="21" t="s">
        <v>138</v>
      </c>
      <c r="D869" s="21" t="s">
        <v>774</v>
      </c>
      <c r="E869" s="21" t="s">
        <v>775</v>
      </c>
      <c r="F869" s="21" t="s">
        <v>297</v>
      </c>
      <c r="G869" s="21"/>
      <c r="H869" s="21"/>
      <c r="I869" s="21"/>
      <c r="J869" s="21"/>
    </row>
    <row r="870" spans="2:11">
      <c r="B870" s="26" t="s">
        <v>294</v>
      </c>
      <c r="C870" s="21" t="s">
        <v>138</v>
      </c>
      <c r="D870" s="21" t="s">
        <v>760</v>
      </c>
      <c r="E870" s="21" t="s">
        <v>761</v>
      </c>
      <c r="F870" s="21" t="s">
        <v>167</v>
      </c>
      <c r="G870" s="21"/>
      <c r="H870" s="21"/>
      <c r="I870" s="21"/>
      <c r="J870" s="21"/>
    </row>
    <row r="871" spans="2:11">
      <c r="B871" s="26" t="s">
        <v>294</v>
      </c>
      <c r="C871" s="21" t="s">
        <v>138</v>
      </c>
      <c r="D871" s="21" t="s">
        <v>2064</v>
      </c>
      <c r="E871" s="21" t="s">
        <v>2065</v>
      </c>
      <c r="F871" s="21" t="s">
        <v>167</v>
      </c>
      <c r="G871" s="21"/>
      <c r="H871" s="21"/>
      <c r="I871" s="21"/>
      <c r="J871" s="21"/>
    </row>
    <row r="872" spans="2:11" ht="13">
      <c r="B872" s="26" t="s">
        <v>294</v>
      </c>
      <c r="C872" s="71" t="s">
        <v>369</v>
      </c>
      <c r="D872" s="21" t="s">
        <v>788</v>
      </c>
      <c r="E872" s="21" t="s">
        <v>789</v>
      </c>
      <c r="F872" s="21" t="s">
        <v>790</v>
      </c>
      <c r="G872" s="21"/>
      <c r="H872" s="21"/>
      <c r="I872" s="21"/>
      <c r="J872" s="21"/>
    </row>
    <row r="873" spans="2:11" ht="13">
      <c r="B873" s="26" t="s">
        <v>294</v>
      </c>
      <c r="C873" s="71" t="s">
        <v>369</v>
      </c>
      <c r="D873" s="21" t="s">
        <v>791</v>
      </c>
      <c r="E873" s="21" t="s">
        <v>792</v>
      </c>
      <c r="F873" s="21" t="s">
        <v>790</v>
      </c>
      <c r="G873" s="21"/>
      <c r="H873" s="21"/>
      <c r="I873" s="21"/>
      <c r="J873" s="21"/>
    </row>
    <row r="874" spans="2:11" ht="13">
      <c r="B874" s="26" t="s">
        <v>294</v>
      </c>
      <c r="C874" s="71" t="s">
        <v>138</v>
      </c>
      <c r="D874" s="21" t="s">
        <v>2083</v>
      </c>
      <c r="E874" s="21" t="s">
        <v>2084</v>
      </c>
      <c r="F874" s="21" t="s">
        <v>790</v>
      </c>
      <c r="G874" s="21"/>
      <c r="H874" s="21"/>
      <c r="I874" s="21"/>
      <c r="J874" s="21"/>
    </row>
    <row r="875" spans="2:11">
      <c r="B875" s="26" t="s">
        <v>294</v>
      </c>
      <c r="C875" s="21" t="s">
        <v>138</v>
      </c>
      <c r="D875" s="21" t="s">
        <v>778</v>
      </c>
      <c r="E875" s="21" t="s">
        <v>779</v>
      </c>
      <c r="F875" s="21" t="s">
        <v>297</v>
      </c>
      <c r="G875" s="21"/>
      <c r="H875" s="21"/>
      <c r="I875" s="21"/>
      <c r="J875" s="21"/>
    </row>
    <row r="876" spans="2:11">
      <c r="B876" s="26" t="s">
        <v>294</v>
      </c>
      <c r="C876" s="21" t="s">
        <v>138</v>
      </c>
      <c r="D876" s="21" t="s">
        <v>780</v>
      </c>
      <c r="E876" s="21" t="s">
        <v>781</v>
      </c>
      <c r="F876" s="21" t="s">
        <v>297</v>
      </c>
      <c r="G876" s="21"/>
      <c r="H876" s="21"/>
      <c r="I876" s="21"/>
      <c r="J876" s="21"/>
    </row>
    <row r="877" spans="2:11">
      <c r="B877" s="26" t="s">
        <v>294</v>
      </c>
      <c r="C877" s="21" t="s">
        <v>138</v>
      </c>
      <c r="D877" s="21" t="s">
        <v>766</v>
      </c>
      <c r="E877" s="21" t="s">
        <v>767</v>
      </c>
      <c r="F877" s="21" t="s">
        <v>297</v>
      </c>
      <c r="G877" s="21"/>
      <c r="H877" s="21"/>
      <c r="I877" s="21"/>
      <c r="J877" s="21"/>
    </row>
    <row r="878" spans="2:11">
      <c r="B878" s="26" t="s">
        <v>294</v>
      </c>
      <c r="C878" s="21" t="s">
        <v>138</v>
      </c>
      <c r="D878" s="21" t="s">
        <v>784</v>
      </c>
      <c r="E878" s="21" t="s">
        <v>785</v>
      </c>
      <c r="F878" s="21" t="s">
        <v>297</v>
      </c>
      <c r="G878" s="21"/>
      <c r="H878" s="21"/>
      <c r="I878" s="21"/>
      <c r="J878" s="21"/>
    </row>
    <row r="879" spans="2:11">
      <c r="B879" s="26" t="s">
        <v>294</v>
      </c>
      <c r="C879" s="21" t="s">
        <v>138</v>
      </c>
      <c r="D879" s="21" t="s">
        <v>768</v>
      </c>
      <c r="E879" s="21" t="s">
        <v>769</v>
      </c>
      <c r="F879" s="21" t="s">
        <v>297</v>
      </c>
      <c r="G879" s="21"/>
      <c r="H879" s="21"/>
      <c r="I879" s="21"/>
      <c r="J879" s="21"/>
    </row>
    <row r="880" spans="2:11">
      <c r="B880" s="26" t="s">
        <v>294</v>
      </c>
      <c r="C880" s="21" t="s">
        <v>138</v>
      </c>
      <c r="D880" s="21" t="s">
        <v>770</v>
      </c>
      <c r="E880" s="21" t="s">
        <v>771</v>
      </c>
      <c r="F880" s="21" t="s">
        <v>297</v>
      </c>
      <c r="G880" s="21"/>
      <c r="H880" s="21"/>
      <c r="I880" s="21"/>
      <c r="J880" s="21"/>
    </row>
    <row r="881" spans="2:11">
      <c r="B881" s="26" t="s">
        <v>294</v>
      </c>
      <c r="C881" s="21" t="s">
        <v>138</v>
      </c>
      <c r="D881" s="21" t="s">
        <v>764</v>
      </c>
      <c r="E881" s="21" t="s">
        <v>765</v>
      </c>
      <c r="F881" s="21" t="s">
        <v>297</v>
      </c>
      <c r="G881" s="21"/>
      <c r="H881" s="21"/>
      <c r="I881" s="21"/>
      <c r="J881" s="21"/>
    </row>
    <row r="882" spans="2:11">
      <c r="B882" s="26" t="s">
        <v>294</v>
      </c>
      <c r="C882" s="21" t="s">
        <v>138</v>
      </c>
      <c r="D882" s="21" t="s">
        <v>772</v>
      </c>
      <c r="E882" s="21" t="s">
        <v>773</v>
      </c>
      <c r="F882" s="21" t="s">
        <v>297</v>
      </c>
      <c r="G882" s="21"/>
      <c r="H882" s="21"/>
      <c r="I882" s="21"/>
      <c r="J882" s="21"/>
    </row>
    <row r="883" spans="2:11" ht="13">
      <c r="B883" s="26" t="s">
        <v>294</v>
      </c>
      <c r="C883" s="21" t="s">
        <v>138</v>
      </c>
      <c r="D883" s="21" t="s">
        <v>295</v>
      </c>
      <c r="E883" s="21" t="s">
        <v>296</v>
      </c>
      <c r="F883" s="71" t="s">
        <v>167</v>
      </c>
      <c r="G883" s="26"/>
      <c r="H883" s="21"/>
      <c r="I883" s="26"/>
      <c r="J883" s="26"/>
    </row>
    <row r="884" spans="2:11">
      <c r="B884" s="26" t="s">
        <v>294</v>
      </c>
      <c r="C884" s="21" t="s">
        <v>138</v>
      </c>
      <c r="D884" s="21" t="s">
        <v>298</v>
      </c>
      <c r="E884" s="21" t="s">
        <v>299</v>
      </c>
      <c r="F884" s="21" t="s">
        <v>297</v>
      </c>
      <c r="G884" s="26"/>
      <c r="H884" s="21"/>
      <c r="I884" s="26"/>
      <c r="J884" s="26"/>
    </row>
    <row r="885" spans="2:11">
      <c r="B885" s="26" t="s">
        <v>294</v>
      </c>
      <c r="C885" s="21" t="s">
        <v>138</v>
      </c>
      <c r="D885" s="21" t="s">
        <v>300</v>
      </c>
      <c r="E885" s="21" t="s">
        <v>301</v>
      </c>
      <c r="F885" s="21" t="s">
        <v>297</v>
      </c>
      <c r="G885" s="26"/>
      <c r="H885" s="21"/>
      <c r="I885" s="26"/>
      <c r="J885" s="26"/>
    </row>
    <row r="886" spans="2:11">
      <c r="B886" s="26" t="s">
        <v>294</v>
      </c>
      <c r="C886" s="21" t="s">
        <v>138</v>
      </c>
      <c r="D886" s="21" t="s">
        <v>302</v>
      </c>
      <c r="E886" s="21" t="s">
        <v>303</v>
      </c>
      <c r="F886" s="21" t="s">
        <v>297</v>
      </c>
      <c r="G886" s="26"/>
      <c r="H886" s="21"/>
      <c r="I886" s="26"/>
      <c r="J886" s="26"/>
    </row>
    <row r="887" spans="2:11">
      <c r="B887" s="26" t="s">
        <v>294</v>
      </c>
      <c r="C887" s="49" t="s">
        <v>138</v>
      </c>
      <c r="D887" s="49" t="s">
        <v>827</v>
      </c>
      <c r="E887" s="49" t="s">
        <v>828</v>
      </c>
      <c r="F887" s="49" t="s">
        <v>297</v>
      </c>
      <c r="G887" s="49"/>
      <c r="H887" s="21"/>
      <c r="I887" s="49"/>
      <c r="J887" s="49"/>
      <c r="K887" s="52"/>
    </row>
    <row r="888" spans="2:11">
      <c r="B888" s="26" t="s">
        <v>294</v>
      </c>
      <c r="C888" s="49" t="s">
        <v>138</v>
      </c>
      <c r="D888" s="49" t="s">
        <v>823</v>
      </c>
      <c r="E888" s="49" t="s">
        <v>824</v>
      </c>
      <c r="F888" s="49" t="s">
        <v>297</v>
      </c>
      <c r="G888" s="49"/>
      <c r="H888" s="21"/>
      <c r="I888" s="49"/>
      <c r="J888" s="49"/>
      <c r="K888" s="52"/>
    </row>
    <row r="889" spans="2:11">
      <c r="B889" s="26" t="s">
        <v>294</v>
      </c>
      <c r="C889" s="49" t="s">
        <v>138</v>
      </c>
      <c r="D889" s="49" t="s">
        <v>821</v>
      </c>
      <c r="E889" s="49" t="s">
        <v>822</v>
      </c>
      <c r="F889" s="49" t="s">
        <v>297</v>
      </c>
      <c r="G889" s="49"/>
      <c r="H889" s="21"/>
      <c r="I889" s="49"/>
      <c r="J889" s="49"/>
      <c r="K889" s="52"/>
    </row>
    <row r="890" spans="2:11">
      <c r="B890" s="26" t="s">
        <v>294</v>
      </c>
      <c r="C890" s="52" t="s">
        <v>138</v>
      </c>
      <c r="D890" s="49" t="s">
        <v>809</v>
      </c>
      <c r="E890" s="49" t="s">
        <v>810</v>
      </c>
      <c r="F890" s="49" t="s">
        <v>167</v>
      </c>
      <c r="G890" s="49"/>
      <c r="H890" s="21"/>
      <c r="I890" s="49"/>
      <c r="J890" s="49"/>
      <c r="K890" s="52"/>
    </row>
    <row r="891" spans="2:11">
      <c r="B891" s="26" t="s">
        <v>294</v>
      </c>
      <c r="C891" s="52" t="s">
        <v>138</v>
      </c>
      <c r="D891" s="49" t="s">
        <v>2066</v>
      </c>
      <c r="E891" s="49" t="s">
        <v>2067</v>
      </c>
      <c r="F891" s="49" t="s">
        <v>167</v>
      </c>
      <c r="G891" s="49"/>
      <c r="H891" s="21"/>
      <c r="I891" s="49"/>
      <c r="J891" s="49"/>
      <c r="K891" s="52"/>
    </row>
    <row r="892" spans="2:11">
      <c r="B892" s="26" t="s">
        <v>294</v>
      </c>
      <c r="C892" s="49" t="s">
        <v>138</v>
      </c>
      <c r="D892" s="49" t="s">
        <v>825</v>
      </c>
      <c r="E892" s="49" t="s">
        <v>826</v>
      </c>
      <c r="F892" s="49" t="s">
        <v>297</v>
      </c>
      <c r="G892" s="49"/>
      <c r="H892" s="21"/>
      <c r="I892" s="49"/>
      <c r="J892" s="49"/>
      <c r="K892" s="52"/>
    </row>
    <row r="893" spans="2:11">
      <c r="B893" s="26" t="s">
        <v>294</v>
      </c>
      <c r="C893" s="49" t="s">
        <v>138</v>
      </c>
      <c r="D893" s="49" t="s">
        <v>811</v>
      </c>
      <c r="E893" s="49" t="s">
        <v>812</v>
      </c>
      <c r="F893" s="49" t="s">
        <v>297</v>
      </c>
      <c r="G893" s="49"/>
      <c r="H893" s="21"/>
      <c r="I893" s="49"/>
      <c r="J893" s="49"/>
      <c r="K893" s="52"/>
    </row>
    <row r="894" spans="2:11">
      <c r="B894" s="26" t="s">
        <v>294</v>
      </c>
      <c r="C894" s="49" t="s">
        <v>138</v>
      </c>
      <c r="D894" s="49" t="s">
        <v>829</v>
      </c>
      <c r="E894" s="49" t="s">
        <v>830</v>
      </c>
      <c r="F894" s="49" t="s">
        <v>297</v>
      </c>
      <c r="G894" s="49"/>
      <c r="H894" s="21"/>
      <c r="I894" s="49"/>
      <c r="J894" s="49"/>
      <c r="K894" s="52"/>
    </row>
    <row r="895" spans="2:11">
      <c r="B895" s="26" t="s">
        <v>294</v>
      </c>
      <c r="C895" s="49" t="s">
        <v>138</v>
      </c>
      <c r="D895" s="49" t="s">
        <v>815</v>
      </c>
      <c r="E895" s="49" t="s">
        <v>816</v>
      </c>
      <c r="F895" s="49" t="s">
        <v>297</v>
      </c>
      <c r="G895" s="49"/>
      <c r="H895" s="21"/>
      <c r="I895" s="49"/>
      <c r="J895" s="49"/>
      <c r="K895" s="52"/>
    </row>
    <row r="896" spans="2:11">
      <c r="B896" s="26" t="s">
        <v>294</v>
      </c>
      <c r="C896" s="49" t="s">
        <v>138</v>
      </c>
      <c r="D896" s="49" t="s">
        <v>817</v>
      </c>
      <c r="E896" s="49" t="s">
        <v>818</v>
      </c>
      <c r="F896" s="49" t="s">
        <v>297</v>
      </c>
      <c r="G896" s="49"/>
      <c r="H896" s="21"/>
      <c r="I896" s="49"/>
      <c r="J896" s="49"/>
      <c r="K896" s="52"/>
    </row>
    <row r="897" spans="2:11">
      <c r="B897" s="26" t="s">
        <v>294</v>
      </c>
      <c r="C897" s="49" t="s">
        <v>138</v>
      </c>
      <c r="D897" s="49" t="s">
        <v>813</v>
      </c>
      <c r="E897" s="49" t="s">
        <v>814</v>
      </c>
      <c r="F897" s="49" t="s">
        <v>297</v>
      </c>
      <c r="G897" s="49"/>
      <c r="H897" s="21"/>
      <c r="I897" s="49"/>
      <c r="J897" s="49"/>
      <c r="K897" s="52"/>
    </row>
    <row r="898" spans="2:11">
      <c r="B898" s="26" t="s">
        <v>294</v>
      </c>
      <c r="C898" s="49" t="s">
        <v>138</v>
      </c>
      <c r="D898" s="49" t="s">
        <v>819</v>
      </c>
      <c r="E898" s="49" t="s">
        <v>820</v>
      </c>
      <c r="F898" s="49" t="s">
        <v>297</v>
      </c>
      <c r="G898" s="49"/>
      <c r="H898" s="21"/>
      <c r="I898" s="49"/>
      <c r="J898" s="49"/>
      <c r="K898" s="52"/>
    </row>
    <row r="899" spans="2:11">
      <c r="B899" s="26" t="s">
        <v>294</v>
      </c>
      <c r="C899" s="26" t="s">
        <v>138</v>
      </c>
      <c r="D899" s="29" t="s">
        <v>1296</v>
      </c>
      <c r="E899" s="26" t="s">
        <v>1297</v>
      </c>
      <c r="F899" s="26" t="s">
        <v>297</v>
      </c>
      <c r="G899" s="26"/>
      <c r="H899" s="21"/>
      <c r="I899" s="26"/>
      <c r="J899" s="26"/>
    </row>
    <row r="900" spans="2:11">
      <c r="B900" s="26" t="s">
        <v>294</v>
      </c>
      <c r="C900" s="26" t="s">
        <v>138</v>
      </c>
      <c r="D900" s="29" t="s">
        <v>1292</v>
      </c>
      <c r="E900" s="26" t="s">
        <v>1293</v>
      </c>
      <c r="F900" s="26" t="s">
        <v>297</v>
      </c>
      <c r="G900" s="26"/>
      <c r="H900" s="21"/>
      <c r="I900" s="26"/>
      <c r="J900" s="26"/>
    </row>
    <row r="901" spans="2:11">
      <c r="B901" s="26" t="s">
        <v>294</v>
      </c>
      <c r="C901" s="26" t="s">
        <v>138</v>
      </c>
      <c r="D901" s="29" t="s">
        <v>1290</v>
      </c>
      <c r="E901" s="26" t="s">
        <v>1291</v>
      </c>
      <c r="F901" s="26" t="s">
        <v>297</v>
      </c>
      <c r="G901" s="26"/>
      <c r="H901" s="21"/>
      <c r="I901" s="26"/>
      <c r="J901" s="26"/>
    </row>
    <row r="902" spans="2:11">
      <c r="B902" s="26" t="s">
        <v>294</v>
      </c>
      <c r="C902" s="26" t="s">
        <v>138</v>
      </c>
      <c r="D902" s="29" t="s">
        <v>1280</v>
      </c>
      <c r="E902" s="26" t="s">
        <v>1281</v>
      </c>
      <c r="F902" s="26" t="s">
        <v>167</v>
      </c>
      <c r="G902" s="26"/>
      <c r="H902" s="21"/>
      <c r="I902" s="26"/>
      <c r="J902" s="26"/>
    </row>
    <row r="903" spans="2:11">
      <c r="B903" s="26" t="s">
        <v>294</v>
      </c>
      <c r="C903" s="26" t="s">
        <v>138</v>
      </c>
      <c r="D903" s="29" t="s">
        <v>2068</v>
      </c>
      <c r="E903" s="26" t="s">
        <v>2069</v>
      </c>
      <c r="F903" s="26" t="s">
        <v>167</v>
      </c>
      <c r="G903" s="26"/>
      <c r="H903" s="21"/>
      <c r="I903" s="26"/>
      <c r="J903" s="26"/>
    </row>
    <row r="904" spans="2:11">
      <c r="B904" s="26" t="s">
        <v>294</v>
      </c>
      <c r="C904" s="26" t="s">
        <v>138</v>
      </c>
      <c r="D904" s="29" t="s">
        <v>1294</v>
      </c>
      <c r="E904" s="26" t="s">
        <v>1295</v>
      </c>
      <c r="F904" s="26" t="s">
        <v>297</v>
      </c>
      <c r="G904" s="26"/>
      <c r="H904" s="21"/>
      <c r="I904" s="26"/>
      <c r="J904" s="26"/>
    </row>
    <row r="905" spans="2:11">
      <c r="B905" s="26" t="s">
        <v>294</v>
      </c>
      <c r="C905" s="26" t="s">
        <v>138</v>
      </c>
      <c r="D905" s="29" t="s">
        <v>1282</v>
      </c>
      <c r="E905" s="26" t="s">
        <v>1283</v>
      </c>
      <c r="F905" s="26" t="s">
        <v>297</v>
      </c>
      <c r="G905" s="26"/>
      <c r="H905" s="21"/>
      <c r="I905" s="26"/>
      <c r="J905" s="26"/>
    </row>
    <row r="906" spans="2:11">
      <c r="B906" s="26" t="s">
        <v>294</v>
      </c>
      <c r="C906" s="26" t="s">
        <v>138</v>
      </c>
      <c r="D906" s="29" t="s">
        <v>1298</v>
      </c>
      <c r="E906" s="26" t="s">
        <v>1299</v>
      </c>
      <c r="F906" s="26" t="s">
        <v>297</v>
      </c>
      <c r="G906" s="26"/>
      <c r="H906" s="21"/>
      <c r="I906" s="26"/>
      <c r="J906" s="26"/>
    </row>
    <row r="907" spans="2:11">
      <c r="B907" s="26" t="s">
        <v>294</v>
      </c>
      <c r="C907" s="26" t="s">
        <v>138</v>
      </c>
      <c r="D907" s="29" t="s">
        <v>1284</v>
      </c>
      <c r="E907" s="26" t="s">
        <v>1285</v>
      </c>
      <c r="F907" s="26" t="s">
        <v>297</v>
      </c>
      <c r="G907" s="26"/>
      <c r="H907" s="21"/>
      <c r="I907" s="26"/>
      <c r="J907" s="26"/>
    </row>
    <row r="908" spans="2:11">
      <c r="B908" s="26" t="s">
        <v>294</v>
      </c>
      <c r="C908" s="26" t="s">
        <v>138</v>
      </c>
      <c r="D908" s="29" t="s">
        <v>1286</v>
      </c>
      <c r="E908" s="26" t="s">
        <v>1287</v>
      </c>
      <c r="F908" s="26" t="s">
        <v>297</v>
      </c>
      <c r="G908" s="26"/>
      <c r="H908" s="21"/>
      <c r="I908" s="26"/>
      <c r="J908" s="26"/>
    </row>
    <row r="909" spans="2:11">
      <c r="B909" s="26" t="s">
        <v>294</v>
      </c>
      <c r="C909" s="26" t="s">
        <v>138</v>
      </c>
      <c r="D909" s="29" t="s">
        <v>1300</v>
      </c>
      <c r="E909" s="26" t="s">
        <v>1301</v>
      </c>
      <c r="F909" s="26" t="s">
        <v>297</v>
      </c>
      <c r="G909" s="26"/>
      <c r="H909" s="21"/>
      <c r="I909" s="26"/>
      <c r="J909" s="26"/>
    </row>
    <row r="910" spans="2:11">
      <c r="B910" s="26" t="s">
        <v>294</v>
      </c>
      <c r="C910" s="26" t="s">
        <v>138</v>
      </c>
      <c r="D910" s="29" t="s">
        <v>1288</v>
      </c>
      <c r="E910" s="26" t="s">
        <v>1289</v>
      </c>
      <c r="F910" s="26" t="s">
        <v>297</v>
      </c>
      <c r="G910" s="26"/>
      <c r="H910" s="21"/>
      <c r="I910" s="26"/>
      <c r="J910" s="26"/>
    </row>
    <row r="911" spans="2:11">
      <c r="B911" s="26" t="s">
        <v>294</v>
      </c>
      <c r="C911" s="55" t="s">
        <v>138</v>
      </c>
      <c r="D911" s="25" t="s">
        <v>1334</v>
      </c>
      <c r="E911" s="25" t="s">
        <v>1335</v>
      </c>
      <c r="F911" s="25" t="s">
        <v>297</v>
      </c>
      <c r="G911" s="39"/>
      <c r="H911" s="21"/>
      <c r="I911" s="39"/>
      <c r="J911" s="39"/>
    </row>
    <row r="912" spans="2:11">
      <c r="B912" s="26" t="s">
        <v>294</v>
      </c>
      <c r="C912" s="55" t="s">
        <v>138</v>
      </c>
      <c r="D912" s="25" t="s">
        <v>1332</v>
      </c>
      <c r="E912" s="25" t="s">
        <v>1333</v>
      </c>
      <c r="F912" s="25" t="s">
        <v>297</v>
      </c>
      <c r="G912" s="39"/>
      <c r="H912" s="21"/>
      <c r="I912" s="39"/>
      <c r="J912" s="39"/>
    </row>
    <row r="913" spans="2:10">
      <c r="B913" s="26" t="s">
        <v>294</v>
      </c>
      <c r="C913" s="55" t="s">
        <v>138</v>
      </c>
      <c r="D913" s="25" t="s">
        <v>1322</v>
      </c>
      <c r="E913" s="25" t="s">
        <v>1323</v>
      </c>
      <c r="F913" s="25" t="s">
        <v>167</v>
      </c>
      <c r="G913" s="39"/>
      <c r="H913" s="21"/>
      <c r="I913" s="39"/>
      <c r="J913" s="39"/>
    </row>
    <row r="914" spans="2:10">
      <c r="B914" s="26" t="s">
        <v>294</v>
      </c>
      <c r="C914" s="55" t="s">
        <v>138</v>
      </c>
      <c r="D914" s="25" t="s">
        <v>2070</v>
      </c>
      <c r="E914" s="25" t="s">
        <v>2071</v>
      </c>
      <c r="F914" s="25" t="s">
        <v>167</v>
      </c>
      <c r="G914" s="39"/>
      <c r="H914" s="21"/>
      <c r="I914" s="39"/>
      <c r="J914" s="39"/>
    </row>
    <row r="915" spans="2:10">
      <c r="B915" s="26" t="s">
        <v>294</v>
      </c>
      <c r="C915" s="55" t="s">
        <v>138</v>
      </c>
      <c r="D915" s="25" t="s">
        <v>1336</v>
      </c>
      <c r="E915" s="25" t="s">
        <v>1337</v>
      </c>
      <c r="F915" s="25" t="s">
        <v>297</v>
      </c>
      <c r="G915" s="39"/>
      <c r="H915" s="21"/>
      <c r="I915" s="39"/>
      <c r="J915" s="39"/>
    </row>
    <row r="916" spans="2:10">
      <c r="B916" s="26" t="s">
        <v>294</v>
      </c>
      <c r="C916" s="55" t="s">
        <v>138</v>
      </c>
      <c r="D916" s="25" t="s">
        <v>1324</v>
      </c>
      <c r="E916" s="25" t="s">
        <v>1325</v>
      </c>
      <c r="F916" s="25" t="s">
        <v>297</v>
      </c>
      <c r="G916" s="39"/>
      <c r="H916" s="21"/>
      <c r="I916" s="39"/>
      <c r="J916" s="39"/>
    </row>
    <row r="917" spans="2:10">
      <c r="B917" s="26" t="s">
        <v>294</v>
      </c>
      <c r="C917" s="55" t="s">
        <v>138</v>
      </c>
      <c r="D917" s="25" t="s">
        <v>1326</v>
      </c>
      <c r="E917" s="25" t="s">
        <v>1327</v>
      </c>
      <c r="F917" s="25" t="s">
        <v>297</v>
      </c>
      <c r="G917" s="39"/>
      <c r="H917" s="21"/>
      <c r="I917" s="39"/>
      <c r="J917" s="39"/>
    </row>
    <row r="918" spans="2:10">
      <c r="B918" s="26" t="s">
        <v>294</v>
      </c>
      <c r="C918" s="55" t="s">
        <v>138</v>
      </c>
      <c r="D918" s="25" t="s">
        <v>1328</v>
      </c>
      <c r="E918" s="25" t="s">
        <v>1329</v>
      </c>
      <c r="F918" s="25" t="s">
        <v>297</v>
      </c>
      <c r="G918" s="39"/>
      <c r="H918" s="21"/>
      <c r="I918" s="39"/>
      <c r="J918" s="39"/>
    </row>
    <row r="919" spans="2:10">
      <c r="B919" s="26" t="s">
        <v>294</v>
      </c>
      <c r="C919" s="55" t="s">
        <v>138</v>
      </c>
      <c r="D919" s="25" t="s">
        <v>2001</v>
      </c>
      <c r="E919" s="25" t="s">
        <v>1341</v>
      </c>
      <c r="F919" s="25" t="s">
        <v>297</v>
      </c>
      <c r="G919" s="55"/>
      <c r="H919" s="21"/>
      <c r="I919" s="55"/>
      <c r="J919" s="55"/>
    </row>
    <row r="920" spans="2:10">
      <c r="B920" s="26" t="s">
        <v>294</v>
      </c>
      <c r="C920" s="55" t="s">
        <v>138</v>
      </c>
      <c r="D920" s="25" t="s">
        <v>1338</v>
      </c>
      <c r="E920" s="25" t="s">
        <v>1339</v>
      </c>
      <c r="F920" s="25" t="s">
        <v>297</v>
      </c>
      <c r="G920" s="55"/>
      <c r="H920" s="21"/>
      <c r="I920" s="55"/>
      <c r="J920" s="55"/>
    </row>
    <row r="921" spans="2:10">
      <c r="B921" s="26" t="s">
        <v>294</v>
      </c>
      <c r="C921" s="55" t="s">
        <v>138</v>
      </c>
      <c r="D921" s="25" t="s">
        <v>2002</v>
      </c>
      <c r="E921" s="25" t="s">
        <v>1340</v>
      </c>
      <c r="F921" s="25" t="s">
        <v>297</v>
      </c>
      <c r="G921" s="55"/>
      <c r="H921" s="21"/>
      <c r="I921" s="55"/>
      <c r="J921" s="55"/>
    </row>
    <row r="922" spans="2:10">
      <c r="B922" s="26" t="s">
        <v>294</v>
      </c>
      <c r="C922" s="55" t="s">
        <v>138</v>
      </c>
      <c r="D922" s="25" t="s">
        <v>1330</v>
      </c>
      <c r="E922" s="25" t="s">
        <v>1331</v>
      </c>
      <c r="F922" s="25" t="s">
        <v>297</v>
      </c>
      <c r="G922" s="39"/>
      <c r="H922" s="21"/>
      <c r="I922" s="39"/>
      <c r="J922" s="39"/>
    </row>
    <row r="923" spans="2:10">
      <c r="B923" s="26" t="s">
        <v>294</v>
      </c>
      <c r="C923" s="26" t="s">
        <v>369</v>
      </c>
      <c r="D923" s="53" t="s">
        <v>500</v>
      </c>
      <c r="E923" s="53" t="s">
        <v>501</v>
      </c>
      <c r="F923" s="53" t="s">
        <v>297</v>
      </c>
      <c r="G923" s="26"/>
      <c r="H923" s="21"/>
      <c r="I923" s="26"/>
      <c r="J923" s="26"/>
    </row>
    <row r="924" spans="2:10">
      <c r="B924" s="26" t="s">
        <v>294</v>
      </c>
      <c r="C924" s="26" t="s">
        <v>369</v>
      </c>
      <c r="D924" s="53" t="s">
        <v>494</v>
      </c>
      <c r="E924" s="53" t="s">
        <v>495</v>
      </c>
      <c r="F924" s="53" t="s">
        <v>297</v>
      </c>
      <c r="G924" s="26"/>
      <c r="H924" s="21"/>
      <c r="I924" s="26"/>
      <c r="J924" s="26"/>
    </row>
    <row r="925" spans="2:10">
      <c r="B925" s="26" t="s">
        <v>294</v>
      </c>
      <c r="C925" s="26" t="s">
        <v>369</v>
      </c>
      <c r="D925" s="53" t="s">
        <v>484</v>
      </c>
      <c r="E925" s="53" t="s">
        <v>485</v>
      </c>
      <c r="F925" s="53" t="s">
        <v>297</v>
      </c>
      <c r="G925" s="26"/>
      <c r="H925" s="21"/>
      <c r="I925" s="26"/>
      <c r="J925" s="26"/>
    </row>
    <row r="926" spans="2:10">
      <c r="B926" s="26" t="s">
        <v>294</v>
      </c>
      <c r="C926" s="26" t="s">
        <v>369</v>
      </c>
      <c r="D926" s="53" t="s">
        <v>480</v>
      </c>
      <c r="E926" s="53" t="s">
        <v>481</v>
      </c>
      <c r="F926" s="53" t="s">
        <v>167</v>
      </c>
      <c r="G926" s="26"/>
      <c r="H926" s="21"/>
      <c r="I926" s="26"/>
      <c r="J926" s="26"/>
    </row>
    <row r="927" spans="2:10">
      <c r="B927" s="26" t="s">
        <v>294</v>
      </c>
      <c r="C927" s="26" t="s">
        <v>369</v>
      </c>
      <c r="D927" s="53" t="s">
        <v>2072</v>
      </c>
      <c r="E927" s="53" t="s">
        <v>2073</v>
      </c>
      <c r="F927" s="53" t="s">
        <v>167</v>
      </c>
      <c r="G927" s="26"/>
      <c r="H927" s="21"/>
      <c r="I927" s="26"/>
      <c r="J927" s="26"/>
    </row>
    <row r="928" spans="2:10">
      <c r="B928" s="26" t="s">
        <v>294</v>
      </c>
      <c r="C928" s="26" t="s">
        <v>369</v>
      </c>
      <c r="D928" s="53" t="s">
        <v>496</v>
      </c>
      <c r="E928" s="53" t="s">
        <v>497</v>
      </c>
      <c r="F928" s="53" t="s">
        <v>297</v>
      </c>
      <c r="G928" s="26"/>
      <c r="H928" s="21"/>
      <c r="I928" s="26"/>
      <c r="J928" s="26"/>
    </row>
    <row r="929" spans="2:10">
      <c r="B929" s="26" t="s">
        <v>294</v>
      </c>
      <c r="C929" s="26" t="s">
        <v>369</v>
      </c>
      <c r="D929" s="53" t="s">
        <v>486</v>
      </c>
      <c r="E929" s="53" t="s">
        <v>487</v>
      </c>
      <c r="F929" s="53" t="s">
        <v>297</v>
      </c>
      <c r="G929" s="26"/>
      <c r="H929" s="21"/>
      <c r="I929" s="26"/>
      <c r="J929" s="26"/>
    </row>
    <row r="930" spans="2:10">
      <c r="B930" s="26" t="s">
        <v>294</v>
      </c>
      <c r="C930" s="26" t="s">
        <v>369</v>
      </c>
      <c r="D930" s="53" t="s">
        <v>498</v>
      </c>
      <c r="E930" s="53" t="s">
        <v>499</v>
      </c>
      <c r="F930" s="53" t="s">
        <v>297</v>
      </c>
      <c r="G930" s="26"/>
      <c r="H930" s="21"/>
      <c r="I930" s="26"/>
      <c r="J930" s="26"/>
    </row>
    <row r="931" spans="2:10">
      <c r="B931" s="26" t="s">
        <v>294</v>
      </c>
      <c r="C931" s="26" t="s">
        <v>369</v>
      </c>
      <c r="D931" s="53" t="s">
        <v>488</v>
      </c>
      <c r="E931" s="53" t="s">
        <v>489</v>
      </c>
      <c r="F931" s="53" t="s">
        <v>297</v>
      </c>
      <c r="G931" s="26"/>
      <c r="H931" s="21"/>
      <c r="I931" s="26"/>
      <c r="J931" s="26"/>
    </row>
    <row r="932" spans="2:10">
      <c r="B932" s="26" t="s">
        <v>294</v>
      </c>
      <c r="C932" s="26" t="s">
        <v>369</v>
      </c>
      <c r="D932" s="53" t="s">
        <v>490</v>
      </c>
      <c r="E932" s="53" t="s">
        <v>491</v>
      </c>
      <c r="F932" s="53" t="s">
        <v>297</v>
      </c>
      <c r="G932" s="26"/>
      <c r="H932" s="21"/>
      <c r="I932" s="26"/>
      <c r="J932" s="26"/>
    </row>
    <row r="933" spans="2:10">
      <c r="B933" s="26" t="s">
        <v>294</v>
      </c>
      <c r="C933" s="26" t="s">
        <v>369</v>
      </c>
      <c r="D933" s="53" t="s">
        <v>492</v>
      </c>
      <c r="E933" s="53" t="s">
        <v>493</v>
      </c>
      <c r="F933" s="53" t="s">
        <v>297</v>
      </c>
      <c r="G933" s="26"/>
      <c r="H933" s="21"/>
      <c r="I933" s="26"/>
      <c r="J933" s="26"/>
    </row>
    <row r="934" spans="2:10">
      <c r="B934" s="26" t="s">
        <v>294</v>
      </c>
      <c r="C934" s="26" t="s">
        <v>369</v>
      </c>
      <c r="D934" s="53" t="s">
        <v>482</v>
      </c>
      <c r="E934" s="53" t="s">
        <v>483</v>
      </c>
      <c r="F934" s="53" t="s">
        <v>297</v>
      </c>
      <c r="G934" s="26"/>
      <c r="H934" s="21"/>
      <c r="I934" s="26"/>
      <c r="J934" s="26"/>
    </row>
    <row r="935" spans="2:10" s="94" customFormat="1">
      <c r="B935" s="94" t="s">
        <v>294</v>
      </c>
      <c r="C935" s="98" t="s">
        <v>138</v>
      </c>
      <c r="D935" s="99" t="s">
        <v>2126</v>
      </c>
      <c r="E935" s="99" t="s">
        <v>2127</v>
      </c>
      <c r="F935" s="99" t="s">
        <v>297</v>
      </c>
      <c r="G935" s="98"/>
      <c r="H935" s="100"/>
      <c r="I935" s="98"/>
      <c r="J935" s="98"/>
    </row>
    <row r="936" spans="2:10" s="94" customFormat="1">
      <c r="B936" s="94" t="s">
        <v>2125</v>
      </c>
      <c r="C936" s="98" t="s">
        <v>138</v>
      </c>
      <c r="D936" s="99" t="s">
        <v>1450</v>
      </c>
      <c r="E936" s="99" t="s">
        <v>1451</v>
      </c>
      <c r="F936" s="99" t="s">
        <v>297</v>
      </c>
      <c r="G936" s="98"/>
      <c r="H936" s="100"/>
      <c r="I936" s="98"/>
      <c r="J936" s="98"/>
    </row>
    <row r="937" spans="2:10">
      <c r="B937" s="26" t="s">
        <v>294</v>
      </c>
      <c r="C937" s="55" t="s">
        <v>138</v>
      </c>
      <c r="D937" s="25" t="s">
        <v>1448</v>
      </c>
      <c r="E937" s="25" t="s">
        <v>1449</v>
      </c>
      <c r="F937" s="25" t="s">
        <v>297</v>
      </c>
      <c r="G937" s="55"/>
      <c r="H937" s="21"/>
      <c r="I937" s="55"/>
      <c r="J937" s="55"/>
    </row>
    <row r="938" spans="2:10">
      <c r="B938" s="26" t="s">
        <v>294</v>
      </c>
      <c r="C938" s="55" t="s">
        <v>138</v>
      </c>
      <c r="D938" s="25" t="s">
        <v>1444</v>
      </c>
      <c r="E938" s="25" t="s">
        <v>1445</v>
      </c>
      <c r="F938" s="25" t="s">
        <v>297</v>
      </c>
      <c r="G938" s="55"/>
      <c r="H938" s="21"/>
      <c r="I938" s="55"/>
      <c r="J938" s="55"/>
    </row>
    <row r="939" spans="2:10" ht="13">
      <c r="B939" s="26" t="s">
        <v>294</v>
      </c>
      <c r="C939" s="55" t="s">
        <v>138</v>
      </c>
      <c r="D939" s="25" t="s">
        <v>2076</v>
      </c>
      <c r="E939" s="25" t="s">
        <v>2077</v>
      </c>
      <c r="F939" s="74" t="s">
        <v>167</v>
      </c>
      <c r="G939" s="39"/>
      <c r="H939" s="21"/>
      <c r="I939" s="39"/>
      <c r="J939" s="39"/>
    </row>
    <row r="940" spans="2:10" ht="13">
      <c r="B940" s="26" t="s">
        <v>294</v>
      </c>
      <c r="C940" s="55" t="s">
        <v>138</v>
      </c>
      <c r="D940" s="25" t="s">
        <v>2074</v>
      </c>
      <c r="E940" s="25" t="s">
        <v>2075</v>
      </c>
      <c r="F940" s="74" t="s">
        <v>167</v>
      </c>
      <c r="G940" s="39"/>
      <c r="H940" s="21"/>
      <c r="I940" s="39"/>
      <c r="J940" s="39"/>
    </row>
    <row r="941" spans="2:10">
      <c r="B941" s="26" t="s">
        <v>294</v>
      </c>
      <c r="C941" s="55" t="s">
        <v>138</v>
      </c>
      <c r="D941" s="25" t="s">
        <v>1446</v>
      </c>
      <c r="E941" s="25" t="s">
        <v>1447</v>
      </c>
      <c r="F941" s="25" t="s">
        <v>297</v>
      </c>
      <c r="G941" s="55"/>
      <c r="H941" s="21"/>
      <c r="I941" s="55"/>
      <c r="J941" s="55"/>
    </row>
    <row r="942" spans="2:10">
      <c r="B942" s="26" t="s">
        <v>294</v>
      </c>
      <c r="C942" s="55" t="s">
        <v>138</v>
      </c>
      <c r="D942" s="25" t="s">
        <v>1454</v>
      </c>
      <c r="E942" s="25" t="s">
        <v>1455</v>
      </c>
      <c r="F942" s="25" t="s">
        <v>297</v>
      </c>
      <c r="G942" s="39"/>
      <c r="H942" s="21"/>
      <c r="I942" s="39"/>
      <c r="J942" s="39"/>
    </row>
    <row r="943" spans="2:10">
      <c r="B943" s="26" t="s">
        <v>294</v>
      </c>
      <c r="C943" s="55" t="s">
        <v>138</v>
      </c>
      <c r="D943" s="25" t="s">
        <v>1436</v>
      </c>
      <c r="E943" s="25" t="s">
        <v>1437</v>
      </c>
      <c r="F943" s="25" t="s">
        <v>297</v>
      </c>
      <c r="G943" s="39"/>
      <c r="H943" s="21"/>
      <c r="I943" s="39"/>
      <c r="J943" s="39"/>
    </row>
    <row r="944" spans="2:10">
      <c r="B944" s="26" t="s">
        <v>294</v>
      </c>
      <c r="C944" s="55" t="s">
        <v>138</v>
      </c>
      <c r="D944" s="25" t="s">
        <v>1452</v>
      </c>
      <c r="E944" s="25" t="s">
        <v>1453</v>
      </c>
      <c r="F944" s="25" t="s">
        <v>297</v>
      </c>
      <c r="G944" s="55"/>
      <c r="H944" s="21"/>
      <c r="I944" s="55"/>
      <c r="J944" s="55"/>
    </row>
    <row r="945" spans="2:10">
      <c r="B945" s="26" t="s">
        <v>294</v>
      </c>
      <c r="C945" s="55" t="s">
        <v>138</v>
      </c>
      <c r="D945" s="25" t="s">
        <v>1438</v>
      </c>
      <c r="E945" s="25" t="s">
        <v>1439</v>
      </c>
      <c r="F945" s="25" t="s">
        <v>297</v>
      </c>
      <c r="G945" s="39"/>
      <c r="H945" s="21"/>
      <c r="I945" s="39"/>
      <c r="J945" s="39"/>
    </row>
    <row r="946" spans="2:10">
      <c r="B946" s="26" t="s">
        <v>294</v>
      </c>
      <c r="C946" s="55" t="s">
        <v>138</v>
      </c>
      <c r="D946" s="25" t="s">
        <v>1442</v>
      </c>
      <c r="E946" s="25" t="s">
        <v>1443</v>
      </c>
      <c r="F946" s="25" t="s">
        <v>297</v>
      </c>
      <c r="G946" s="39"/>
      <c r="H946" s="21"/>
      <c r="I946" s="39"/>
      <c r="J946" s="39"/>
    </row>
    <row r="947" spans="2:10">
      <c r="B947" s="26" t="s">
        <v>294</v>
      </c>
      <c r="C947" s="55" t="s">
        <v>138</v>
      </c>
      <c r="D947" s="25" t="s">
        <v>1434</v>
      </c>
      <c r="E947" s="25" t="s">
        <v>1435</v>
      </c>
      <c r="F947" s="25" t="s">
        <v>297</v>
      </c>
      <c r="G947" s="39"/>
      <c r="H947" s="21"/>
      <c r="I947" s="39"/>
      <c r="J947" s="39"/>
    </row>
    <row r="948" spans="2:10">
      <c r="B948" s="26" t="s">
        <v>294</v>
      </c>
      <c r="C948" s="55" t="s">
        <v>138</v>
      </c>
      <c r="D948" s="25" t="s">
        <v>1440</v>
      </c>
      <c r="E948" s="25" t="s">
        <v>1441</v>
      </c>
      <c r="F948" s="25" t="s">
        <v>297</v>
      </c>
      <c r="G948" s="55"/>
      <c r="H948" s="21"/>
      <c r="I948" s="55"/>
      <c r="J948" s="55"/>
    </row>
    <row r="949" spans="2:10">
      <c r="B949" s="26" t="s">
        <v>294</v>
      </c>
      <c r="C949" s="21" t="s">
        <v>138</v>
      </c>
      <c r="D949" s="21" t="s">
        <v>786</v>
      </c>
      <c r="E949" s="21" t="s">
        <v>1473</v>
      </c>
      <c r="F949" s="21" t="s">
        <v>297</v>
      </c>
      <c r="G949" s="21"/>
      <c r="H949" s="21"/>
      <c r="I949" s="21"/>
      <c r="J949" s="21"/>
    </row>
    <row r="950" spans="2:10">
      <c r="B950" s="26" t="s">
        <v>294</v>
      </c>
      <c r="C950" s="21" t="s">
        <v>138</v>
      </c>
      <c r="D950" s="21" t="s">
        <v>787</v>
      </c>
      <c r="E950" s="21" t="s">
        <v>1474</v>
      </c>
      <c r="F950" s="21" t="s">
        <v>297</v>
      </c>
      <c r="G950" s="21"/>
      <c r="H950" s="21"/>
      <c r="I950" s="21"/>
      <c r="J950" s="21"/>
    </row>
    <row r="951" spans="2:10">
      <c r="B951" s="43" t="s">
        <v>294</v>
      </c>
      <c r="C951" s="92" t="s">
        <v>138</v>
      </c>
      <c r="D951" t="s">
        <v>2031</v>
      </c>
      <c r="E951" s="93" t="s">
        <v>2032</v>
      </c>
      <c r="F951" s="93" t="s">
        <v>167</v>
      </c>
    </row>
    <row r="952" spans="2:10">
      <c r="B952" s="43" t="s">
        <v>294</v>
      </c>
      <c r="C952" s="92" t="s">
        <v>138</v>
      </c>
      <c r="D952" t="s">
        <v>2033</v>
      </c>
      <c r="E952" s="43" t="s">
        <v>2034</v>
      </c>
      <c r="F952" s="93" t="s">
        <v>167</v>
      </c>
    </row>
    <row r="953" spans="2:10" s="94" customFormat="1">
      <c r="B953" s="94" t="s">
        <v>294</v>
      </c>
      <c r="C953" s="95" t="s">
        <v>138</v>
      </c>
      <c r="D953" s="96" t="s">
        <v>2128</v>
      </c>
      <c r="E953" s="94" t="s">
        <v>2129</v>
      </c>
      <c r="F953" s="97" t="s">
        <v>167</v>
      </c>
    </row>
    <row r="954" spans="2:10" s="94" customFormat="1">
      <c r="B954" s="94" t="s">
        <v>294</v>
      </c>
      <c r="C954" s="95" t="s">
        <v>138</v>
      </c>
      <c r="D954" s="96" t="s">
        <v>2130</v>
      </c>
      <c r="E954" s="94" t="s">
        <v>2131</v>
      </c>
      <c r="F954" s="97" t="s">
        <v>167</v>
      </c>
    </row>
    <row r="955" spans="2:10">
      <c r="B955" s="43" t="s">
        <v>294</v>
      </c>
      <c r="C955" s="92" t="s">
        <v>138</v>
      </c>
      <c r="D955" t="s">
        <v>2035</v>
      </c>
      <c r="E955" s="43" t="s">
        <v>2036</v>
      </c>
      <c r="F955" s="93" t="s">
        <v>167</v>
      </c>
    </row>
    <row r="956" spans="2:10">
      <c r="B956" s="43" t="s">
        <v>294</v>
      </c>
      <c r="C956" s="92" t="s">
        <v>138</v>
      </c>
      <c r="D956" t="s">
        <v>2037</v>
      </c>
      <c r="E956" s="43" t="s">
        <v>2038</v>
      </c>
      <c r="F956" s="93" t="s">
        <v>167</v>
      </c>
    </row>
    <row r="957" spans="2:10">
      <c r="B957" s="43" t="s">
        <v>294</v>
      </c>
      <c r="C957" s="92" t="s">
        <v>138</v>
      </c>
      <c r="D957" t="s">
        <v>2039</v>
      </c>
      <c r="E957" s="43" t="s">
        <v>2040</v>
      </c>
      <c r="F957" s="93" t="s">
        <v>167</v>
      </c>
    </row>
    <row r="958" spans="2:10">
      <c r="B958" s="26" t="s">
        <v>294</v>
      </c>
      <c r="C958" s="21" t="s">
        <v>138</v>
      </c>
      <c r="D958" s="21" t="s">
        <v>2079</v>
      </c>
      <c r="E958" s="21" t="s">
        <v>2080</v>
      </c>
      <c r="F958" s="21" t="s">
        <v>167</v>
      </c>
      <c r="G958" s="21"/>
      <c r="H958" s="21"/>
      <c r="I958" s="21"/>
      <c r="J958" s="21"/>
    </row>
    <row r="959" spans="2:10">
      <c r="B959" s="21" t="s">
        <v>285</v>
      </c>
      <c r="C959" s="21" t="s">
        <v>138</v>
      </c>
      <c r="D959" s="21" t="s">
        <v>290</v>
      </c>
      <c r="E959" s="21" t="s">
        <v>291</v>
      </c>
      <c r="F959" s="21" t="s">
        <v>167</v>
      </c>
      <c r="G959" s="21"/>
      <c r="H959" s="21"/>
      <c r="I959" s="21"/>
      <c r="J959" s="21"/>
    </row>
    <row r="960" spans="2:10">
      <c r="B960" s="21" t="s">
        <v>285</v>
      </c>
      <c r="C960" s="21" t="s">
        <v>138</v>
      </c>
      <c r="D960" s="21" t="s">
        <v>292</v>
      </c>
      <c r="E960" s="21" t="s">
        <v>293</v>
      </c>
      <c r="F960" s="21" t="s">
        <v>167</v>
      </c>
      <c r="G960" s="21"/>
      <c r="H960" s="21"/>
      <c r="I960" s="21"/>
      <c r="J960" s="21"/>
    </row>
    <row r="961" spans="2:10">
      <c r="B961" s="21" t="s">
        <v>285</v>
      </c>
      <c r="C961" s="21" t="s">
        <v>138</v>
      </c>
      <c r="D961" s="21" t="s">
        <v>286</v>
      </c>
      <c r="E961" s="21" t="s">
        <v>287</v>
      </c>
      <c r="F961" s="21" t="s">
        <v>167</v>
      </c>
      <c r="G961" s="21"/>
      <c r="H961" s="21"/>
      <c r="I961" s="21"/>
      <c r="J961" s="21"/>
    </row>
    <row r="962" spans="2:10">
      <c r="B962" s="21" t="s">
        <v>285</v>
      </c>
      <c r="C962" s="21" t="s">
        <v>138</v>
      </c>
      <c r="D962" s="21" t="s">
        <v>288</v>
      </c>
      <c r="E962" s="21" t="s">
        <v>289</v>
      </c>
      <c r="F962" s="21" t="s">
        <v>167</v>
      </c>
      <c r="G962" s="21"/>
      <c r="H962" s="21"/>
      <c r="I962" s="21"/>
      <c r="J962" s="21"/>
    </row>
    <row r="963" spans="2:10">
      <c r="B963" s="21" t="s">
        <v>285</v>
      </c>
      <c r="C963" s="21" t="s">
        <v>77</v>
      </c>
      <c r="D963" s="21" t="s">
        <v>743</v>
      </c>
      <c r="E963" s="21" t="s">
        <v>744</v>
      </c>
      <c r="F963" s="21" t="s">
        <v>745</v>
      </c>
      <c r="G963" s="21"/>
      <c r="H963" s="21"/>
      <c r="I963" s="21"/>
      <c r="J963" s="21"/>
    </row>
    <row r="964" spans="2:10">
      <c r="B964" s="21" t="s">
        <v>285</v>
      </c>
      <c r="C964" s="21" t="s">
        <v>77</v>
      </c>
      <c r="D964" s="21" t="s">
        <v>746</v>
      </c>
      <c r="E964" s="21" t="s">
        <v>747</v>
      </c>
      <c r="F964" s="21" t="s">
        <v>745</v>
      </c>
      <c r="G964" s="21"/>
      <c r="H964" s="21"/>
      <c r="I964" s="21"/>
      <c r="J964" s="21"/>
    </row>
    <row r="965" spans="2:10">
      <c r="B965" s="21" t="s">
        <v>285</v>
      </c>
      <c r="C965" s="21" t="s">
        <v>369</v>
      </c>
      <c r="D965" s="21" t="s">
        <v>748</v>
      </c>
      <c r="E965" s="21" t="s">
        <v>749</v>
      </c>
      <c r="F965" s="21" t="s">
        <v>745</v>
      </c>
      <c r="G965" s="21"/>
      <c r="H965" s="21"/>
      <c r="I965" s="21"/>
      <c r="J965" s="21"/>
    </row>
    <row r="966" spans="2:10">
      <c r="B966" s="21" t="s">
        <v>285</v>
      </c>
      <c r="C966" s="21" t="s">
        <v>369</v>
      </c>
      <c r="D966" s="21" t="s">
        <v>750</v>
      </c>
      <c r="E966" s="21" t="s">
        <v>751</v>
      </c>
      <c r="F966" s="21" t="s">
        <v>745</v>
      </c>
      <c r="G966" s="21"/>
      <c r="H966" s="21"/>
      <c r="I966" s="21"/>
      <c r="J966" s="21"/>
    </row>
    <row r="967" spans="2:10">
      <c r="B967" s="21" t="s">
        <v>285</v>
      </c>
      <c r="C967" s="21" t="s">
        <v>369</v>
      </c>
      <c r="D967" s="21" t="s">
        <v>752</v>
      </c>
      <c r="E967" s="21" t="s">
        <v>753</v>
      </c>
      <c r="F967" s="21" t="s">
        <v>745</v>
      </c>
      <c r="G967" s="21"/>
      <c r="H967" s="21"/>
      <c r="I967" s="21"/>
      <c r="J967" s="21"/>
    </row>
    <row r="968" spans="2:10">
      <c r="B968" s="21" t="s">
        <v>285</v>
      </c>
      <c r="C968" s="21" t="s">
        <v>138</v>
      </c>
      <c r="D968" s="21" t="s">
        <v>754</v>
      </c>
      <c r="E968" s="21" t="s">
        <v>755</v>
      </c>
      <c r="F968" s="21" t="s">
        <v>745</v>
      </c>
      <c r="G968" s="21"/>
      <c r="H968" s="21"/>
      <c r="I968" s="21"/>
      <c r="J968" s="21"/>
    </row>
    <row r="969" spans="2:10">
      <c r="B969" s="21" t="s">
        <v>285</v>
      </c>
      <c r="C969" s="21" t="s">
        <v>138</v>
      </c>
      <c r="D969" s="21" t="s">
        <v>756</v>
      </c>
      <c r="E969" s="21" t="s">
        <v>757</v>
      </c>
      <c r="F969" s="21" t="s">
        <v>745</v>
      </c>
      <c r="G969" s="21"/>
      <c r="H969" s="21"/>
      <c r="I969" s="21"/>
      <c r="J969" s="21"/>
    </row>
    <row r="970" spans="2:10">
      <c r="B970" s="21" t="s">
        <v>285</v>
      </c>
      <c r="C970" s="21" t="s">
        <v>138</v>
      </c>
      <c r="D970" s="21" t="s">
        <v>758</v>
      </c>
      <c r="E970" s="21" t="s">
        <v>759</v>
      </c>
      <c r="F970" s="21" t="s">
        <v>745</v>
      </c>
      <c r="G970" s="21"/>
      <c r="H970" s="21"/>
      <c r="I970" s="21"/>
      <c r="J970" s="21"/>
    </row>
    <row r="971" spans="2:10">
      <c r="B971" s="26" t="s">
        <v>137</v>
      </c>
      <c r="C971" s="43" t="s">
        <v>138</v>
      </c>
      <c r="D971" s="43" t="s">
        <v>2005</v>
      </c>
      <c r="E971" s="43" t="s">
        <v>2006</v>
      </c>
      <c r="F971" s="43" t="s">
        <v>141</v>
      </c>
    </row>
    <row r="972" spans="2:10">
      <c r="B972" s="21" t="s">
        <v>137</v>
      </c>
      <c r="C972" s="43" t="s">
        <v>138</v>
      </c>
      <c r="D972" s="21" t="s">
        <v>2008</v>
      </c>
      <c r="E972" s="21" t="s">
        <v>2009</v>
      </c>
      <c r="F972" s="21" t="s">
        <v>141</v>
      </c>
      <c r="H972" s="21" t="s">
        <v>56</v>
      </c>
    </row>
    <row r="973" spans="2:10">
      <c r="B973" s="21" t="s">
        <v>137</v>
      </c>
      <c r="C973" s="43" t="s">
        <v>138</v>
      </c>
      <c r="D973" s="21" t="s">
        <v>2042</v>
      </c>
      <c r="E973" s="21" t="s">
        <v>2043</v>
      </c>
      <c r="F973" s="21" t="s">
        <v>141</v>
      </c>
      <c r="H973" s="21" t="s">
        <v>56</v>
      </c>
      <c r="I973" s="21" t="s">
        <v>2007</v>
      </c>
      <c r="J973" s="21" t="s">
        <v>57</v>
      </c>
    </row>
    <row r="974" spans="2:10">
      <c r="B974" s="21" t="s">
        <v>137</v>
      </c>
      <c r="C974" s="43" t="s">
        <v>138</v>
      </c>
      <c r="D974" s="21" t="s">
        <v>2085</v>
      </c>
      <c r="E974" s="21" t="s">
        <v>2086</v>
      </c>
      <c r="F974" s="21" t="s">
        <v>141</v>
      </c>
      <c r="H974" s="21" t="s">
        <v>56</v>
      </c>
      <c r="I974" s="21" t="s">
        <v>2007</v>
      </c>
      <c r="J974" s="21" t="s">
        <v>57</v>
      </c>
    </row>
  </sheetData>
  <sortState xmlns:xlrd2="http://schemas.microsoft.com/office/spreadsheetml/2017/richdata2" ref="C9:K578">
    <sortCondition ref="D9:D578"/>
  </sortState>
  <phoneticPr fontId="11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C4B7-35DC-4B99-B2A4-868849B68170}">
  <dimension ref="B2:D4"/>
  <sheetViews>
    <sheetView workbookViewId="0">
      <selection activeCell="C4" sqref="B1:C4"/>
    </sheetView>
  </sheetViews>
  <sheetFormatPr defaultRowHeight="12.5"/>
  <sheetData>
    <row r="2" spans="2:4">
      <c r="B2" t="s">
        <v>2088</v>
      </c>
    </row>
    <row r="3" spans="2:4">
      <c r="B3" t="s">
        <v>2089</v>
      </c>
      <c r="C3" t="s">
        <v>2090</v>
      </c>
      <c r="D3" t="s">
        <v>2091</v>
      </c>
    </row>
    <row r="4" spans="2:4">
      <c r="B4" t="s">
        <v>2092</v>
      </c>
      <c r="C4" t="s">
        <v>2093</v>
      </c>
      <c r="D4" t="s">
        <v>2094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9"/>
  <sheetViews>
    <sheetView tabSelected="1" workbookViewId="0">
      <selection activeCell="H19" sqref="H19"/>
    </sheetView>
  </sheetViews>
  <sheetFormatPr defaultRowHeight="12.5"/>
  <cols>
    <col min="6" max="6" width="12.7265625" bestFit="1" customWidth="1"/>
    <col min="8" max="8" width="11.7265625" customWidth="1"/>
  </cols>
  <sheetData>
    <row r="2" spans="2:16">
      <c r="J2" s="106"/>
    </row>
    <row r="3" spans="2:16">
      <c r="B3" t="s">
        <v>40</v>
      </c>
    </row>
    <row r="5" spans="2:16">
      <c r="B5" t="s">
        <v>41</v>
      </c>
    </row>
    <row r="6" spans="2:16" ht="13">
      <c r="B6" s="12" t="s">
        <v>20</v>
      </c>
      <c r="C6" s="12" t="s">
        <v>21</v>
      </c>
      <c r="D6" s="12" t="s">
        <v>22</v>
      </c>
      <c r="E6" s="12" t="s">
        <v>23</v>
      </c>
      <c r="F6" s="12" t="s">
        <v>5</v>
      </c>
      <c r="G6" s="12" t="s">
        <v>42</v>
      </c>
      <c r="H6" s="12" t="s">
        <v>4</v>
      </c>
      <c r="I6" s="12" t="s">
        <v>43</v>
      </c>
      <c r="J6" s="12" t="s">
        <v>24</v>
      </c>
      <c r="K6" s="12" t="s">
        <v>44</v>
      </c>
      <c r="L6" s="12" t="s">
        <v>45</v>
      </c>
      <c r="M6" s="12" t="s">
        <v>46</v>
      </c>
      <c r="N6" s="12" t="s">
        <v>47</v>
      </c>
      <c r="O6" s="12" t="s">
        <v>48</v>
      </c>
      <c r="P6" s="12" t="s">
        <v>49</v>
      </c>
    </row>
    <row r="7" spans="2:16">
      <c r="B7" s="58"/>
      <c r="C7" s="58"/>
      <c r="D7" s="58" t="s">
        <v>50</v>
      </c>
      <c r="E7" s="58"/>
      <c r="F7" s="58"/>
      <c r="G7" s="58"/>
      <c r="H7" s="58">
        <v>0.05</v>
      </c>
      <c r="I7" s="58"/>
      <c r="J7" s="58"/>
      <c r="K7" s="58"/>
      <c r="L7" s="58"/>
      <c r="M7" s="58"/>
      <c r="N7" s="58"/>
      <c r="O7" s="58"/>
      <c r="P7" s="58"/>
    </row>
    <row r="8" spans="2:16">
      <c r="B8" s="58" t="s">
        <v>109</v>
      </c>
      <c r="C8" s="58"/>
      <c r="D8" s="58" t="s">
        <v>51</v>
      </c>
      <c r="E8" s="58"/>
      <c r="F8" s="58"/>
      <c r="G8" s="58"/>
      <c r="H8" s="59">
        <f>L28/2</f>
        <v>4.1780821917808221E-2</v>
      </c>
      <c r="I8" s="58"/>
      <c r="J8" s="58"/>
      <c r="K8" s="58"/>
      <c r="L8" s="58"/>
      <c r="M8" s="58"/>
      <c r="N8" s="58"/>
      <c r="O8" s="58"/>
      <c r="P8" s="58"/>
    </row>
    <row r="9" spans="2:16">
      <c r="B9" s="58" t="s">
        <v>110</v>
      </c>
      <c r="C9" s="58"/>
      <c r="D9" s="58" t="s">
        <v>51</v>
      </c>
      <c r="E9" s="58"/>
      <c r="F9" s="58"/>
      <c r="G9" s="58"/>
      <c r="H9" s="59">
        <f t="shared" ref="H9:H11" si="0">L29/2</f>
        <v>4.9739073711676449E-2</v>
      </c>
      <c r="I9" s="58"/>
      <c r="J9" s="58"/>
      <c r="K9" s="58"/>
      <c r="L9" s="58"/>
      <c r="M9" s="58"/>
      <c r="N9" s="58"/>
      <c r="O9" s="58"/>
      <c r="P9" s="58"/>
    </row>
    <row r="10" spans="2:16">
      <c r="B10" s="58" t="s">
        <v>111</v>
      </c>
      <c r="C10" s="58"/>
      <c r="D10" s="58" t="s">
        <v>51</v>
      </c>
      <c r="E10" s="58"/>
      <c r="F10" s="58"/>
      <c r="G10" s="58"/>
      <c r="H10" s="59">
        <f t="shared" si="0"/>
        <v>6.9634703196347028E-2</v>
      </c>
      <c r="I10" s="58"/>
      <c r="J10" s="58"/>
      <c r="K10" s="58"/>
      <c r="L10" s="58"/>
      <c r="M10" s="58"/>
      <c r="N10" s="58"/>
      <c r="O10" s="58"/>
      <c r="P10" s="58"/>
    </row>
    <row r="11" spans="2:16">
      <c r="B11" s="58" t="s">
        <v>112</v>
      </c>
      <c r="C11" s="58"/>
      <c r="D11" s="58" t="s">
        <v>51</v>
      </c>
      <c r="E11" s="58"/>
      <c r="F11" s="58"/>
      <c r="G11" s="58"/>
      <c r="H11" s="59">
        <f t="shared" si="0"/>
        <v>5.9686888454011742E-3</v>
      </c>
      <c r="I11" s="58"/>
      <c r="J11" s="58"/>
      <c r="K11" s="58"/>
      <c r="L11" s="58"/>
      <c r="M11" s="58"/>
      <c r="N11" s="58"/>
      <c r="O11" s="58"/>
      <c r="P11" s="58"/>
    </row>
    <row r="12" spans="2:16">
      <c r="B12" s="58" t="s">
        <v>113</v>
      </c>
      <c r="C12" s="58"/>
      <c r="D12" s="58" t="s">
        <v>51</v>
      </c>
      <c r="E12" s="58"/>
      <c r="F12" s="58"/>
      <c r="G12" s="58"/>
      <c r="H12" s="59">
        <f>H8</f>
        <v>4.1780821917808221E-2</v>
      </c>
      <c r="I12" s="58"/>
      <c r="J12" s="58"/>
      <c r="K12" s="58"/>
      <c r="L12" s="58"/>
      <c r="M12" s="58"/>
      <c r="N12" s="58"/>
      <c r="O12" s="58"/>
      <c r="P12" s="58"/>
    </row>
    <row r="13" spans="2:16">
      <c r="B13" s="58" t="s">
        <v>114</v>
      </c>
      <c r="C13" s="58"/>
      <c r="D13" s="58" t="s">
        <v>51</v>
      </c>
      <c r="E13" s="58"/>
      <c r="F13" s="58"/>
      <c r="G13" s="58"/>
      <c r="H13" s="59">
        <f t="shared" ref="H13:H15" si="1">H9</f>
        <v>4.9739073711676449E-2</v>
      </c>
      <c r="I13" s="58"/>
      <c r="J13" s="58"/>
      <c r="K13" s="58"/>
      <c r="L13" s="58"/>
      <c r="M13" s="58"/>
      <c r="N13" s="58"/>
      <c r="O13" s="58"/>
      <c r="P13" s="58"/>
    </row>
    <row r="14" spans="2:16">
      <c r="B14" s="58" t="s">
        <v>115</v>
      </c>
      <c r="C14" s="58"/>
      <c r="D14" s="58" t="s">
        <v>51</v>
      </c>
      <c r="E14" s="58"/>
      <c r="F14" s="58"/>
      <c r="G14" s="58"/>
      <c r="H14" s="59">
        <f t="shared" si="1"/>
        <v>6.9634703196347028E-2</v>
      </c>
      <c r="I14" s="58"/>
      <c r="J14" s="58"/>
      <c r="K14" s="58"/>
      <c r="L14" s="58"/>
      <c r="M14" s="58"/>
      <c r="N14" s="58"/>
      <c r="O14" s="58"/>
      <c r="P14" s="58"/>
    </row>
    <row r="15" spans="2:16">
      <c r="B15" s="58" t="s">
        <v>116</v>
      </c>
      <c r="C15" s="58"/>
      <c r="D15" s="58" t="s">
        <v>51</v>
      </c>
      <c r="E15" s="58"/>
      <c r="F15" s="58"/>
      <c r="G15" s="58"/>
      <c r="H15" s="59">
        <f t="shared" si="1"/>
        <v>5.9686888454011742E-3</v>
      </c>
      <c r="I15" s="58"/>
      <c r="J15" s="58"/>
      <c r="K15" s="58"/>
      <c r="L15" s="58"/>
      <c r="M15" s="58"/>
      <c r="N15" s="58"/>
      <c r="O15" s="58"/>
      <c r="P15" s="58"/>
    </row>
    <row r="16" spans="2:16">
      <c r="B16" s="58" t="s">
        <v>70</v>
      </c>
      <c r="C16" s="58"/>
      <c r="D16" s="58" t="s">
        <v>51</v>
      </c>
      <c r="E16" s="58"/>
      <c r="F16" s="58"/>
      <c r="G16" s="58"/>
      <c r="H16" s="59">
        <f>L32</f>
        <v>9.7488584474885842E-2</v>
      </c>
      <c r="I16" s="58"/>
      <c r="J16" s="58"/>
      <c r="K16" s="58"/>
      <c r="L16" s="58"/>
      <c r="M16" s="58"/>
      <c r="N16" s="58"/>
      <c r="O16" s="58"/>
      <c r="P16" s="58"/>
    </row>
    <row r="17" spans="2:16">
      <c r="B17" s="58" t="s">
        <v>71</v>
      </c>
      <c r="C17" s="58"/>
      <c r="D17" s="58" t="s">
        <v>51</v>
      </c>
      <c r="E17" s="58"/>
      <c r="F17" s="58"/>
      <c r="G17" s="58"/>
      <c r="H17" s="59">
        <f t="shared" ref="H17:H23" si="2">L33</f>
        <v>0.10544683626875408</v>
      </c>
      <c r="I17" s="58"/>
      <c r="J17" s="58"/>
      <c r="K17" s="58"/>
      <c r="L17" s="58"/>
      <c r="M17" s="58"/>
      <c r="N17" s="58"/>
      <c r="O17" s="58"/>
      <c r="P17" s="58"/>
    </row>
    <row r="18" spans="2:16">
      <c r="B18" s="58" t="s">
        <v>52</v>
      </c>
      <c r="C18" s="58"/>
      <c r="D18" s="58" t="s">
        <v>51</v>
      </c>
      <c r="E18" s="58"/>
      <c r="F18" s="58"/>
      <c r="G18" s="58"/>
      <c r="H18" s="59">
        <f t="shared" si="2"/>
        <v>0.11141552511415526</v>
      </c>
      <c r="I18" s="58"/>
      <c r="J18" s="58"/>
      <c r="K18" s="58"/>
      <c r="L18" s="58"/>
      <c r="M18" s="58"/>
      <c r="N18" s="58"/>
      <c r="O18" s="58"/>
      <c r="P18" s="58"/>
    </row>
    <row r="19" spans="2:16">
      <c r="B19" s="58" t="s">
        <v>72</v>
      </c>
      <c r="C19" s="58"/>
      <c r="D19" s="58" t="s">
        <v>51</v>
      </c>
      <c r="E19" s="58"/>
      <c r="F19" s="58"/>
      <c r="G19" s="58"/>
      <c r="H19" s="59">
        <f t="shared" si="2"/>
        <v>1.9895629484670579E-2</v>
      </c>
      <c r="I19" s="58"/>
      <c r="J19" s="58"/>
      <c r="K19" s="58"/>
      <c r="L19" s="58"/>
      <c r="M19" s="58"/>
      <c r="N19" s="58"/>
      <c r="O19" s="58"/>
      <c r="P19" s="58"/>
    </row>
    <row r="20" spans="2:16">
      <c r="B20" s="58" t="s">
        <v>73</v>
      </c>
      <c r="C20" s="58"/>
      <c r="D20" s="58" t="s">
        <v>51</v>
      </c>
      <c r="E20" s="58"/>
      <c r="F20" s="58"/>
      <c r="G20" s="58"/>
      <c r="H20" s="59">
        <f t="shared" si="2"/>
        <v>6.9063926940639273E-2</v>
      </c>
      <c r="I20" s="58"/>
      <c r="J20" s="58"/>
      <c r="K20" s="58"/>
      <c r="L20" s="58"/>
      <c r="M20" s="58"/>
      <c r="N20" s="58"/>
      <c r="O20" s="58"/>
      <c r="P20" s="58"/>
    </row>
    <row r="21" spans="2:16">
      <c r="B21" s="58" t="s">
        <v>74</v>
      </c>
      <c r="C21" s="58"/>
      <c r="D21" s="58" t="s">
        <v>51</v>
      </c>
      <c r="E21" s="58"/>
      <c r="F21" s="58"/>
      <c r="G21" s="58"/>
      <c r="H21" s="59">
        <f t="shared" si="2"/>
        <v>9.8662752772341808E-2</v>
      </c>
      <c r="I21" s="58"/>
      <c r="J21" s="58"/>
      <c r="K21" s="58"/>
      <c r="L21" s="58"/>
      <c r="M21" s="58"/>
      <c r="N21" s="58"/>
      <c r="O21" s="58"/>
      <c r="P21" s="58"/>
    </row>
    <row r="22" spans="2:16">
      <c r="B22" s="58" t="s">
        <v>53</v>
      </c>
      <c r="C22" s="58"/>
      <c r="D22" s="58" t="s">
        <v>51</v>
      </c>
      <c r="E22" s="58"/>
      <c r="F22" s="58"/>
      <c r="G22" s="58"/>
      <c r="H22" s="59">
        <f t="shared" si="2"/>
        <v>0.1519406392694064</v>
      </c>
      <c r="I22" s="58"/>
      <c r="J22" s="58"/>
      <c r="K22" s="58"/>
      <c r="L22" s="58"/>
      <c r="M22" s="58"/>
      <c r="N22" s="58"/>
      <c r="O22" s="58"/>
      <c r="P22" s="58"/>
    </row>
    <row r="23" spans="2:16">
      <c r="B23" s="58" t="s">
        <v>75</v>
      </c>
      <c r="C23" s="58"/>
      <c r="D23" s="58" t="s">
        <v>51</v>
      </c>
      <c r="E23" s="58"/>
      <c r="F23" s="58"/>
      <c r="G23" s="58"/>
      <c r="H23" s="59">
        <f t="shared" si="2"/>
        <v>1.1839530332681017E-2</v>
      </c>
      <c r="I23" s="58"/>
      <c r="J23" s="58"/>
      <c r="K23" s="58"/>
      <c r="L23" s="58"/>
      <c r="M23" s="58"/>
      <c r="N23" s="58"/>
      <c r="O23" s="58"/>
      <c r="P23" s="58"/>
    </row>
    <row r="26" spans="2:16">
      <c r="B26" s="64" t="s">
        <v>1494</v>
      </c>
      <c r="C26" s="64"/>
    </row>
    <row r="27" spans="2:16" ht="14.5">
      <c r="C27" s="63" t="s">
        <v>1482</v>
      </c>
      <c r="D27" s="63" t="s">
        <v>1483</v>
      </c>
      <c r="E27" s="63" t="s">
        <v>1484</v>
      </c>
      <c r="F27" s="63" t="s">
        <v>19</v>
      </c>
      <c r="G27" s="63" t="s">
        <v>1485</v>
      </c>
      <c r="H27" s="63" t="s">
        <v>1486</v>
      </c>
      <c r="I27" s="63" t="s">
        <v>1487</v>
      </c>
      <c r="J27" s="63" t="s">
        <v>20</v>
      </c>
      <c r="K27" s="63" t="s">
        <v>30</v>
      </c>
    </row>
    <row r="28" spans="2:16" ht="14.5">
      <c r="C28" s="62" t="s">
        <v>96</v>
      </c>
      <c r="D28" s="62" t="s">
        <v>97</v>
      </c>
      <c r="E28" s="62" t="s">
        <v>1488</v>
      </c>
      <c r="F28" s="62" t="s">
        <v>60</v>
      </c>
      <c r="G28" s="62" t="s">
        <v>95</v>
      </c>
      <c r="H28" s="62" t="s">
        <v>1489</v>
      </c>
      <c r="I28" s="62" t="s">
        <v>95</v>
      </c>
      <c r="J28" s="62" t="s">
        <v>1490</v>
      </c>
      <c r="K28" s="62">
        <v>8.2199999999999995E-2</v>
      </c>
      <c r="L28" s="107">
        <v>8.3561643835616442E-2</v>
      </c>
    </row>
    <row r="29" spans="2:16" ht="14.5">
      <c r="C29" s="62" t="s">
        <v>96</v>
      </c>
      <c r="D29" s="62" t="s">
        <v>97</v>
      </c>
      <c r="E29" s="62" t="s">
        <v>1488</v>
      </c>
      <c r="F29" s="62" t="s">
        <v>60</v>
      </c>
      <c r="G29" s="62" t="s">
        <v>95</v>
      </c>
      <c r="H29" s="62" t="s">
        <v>1489</v>
      </c>
      <c r="I29" s="62" t="s">
        <v>95</v>
      </c>
      <c r="J29" s="62" t="s">
        <v>1491</v>
      </c>
      <c r="K29" s="62">
        <v>9.5699999999999993E-2</v>
      </c>
      <c r="L29" s="107">
        <v>9.9478147423352897E-2</v>
      </c>
    </row>
    <row r="30" spans="2:16" ht="14.5">
      <c r="C30" s="62" t="s">
        <v>96</v>
      </c>
      <c r="D30" s="62" t="s">
        <v>97</v>
      </c>
      <c r="E30" s="62" t="s">
        <v>1488</v>
      </c>
      <c r="F30" s="62" t="s">
        <v>60</v>
      </c>
      <c r="G30" s="62" t="s">
        <v>95</v>
      </c>
      <c r="H30" s="62" t="s">
        <v>1489</v>
      </c>
      <c r="I30" s="62" t="s">
        <v>95</v>
      </c>
      <c r="J30" s="62" t="s">
        <v>1492</v>
      </c>
      <c r="K30" s="62">
        <v>0.1532</v>
      </c>
      <c r="L30" s="107">
        <v>0.13926940639269406</v>
      </c>
    </row>
    <row r="31" spans="2:16" ht="14.5">
      <c r="C31" s="62" t="s">
        <v>96</v>
      </c>
      <c r="D31" s="62" t="s">
        <v>97</v>
      </c>
      <c r="E31" s="62" t="s">
        <v>1488</v>
      </c>
      <c r="F31" s="62" t="s">
        <v>60</v>
      </c>
      <c r="G31" s="62" t="s">
        <v>95</v>
      </c>
      <c r="H31" s="62" t="s">
        <v>1489</v>
      </c>
      <c r="I31" s="62" t="s">
        <v>95</v>
      </c>
      <c r="J31" s="62" t="s">
        <v>1493</v>
      </c>
      <c r="K31" s="62">
        <v>3.2000000000000002E-3</v>
      </c>
      <c r="L31" s="107">
        <v>1.1937377690802348E-2</v>
      </c>
    </row>
    <row r="32" spans="2:16" ht="14.5">
      <c r="C32" s="62" t="s">
        <v>96</v>
      </c>
      <c r="D32" s="62" t="s">
        <v>97</v>
      </c>
      <c r="E32" s="62" t="s">
        <v>1488</v>
      </c>
      <c r="F32" s="62" t="s">
        <v>60</v>
      </c>
      <c r="G32" s="62" t="s">
        <v>95</v>
      </c>
      <c r="H32" s="62" t="s">
        <v>1489</v>
      </c>
      <c r="I32" s="62" t="s">
        <v>95</v>
      </c>
      <c r="J32" s="62" t="s">
        <v>98</v>
      </c>
      <c r="K32" s="62">
        <v>9.7500000000000003E-2</v>
      </c>
      <c r="L32" s="107">
        <v>9.7488584474885842E-2</v>
      </c>
    </row>
    <row r="33" spans="3:12" ht="14.5">
      <c r="C33" s="62" t="s">
        <v>96</v>
      </c>
      <c r="D33" s="62" t="s">
        <v>97</v>
      </c>
      <c r="E33" s="62" t="s">
        <v>1488</v>
      </c>
      <c r="F33" s="62" t="s">
        <v>60</v>
      </c>
      <c r="G33" s="62" t="s">
        <v>95</v>
      </c>
      <c r="H33" s="62" t="s">
        <v>1489</v>
      </c>
      <c r="I33" s="62" t="s">
        <v>95</v>
      </c>
      <c r="J33" s="62" t="s">
        <v>99</v>
      </c>
      <c r="K33" s="62">
        <v>0.1087</v>
      </c>
      <c r="L33" s="107">
        <v>0.10544683626875408</v>
      </c>
    </row>
    <row r="34" spans="3:12" ht="14.5">
      <c r="C34" s="62" t="s">
        <v>96</v>
      </c>
      <c r="D34" s="62" t="s">
        <v>97</v>
      </c>
      <c r="E34" s="62" t="s">
        <v>1488</v>
      </c>
      <c r="F34" s="62" t="s">
        <v>60</v>
      </c>
      <c r="G34" s="62" t="s">
        <v>95</v>
      </c>
      <c r="H34" s="62" t="s">
        <v>1489</v>
      </c>
      <c r="I34" s="62" t="s">
        <v>95</v>
      </c>
      <c r="J34" s="62" t="s">
        <v>100</v>
      </c>
      <c r="K34" s="62">
        <v>0.12529999999999999</v>
      </c>
      <c r="L34" s="107">
        <v>0.11141552511415526</v>
      </c>
    </row>
    <row r="35" spans="3:12" ht="14.5">
      <c r="C35" s="62" t="s">
        <v>96</v>
      </c>
      <c r="D35" s="62" t="s">
        <v>97</v>
      </c>
      <c r="E35" s="62" t="s">
        <v>1488</v>
      </c>
      <c r="F35" s="62" t="s">
        <v>60</v>
      </c>
      <c r="G35" s="62" t="s">
        <v>95</v>
      </c>
      <c r="H35" s="62" t="s">
        <v>1489</v>
      </c>
      <c r="I35" s="62" t="s">
        <v>95</v>
      </c>
      <c r="J35" s="62" t="s">
        <v>101</v>
      </c>
      <c r="K35" s="62">
        <v>2.7000000000000001E-3</v>
      </c>
      <c r="L35" s="107">
        <v>1.9895629484670579E-2</v>
      </c>
    </row>
    <row r="36" spans="3:12" ht="14.5">
      <c r="C36" s="62" t="s">
        <v>96</v>
      </c>
      <c r="D36" s="62" t="s">
        <v>97</v>
      </c>
      <c r="E36" s="62" t="s">
        <v>1488</v>
      </c>
      <c r="F36" s="62" t="s">
        <v>60</v>
      </c>
      <c r="G36" s="62" t="s">
        <v>95</v>
      </c>
      <c r="H36" s="62" t="s">
        <v>1489</v>
      </c>
      <c r="I36" s="62" t="s">
        <v>95</v>
      </c>
      <c r="J36" s="62" t="s">
        <v>102</v>
      </c>
      <c r="K36" s="62">
        <v>8.1500000000000003E-2</v>
      </c>
      <c r="L36" s="107">
        <v>6.9063926940639273E-2</v>
      </c>
    </row>
    <row r="37" spans="3:12" ht="14.5">
      <c r="C37" s="62" t="s">
        <v>96</v>
      </c>
      <c r="D37" s="62" t="s">
        <v>97</v>
      </c>
      <c r="E37" s="62" t="s">
        <v>1488</v>
      </c>
      <c r="F37" s="62" t="s">
        <v>60</v>
      </c>
      <c r="G37" s="62" t="s">
        <v>95</v>
      </c>
      <c r="H37" s="62" t="s">
        <v>1489</v>
      </c>
      <c r="I37" s="62" t="s">
        <v>95</v>
      </c>
      <c r="J37" s="62" t="s">
        <v>103</v>
      </c>
      <c r="K37" s="62">
        <v>0.1087</v>
      </c>
      <c r="L37" s="107">
        <v>9.8662752772341808E-2</v>
      </c>
    </row>
    <row r="38" spans="3:12" ht="14.5">
      <c r="C38" s="62" t="s">
        <v>96</v>
      </c>
      <c r="D38" s="62" t="s">
        <v>97</v>
      </c>
      <c r="E38" s="62" t="s">
        <v>1488</v>
      </c>
      <c r="F38" s="62" t="s">
        <v>60</v>
      </c>
      <c r="G38" s="62" t="s">
        <v>95</v>
      </c>
      <c r="H38" s="62" t="s">
        <v>1489</v>
      </c>
      <c r="I38" s="62" t="s">
        <v>95</v>
      </c>
      <c r="J38" s="62" t="s">
        <v>104</v>
      </c>
      <c r="K38" s="62">
        <v>0.1381</v>
      </c>
      <c r="L38" s="107">
        <v>0.1519406392694064</v>
      </c>
    </row>
    <row r="39" spans="3:12" ht="14.5">
      <c r="C39" s="62" t="s">
        <v>96</v>
      </c>
      <c r="D39" s="62" t="s">
        <v>97</v>
      </c>
      <c r="E39" s="62" t="s">
        <v>1488</v>
      </c>
      <c r="F39" s="62" t="s">
        <v>60</v>
      </c>
      <c r="G39" s="62" t="s">
        <v>95</v>
      </c>
      <c r="H39" s="62" t="s">
        <v>1489</v>
      </c>
      <c r="I39" s="62" t="s">
        <v>95</v>
      </c>
      <c r="J39" s="62" t="s">
        <v>105</v>
      </c>
      <c r="K39" s="62">
        <v>3.2000000000000002E-3</v>
      </c>
      <c r="L39" s="107">
        <v>1.1839530332681017E-2</v>
      </c>
    </row>
  </sheetData>
  <phoneticPr fontId="9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"/>
  <sheetViews>
    <sheetView topLeftCell="A9" zoomScale="90" workbookViewId="0">
      <selection activeCell="I24" sqref="I24"/>
    </sheetView>
  </sheetViews>
  <sheetFormatPr defaultRowHeight="12.5"/>
  <cols>
    <col min="3" max="3" width="13.1796875" bestFit="1" customWidth="1"/>
    <col min="4" max="4" width="12.81640625" bestFit="1" customWidth="1"/>
    <col min="6" max="6" width="14.54296875" bestFit="1" customWidth="1"/>
    <col min="7" max="7" width="10.7265625" bestFit="1" customWidth="1"/>
    <col min="8" max="8" width="7.81640625" bestFit="1" customWidth="1"/>
    <col min="9" max="9" width="10.54296875" bestFit="1" customWidth="1"/>
    <col min="10" max="10" width="9.7265625" bestFit="1" customWidth="1"/>
    <col min="12" max="12" width="12.1796875" bestFit="1" customWidth="1"/>
    <col min="19" max="19" width="9.26953125" customWidth="1"/>
  </cols>
  <sheetData>
    <row r="1" spans="1:17" ht="14.5">
      <c r="A1" s="91">
        <v>1</v>
      </c>
    </row>
    <row r="3" spans="1:17" ht="15.5">
      <c r="B3" s="5" t="s">
        <v>8</v>
      </c>
    </row>
    <row r="4" spans="1:17" ht="13">
      <c r="E4" s="4" t="s">
        <v>1</v>
      </c>
      <c r="F4" s="4"/>
      <c r="G4" s="4"/>
    </row>
    <row r="5" spans="1:17" ht="13">
      <c r="B5" s="1" t="str">
        <f>IF($A$1=1,"~TFM_MIG","~TFM_UPD")</f>
        <v>~TFM_MIG</v>
      </c>
    </row>
    <row r="6" spans="1:17" ht="13.5" thickBot="1">
      <c r="B6" s="2" t="s">
        <v>20</v>
      </c>
      <c r="C6" s="2" t="s">
        <v>21</v>
      </c>
      <c r="D6" s="2" t="s">
        <v>22</v>
      </c>
      <c r="E6" s="2" t="str">
        <f>IF($A$1=1,"year2","year")</f>
        <v>year2</v>
      </c>
      <c r="F6" s="2" t="s">
        <v>5</v>
      </c>
      <c r="G6" s="2" t="s">
        <v>4</v>
      </c>
      <c r="H6" s="3" t="s">
        <v>24</v>
      </c>
    </row>
    <row r="7" spans="1:17">
      <c r="D7" t="s">
        <v>54</v>
      </c>
      <c r="E7">
        <v>0</v>
      </c>
      <c r="G7">
        <v>3</v>
      </c>
    </row>
    <row r="8" spans="1:17">
      <c r="D8" t="s">
        <v>16</v>
      </c>
      <c r="E8">
        <v>0</v>
      </c>
      <c r="G8">
        <v>5</v>
      </c>
    </row>
    <row r="11" spans="1:17" ht="13">
      <c r="E11" s="4" t="s">
        <v>2</v>
      </c>
      <c r="F11" s="4"/>
      <c r="G11" s="4"/>
    </row>
    <row r="12" spans="1:17" ht="13">
      <c r="B12" s="1" t="s">
        <v>0</v>
      </c>
      <c r="Q12" s="1"/>
    </row>
    <row r="13" spans="1:17" ht="13.5" thickBot="1">
      <c r="B13" s="2" t="s">
        <v>20</v>
      </c>
      <c r="C13" s="2" t="s">
        <v>21</v>
      </c>
      <c r="D13" s="2" t="s">
        <v>22</v>
      </c>
      <c r="E13" s="2" t="s">
        <v>23</v>
      </c>
      <c r="F13" s="2" t="s">
        <v>4</v>
      </c>
      <c r="G13" s="3" t="s">
        <v>24</v>
      </c>
    </row>
    <row r="14" spans="1:17">
      <c r="D14" t="s">
        <v>6</v>
      </c>
      <c r="F14">
        <v>99999</v>
      </c>
      <c r="G14" t="s">
        <v>3</v>
      </c>
    </row>
    <row r="15" spans="1:17">
      <c r="D15" t="s">
        <v>6</v>
      </c>
      <c r="F15" t="s">
        <v>2078</v>
      </c>
      <c r="G15" t="s">
        <v>7</v>
      </c>
    </row>
    <row r="19" spans="2:11" ht="13">
      <c r="B19" s="1" t="str">
        <f>IF($A$1=1,"~TFM_INS-txt","~TFM_INS")</f>
        <v>~TFM_INS-txt</v>
      </c>
    </row>
    <row r="20" spans="2:11" ht="13.5" thickBot="1">
      <c r="B20" s="2" t="s">
        <v>20</v>
      </c>
      <c r="C20" s="2" t="s">
        <v>21</v>
      </c>
      <c r="D20" s="2" t="s">
        <v>22</v>
      </c>
      <c r="E20" s="2" t="s">
        <v>76</v>
      </c>
      <c r="F20" s="2" t="s">
        <v>4</v>
      </c>
      <c r="G20" s="3" t="s">
        <v>24</v>
      </c>
      <c r="H20" s="3" t="s">
        <v>47</v>
      </c>
      <c r="I20" s="3" t="s">
        <v>48</v>
      </c>
      <c r="J20" s="3" t="s">
        <v>46</v>
      </c>
      <c r="K20" s="3"/>
    </row>
    <row r="21" spans="2:11">
      <c r="D21" t="s">
        <v>55</v>
      </c>
      <c r="F21" t="s">
        <v>81</v>
      </c>
      <c r="I21" t="s">
        <v>82</v>
      </c>
    </row>
    <row r="22" spans="2:11">
      <c r="D22" t="s">
        <v>59</v>
      </c>
      <c r="F22" t="s">
        <v>81</v>
      </c>
      <c r="G22" s="11" t="s">
        <v>87</v>
      </c>
      <c r="J22" t="s">
        <v>82</v>
      </c>
    </row>
    <row r="23" spans="2:11">
      <c r="D23" t="s">
        <v>106</v>
      </c>
      <c r="F23" t="s">
        <v>92</v>
      </c>
      <c r="I23" t="s">
        <v>2041</v>
      </c>
    </row>
    <row r="24" spans="2:11">
      <c r="D24" t="s">
        <v>55</v>
      </c>
      <c r="F24" t="s">
        <v>56</v>
      </c>
      <c r="I24" t="s">
        <v>2087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5"/>
  <sheetViews>
    <sheetView workbookViewId="0">
      <selection activeCell="B13" sqref="B13"/>
    </sheetView>
  </sheetViews>
  <sheetFormatPr defaultRowHeight="12.5"/>
  <cols>
    <col min="2" max="2" width="15.453125" bestFit="1" customWidth="1"/>
    <col min="3" max="3" width="41.81640625" bestFit="1" customWidth="1"/>
    <col min="4" max="4" width="31.54296875" customWidth="1"/>
    <col min="5" max="5" width="10.7265625" bestFit="1" customWidth="1"/>
  </cols>
  <sheetData>
    <row r="2" spans="2:2" ht="13">
      <c r="B2" s="61" t="s">
        <v>78</v>
      </c>
    </row>
    <row r="3" spans="2:2">
      <c r="B3" t="s">
        <v>79</v>
      </c>
    </row>
    <row r="4" spans="2:2">
      <c r="B4" t="s">
        <v>118</v>
      </c>
    </row>
    <row r="5" spans="2:2">
      <c r="B5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2B2CA6-7181-4C79-9455-94ACEB9DB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152F2-3E7D-4138-8EFA-CBF50ED73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b422-a6f4-4b6d-a699-15e0adf0131b"/>
    <ds:schemaRef ds:uri="a1feda3e-9ebc-462f-b638-5fefd6b1a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RTT</vt:lpstr>
      <vt:lpstr>Import Settings</vt:lpstr>
      <vt:lpstr>TimePeriods</vt:lpstr>
      <vt:lpstr>SEC_Comm</vt:lpstr>
      <vt:lpstr>Sheet1</vt:lpstr>
      <vt:lpstr>Constants</vt:lpstr>
      <vt:lpstr>Interpolation etc.</vt:lpstr>
      <vt:lpstr>defaults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Kaplan, Ozge (she/her/hers)</cp:lastModifiedBy>
  <cp:lastPrinted>2001-09-28T20:39:50Z</cp:lastPrinted>
  <dcterms:created xsi:type="dcterms:W3CDTF">2001-09-28T18:48:17Z</dcterms:created>
  <dcterms:modified xsi:type="dcterms:W3CDTF">2024-09-20T21:31:40Z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27b0bb54-4268-4eae-8247-6278f15afdbc</vt:lpwstr>
  </property>
  <property fmtid="{D5CDD505-2E9C-101B-9397-08002B2CF9AE}" pid="3" name="SaveCode">
    <vt:r8>352016627788543</vt:r8>
  </property>
</Properties>
</file>