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7.xml" ContentType="application/vnd.ms-office.activeX+xml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comments1.xml" ContentType="application/vnd.openxmlformats-officedocument.spreadsheetml.comments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62.bin" ContentType="application/vnd.ms-office.activeX"/>
  <Override PartName="/xl/activeX/activeX52.bin" ContentType="application/vnd.ms-office.activeX"/>
  <Override PartName="/xl/activeX/activeX53.xml" ContentType="application/vnd.ms-office.activeX+xml"/>
  <Override PartName="/xl/activeX/activeX63.xml" ContentType="application/vnd.ms-office.activeX+xml"/>
  <Override PartName="/xl/activeX/activeX63.bin" ContentType="application/vnd.ms-office.activeX"/>
  <Override PartName="/xl/activeX/activeX5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47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4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49.xml" ContentType="application/vnd.ms-office.activeX+xml"/>
  <Override PartName="/xl/activeX/activeX68.xml" ContentType="application/vnd.ms-office.activeX+xml"/>
  <Override PartName="/xl/activeX/activeX68.bin" ContentType="application/vnd.ms-office.activeX"/>
  <Override PartName="/xl/activeX/activeX54.xml" ContentType="application/vnd.ms-office.activeX+xml"/>
  <Override PartName="/xl/activeX/activeX69.xml" ContentType="application/vnd.ms-office.activeX+xml"/>
  <Override PartName="/xl/activeX/activeX69.bin" ContentType="application/vnd.ms-office.activeX"/>
  <Override PartName="/xl/activeX/activeX5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activeX/activeX45.bin" ContentType="application/vnd.ms-office.activeX"/>
  <Override PartName="/xl/activeX/activeX45.xml" ContentType="application/vnd.ms-office.activeX+xml"/>
  <Override PartName="/xl/activeX/activeX49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48.xml" ContentType="application/vnd.ms-office.activeX+xml"/>
  <Override PartName="/xl/activeX/activeX56.xml" ContentType="application/vnd.ms-office.activeX+xml"/>
  <Override PartName="/xl/activeX/activeX56.bin" ContentType="application/vnd.ms-office.activeX"/>
  <Override PartName="/xl/activeX/activeX44.bin" ContentType="application/vnd.ms-office.activeX"/>
  <Override PartName="/xl/activeX/activeX50.xml" ContentType="application/vnd.ms-office.activeX+xml"/>
  <Override PartName="/xl/activeX/activeX57.xml" ContentType="application/vnd.ms-office.activeX+xml"/>
  <Override PartName="/xl/activeX/activeX57.bin" ContentType="application/vnd.ms-office.activeX"/>
  <Override PartName="/xl/activeX/activeX50.bin" ContentType="application/vnd.ms-office.activeX"/>
  <Override PartName="/xl/activeX/activeX48.bin" ContentType="application/vnd.ms-office.activeX"/>
  <Override PartName="/xl/activeX/activeX51.xml" ContentType="application/vnd.ms-office.activeX+xml"/>
  <Override PartName="/xl/activeX/activeX58.xml" ContentType="application/vnd.ms-office.activeX+xml"/>
  <Override PartName="/xl/activeX/activeX58.bin" ContentType="application/vnd.ms-office.activeX"/>
  <Override PartName="/xl/activeX/activeX46.xml" ContentType="application/vnd.ms-office.activeX+xml"/>
  <Override PartName="/xl/activeX/activeX59.xml" ContentType="application/vnd.ms-office.activeX+xml"/>
  <Override PartName="/xl/activeX/activeX59.bin" ContentType="application/vnd.ms-office.activeX"/>
  <Override PartName="/xl/activeX/activeX51.bin" ContentType="application/vnd.ms-office.activeX"/>
  <Override PartName="/xl/activeX/activeX32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47.xml" ContentType="application/vnd.ms-office.activeX+xml"/>
  <Override PartName="/xl/activeX/activeX61.xml" ContentType="application/vnd.ms-office.activeX+xml"/>
  <Override PartName="/xl/activeX/activeX61.bin" ContentType="application/vnd.ms-office.activeX"/>
  <Override PartName="/xl/activeX/activeX52.xml" ContentType="application/vnd.ms-office.activeX+xml"/>
  <Override PartName="/xl/activeX/activeX62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25" documentId="13_ncr:1_{40DEC44B-D641-40B1-A168-0E7C880620A7}" xr6:coauthVersionLast="44" xr6:coauthVersionMax="44" xr10:uidLastSave="{72ECA1E3-4E33-42E5-94E1-7B86964028F2}"/>
  <bookViews>
    <workbookView xWindow="-108" yWindow="-108" windowWidth="23256" windowHeight="14016" tabRatio="692" firstSheet="1" activeTab="7" xr2:uid="{00000000-000D-0000-FFFF-FFFF00000000}"/>
  </bookViews>
  <sheets>
    <sheet name="ANSv6.1-Commodities" sheetId="1" state="veryHidden" r:id="rId1"/>
    <sheet name="SEC_Process" sheetId="118" r:id="rId2"/>
    <sheet name="ANSv6.1-Technologies" sheetId="2" state="veryHidden" r:id="rId3"/>
    <sheet name="ANSv6.1-Constraints" sheetId="7" state="veryHidden" r:id="rId4"/>
    <sheet name="ANSv6.1-CommData" sheetId="4" state="veryHidden" r:id="rId5"/>
    <sheet name="ANSv6.1-TechData" sheetId="3" state="veryHidden" r:id="rId6"/>
    <sheet name="Process_Charac_Dom" sheetId="116" r:id="rId7"/>
    <sheet name="Process_Charac_ImpExp" sheetId="120" r:id="rId8"/>
    <sheet name="Process_Charac_NGtoSectors" sheetId="119" r:id="rId9"/>
    <sheet name="Process_Charac_MinEmis" sheetId="122" r:id="rId10"/>
    <sheet name="Emissions_deliv" sheetId="121" r:id="rId11"/>
    <sheet name="ANSv6.1-ConstrData" sheetId="8" state="veryHidden" r:id="rId12"/>
    <sheet name="ANSv6.0-ConstrData" sheetId="46" state="veryHidden" r:id="rId13"/>
    <sheet name="ANSv6.0-TechData" sheetId="39" state="veryHidden" r:id="rId14"/>
    <sheet name="ANSv6.0-CommData" sheetId="38" state="veryHidden" r:id="rId15"/>
    <sheet name="ANSv6.0-Constraints" sheetId="37" state="veryHidden" r:id="rId16"/>
    <sheet name="ANSv6.0-Technologies" sheetId="36" state="veryHidden" r:id="rId17"/>
    <sheet name="ANSv6.0-Commodities" sheetId="35" state="veryHidden" r:id="rId18"/>
  </sheets>
  <externalReferences>
    <externalReference r:id="rId19"/>
    <externalReference r:id="rId20"/>
    <externalReference r:id="rId21"/>
    <externalReference r:id="rId22"/>
  </externalReferences>
  <definedNames>
    <definedName name="AnswerData">#REF!</definedName>
    <definedName name="bprint">#REF!</definedName>
    <definedName name="btu_per_watthr">'[1]Conversion Factors'!$B$5</definedName>
    <definedName name="CMM_SUPPLY_CRV_TABLE">[2]cum2025curves!#REF!</definedName>
    <definedName name="cprint">#REF!</definedName>
    <definedName name="days_per_year">'[1]Conversion Factors'!$B$3</definedName>
    <definedName name="dollar____per__m">'[1]Conversion Factors'!$B$7</definedName>
    <definedName name="exch_rate">#REF!</definedName>
    <definedName name="fitfile">[3]MODEL!$D$38</definedName>
    <definedName name="hours_per_day">'[1]Conversion Factors'!$B$2</definedName>
    <definedName name="INF">[3]MODEL!$H$14</definedName>
    <definedName name="j_per_btu">'[1]Conversion Factors'!$B$4</definedName>
    <definedName name="j_per_pj">'[1]Conversion Factors'!$B$6</definedName>
    <definedName name="lumens_per_billion_lumens">'[1]Conversion Factors'!$B$9</definedName>
    <definedName name="MAXREC">#REF!</definedName>
    <definedName name="million_short_tons_to_short_ton">[4]Steps!$Y$5</definedName>
    <definedName name="MMBTU_to_PJ">[4]Steps!$Y$6</definedName>
    <definedName name="PPP">[3]MODEL!$D$12</definedName>
    <definedName name="PPPEX">[3]MODEL!$D$13</definedName>
    <definedName name="rail_coal">#REF!</definedName>
    <definedName name="TECHNAME">#REF!</definedName>
    <definedName name="TRND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A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2" authorId="0" shapeId="0" xr:uid="{00000000-0006-0000-0A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<sst xmlns="http://schemas.openxmlformats.org/spreadsheetml/2006/main" count="1121" uniqueCount="287">
  <si>
    <t>MINNGAD1</t>
  </si>
  <si>
    <t>MINNGAD2</t>
  </si>
  <si>
    <t>MINNGAD3</t>
  </si>
  <si>
    <t>MINNGAD4</t>
  </si>
  <si>
    <t>MINNGAD5</t>
  </si>
  <si>
    <t>MINNGAD6</t>
  </si>
  <si>
    <t>Region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</si>
  <si>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</si>
  <si>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</si>
  <si>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</si>
  <si>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</si>
  <si>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</si>
  <si>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</si>
  <si>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</si>
  <si>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</si>
  <si>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</si>
  <si>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</si>
  <si>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</si>
  <si>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</si>
  <si>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</si>
  <si>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</si>
  <si>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</si>
  <si>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</si>
  <si>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</si>
  <si>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</si>
  <si>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</si>
  <si>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</si>
  <si>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PJ</t>
  </si>
  <si>
    <t>R0</t>
  </si>
  <si>
    <t>R1,R2,R3,R4,R5,R6,R7,R8,R9</t>
  </si>
  <si>
    <t>NGA</t>
  </si>
  <si>
    <t>NGAD</t>
  </si>
  <si>
    <t>NGL</t>
  </si>
  <si>
    <t>NGAC</t>
  </si>
  <si>
    <t>NGAL</t>
  </si>
  <si>
    <t>R1</t>
  </si>
  <si>
    <t>R3</t>
  </si>
  <si>
    <t>R2</t>
  </si>
  <si>
    <t>RESNGA</t>
  </si>
  <si>
    <t>COMNGA</t>
  </si>
  <si>
    <t>INDNGA</t>
  </si>
  <si>
    <t>ELCNGA</t>
  </si>
  <si>
    <t>TRNNGA</t>
  </si>
  <si>
    <t>R5</t>
  </si>
  <si>
    <t>R4</t>
  </si>
  <si>
    <t>R6</t>
  </si>
  <si>
    <t>R7</t>
  </si>
  <si>
    <t>R8</t>
  </si>
  <si>
    <t>R9</t>
  </si>
  <si>
    <t>Domestic natural gas - step 1</t>
  </si>
  <si>
    <t>Domestic natural gas - step 2</t>
  </si>
  <si>
    <t>Domestic natural gas - step 3</t>
  </si>
  <si>
    <t>Domestic natural gas - step 4</t>
  </si>
  <si>
    <t>Domestic natural gas - step 5</t>
  </si>
  <si>
    <t>Domestic natural gas - step 6</t>
  </si>
  <si>
    <t>SCMINNGAD</t>
  </si>
  <si>
    <t>Collector: MINNGAD</t>
  </si>
  <si>
    <t>IMPNGALA</t>
  </si>
  <si>
    <t>IMPNGALB</t>
  </si>
  <si>
    <t>IMPNGALC</t>
  </si>
  <si>
    <t>Domestic natural gas to residential end-use</t>
  </si>
  <si>
    <t>Domestic natural gas to commercial end-use</t>
  </si>
  <si>
    <t>Domestic natural gas to electricity generation</t>
  </si>
  <si>
    <t>Domestic natural gas to transportation end-use</t>
  </si>
  <si>
    <t>START</t>
  </si>
  <si>
    <t>CUM</t>
  </si>
  <si>
    <t>LIFE</t>
  </si>
  <si>
    <t>IMPNGAC1</t>
  </si>
  <si>
    <t>IMPNGAC2</t>
  </si>
  <si>
    <t>IMPNGAC3</t>
  </si>
  <si>
    <t>IMPNGAC4</t>
  </si>
  <si>
    <t>IMPNGAC5</t>
  </si>
  <si>
    <t>IMPNGAC6</t>
  </si>
  <si>
    <t>NGAC1</t>
  </si>
  <si>
    <t>NGAC2</t>
  </si>
  <si>
    <t>NGAC4</t>
  </si>
  <si>
    <t>NGAC8</t>
  </si>
  <si>
    <t>NGAC9</t>
  </si>
  <si>
    <t>SCIMPNGAC</t>
  </si>
  <si>
    <t>SCIMPNGAL</t>
  </si>
  <si>
    <t>R2,R3,R4,R5,R6,R7,R8,R9</t>
  </si>
  <si>
    <t>XNGARES</t>
  </si>
  <si>
    <t>XNGACOM</t>
  </si>
  <si>
    <t>XNGAIND</t>
  </si>
  <si>
    <t>XNGAELC</t>
  </si>
  <si>
    <t>XNGATRN</t>
  </si>
  <si>
    <t>PENTS</t>
  </si>
  <si>
    <t>XNGLFRAC</t>
  </si>
  <si>
    <t>Domestic natural gas liquids to end-products</t>
  </si>
  <si>
    <t>DENAT</t>
  </si>
  <si>
    <t>SCLPGNGL</t>
  </si>
  <si>
    <t>SCPENTNGL</t>
  </si>
  <si>
    <t>Collector: PFS from NGL</t>
  </si>
  <si>
    <t>Collector: LPG from NGL</t>
  </si>
  <si>
    <t>Collector: Pentanes from NGL</t>
  </si>
  <si>
    <t>NGLPENT</t>
  </si>
  <si>
    <t>SCPFSNGL</t>
  </si>
  <si>
    <t>SCGSRPENT</t>
  </si>
  <si>
    <t>SCDENPENT</t>
  </si>
  <si>
    <t>Collector: Ethanol denaturant from NGL Pentanes</t>
  </si>
  <si>
    <t>Collector: GSR from NGL Pentanes</t>
  </si>
  <si>
    <t>LPG_NGL</t>
  </si>
  <si>
    <t>PFS_NGL</t>
  </si>
  <si>
    <t>Domestic natural gas to industrial end-use</t>
  </si>
  <si>
    <t>EXPNGAM</t>
  </si>
  <si>
    <t>EXPNGAL</t>
  </si>
  <si>
    <t>R7,R8,R9</t>
  </si>
  <si>
    <t>R2,R5,R7,R9</t>
  </si>
  <si>
    <t>Region Name</t>
  </si>
  <si>
    <t>~FI_T</t>
  </si>
  <si>
    <t>~FI_Process</t>
  </si>
  <si>
    <t>Comm-IN</t>
  </si>
  <si>
    <t>Comm-OUT</t>
  </si>
  <si>
    <t>Sets</t>
  </si>
  <si>
    <t>Tact</t>
  </si>
  <si>
    <t>Tcap</t>
  </si>
  <si>
    <t>Tslvl</t>
  </si>
  <si>
    <t>PrimaryCG</t>
  </si>
  <si>
    <t>Vintage</t>
  </si>
  <si>
    <t>*Technology Name</t>
  </si>
  <si>
    <t>Input Commodity</t>
  </si>
  <si>
    <t>Output Commodity</t>
  </si>
  <si>
    <t>Reserves Cumulative Value</t>
  </si>
  <si>
    <t>Cost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</si>
  <si>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</si>
  <si>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</si>
  <si>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</si>
  <si>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</si>
  <si>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</si>
  <si>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</si>
  <si>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</si>
  <si>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</si>
  <si>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*Units</t>
  </si>
  <si>
    <t>MIN</t>
  </si>
  <si>
    <t>PJa</t>
  </si>
  <si>
    <t>Processes</t>
  </si>
  <si>
    <t>PRE</t>
  </si>
  <si>
    <t>* Characterize processes</t>
  </si>
  <si>
    <t>ACT_COST~2010</t>
  </si>
  <si>
    <t>ACT_COST~2012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</si>
  <si>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</si>
  <si>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</si>
  <si>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</si>
  <si>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</si>
  <si>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</si>
  <si>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</si>
  <si>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</si>
  <si>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</si>
  <si>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</si>
  <si>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Annual Variable O&amp;M cost</t>
  </si>
  <si>
    <t>Technology Start Year</t>
  </si>
  <si>
    <t>EFF</t>
  </si>
  <si>
    <t>Efficiency</t>
  </si>
  <si>
    <t>Remaining Lifetime</t>
  </si>
  <si>
    <t>Years</t>
  </si>
  <si>
    <t>Annual Production Bound</t>
  </si>
  <si>
    <t>ACT_BND~LO~2010</t>
  </si>
  <si>
    <t>\I: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</si>
  <si>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</si>
  <si>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</si>
  <si>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</si>
  <si>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</si>
  <si>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</si>
  <si>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</si>
  <si>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</si>
  <si>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</si>
  <si>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</si>
  <si>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</si>
  <si>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ACT_BND~UP~2015</t>
  </si>
  <si>
    <t>ACT_BND~UP~2020</t>
  </si>
  <si>
    <t>ACT_BND~UP~2055</t>
  </si>
  <si>
    <t>Output Share</t>
  </si>
  <si>
    <t>Share-O~FX</t>
  </si>
  <si>
    <t>NGAL1</t>
  </si>
  <si>
    <t>NGAL5</t>
  </si>
  <si>
    <t>NGAL7</t>
  </si>
  <si>
    <t>IMP</t>
  </si>
  <si>
    <t>Imported NG Liquids - Step A</t>
  </si>
  <si>
    <t>Imported NG Liquids - Step B</t>
  </si>
  <si>
    <t>Imported NG Liquids - Step C</t>
  </si>
  <si>
    <t>Imported NG Canadian - Step 1</t>
  </si>
  <si>
    <t>Imported NG Canadian - Step 2</t>
  </si>
  <si>
    <t>Imported NG Canadian - Step 3</t>
  </si>
  <si>
    <t>Imported NG Canadian - Step 4</t>
  </si>
  <si>
    <t>Imported NG Canadian - Step 5</t>
  </si>
  <si>
    <t>Imported NG Canadian - Step 6</t>
  </si>
  <si>
    <t>Collector: IMPNGAC</t>
  </si>
  <si>
    <t>Collector: IMPNGAL</t>
  </si>
  <si>
    <t>* Values associate with commodities</t>
  </si>
  <si>
    <t>* Units</t>
  </si>
  <si>
    <t>Kt/PJ</t>
  </si>
  <si>
    <t>Mt/PJ</t>
  </si>
  <si>
    <t>EXP</t>
  </si>
  <si>
    <t>Exported Liquified Natural Gas</t>
  </si>
  <si>
    <t>Exported Natural Gas to Mexico</t>
  </si>
  <si>
    <t>ACT_BND~FX~2010</t>
  </si>
  <si>
    <t>ACT_BND~FX~2015</t>
  </si>
  <si>
    <t>ACT_BND~FX~2020</t>
  </si>
  <si>
    <t>ACT_BND~FX~2025</t>
  </si>
  <si>
    <t>ACT_BND~FX~2030</t>
  </si>
  <si>
    <t>ACT_BND~FX~2035</t>
  </si>
  <si>
    <t>ACT_BND~FX~2040</t>
  </si>
  <si>
    <t>ACT_BND~FX~2045</t>
  </si>
  <si>
    <t>ACT_BND~FX~2050</t>
  </si>
  <si>
    <t>ACT_BND~FX~2055</t>
  </si>
  <si>
    <t>RSSCO2</t>
  </si>
  <si>
    <t>RSSVOC</t>
  </si>
  <si>
    <t>RSSCO</t>
  </si>
  <si>
    <t>RSSNOX</t>
  </si>
  <si>
    <t>RSSPM10</t>
  </si>
  <si>
    <t>RSSPM25</t>
  </si>
  <si>
    <t>RSSSO2</t>
  </si>
  <si>
    <t>RSSCH4</t>
  </si>
  <si>
    <t>RSSN2O</t>
  </si>
  <si>
    <t>RSSOC</t>
  </si>
  <si>
    <t>RSSBC</t>
  </si>
  <si>
    <t>ACT_BND~UP~2010</t>
  </si>
  <si>
    <t>ACT_BND~UP~0</t>
  </si>
  <si>
    <t>INPUT</t>
  </si>
  <si>
    <t>Process Input</t>
  </si>
  <si>
    <t>Share-O</t>
  </si>
  <si>
    <t>Share-O~0</t>
  </si>
  <si>
    <t>Process efficiency</t>
  </si>
  <si>
    <t>Life</t>
  </si>
  <si>
    <t>Lifetime of process</t>
  </si>
  <si>
    <t>PFSR</t>
  </si>
  <si>
    <t>LPGR</t>
  </si>
  <si>
    <t>GSRR</t>
  </si>
  <si>
    <t>ACT_BND~UP~2011</t>
  </si>
  <si>
    <t>ACT_BND~LO~2011</t>
  </si>
  <si>
    <t>ACT_BND~LO~2015</t>
  </si>
  <si>
    <t>ENV_ACT~RSSCO2</t>
  </si>
  <si>
    <t>ENV_ACT~RSSVOC~2010</t>
  </si>
  <si>
    <t>ENV_ACT~RSSVOC~2011</t>
  </si>
  <si>
    <t>ENV_ACT~RSSVOC~2015</t>
  </si>
  <si>
    <t>ENV_ACT~RSSVOC~2020</t>
  </si>
  <si>
    <t>ENV_ACT~RSSVOC~0</t>
  </si>
  <si>
    <t>ENV_ACT~RSSCO~2010</t>
  </si>
  <si>
    <t>ENV_ACT~RSSCO~2011</t>
  </si>
  <si>
    <t>ENV_ACT~RSSCO~2015</t>
  </si>
  <si>
    <t>ENV_ACT~RSSCO~2020</t>
  </si>
  <si>
    <t>ENV_ACT~RSSCO~0</t>
  </si>
  <si>
    <t>ENV_ACT~RSSNOX~2010</t>
  </si>
  <si>
    <t>ENV_ACT~RSSNOX~2011</t>
  </si>
  <si>
    <t>ENV_ACT~RSSNOX~2015</t>
  </si>
  <si>
    <t>ENV_ACT~RSSNOX~2020</t>
  </si>
  <si>
    <t>ENV_ACT~RSSNOX~0</t>
  </si>
  <si>
    <t>ENV_ACT~RSSPM10~2010</t>
  </si>
  <si>
    <t>ENV_ACT~RSSPM10~2011</t>
  </si>
  <si>
    <t>ENV_ACT~RSSPM10~2015</t>
  </si>
  <si>
    <t>ENV_ACT~RSSPM10~2020</t>
  </si>
  <si>
    <t>ENV_ACT~RSSPM10~0</t>
  </si>
  <si>
    <t>ENV_ACT~RSSPM25~2010</t>
  </si>
  <si>
    <t>ENV_ACT~RSSPM25~2011</t>
  </si>
  <si>
    <t>ENV_ACT~RSSPM25~2015</t>
  </si>
  <si>
    <t>ENV_ACT~RSSPM25~2020</t>
  </si>
  <si>
    <t>ENV_ACT~RSSPM25~0</t>
  </si>
  <si>
    <t>ENV_ACT~RSSSO2~2010</t>
  </si>
  <si>
    <t>ENV_ACT~RSSSO2~2011</t>
  </si>
  <si>
    <t>ENV_ACT~RSSSO2~2015</t>
  </si>
  <si>
    <t>ENV_ACT~RSSSO2~2020</t>
  </si>
  <si>
    <t>ENV_ACT~RSSSO2~0</t>
  </si>
  <si>
    <t>ENV_ACT~RSSCH4~2010</t>
  </si>
  <si>
    <t>ENV_ACT~RSSCH4~2011</t>
  </si>
  <si>
    <t>ENV_ACT~RSSCH4~2015</t>
  </si>
  <si>
    <t>ENV_ACT~RSSCH4~2020</t>
  </si>
  <si>
    <t>ENV_ACT~RSSCH4~0</t>
  </si>
  <si>
    <t>ENV_ACT~RSSN2O~2010</t>
  </si>
  <si>
    <t>ENV_ACT~RSSN2O~2011</t>
  </si>
  <si>
    <t>ENV_ACT~RSSN2O~2015</t>
  </si>
  <si>
    <t>ENV_ACT~RSSN2O~2020</t>
  </si>
  <si>
    <t>ENV_ACT~RSSN2O~0</t>
  </si>
  <si>
    <t>ENV_ACT~RSSOC~2010</t>
  </si>
  <si>
    <t>ENV_ACT~RSSOC~2011</t>
  </si>
  <si>
    <t>ENV_ACT~RSSOC~2015</t>
  </si>
  <si>
    <t>ENV_ACT~RSSOC~2020</t>
  </si>
  <si>
    <t>ENV_ACT~RSSOC~0</t>
  </si>
  <si>
    <t>ENV_ACT~RSSBC~2010</t>
  </si>
  <si>
    <t>ENV_ACT~RSSBC~2011</t>
  </si>
  <si>
    <t>ENV_ACT~RSSBC~2015</t>
  </si>
  <si>
    <t>ENV_ACT~RSSBC~2020</t>
  </si>
  <si>
    <t>ENV_ACT~RSSBC~0</t>
  </si>
  <si>
    <t>Activity based emissions</t>
  </si>
  <si>
    <t>*</t>
  </si>
  <si>
    <t>COST~2011</t>
  </si>
  <si>
    <t>ACT_BND~FX~2011</t>
  </si>
  <si>
    <t>~COMEMI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</si>
</sst>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m\o\n\th\ d\,\ yyyy"/>
    <numFmt numFmtId="167" formatCode="#.00"/>
    <numFmt numFmtId="168" formatCode="#."/>
    <numFmt numFmtId="169" formatCode="yyyy"/>
    <numFmt numFmtId="170" formatCode="0.000000"/>
    <numFmt numFmtId="171" formatCode="\Te\x\t"/>
    <numFmt numFmtId="172" formatCode="0.000"/>
    <numFmt numFmtId="173" formatCode="0.0000000"/>
    <numFmt numFmtId="174" formatCode="0.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color indexed="81"/>
      <name val="Tahom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2"/>
      <color indexed="53"/>
      <name val="Arial"/>
      <family val="2"/>
    </font>
    <font>
      <sz val="12"/>
      <color theme="3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9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80">
    <xf numFmtId="0" fontId="0" fillId="0" borderId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6" fillId="0" borderId="0">
      <protection locked="0"/>
    </xf>
    <xf numFmtId="167" fontId="16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0" fontId="8" fillId="0" borderId="0"/>
    <xf numFmtId="0" fontId="19" fillId="0" borderId="0"/>
    <xf numFmtId="0" fontId="8" fillId="0" borderId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9" fontId="6" fillId="0" borderId="0" applyFill="0" applyBorder="0" applyAlignment="0" applyProtection="0">
      <alignment wrapText="1"/>
    </xf>
    <xf numFmtId="169" fontId="8" fillId="0" borderId="0" applyFill="0" applyBorder="0" applyAlignment="0" applyProtection="0">
      <alignment wrapText="1"/>
    </xf>
    <xf numFmtId="169" fontId="8" fillId="0" borderId="0" applyFill="0" applyBorder="0" applyAlignment="0" applyProtection="0">
      <alignment wrapText="1"/>
    </xf>
    <xf numFmtId="169" fontId="8" fillId="0" borderId="0" applyFill="0" applyBorder="0" applyAlignment="0" applyProtection="0">
      <alignment wrapText="1"/>
    </xf>
    <xf numFmtId="0" fontId="18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168" fontId="16" fillId="0" borderId="1">
      <protection locked="0"/>
    </xf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4" applyNumberFormat="0" applyProtection="0">
      <alignment wrapText="1"/>
    </xf>
    <xf numFmtId="0" fontId="5" fillId="0" borderId="5" applyNumberFormat="0" applyProtection="0">
      <alignment vertical="top"/>
    </xf>
    <xf numFmtId="0" fontId="20" fillId="0" borderId="6" applyNumberFormat="0" applyFill="0" applyProtection="0">
      <alignment wrapText="1"/>
    </xf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4" fillId="7" borderId="0" applyNumberFormat="0" applyBorder="0" applyAlignment="0" applyProtection="0"/>
    <xf numFmtId="165" fontId="4" fillId="0" borderId="0" applyFont="0" applyFill="0" applyBorder="0" applyAlignment="0" applyProtection="0"/>
    <xf numFmtId="0" fontId="6" fillId="0" borderId="0"/>
    <xf numFmtId="0" fontId="6" fillId="0" borderId="0"/>
    <xf numFmtId="0" fontId="4" fillId="0" borderId="0"/>
    <xf numFmtId="0" fontId="6" fillId="0" borderId="0"/>
    <xf numFmtId="0" fontId="2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3" fillId="7" borderId="0" applyNumberFormat="0" applyBorder="0" applyAlignment="0" applyProtection="0"/>
    <xf numFmtId="0" fontId="2" fillId="7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3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9" fontId="6" fillId="0" borderId="0" applyFill="0" applyBorder="0" applyAlignment="0" applyProtection="0">
      <alignment wrapText="1"/>
    </xf>
    <xf numFmtId="169" fontId="6" fillId="0" borderId="0" applyFill="0" applyBorder="0" applyAlignment="0" applyProtection="0">
      <alignment wrapText="1"/>
    </xf>
    <xf numFmtId="169" fontId="6" fillId="0" borderId="0" applyFill="0" applyBorder="0" applyAlignment="0" applyProtection="0">
      <alignment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5" applyNumberFormat="0" applyProtection="0">
      <alignment vertical="top"/>
    </xf>
    <xf numFmtId="0" fontId="1" fillId="7" borderId="0" applyNumberFormat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0" fontId="36" fillId="0" borderId="8" applyNumberFormat="0" applyProtection="0">
      <alignment wrapText="1"/>
    </xf>
    <xf numFmtId="0" fontId="35" fillId="0" borderId="9" applyNumberFormat="0" applyFont="0" applyProtection="0">
      <alignment wrapText="1"/>
    </xf>
    <xf numFmtId="0" fontId="35" fillId="0" borderId="10" applyNumberFormat="0" applyProtection="0">
      <alignment wrapText="1"/>
    </xf>
  </cellStyleXfs>
  <cellXfs count="9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0" xfId="0" applyFill="1"/>
    <xf numFmtId="0" fontId="11" fillId="0" borderId="0" xfId="0" applyFont="1"/>
    <xf numFmtId="0" fontId="9" fillId="0" borderId="0" xfId="0" applyFont="1" applyFill="1"/>
    <xf numFmtId="49" fontId="9" fillId="0" borderId="0" xfId="0" applyNumberFormat="1" applyFont="1" applyFill="1"/>
    <xf numFmtId="11" fontId="9" fillId="0" borderId="0" xfId="0" applyNumberFormat="1" applyFont="1" applyFill="1"/>
    <xf numFmtId="0" fontId="9" fillId="0" borderId="0" xfId="0" applyNumberFormat="1" applyFont="1" applyFill="1"/>
    <xf numFmtId="0" fontId="0" fillId="0" borderId="0" xfId="0" applyFill="1"/>
    <xf numFmtId="0" fontId="12" fillId="0" borderId="0" xfId="0" applyFont="1"/>
    <xf numFmtId="0" fontId="12" fillId="0" borderId="0" xfId="0" applyFont="1" applyFill="1"/>
    <xf numFmtId="0" fontId="13" fillId="0" borderId="0" xfId="0" applyFont="1" applyFill="1"/>
    <xf numFmtId="49" fontId="12" fillId="0" borderId="0" xfId="0" applyNumberFormat="1" applyFont="1" applyFill="1"/>
    <xf numFmtId="0" fontId="14" fillId="0" borderId="0" xfId="0" applyFont="1" applyFill="1"/>
    <xf numFmtId="0" fontId="8" fillId="0" borderId="0" xfId="13" applyFont="1" applyFill="1"/>
    <xf numFmtId="0" fontId="6" fillId="0" borderId="0" xfId="0" applyFont="1"/>
    <xf numFmtId="2" fontId="0" fillId="0" borderId="0" xfId="0" applyNumberFormat="1"/>
    <xf numFmtId="0" fontId="6" fillId="0" borderId="0" xfId="0" applyFont="1" applyFill="1"/>
    <xf numFmtId="0" fontId="0" fillId="0" borderId="0" xfId="0"/>
    <xf numFmtId="0" fontId="6" fillId="0" borderId="0" xfId="13" applyFont="1" applyFill="1"/>
    <xf numFmtId="0" fontId="0" fillId="0" borderId="0" xfId="0" applyAlignment="1">
      <alignment horizontal="center"/>
    </xf>
    <xf numFmtId="0" fontId="6" fillId="0" borderId="0" xfId="33"/>
    <xf numFmtId="0" fontId="7" fillId="3" borderId="2" xfId="33" applyFont="1" applyFill="1" applyBorder="1" applyAlignment="1">
      <alignment horizontal="left"/>
    </xf>
    <xf numFmtId="0" fontId="13" fillId="0" borderId="0" xfId="32" applyFont="1" applyFill="1" applyAlignment="1">
      <alignment horizontal="left"/>
    </xf>
    <xf numFmtId="0" fontId="6" fillId="0" borderId="0" xfId="33" applyFill="1"/>
    <xf numFmtId="0" fontId="6" fillId="0" borderId="0" xfId="33" applyFont="1" applyFill="1"/>
    <xf numFmtId="0" fontId="24" fillId="7" borderId="7" xfId="35" applyFont="1" applyBorder="1" applyAlignment="1">
      <alignment horizontal="center" wrapText="1"/>
    </xf>
    <xf numFmtId="0" fontId="24" fillId="7" borderId="7" xfId="35" applyFont="1" applyBorder="1" applyAlignment="1">
      <alignment horizontal="left" wrapText="1"/>
    </xf>
    <xf numFmtId="0" fontId="7" fillId="3" borderId="3" xfId="33" applyFont="1" applyFill="1" applyBorder="1" applyAlignment="1">
      <alignment horizontal="left"/>
    </xf>
    <xf numFmtId="1" fontId="6" fillId="5" borderId="0" xfId="33" applyNumberFormat="1" applyFill="1"/>
    <xf numFmtId="2" fontId="6" fillId="5" borderId="0" xfId="33" applyNumberFormat="1" applyFill="1"/>
    <xf numFmtId="0" fontId="7" fillId="3" borderId="2" xfId="33" applyFont="1" applyFill="1" applyBorder="1" applyAlignment="1">
      <alignment horizontal="center" wrapText="1"/>
    </xf>
    <xf numFmtId="171" fontId="13" fillId="0" borderId="0" xfId="33" applyNumberFormat="1" applyFont="1"/>
    <xf numFmtId="171" fontId="7" fillId="3" borderId="2" xfId="33" applyNumberFormat="1" applyFont="1" applyFill="1" applyBorder="1" applyAlignment="1">
      <alignment horizontal="left"/>
    </xf>
    <xf numFmtId="171" fontId="7" fillId="3" borderId="3" xfId="33" applyNumberFormat="1" applyFont="1" applyFill="1" applyBorder="1" applyAlignment="1">
      <alignment horizontal="left"/>
    </xf>
    <xf numFmtId="171" fontId="24" fillId="7" borderId="7" xfId="35" applyNumberFormat="1" applyFont="1" applyBorder="1" applyAlignment="1">
      <alignment horizontal="left" wrapText="1"/>
    </xf>
    <xf numFmtId="171" fontId="6" fillId="0" borderId="0" xfId="33" applyNumberFormat="1"/>
    <xf numFmtId="0" fontId="26" fillId="8" borderId="0" xfId="0" applyFont="1" applyFill="1"/>
    <xf numFmtId="0" fontId="21" fillId="8" borderId="0" xfId="0" applyFont="1" applyFill="1"/>
    <xf numFmtId="0" fontId="27" fillId="0" borderId="0" xfId="0" applyFont="1"/>
    <xf numFmtId="0" fontId="26" fillId="8" borderId="0" xfId="0" applyFont="1" applyFill="1" applyAlignment="1">
      <alignment vertical="center"/>
    </xf>
    <xf numFmtId="0" fontId="6" fillId="0" borderId="0" xfId="11" applyFont="1" applyFill="1"/>
    <xf numFmtId="0" fontId="28" fillId="0" borderId="0" xfId="12" applyFont="1"/>
    <xf numFmtId="0" fontId="13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0" fillId="0" borderId="0" xfId="0" applyFill="1" applyAlignment="1">
      <alignment horizontal="right"/>
    </xf>
    <xf numFmtId="0" fontId="6" fillId="0" borderId="0" xfId="0" applyFont="1" applyFill="1" applyAlignment="1">
      <alignment horizontal="center"/>
    </xf>
    <xf numFmtId="0" fontId="7" fillId="3" borderId="2" xfId="33" applyFont="1" applyFill="1" applyBorder="1" applyAlignment="1">
      <alignment horizontal="center"/>
    </xf>
    <xf numFmtId="0" fontId="6" fillId="0" borderId="0" xfId="33" applyFont="1" applyFill="1" applyAlignment="1">
      <alignment horizontal="center"/>
    </xf>
    <xf numFmtId="0" fontId="6" fillId="0" borderId="0" xfId="33" applyAlignment="1">
      <alignment horizontal="center"/>
    </xf>
    <xf numFmtId="1" fontId="6" fillId="0" borderId="0" xfId="33" applyNumberFormat="1" applyFill="1"/>
    <xf numFmtId="2" fontId="6" fillId="0" borderId="0" xfId="33" applyNumberFormat="1" applyFill="1"/>
    <xf numFmtId="0" fontId="6" fillId="0" borderId="0" xfId="0" applyFont="1" applyFill="1" applyAlignment="1">
      <alignment horizontal="left"/>
    </xf>
    <xf numFmtId="0" fontId="22" fillId="3" borderId="2" xfId="33" applyFont="1" applyFill="1" applyBorder="1" applyAlignment="1">
      <alignment horizontal="center" wrapText="1"/>
    </xf>
    <xf numFmtId="0" fontId="6" fillId="10" borderId="7" xfId="37" applyFont="1" applyFill="1" applyBorder="1" applyAlignment="1">
      <alignment horizontal="center" wrapText="1"/>
    </xf>
    <xf numFmtId="0" fontId="7" fillId="3" borderId="2" xfId="32" applyFont="1" applyFill="1" applyBorder="1" applyAlignment="1">
      <alignment horizontal="center" vertical="center" wrapText="1"/>
    </xf>
    <xf numFmtId="0" fontId="24" fillId="7" borderId="2" xfId="45" applyFont="1" applyBorder="1" applyAlignment="1">
      <alignment horizontal="left" wrapText="1"/>
    </xf>
    <xf numFmtId="0" fontId="24" fillId="7" borderId="7" xfId="45" applyFont="1" applyBorder="1" applyAlignment="1">
      <alignment horizontal="center" wrapText="1"/>
    </xf>
    <xf numFmtId="1" fontId="6" fillId="4" borderId="0" xfId="33" applyNumberFormat="1" applyFill="1"/>
    <xf numFmtId="4" fontId="0" fillId="0" borderId="0" xfId="0" applyNumberFormat="1"/>
    <xf numFmtId="0" fontId="22" fillId="3" borderId="2" xfId="33" applyFont="1" applyFill="1" applyBorder="1" applyAlignment="1">
      <alignment horizontal="left" wrapText="1"/>
    </xf>
    <xf numFmtId="10" fontId="6" fillId="11" borderId="0" xfId="14" applyNumberFormat="1" applyFill="1"/>
    <xf numFmtId="0" fontId="0" fillId="0" borderId="0" xfId="0" applyAlignment="1">
      <alignment horizontal="center" vertical="center"/>
    </xf>
    <xf numFmtId="0" fontId="13" fillId="0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" fontId="6" fillId="12" borderId="3" xfId="0" applyNumberFormat="1" applyFont="1" applyFill="1" applyBorder="1" applyAlignment="1">
      <alignment horizontal="center" vertical="center"/>
    </xf>
    <xf numFmtId="0" fontId="7" fillId="13" borderId="7" xfId="37" applyFont="1" applyFill="1" applyBorder="1" applyAlignment="1">
      <alignment horizontal="center" wrapText="1"/>
    </xf>
    <xf numFmtId="0" fontId="7" fillId="13" borderId="7" xfId="37" applyFont="1" applyFill="1" applyBorder="1" applyAlignment="1">
      <alignment horizontal="center" vertical="center" wrapText="1"/>
    </xf>
    <xf numFmtId="0" fontId="23" fillId="6" borderId="0" xfId="33" applyFont="1" applyFill="1"/>
    <xf numFmtId="1" fontId="6" fillId="11" borderId="0" xfId="33" applyNumberFormat="1" applyFill="1"/>
    <xf numFmtId="170" fontId="6" fillId="9" borderId="0" xfId="0" applyNumberFormat="1" applyFont="1" applyFill="1" applyAlignment="1">
      <alignment horizontal="center"/>
    </xf>
    <xf numFmtId="172" fontId="6" fillId="4" borderId="0" xfId="33" applyNumberFormat="1" applyFill="1"/>
    <xf numFmtId="0" fontId="31" fillId="3" borderId="2" xfId="38" applyFont="1" applyFill="1" applyBorder="1" applyAlignment="1">
      <alignment horizontal="center" vertical="center" wrapText="1"/>
    </xf>
    <xf numFmtId="0" fontId="32" fillId="13" borderId="7" xfId="55" applyFont="1" applyFill="1" applyBorder="1" applyAlignment="1">
      <alignment horizontal="center" wrapText="1"/>
    </xf>
    <xf numFmtId="173" fontId="33" fillId="5" borderId="0" xfId="14" applyNumberFormat="1" applyFont="1" applyFill="1"/>
    <xf numFmtId="1" fontId="33" fillId="5" borderId="0" xfId="14" applyNumberFormat="1" applyFont="1" applyFill="1" applyAlignment="1">
      <alignment horizontal="center"/>
    </xf>
    <xf numFmtId="174" fontId="6" fillId="0" borderId="0" xfId="14" applyNumberFormat="1" applyFill="1"/>
    <xf numFmtId="10" fontId="6" fillId="0" borderId="0" xfId="14" applyNumberFormat="1" applyFill="1"/>
    <xf numFmtId="10" fontId="6" fillId="0" borderId="0" xfId="14" applyNumberFormat="1" applyFont="1" applyFill="1" applyAlignment="1">
      <alignment horizontal="center"/>
    </xf>
    <xf numFmtId="170" fontId="0" fillId="6" borderId="0" xfId="0" applyNumberFormat="1" applyFill="1" applyAlignment="1">
      <alignment horizontal="center"/>
    </xf>
    <xf numFmtId="173" fontId="33" fillId="0" borderId="0" xfId="14" applyNumberFormat="1" applyFont="1" applyFill="1"/>
    <xf numFmtId="1" fontId="33" fillId="0" borderId="0" xfId="14" applyNumberFormat="1" applyFont="1" applyFill="1" applyAlignment="1">
      <alignment horizontal="center"/>
    </xf>
    <xf numFmtId="0" fontId="24" fillId="7" borderId="7" xfId="69" applyFont="1" applyBorder="1" applyAlignment="1">
      <alignment horizontal="center" wrapText="1"/>
    </xf>
    <xf numFmtId="0" fontId="24" fillId="7" borderId="7" xfId="69" applyFont="1" applyBorder="1" applyAlignment="1">
      <alignment horizontal="left" wrapText="1"/>
    </xf>
    <xf numFmtId="0" fontId="7" fillId="3" borderId="2" xfId="33" applyFont="1" applyFill="1" applyBorder="1" applyAlignment="1">
      <alignment horizontal="center" wrapText="1"/>
    </xf>
    <xf numFmtId="2" fontId="34" fillId="0" borderId="0" xfId="0" applyNumberFormat="1" applyFont="1" applyFill="1"/>
  </cellXfs>
  <cellStyles count="80">
    <cellStyle name="20% - Accent5" xfId="45" builtinId="46"/>
    <cellStyle name="20% - Accent5 2" xfId="35" xr:uid="{00000000-0005-0000-0000-000001000000}"/>
    <cellStyle name="20% - Accent5 2 2" xfId="69" xr:uid="{00000000-0005-0000-0000-000001000000}"/>
    <cellStyle name="20% - Accent5 3" xfId="46" xr:uid="{00000000-0005-0000-0000-000002000000}"/>
    <cellStyle name="20% - Accent5 3 2" xfId="73" xr:uid="{00000000-0005-0000-0000-000002000000}"/>
    <cellStyle name="20% - Accent5 4" xfId="72" xr:uid="{00000000-0005-0000-0000-000063000000}"/>
    <cellStyle name="Body: normal cell" xfId="78" xr:uid="{00000000-0005-0000-0000-000003000000}"/>
    <cellStyle name="Comma 2" xfId="1" xr:uid="{00000000-0005-0000-0000-000003000000}"/>
    <cellStyle name="Comma 2 2" xfId="36" xr:uid="{00000000-0005-0000-0000-000004000000}"/>
    <cellStyle name="Comma 2 2 2" xfId="70" xr:uid="{00000000-0005-0000-0000-000006000000}"/>
    <cellStyle name="Comma 2 3" xfId="47" xr:uid="{00000000-0005-0000-0000-000005000000}"/>
    <cellStyle name="Comma 2 3 2" xfId="74" xr:uid="{00000000-0005-0000-0000-000007000000}"/>
    <cellStyle name="Comma 2 4" xfId="28" xr:uid="{00000000-0005-0000-0000-000006000000}"/>
    <cellStyle name="Comma 2 4 2" xfId="66" xr:uid="{00000000-0005-0000-0000-000008000000}"/>
    <cellStyle name="Comma 2 5" xfId="56" xr:uid="{00000000-0005-0000-0000-000005000000}"/>
    <cellStyle name="Comma 3" xfId="2" xr:uid="{00000000-0005-0000-0000-000007000000}"/>
    <cellStyle name="Comma 3 2" xfId="57" xr:uid="{00000000-0005-0000-0000-000009000000}"/>
    <cellStyle name="Comma 4" xfId="3" xr:uid="{00000000-0005-0000-0000-000008000000}"/>
    <cellStyle name="Comma 4 2" xfId="4" xr:uid="{00000000-0005-0000-0000-000009000000}"/>
    <cellStyle name="Comma 4 2 2" xfId="59" xr:uid="{00000000-0005-0000-0000-00000B000000}"/>
    <cellStyle name="Comma 4 3" xfId="58" xr:uid="{00000000-0005-0000-0000-00000A000000}"/>
    <cellStyle name="Comma 5" xfId="67" xr:uid="{00000000-0005-0000-0000-000067000000}"/>
    <cellStyle name="Currency 2" xfId="5" xr:uid="{00000000-0005-0000-0000-00000A000000}"/>
    <cellStyle name="Currency 2 2" xfId="60" xr:uid="{00000000-0005-0000-0000-00000C000000}"/>
    <cellStyle name="Currency 3" xfId="6" xr:uid="{00000000-0005-0000-0000-00000B000000}"/>
    <cellStyle name="Currency 3 2" xfId="61" xr:uid="{00000000-0005-0000-0000-00000D000000}"/>
    <cellStyle name="Date" xfId="7" xr:uid="{00000000-0005-0000-0000-00000C000000}"/>
    <cellStyle name="Fixed" xfId="8" xr:uid="{00000000-0005-0000-0000-00000D000000}"/>
    <cellStyle name="Footnotes: top row" xfId="79" xr:uid="{00000000-0005-0000-0000-000010000000}"/>
    <cellStyle name="header-top" xfId="31" xr:uid="{00000000-0005-0000-0000-00000E000000}"/>
    <cellStyle name="Heading1" xfId="9" xr:uid="{00000000-0005-0000-0000-00000F000000}"/>
    <cellStyle name="Heading2" xfId="10" xr:uid="{00000000-0005-0000-0000-000010000000}"/>
    <cellStyle name="Last Header Row" xfId="29" xr:uid="{00000000-0005-0000-0000-000011000000}"/>
    <cellStyle name="Normal" xfId="0" builtinId="0"/>
    <cellStyle name="Normal 10" xfId="37" xr:uid="{00000000-0005-0000-0000-000013000000}"/>
    <cellStyle name="Normal 10 2" xfId="55" xr:uid="{00000000-0005-0000-0000-000014000000}"/>
    <cellStyle name="Normal 2" xfId="11" xr:uid="{00000000-0005-0000-0000-000015000000}"/>
    <cellStyle name="Normal 2 2" xfId="33" xr:uid="{00000000-0005-0000-0000-000016000000}"/>
    <cellStyle name="Normal 3" xfId="12" xr:uid="{00000000-0005-0000-0000-000017000000}"/>
    <cellStyle name="Normal 3 2" xfId="62" xr:uid="{00000000-0005-0000-0000-00001B000000}"/>
    <cellStyle name="Normal 4" xfId="32" xr:uid="{00000000-0005-0000-0000-000018000000}"/>
    <cellStyle name="Normal 4 2" xfId="38" xr:uid="{00000000-0005-0000-0000-000019000000}"/>
    <cellStyle name="Normal 8" xfId="39" xr:uid="{00000000-0005-0000-0000-00001A000000}"/>
    <cellStyle name="Normal 8 2" xfId="48" xr:uid="{00000000-0005-0000-0000-00001B000000}"/>
    <cellStyle name="Normal 8 2 2" xfId="75" xr:uid="{00000000-0005-0000-0000-00001F000000}"/>
    <cellStyle name="Normal 8 3" xfId="71" xr:uid="{00000000-0005-0000-0000-00001E000000}"/>
    <cellStyle name="Normal 9 2" xfId="40" xr:uid="{00000000-0005-0000-0000-00001C000000}"/>
    <cellStyle name="normal cell" xfId="30" xr:uid="{00000000-0005-0000-0000-00001D000000}"/>
    <cellStyle name="normal cell 2" xfId="68" xr:uid="{00000000-0005-0000-0000-000021000000}"/>
    <cellStyle name="Normal_Commodities" xfId="13" xr:uid="{00000000-0005-0000-0000-00001E000000}"/>
    <cellStyle name="Normale_B2020" xfId="41" xr:uid="{00000000-0005-0000-0000-00001F000000}"/>
    <cellStyle name="Parent row" xfId="77" xr:uid="{00000000-0005-0000-0000-00002A000000}"/>
    <cellStyle name="Percent" xfId="14" builtinId="5"/>
    <cellStyle name="Percent 2" xfId="15" xr:uid="{00000000-0005-0000-0000-000021000000}"/>
    <cellStyle name="Percent 2 2" xfId="34" xr:uid="{00000000-0005-0000-0000-000022000000}"/>
    <cellStyle name="Percent 3" xfId="16" xr:uid="{00000000-0005-0000-0000-000023000000}"/>
    <cellStyle name="Percent 3 2" xfId="17" xr:uid="{00000000-0005-0000-0000-000024000000}"/>
    <cellStyle name="Percent 3 2 2" xfId="50" xr:uid="{00000000-0005-0000-0000-000025000000}"/>
    <cellStyle name="Percent 3 3" xfId="42" xr:uid="{00000000-0005-0000-0000-000026000000}"/>
    <cellStyle name="Percent 4" xfId="43" xr:uid="{00000000-0005-0000-0000-000027000000}"/>
    <cellStyle name="Percent 4 2" xfId="27" xr:uid="{00000000-0005-0000-0000-000028000000}"/>
    <cellStyle name="Percent 4 2 2" xfId="51" xr:uid="{00000000-0005-0000-0000-000029000000}"/>
    <cellStyle name="Percent 4 3" xfId="52" xr:uid="{00000000-0005-0000-0000-00002A000000}"/>
    <cellStyle name="Percent 5" xfId="53" xr:uid="{00000000-0005-0000-0000-00002B000000}"/>
    <cellStyle name="Percent 6" xfId="54" xr:uid="{00000000-0005-0000-0000-00002C000000}"/>
    <cellStyle name="Percent 7" xfId="49" xr:uid="{00000000-0005-0000-0000-00002D000000}"/>
    <cellStyle name="Percent 7 2" xfId="76" xr:uid="{00000000-0005-0000-0000-000038000000}"/>
    <cellStyle name="Standard_Sce_D_Extraction" xfId="44" xr:uid="{00000000-0005-0000-0000-00002E000000}"/>
    <cellStyle name="Style 29" xfId="18" xr:uid="{00000000-0005-0000-0000-00002F000000}"/>
    <cellStyle name="Style 29 2" xfId="19" xr:uid="{00000000-0005-0000-0000-000030000000}"/>
    <cellStyle name="Style 29 2 2" xfId="63" xr:uid="{00000000-0005-0000-0000-00003B000000}"/>
    <cellStyle name="Style 29 3" xfId="20" xr:uid="{00000000-0005-0000-0000-000031000000}"/>
    <cellStyle name="Style 29 3 2" xfId="21" xr:uid="{00000000-0005-0000-0000-000032000000}"/>
    <cellStyle name="Style 29 3 2 2" xfId="65" xr:uid="{00000000-0005-0000-0000-00003D000000}"/>
    <cellStyle name="Style 29 3 3" xfId="64" xr:uid="{00000000-0005-0000-0000-00003C000000}"/>
    <cellStyle name="Style 35" xfId="22" xr:uid="{00000000-0005-0000-0000-000033000000}"/>
    <cellStyle name="Style 35 2" xfId="23" xr:uid="{00000000-0005-0000-0000-000034000000}"/>
    <cellStyle name="Style 36" xfId="24" xr:uid="{00000000-0005-0000-0000-000035000000}"/>
    <cellStyle name="Style 36 2" xfId="25" xr:uid="{00000000-0005-0000-0000-000036000000}"/>
    <cellStyle name="Total" xfId="26" builtinId="25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5" Type="http://schemas.openxmlformats.org/officeDocument/2006/relationships/image" Target="../media/image9.emf"/><Relationship Id="rId4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Relationship Id="rId4" Type="http://schemas.openxmlformats.org/officeDocument/2006/relationships/image" Target="../media/image1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1.emf"/><Relationship Id="rId1" Type="http://schemas.openxmlformats.org/officeDocument/2006/relationships/image" Target="../media/image22.emf"/><Relationship Id="rId5" Type="http://schemas.openxmlformats.org/officeDocument/2006/relationships/image" Target="../media/image18.emf"/><Relationship Id="rId4" Type="http://schemas.openxmlformats.org/officeDocument/2006/relationships/image" Target="../media/image1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7" Type="http://schemas.openxmlformats.org/officeDocument/2006/relationships/image" Target="../media/image23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6" Type="http://schemas.openxmlformats.org/officeDocument/2006/relationships/image" Target="../media/image30.emf"/><Relationship Id="rId5" Type="http://schemas.openxmlformats.org/officeDocument/2006/relationships/image" Target="../media/image31.emf"/><Relationship Id="rId4" Type="http://schemas.openxmlformats.org/officeDocument/2006/relationships/image" Target="../media/image32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7" Type="http://schemas.openxmlformats.org/officeDocument/2006/relationships/image" Target="../media/image42.emf"/><Relationship Id="rId2" Type="http://schemas.openxmlformats.org/officeDocument/2006/relationships/image" Target="../media/image47.emf"/><Relationship Id="rId1" Type="http://schemas.openxmlformats.org/officeDocument/2006/relationships/image" Target="../media/image48.emf"/><Relationship Id="rId6" Type="http://schemas.openxmlformats.org/officeDocument/2006/relationships/image" Target="../media/image43.emf"/><Relationship Id="rId5" Type="http://schemas.openxmlformats.org/officeDocument/2006/relationships/image" Target="../media/image44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61.emf"/><Relationship Id="rId1" Type="http://schemas.openxmlformats.org/officeDocument/2006/relationships/image" Target="../media/image62.emf"/><Relationship Id="rId5" Type="http://schemas.openxmlformats.org/officeDocument/2006/relationships/image" Target="../media/image58.emf"/><Relationship Id="rId4" Type="http://schemas.openxmlformats.org/officeDocument/2006/relationships/image" Target="../media/image59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7" Type="http://schemas.openxmlformats.org/officeDocument/2006/relationships/image" Target="../media/image63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3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3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3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4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5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B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B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B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71681" name="cmdConstrNameAndDesc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C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71682" name="cmdTechName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C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71683" name="cmdAddParameter" hidden="1">
              <a:extLst>
                <a:ext uri="{63B3BB69-23CF-44E3-9099-C40C66FF867C}">
                  <a14:compatExt spid="_x0000_s71683"/>
                </a:ext>
                <a:ext uri="{FF2B5EF4-FFF2-40B4-BE49-F238E27FC236}">
                  <a16:creationId xmlns:a16="http://schemas.microsoft.com/office/drawing/2014/main" id="{00000000-0008-0000-0C00-000003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71684" name="cmdCheckConstrDataSheet" hidden="1">
              <a:extLst>
                <a:ext uri="{63B3BB69-23CF-44E3-9099-C40C66FF867C}">
                  <a14:compatExt spid="_x0000_s71684"/>
                </a:ext>
                <a:ext uri="{FF2B5EF4-FFF2-40B4-BE49-F238E27FC236}">
                  <a16:creationId xmlns:a16="http://schemas.microsoft.com/office/drawing/2014/main" id="{00000000-0008-0000-0C00-000004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71685" name="cmdAddParamQualifier" hidden="1">
              <a:extLst>
                <a:ext uri="{63B3BB69-23CF-44E3-9099-C40C66FF867C}">
                  <a14:compatExt spid="_x0000_s71685"/>
                </a:ext>
                <a:ext uri="{FF2B5EF4-FFF2-40B4-BE49-F238E27FC236}">
                  <a16:creationId xmlns:a16="http://schemas.microsoft.com/office/drawing/2014/main" id="{00000000-0008-0000-0C00-000005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71686" name="cmdRefreshUnits" hidden="1">
              <a:extLst>
                <a:ext uri="{63B3BB69-23CF-44E3-9099-C40C66FF867C}">
                  <a14:compatExt spid="_x0000_s71686"/>
                </a:ext>
                <a:ext uri="{FF2B5EF4-FFF2-40B4-BE49-F238E27FC236}">
                  <a16:creationId xmlns:a16="http://schemas.microsoft.com/office/drawing/2014/main" id="{00000000-0008-0000-0C00-000006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70657" name="cmdTech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0D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70658" name="cmdCommIN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0D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70659" name="cmdCommOUT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0D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70660" name="cmdAddParameter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0D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0D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70662" name="cmdCheckTechDataSheet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0D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70663" name="cmdRefreshUnits" hidden="1">
              <a:extLst>
                <a:ext uri="{63B3BB69-23CF-44E3-9099-C40C66FF867C}">
                  <a14:compatExt spid="_x0000_s70663"/>
                </a:ext>
                <a:ext uri="{FF2B5EF4-FFF2-40B4-BE49-F238E27FC236}">
                  <a16:creationId xmlns:a16="http://schemas.microsoft.com/office/drawing/2014/main" id="{00000000-0008-0000-0D00-000007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9633" name="cmdAddParameter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0E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9634" name="cmdCommNameAndDesc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0E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9635" name="cmdAddParamQualifi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0E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9636" name="cmdCheckComm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0E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9637" name="cmdRefreshUnits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0E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68609" name="cmdConstraintSets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F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8610" name="cmdCheckConstraintsSheet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F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68611" name="cmdConstraintUnit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F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68612" name="cmdRefreshUnits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F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67585" name="cmdTechnology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0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7586" name="cmdCheckTechnologie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0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67587" name="cmdTAC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0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67588" name="cmdTCAPUnit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0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67589" name="cmdRefreshUnits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0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66561" name="cmdEner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1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66562" name="cmdDemandSets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1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66563" name="cmdEmissionSets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1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66564" name="cmdMaterialSets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1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66565" name="cmdCheckCommoditiesSheet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1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66566" name="cmdCommUnit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11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66567" name="cmdRefreshUnits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11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Users\clenox\Desktop\2014%20EPAUS9r\Workbooks_9r_2014\EPAUS9r_14_Com_v0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odities"/>
      <sheetName val="Constraints"/>
      <sheetName val="Technologies"/>
      <sheetName val="ConstrData"/>
      <sheetName val="CommData_Demand"/>
      <sheetName val="TechData_COM"/>
      <sheetName val="TechData_Emis"/>
      <sheetName val="TechData_SESC"/>
      <sheetName val="TechData_ZZ"/>
      <sheetName val="Sol_PV"/>
      <sheetName val="AEO14 Renew"/>
      <sheetName val="RESID"/>
      <sheetName val="Mkt Shares raw"/>
      <sheetName val="CLT raw data"/>
      <sheetName val="Aggregated Data"/>
      <sheetName val="AEO14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4">
          <cell r="M144">
            <v>13.954581858223868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>
            <v>3.3204180167301636</v>
          </cell>
        </row>
      </sheetData>
      <sheetData sheetId="12">
        <row r="3">
          <cell r="B3">
            <v>0.53103953457529296</v>
          </cell>
        </row>
      </sheetData>
      <sheetData sheetId="13">
        <row r="15">
          <cell r="G15">
            <v>0.11350499555190985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21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2:J50"/>
  <sheetViews>
    <sheetView workbookViewId="0">
      <selection sqref="A1:XFD1048576"/>
    </sheetView>
  </sheetViews>
  <sheetFormatPr defaultRowHeight="13.2" x14ac:dyDescent="0.25"/>
  <cols>
    <col min="3" max="3" width="29.6640625" customWidth="1"/>
    <col min="4" max="4" width="15" customWidth="1"/>
    <col min="5" max="5" width="41.6640625" customWidth="1"/>
    <col min="9" max="9" width="12.5546875" customWidth="1"/>
  </cols>
  <sheetData>
    <row r="2" spans="1:10" s="21" customFormat="1" ht="22.5" customHeight="1" x14ac:dyDescent="0.3">
      <c r="A2" s="42"/>
      <c r="B2" s="43" t="s">
        <v>135</v>
      </c>
      <c r="C2" s="40"/>
      <c r="D2" s="41"/>
    </row>
    <row r="4" spans="1:10" x14ac:dyDescent="0.25">
      <c r="B4" s="35" t="s">
        <v>110</v>
      </c>
      <c r="C4" s="35"/>
      <c r="D4" s="39"/>
      <c r="E4" s="39"/>
      <c r="F4" s="39"/>
      <c r="G4" s="39"/>
      <c r="H4" s="39"/>
      <c r="I4" s="39"/>
      <c r="J4" s="39"/>
    </row>
    <row r="5" spans="1:10" x14ac:dyDescent="0.25">
      <c r="B5" s="36" t="s">
        <v>113</v>
      </c>
      <c r="C5" s="37" t="s">
        <v>6</v>
      </c>
      <c r="D5" s="36" t="s">
        <v>14</v>
      </c>
      <c r="E5" s="36" t="s">
        <v>15</v>
      </c>
      <c r="F5" s="36" t="s">
        <v>114</v>
      </c>
      <c r="G5" s="36" t="s">
        <v>115</v>
      </c>
      <c r="H5" s="36" t="s">
        <v>116</v>
      </c>
      <c r="I5" s="36" t="s">
        <v>117</v>
      </c>
      <c r="J5" s="36" t="s">
        <v>118</v>
      </c>
    </row>
    <row r="6" spans="1:10" ht="42" thickBot="1" x14ac:dyDescent="0.3">
      <c r="B6" s="38" t="s">
        <v>124</v>
      </c>
      <c r="C6" s="38" t="s">
        <v>108</v>
      </c>
      <c r="D6" s="38" t="s">
        <v>125</v>
      </c>
      <c r="E6" s="38" t="s">
        <v>126</v>
      </c>
      <c r="F6" s="38" t="s">
        <v>127</v>
      </c>
      <c r="G6" s="38" t="s">
        <v>128</v>
      </c>
      <c r="H6" s="38" t="s">
        <v>129</v>
      </c>
      <c r="I6" s="38" t="s">
        <v>130</v>
      </c>
      <c r="J6" s="38" t="s">
        <v>131</v>
      </c>
    </row>
    <row r="7" spans="1:10" x14ac:dyDescent="0.25">
      <c r="B7" s="18" t="s">
        <v>133</v>
      </c>
      <c r="C7" s="3" t="s">
        <v>80</v>
      </c>
      <c r="D7" s="20" t="s">
        <v>0</v>
      </c>
      <c r="E7" s="20" t="s">
        <v>49</v>
      </c>
      <c r="F7" s="20" t="s">
        <v>27</v>
      </c>
      <c r="G7" s="20" t="s">
        <v>134</v>
      </c>
    </row>
    <row r="8" spans="1:10" x14ac:dyDescent="0.25">
      <c r="C8" s="3" t="s">
        <v>80</v>
      </c>
      <c r="D8" s="20" t="s">
        <v>1</v>
      </c>
      <c r="E8" s="20" t="s">
        <v>50</v>
      </c>
      <c r="F8" s="20" t="s">
        <v>27</v>
      </c>
      <c r="G8" s="20" t="s">
        <v>134</v>
      </c>
    </row>
    <row r="9" spans="1:10" x14ac:dyDescent="0.25">
      <c r="C9" s="3" t="s">
        <v>80</v>
      </c>
      <c r="D9" s="20" t="s">
        <v>2</v>
      </c>
      <c r="E9" s="20" t="s">
        <v>51</v>
      </c>
      <c r="F9" s="20" t="s">
        <v>27</v>
      </c>
      <c r="G9" s="20" t="s">
        <v>134</v>
      </c>
    </row>
    <row r="10" spans="1:10" x14ac:dyDescent="0.25">
      <c r="C10" s="3" t="s">
        <v>80</v>
      </c>
      <c r="D10" s="20" t="s">
        <v>3</v>
      </c>
      <c r="E10" s="20" t="s">
        <v>52</v>
      </c>
      <c r="F10" s="20" t="s">
        <v>27</v>
      </c>
      <c r="G10" s="20" t="s">
        <v>134</v>
      </c>
    </row>
    <row r="11" spans="1:10" x14ac:dyDescent="0.25">
      <c r="C11" s="3" t="s">
        <v>80</v>
      </c>
      <c r="D11" s="20" t="s">
        <v>4</v>
      </c>
      <c r="E11" s="20" t="s">
        <v>53</v>
      </c>
      <c r="F11" s="20" t="s">
        <v>27</v>
      </c>
      <c r="G11" s="20" t="s">
        <v>134</v>
      </c>
    </row>
    <row r="12" spans="1:10" x14ac:dyDescent="0.25">
      <c r="C12" s="3" t="s">
        <v>80</v>
      </c>
      <c r="D12" s="20" t="s">
        <v>5</v>
      </c>
      <c r="E12" s="20" t="s">
        <v>54</v>
      </c>
      <c r="F12" s="20" t="s">
        <v>27</v>
      </c>
      <c r="G12" s="20" t="s">
        <v>134</v>
      </c>
    </row>
    <row r="13" spans="1:10" s="21" customFormat="1" x14ac:dyDescent="0.25">
      <c r="B13" s="18" t="s">
        <v>176</v>
      </c>
      <c r="C13" s="18" t="s">
        <v>28</v>
      </c>
      <c r="D13" s="20" t="s">
        <v>57</v>
      </c>
      <c r="E13" s="20" t="s">
        <v>177</v>
      </c>
      <c r="F13" s="20" t="s">
        <v>27</v>
      </c>
      <c r="G13" s="20" t="s">
        <v>134</v>
      </c>
    </row>
    <row r="14" spans="1:10" s="21" customFormat="1" x14ac:dyDescent="0.25">
      <c r="B14" s="18"/>
      <c r="C14" s="18" t="s">
        <v>28</v>
      </c>
      <c r="D14" s="20" t="s">
        <v>58</v>
      </c>
      <c r="E14" s="20" t="s">
        <v>178</v>
      </c>
      <c r="F14" s="20" t="s">
        <v>27</v>
      </c>
      <c r="G14" s="20" t="s">
        <v>134</v>
      </c>
    </row>
    <row r="15" spans="1:10" s="21" customFormat="1" x14ac:dyDescent="0.25">
      <c r="B15" s="18"/>
      <c r="C15" s="18" t="s">
        <v>28</v>
      </c>
      <c r="D15" s="20" t="s">
        <v>59</v>
      </c>
      <c r="E15" s="20" t="s">
        <v>179</v>
      </c>
      <c r="F15" s="20" t="s">
        <v>27</v>
      </c>
      <c r="G15" s="20" t="s">
        <v>134</v>
      </c>
    </row>
    <row r="16" spans="1:10" s="21" customFormat="1" x14ac:dyDescent="0.25">
      <c r="B16" s="18"/>
      <c r="C16" s="18" t="s">
        <v>28</v>
      </c>
      <c r="D16" s="20" t="s">
        <v>67</v>
      </c>
      <c r="E16" s="20" t="s">
        <v>180</v>
      </c>
      <c r="F16" s="20" t="s">
        <v>27</v>
      </c>
      <c r="G16" s="20" t="s">
        <v>134</v>
      </c>
    </row>
    <row r="17" spans="2:7" s="21" customFormat="1" x14ac:dyDescent="0.25">
      <c r="C17" s="18" t="s">
        <v>28</v>
      </c>
      <c r="D17" s="20" t="s">
        <v>68</v>
      </c>
      <c r="E17" s="20" t="s">
        <v>181</v>
      </c>
      <c r="F17" s="20" t="s">
        <v>27</v>
      </c>
      <c r="G17" s="20" t="s">
        <v>134</v>
      </c>
    </row>
    <row r="18" spans="2:7" s="21" customFormat="1" x14ac:dyDescent="0.25">
      <c r="C18" s="18" t="s">
        <v>28</v>
      </c>
      <c r="D18" s="20" t="s">
        <v>69</v>
      </c>
      <c r="E18" s="20" t="s">
        <v>182</v>
      </c>
      <c r="F18" s="20" t="s">
        <v>27</v>
      </c>
      <c r="G18" s="20" t="s">
        <v>134</v>
      </c>
    </row>
    <row r="19" spans="2:7" s="21" customFormat="1" x14ac:dyDescent="0.25">
      <c r="C19" s="18" t="s">
        <v>28</v>
      </c>
      <c r="D19" s="20" t="s">
        <v>70</v>
      </c>
      <c r="E19" s="20" t="s">
        <v>183</v>
      </c>
      <c r="F19" s="20" t="s">
        <v>27</v>
      </c>
      <c r="G19" s="20" t="s">
        <v>134</v>
      </c>
    </row>
    <row r="20" spans="2:7" s="21" customFormat="1" x14ac:dyDescent="0.25">
      <c r="C20" s="18" t="s">
        <v>28</v>
      </c>
      <c r="D20" s="20" t="s">
        <v>71</v>
      </c>
      <c r="E20" s="20" t="s">
        <v>184</v>
      </c>
      <c r="F20" s="20" t="s">
        <v>27</v>
      </c>
      <c r="G20" s="20" t="s">
        <v>134</v>
      </c>
    </row>
    <row r="21" spans="2:7" s="21" customFormat="1" x14ac:dyDescent="0.25">
      <c r="C21" s="18" t="s">
        <v>28</v>
      </c>
      <c r="D21" s="20" t="s">
        <v>72</v>
      </c>
      <c r="E21" s="20" t="s">
        <v>185</v>
      </c>
      <c r="F21" s="20" t="s">
        <v>27</v>
      </c>
      <c r="G21" s="20" t="s">
        <v>134</v>
      </c>
    </row>
    <row r="22" spans="2:7" s="21" customFormat="1" x14ac:dyDescent="0.25">
      <c r="B22" s="21" t="s">
        <v>192</v>
      </c>
      <c r="C22" s="21" t="s">
        <v>107</v>
      </c>
      <c r="D22" s="20" t="s">
        <v>105</v>
      </c>
      <c r="E22" s="20" t="s">
        <v>193</v>
      </c>
      <c r="F22" s="20" t="s">
        <v>27</v>
      </c>
      <c r="G22" s="20" t="s">
        <v>134</v>
      </c>
    </row>
    <row r="23" spans="2:7" s="21" customFormat="1" x14ac:dyDescent="0.25">
      <c r="C23" s="21" t="s">
        <v>106</v>
      </c>
      <c r="D23" s="20" t="s">
        <v>104</v>
      </c>
      <c r="E23" s="20" t="s">
        <v>194</v>
      </c>
      <c r="F23" s="20" t="s">
        <v>27</v>
      </c>
      <c r="G23" s="20" t="s">
        <v>134</v>
      </c>
    </row>
    <row r="24" spans="2:7" x14ac:dyDescent="0.25">
      <c r="B24" s="18" t="s">
        <v>136</v>
      </c>
      <c r="C24" s="18" t="s">
        <v>80</v>
      </c>
      <c r="D24" s="44" t="s">
        <v>55</v>
      </c>
      <c r="E24" s="20" t="s">
        <v>56</v>
      </c>
      <c r="F24" s="20" t="s">
        <v>27</v>
      </c>
      <c r="G24" s="20" t="s">
        <v>134</v>
      </c>
    </row>
    <row r="25" spans="2:7" s="21" customFormat="1" x14ac:dyDescent="0.25">
      <c r="B25" s="18"/>
      <c r="C25" s="18" t="s">
        <v>28</v>
      </c>
      <c r="D25" s="44" t="s">
        <v>78</v>
      </c>
      <c r="E25" s="20" t="s">
        <v>186</v>
      </c>
      <c r="F25" s="20" t="s">
        <v>27</v>
      </c>
      <c r="G25" s="20" t="s">
        <v>134</v>
      </c>
    </row>
    <row r="26" spans="2:7" s="21" customFormat="1" x14ac:dyDescent="0.25">
      <c r="B26" s="18"/>
      <c r="C26" s="18" t="s">
        <v>28</v>
      </c>
      <c r="D26" s="20" t="s">
        <v>79</v>
      </c>
      <c r="E26" s="20" t="s">
        <v>187</v>
      </c>
      <c r="F26" s="20" t="s">
        <v>27</v>
      </c>
      <c r="G26" s="20" t="s">
        <v>134</v>
      </c>
    </row>
    <row r="27" spans="2:7" x14ac:dyDescent="0.25">
      <c r="C27" s="18" t="s">
        <v>29</v>
      </c>
      <c r="D27" s="7" t="s">
        <v>81</v>
      </c>
      <c r="E27" s="17" t="s">
        <v>60</v>
      </c>
      <c r="F27" s="20" t="s">
        <v>27</v>
      </c>
      <c r="G27" s="20" t="s">
        <v>134</v>
      </c>
    </row>
    <row r="28" spans="2:7" x14ac:dyDescent="0.25">
      <c r="C28" s="18" t="s">
        <v>29</v>
      </c>
      <c r="D28" s="7" t="s">
        <v>82</v>
      </c>
      <c r="E28" s="17" t="s">
        <v>61</v>
      </c>
      <c r="F28" s="20" t="s">
        <v>27</v>
      </c>
      <c r="G28" s="20" t="s">
        <v>134</v>
      </c>
    </row>
    <row r="29" spans="2:7" x14ac:dyDescent="0.25">
      <c r="C29" s="18" t="s">
        <v>29</v>
      </c>
      <c r="D29" s="7" t="s">
        <v>83</v>
      </c>
      <c r="E29" s="22" t="s">
        <v>103</v>
      </c>
      <c r="F29" s="20" t="s">
        <v>27</v>
      </c>
      <c r="G29" s="20" t="s">
        <v>134</v>
      </c>
    </row>
    <row r="30" spans="2:7" x14ac:dyDescent="0.25">
      <c r="C30" s="18" t="s">
        <v>29</v>
      </c>
      <c r="D30" s="7" t="s">
        <v>84</v>
      </c>
      <c r="E30" s="17" t="s">
        <v>62</v>
      </c>
      <c r="F30" s="20" t="s">
        <v>27</v>
      </c>
      <c r="G30" s="20" t="s">
        <v>134</v>
      </c>
    </row>
    <row r="31" spans="2:7" x14ac:dyDescent="0.25">
      <c r="C31" s="18" t="s">
        <v>29</v>
      </c>
      <c r="D31" s="7" t="s">
        <v>85</v>
      </c>
      <c r="E31" s="17" t="s">
        <v>63</v>
      </c>
      <c r="F31" s="20" t="s">
        <v>27</v>
      </c>
      <c r="G31" s="20" t="s">
        <v>134</v>
      </c>
    </row>
    <row r="32" spans="2:7" s="21" customFormat="1" x14ac:dyDescent="0.25">
      <c r="C32" s="18" t="s">
        <v>80</v>
      </c>
      <c r="D32" s="7" t="s">
        <v>87</v>
      </c>
      <c r="E32" s="22" t="s">
        <v>88</v>
      </c>
      <c r="F32" s="20" t="s">
        <v>27</v>
      </c>
      <c r="G32" s="20" t="s">
        <v>134</v>
      </c>
    </row>
    <row r="33" spans="3:7" s="21" customFormat="1" x14ac:dyDescent="0.25">
      <c r="C33" s="18" t="s">
        <v>80</v>
      </c>
      <c r="D33" s="7" t="s">
        <v>97</v>
      </c>
      <c r="E33" s="22" t="s">
        <v>100</v>
      </c>
      <c r="F33" s="20" t="s">
        <v>27</v>
      </c>
      <c r="G33" s="20" t="s">
        <v>134</v>
      </c>
    </row>
    <row r="34" spans="3:7" s="21" customFormat="1" x14ac:dyDescent="0.25">
      <c r="C34" s="18" t="s">
        <v>80</v>
      </c>
      <c r="D34" s="7" t="s">
        <v>98</v>
      </c>
      <c r="E34" s="22" t="s">
        <v>99</v>
      </c>
      <c r="F34" s="20" t="s">
        <v>27</v>
      </c>
      <c r="G34" s="20" t="s">
        <v>134</v>
      </c>
    </row>
    <row r="35" spans="3:7" s="21" customFormat="1" x14ac:dyDescent="0.25">
      <c r="C35" s="18" t="s">
        <v>80</v>
      </c>
      <c r="D35" s="7" t="s">
        <v>96</v>
      </c>
      <c r="E35" s="22" t="s">
        <v>92</v>
      </c>
      <c r="F35" s="20" t="s">
        <v>27</v>
      </c>
      <c r="G35" s="20" t="s">
        <v>134</v>
      </c>
    </row>
    <row r="36" spans="3:7" s="21" customFormat="1" x14ac:dyDescent="0.25">
      <c r="C36" s="18" t="s">
        <v>80</v>
      </c>
      <c r="D36" s="7" t="s">
        <v>90</v>
      </c>
      <c r="E36" s="22" t="s">
        <v>93</v>
      </c>
      <c r="F36" s="20" t="s">
        <v>27</v>
      </c>
      <c r="G36" s="20" t="s">
        <v>134</v>
      </c>
    </row>
    <row r="37" spans="3:7" s="21" customFormat="1" x14ac:dyDescent="0.25">
      <c r="C37" s="18" t="s">
        <v>80</v>
      </c>
      <c r="D37" s="7" t="s">
        <v>91</v>
      </c>
      <c r="E37" s="22" t="s">
        <v>94</v>
      </c>
      <c r="F37" s="20" t="s">
        <v>27</v>
      </c>
      <c r="G37" s="20" t="s">
        <v>134</v>
      </c>
    </row>
    <row r="38" spans="3:7" x14ac:dyDescent="0.25">
      <c r="C38" s="21"/>
      <c r="D38" s="7"/>
      <c r="E38" s="22"/>
    </row>
    <row r="39" spans="3:7" x14ac:dyDescent="0.25">
      <c r="C39" s="21"/>
      <c r="D39" s="7"/>
      <c r="E39" s="22"/>
    </row>
    <row r="40" spans="3:7" x14ac:dyDescent="0.25">
      <c r="C40" s="21"/>
      <c r="D40" s="7"/>
      <c r="E40" s="22"/>
    </row>
    <row r="41" spans="3:7" x14ac:dyDescent="0.25">
      <c r="C41" s="21"/>
      <c r="D41" s="7"/>
      <c r="E41" s="22"/>
    </row>
    <row r="42" spans="3:7" x14ac:dyDescent="0.25">
      <c r="C42" s="21"/>
      <c r="D42" s="7"/>
      <c r="E42" s="22"/>
    </row>
    <row r="43" spans="3:7" x14ac:dyDescent="0.25">
      <c r="C43" s="21"/>
      <c r="D43" s="7"/>
      <c r="E43" s="22"/>
    </row>
    <row r="44" spans="3:7" x14ac:dyDescent="0.25">
      <c r="C44" s="21"/>
      <c r="D44" s="7"/>
      <c r="E44" s="22"/>
    </row>
    <row r="45" spans="3:7" x14ac:dyDescent="0.25">
      <c r="C45" s="21"/>
      <c r="D45" s="7"/>
      <c r="E45" s="22"/>
    </row>
    <row r="46" spans="3:7" x14ac:dyDescent="0.25">
      <c r="C46" s="21"/>
      <c r="D46" s="7"/>
      <c r="E46" s="22"/>
    </row>
    <row r="47" spans="3:7" x14ac:dyDescent="0.25">
      <c r="C47" s="21"/>
      <c r="D47" s="21"/>
      <c r="E47" s="21"/>
    </row>
    <row r="48" spans="3:7" x14ac:dyDescent="0.25">
      <c r="C48" s="21"/>
      <c r="D48" s="21"/>
      <c r="E48" s="21"/>
    </row>
    <row r="49" spans="3:5" x14ac:dyDescent="0.25">
      <c r="C49" s="21"/>
      <c r="D49" s="21"/>
      <c r="E49" s="21"/>
    </row>
    <row r="50" spans="3:5" x14ac:dyDescent="0.25">
      <c r="C50" s="21"/>
      <c r="D50" s="21"/>
      <c r="E50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22</v>
      </c>
      <c r="B1" s="2"/>
    </row>
    <row r="4" spans="1:12" ht="18" customHeight="1" x14ac:dyDescent="0.25"/>
    <row r="7" spans="1:12" x14ac:dyDescent="0.25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23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24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12</v>
      </c>
      <c r="C7" s="1" t="s">
        <v>13</v>
      </c>
      <c r="D7" s="1" t="s">
        <v>16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25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B1:W69"/>
  <sheetViews>
    <sheetView workbookViewId="0">
      <pane ySplit="5" topLeftCell="A6" activePane="bottomLeft" state="frozen"/>
      <selection pane="bottomLeft" sqref="A1:XFD1048576"/>
    </sheetView>
  </sheetViews>
  <sheetFormatPr defaultColWidth="8.88671875" defaultRowHeight="13.2" x14ac:dyDescent="0.25"/>
  <cols>
    <col min="1" max="1" width="8.88671875" style="21"/>
    <col min="2" max="2" width="13.77734375" style="21" customWidth="1"/>
    <col min="3" max="3" width="9.33203125" style="21" customWidth="1"/>
    <col min="4" max="4" width="11.109375" style="21" bestFit="1" customWidth="1"/>
    <col min="5" max="5" width="7.109375" style="21" bestFit="1" customWidth="1"/>
    <col min="6" max="6" width="8" style="23" bestFit="1" customWidth="1"/>
    <col min="7" max="10" width="7.21875" style="21" bestFit="1" customWidth="1"/>
    <col min="11" max="15" width="8.21875" style="21" bestFit="1" customWidth="1"/>
    <col min="16" max="17" width="7.21875" style="21" bestFit="1" customWidth="1"/>
    <col min="18" max="23" width="9.77734375" style="21" bestFit="1" customWidth="1"/>
    <col min="24" max="16384" width="8.88671875" style="21"/>
  </cols>
  <sheetData>
    <row r="1" spans="2:23" ht="15" x14ac:dyDescent="0.25">
      <c r="B1" s="45" t="s">
        <v>137</v>
      </c>
      <c r="E1" s="46"/>
      <c r="F1" s="46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2:23" x14ac:dyDescent="0.25">
      <c r="B2" s="24"/>
      <c r="C2" s="24"/>
      <c r="E2" s="26" t="s">
        <v>109</v>
      </c>
      <c r="G2" s="2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2:23" ht="26.4" x14ac:dyDescent="0.25">
      <c r="B3" s="25" t="s">
        <v>14</v>
      </c>
      <c r="C3" s="31" t="s">
        <v>111</v>
      </c>
      <c r="D3" s="25" t="s">
        <v>112</v>
      </c>
      <c r="E3" s="52" t="s">
        <v>6</v>
      </c>
      <c r="F3" s="34" t="s">
        <v>65</v>
      </c>
      <c r="G3" s="34" t="s">
        <v>158</v>
      </c>
      <c r="H3" s="34" t="s">
        <v>284</v>
      </c>
      <c r="I3" s="34" t="s">
        <v>159</v>
      </c>
      <c r="J3" s="34" t="s">
        <v>160</v>
      </c>
      <c r="K3" s="34" t="s">
        <v>161</v>
      </c>
      <c r="L3" s="34" t="s">
        <v>162</v>
      </c>
      <c r="M3" s="34" t="s">
        <v>163</v>
      </c>
      <c r="N3" s="34" t="s">
        <v>164</v>
      </c>
      <c r="O3" s="34" t="s">
        <v>165</v>
      </c>
      <c r="P3" s="34" t="s">
        <v>166</v>
      </c>
      <c r="Q3" s="34" t="s">
        <v>167</v>
      </c>
      <c r="R3" s="34" t="s">
        <v>216</v>
      </c>
      <c r="S3" s="34" t="s">
        <v>228</v>
      </c>
      <c r="T3" s="34" t="s">
        <v>168</v>
      </c>
      <c r="U3" s="34" t="s">
        <v>156</v>
      </c>
      <c r="V3" s="34" t="s">
        <v>229</v>
      </c>
      <c r="W3" s="34" t="s">
        <v>230</v>
      </c>
    </row>
    <row r="4" spans="2:23" ht="31.8" thickBot="1" x14ac:dyDescent="0.3">
      <c r="B4" s="30" t="s">
        <v>119</v>
      </c>
      <c r="C4" s="30" t="s">
        <v>120</v>
      </c>
      <c r="D4" s="30" t="s">
        <v>121</v>
      </c>
      <c r="E4" s="29" t="s">
        <v>157</v>
      </c>
      <c r="F4" s="30" t="s">
        <v>122</v>
      </c>
      <c r="G4" s="30" t="s">
        <v>123</v>
      </c>
      <c r="H4" s="30" t="s">
        <v>123</v>
      </c>
      <c r="I4" s="30" t="s">
        <v>123</v>
      </c>
      <c r="J4" s="30" t="s">
        <v>123</v>
      </c>
      <c r="K4" s="30" t="s">
        <v>123</v>
      </c>
      <c r="L4" s="30" t="s">
        <v>123</v>
      </c>
      <c r="M4" s="30" t="s">
        <v>123</v>
      </c>
      <c r="N4" s="30" t="s">
        <v>123</v>
      </c>
      <c r="O4" s="30" t="s">
        <v>123</v>
      </c>
      <c r="P4" s="30" t="s">
        <v>123</v>
      </c>
      <c r="Q4" s="30" t="s">
        <v>123</v>
      </c>
      <c r="R4" s="30" t="s">
        <v>155</v>
      </c>
      <c r="S4" s="30" t="s">
        <v>155</v>
      </c>
      <c r="T4" s="30" t="s">
        <v>155</v>
      </c>
      <c r="U4" s="30" t="s">
        <v>155</v>
      </c>
      <c r="V4" s="30" t="s">
        <v>155</v>
      </c>
      <c r="W4" s="30" t="s">
        <v>155</v>
      </c>
    </row>
    <row r="5" spans="2:23" ht="13.8" thickBot="1" x14ac:dyDescent="0.3">
      <c r="B5" s="30" t="s">
        <v>132</v>
      </c>
      <c r="C5" s="29"/>
      <c r="D5" s="29"/>
      <c r="E5" s="29" t="s">
        <v>157</v>
      </c>
      <c r="F5" s="29" t="s">
        <v>27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 t="s">
        <v>27</v>
      </c>
      <c r="S5" s="29" t="s">
        <v>27</v>
      </c>
      <c r="T5" s="29" t="s">
        <v>27</v>
      </c>
      <c r="U5" s="29" t="s">
        <v>27</v>
      </c>
      <c r="V5" s="29" t="s">
        <v>27</v>
      </c>
      <c r="W5" s="29" t="s">
        <v>27</v>
      </c>
    </row>
    <row r="6" spans="2:23" x14ac:dyDescent="0.25">
      <c r="B6" s="20" t="s">
        <v>0</v>
      </c>
      <c r="C6" s="28"/>
      <c r="D6" s="28" t="s">
        <v>31</v>
      </c>
      <c r="E6" s="53" t="s">
        <v>37</v>
      </c>
      <c r="F6" s="32">
        <v>1875206.2620788582</v>
      </c>
      <c r="G6" s="33">
        <v>3.4021231627268147</v>
      </c>
      <c r="H6" s="33">
        <v>3.113410875981649</v>
      </c>
      <c r="I6" s="33">
        <v>1.9228123120213145</v>
      </c>
      <c r="J6" s="33">
        <v>1.6596080859667199</v>
      </c>
      <c r="K6" s="33">
        <v>1.9354259421328608</v>
      </c>
      <c r="L6" s="33">
        <v>2.239292066891823</v>
      </c>
      <c r="M6" s="33">
        <v>2.2915320267767214</v>
      </c>
      <c r="N6" s="33">
        <v>2.3476769500709271</v>
      </c>
      <c r="O6" s="33">
        <v>2.3971704871740611</v>
      </c>
      <c r="P6" s="33">
        <v>2.5175176430797923</v>
      </c>
      <c r="Q6" s="33">
        <v>2.5175176430797923</v>
      </c>
      <c r="R6" s="63">
        <v>262.54297525075202</v>
      </c>
      <c r="S6" s="63">
        <v>781.70837603479026</v>
      </c>
      <c r="T6" s="63">
        <v>2083.5625134209536</v>
      </c>
      <c r="U6" s="63">
        <v>157.52578515045121</v>
      </c>
      <c r="V6" s="63">
        <v>469.02502562087415</v>
      </c>
      <c r="W6" s="63">
        <v>1250.137508052572</v>
      </c>
    </row>
    <row r="7" spans="2:23" x14ac:dyDescent="0.25">
      <c r="B7" s="20" t="s">
        <v>1</v>
      </c>
      <c r="C7" s="28"/>
      <c r="D7" s="28" t="s">
        <v>31</v>
      </c>
      <c r="E7" s="53" t="s">
        <v>37</v>
      </c>
      <c r="F7" s="32">
        <v>1406404.6965591435</v>
      </c>
      <c r="G7" s="33">
        <v>3.6727465961255383</v>
      </c>
      <c r="H7" s="33">
        <v>3.3610685592983707</v>
      </c>
      <c r="I7" s="33">
        <v>2.0757632913866462</v>
      </c>
      <c r="J7" s="33">
        <v>1.7916223655322545</v>
      </c>
      <c r="K7" s="33">
        <v>2.0893802784388837</v>
      </c>
      <c r="L7" s="33">
        <v>2.4174175722127633</v>
      </c>
      <c r="M7" s="33">
        <v>2.4738129834521421</v>
      </c>
      <c r="N7" s="33">
        <v>2.5344239801902049</v>
      </c>
      <c r="O7" s="33">
        <v>2.5878545031992704</v>
      </c>
      <c r="P7" s="33">
        <v>2.717774728324776</v>
      </c>
      <c r="Q7" s="33">
        <v>2.717774728324776</v>
      </c>
      <c r="R7" s="63">
        <v>196.90723143806395</v>
      </c>
      <c r="S7" s="63">
        <v>586.28128202609264</v>
      </c>
      <c r="T7" s="63">
        <v>1562.6718850657148</v>
      </c>
      <c r="U7" s="63">
        <v>118.14433886283837</v>
      </c>
      <c r="V7" s="63">
        <v>351.7687692156556</v>
      </c>
      <c r="W7" s="63">
        <v>937.60313103942883</v>
      </c>
    </row>
    <row r="8" spans="2:23" x14ac:dyDescent="0.25">
      <c r="B8" s="20" t="s">
        <v>2</v>
      </c>
      <c r="C8" s="28"/>
      <c r="D8" s="28" t="s">
        <v>31</v>
      </c>
      <c r="E8" s="53" t="s">
        <v>37</v>
      </c>
      <c r="F8" s="32">
        <v>1406404.6965591437</v>
      </c>
      <c r="G8" s="33">
        <v>3.8660490485531986</v>
      </c>
      <c r="H8" s="33">
        <v>3.5379669045246009</v>
      </c>
      <c r="I8" s="33">
        <v>2.1850139909333119</v>
      </c>
      <c r="J8" s="33">
        <v>1.8859182795076364</v>
      </c>
      <c r="K8" s="33">
        <v>2.1993476615146146</v>
      </c>
      <c r="L8" s="33">
        <v>2.5446500760134354</v>
      </c>
      <c r="M8" s="33">
        <v>2.6040136667917286</v>
      </c>
      <c r="N8" s="33">
        <v>2.6678147159896897</v>
      </c>
      <c r="O8" s="33">
        <v>2.7240573717887058</v>
      </c>
      <c r="P8" s="33">
        <v>2.8608155034997642</v>
      </c>
      <c r="Q8" s="33">
        <v>2.8608155034997642</v>
      </c>
      <c r="R8" s="63">
        <v>196.907231438064</v>
      </c>
      <c r="S8" s="63">
        <v>586.28128202609264</v>
      </c>
      <c r="T8" s="63">
        <v>1562.6718850657153</v>
      </c>
      <c r="U8" s="63">
        <v>118.1443388628384</v>
      </c>
      <c r="V8" s="63">
        <v>351.7687692156556</v>
      </c>
      <c r="W8" s="63">
        <v>937.60313103942917</v>
      </c>
    </row>
    <row r="9" spans="2:23" x14ac:dyDescent="0.25">
      <c r="B9" s="20" t="s">
        <v>3</v>
      </c>
      <c r="C9" s="28"/>
      <c r="D9" s="28" t="s">
        <v>31</v>
      </c>
      <c r="E9" s="53" t="s">
        <v>37</v>
      </c>
      <c r="F9" s="32">
        <v>234400.78275985742</v>
      </c>
      <c r="G9" s="33">
        <v>4.175332972437455</v>
      </c>
      <c r="H9" s="33">
        <v>3.8210042568865692</v>
      </c>
      <c r="I9" s="33">
        <v>2.3598151102079772</v>
      </c>
      <c r="J9" s="33">
        <v>2.0367917418682473</v>
      </c>
      <c r="K9" s="33">
        <v>2.3752954744357839</v>
      </c>
      <c r="L9" s="33">
        <v>2.7482220820945105</v>
      </c>
      <c r="M9" s="33">
        <v>2.8123347601350672</v>
      </c>
      <c r="N9" s="33">
        <v>2.881239893268865</v>
      </c>
      <c r="O9" s="33">
        <v>2.9419819615318024</v>
      </c>
      <c r="P9" s="33">
        <v>3.0896807437797453</v>
      </c>
      <c r="Q9" s="33">
        <v>3.0896807437797453</v>
      </c>
      <c r="R9" s="63">
        <v>32.817871906344067</v>
      </c>
      <c r="S9" s="63">
        <v>97.713547004348811</v>
      </c>
      <c r="T9" s="63">
        <v>260.44531417761937</v>
      </c>
      <c r="U9" s="63">
        <v>19.690723143806441</v>
      </c>
      <c r="V9" s="63">
        <v>58.628128202609282</v>
      </c>
      <c r="W9" s="63">
        <v>156.26718850657161</v>
      </c>
    </row>
    <row r="10" spans="2:23" x14ac:dyDescent="0.25">
      <c r="B10" s="20" t="s">
        <v>4</v>
      </c>
      <c r="C10" s="28"/>
      <c r="D10" s="28" t="s">
        <v>31</v>
      </c>
      <c r="E10" s="53" t="s">
        <v>37</v>
      </c>
      <c r="F10" s="32">
        <v>234400.78275985742</v>
      </c>
      <c r="G10" s="33">
        <v>4.3299749343795826</v>
      </c>
      <c r="H10" s="33">
        <v>3.9625229330675533</v>
      </c>
      <c r="I10" s="33">
        <v>2.4472156698453098</v>
      </c>
      <c r="J10" s="33">
        <v>2.1122284730485528</v>
      </c>
      <c r="K10" s="33">
        <v>2.4632693808963686</v>
      </c>
      <c r="L10" s="33">
        <v>2.8500080851350478</v>
      </c>
      <c r="M10" s="33">
        <v>2.9164953068067363</v>
      </c>
      <c r="N10" s="33">
        <v>2.9879524819084526</v>
      </c>
      <c r="O10" s="33">
        <v>3.0509442564033509</v>
      </c>
      <c r="P10" s="33">
        <v>3.2041133639197361</v>
      </c>
      <c r="Q10" s="33">
        <v>3.2041133639197361</v>
      </c>
      <c r="R10" s="63">
        <v>32.817871906343953</v>
      </c>
      <c r="S10" s="63">
        <v>97.713547004349039</v>
      </c>
      <c r="T10" s="63">
        <v>260.44531417761937</v>
      </c>
      <c r="U10" s="63"/>
      <c r="V10" s="63"/>
      <c r="W10" s="63"/>
    </row>
    <row r="11" spans="2:23" x14ac:dyDescent="0.25">
      <c r="B11" s="20" t="s">
        <v>5</v>
      </c>
      <c r="C11" s="27"/>
      <c r="D11" s="28" t="s">
        <v>31</v>
      </c>
      <c r="E11" s="53" t="s">
        <v>37</v>
      </c>
      <c r="F11" s="32">
        <v>468801.56551971403</v>
      </c>
      <c r="G11" s="33">
        <v>5.9150550442863938</v>
      </c>
      <c r="H11" s="33">
        <v>5.4130893639226398</v>
      </c>
      <c r="I11" s="33">
        <v>3.3430714061279674</v>
      </c>
      <c r="J11" s="33">
        <v>2.8854549676466839</v>
      </c>
      <c r="K11" s="33">
        <v>3.3650019221173602</v>
      </c>
      <c r="L11" s="33">
        <v>3.8933146163005561</v>
      </c>
      <c r="M11" s="33">
        <v>3.984140910191345</v>
      </c>
      <c r="N11" s="33">
        <v>4.0817565154642255</v>
      </c>
      <c r="O11" s="33">
        <v>4.1678077788367203</v>
      </c>
      <c r="P11" s="33">
        <v>4.3770477203546392</v>
      </c>
      <c r="Q11" s="33">
        <v>4.3770477203546392</v>
      </c>
      <c r="R11" s="63">
        <v>65.635743812687906</v>
      </c>
      <c r="S11" s="63">
        <v>195.42709400869717</v>
      </c>
      <c r="T11" s="63">
        <v>520.89062835523782</v>
      </c>
      <c r="U11" s="63"/>
      <c r="V11" s="63"/>
      <c r="W11" s="63"/>
    </row>
    <row r="12" spans="2:23" x14ac:dyDescent="0.25">
      <c r="B12" s="20" t="s">
        <v>0</v>
      </c>
      <c r="C12" s="28"/>
      <c r="D12" s="28" t="s">
        <v>31</v>
      </c>
      <c r="E12" s="53" t="s">
        <v>36</v>
      </c>
      <c r="F12" s="32">
        <v>439342.4852583782</v>
      </c>
      <c r="G12" s="33">
        <v>3.4021231627268147</v>
      </c>
      <c r="H12" s="33">
        <v>3.113410875981649</v>
      </c>
      <c r="I12" s="33">
        <v>1.9228123120213145</v>
      </c>
      <c r="J12" s="33">
        <v>1.6596080859667199</v>
      </c>
      <c r="K12" s="33">
        <v>1.9354259421328608</v>
      </c>
      <c r="L12" s="33">
        <v>2.239292066891823</v>
      </c>
      <c r="M12" s="33">
        <v>2.2915320267767214</v>
      </c>
      <c r="N12" s="33">
        <v>2.3476769500709271</v>
      </c>
      <c r="O12" s="33">
        <v>2.3971704871740611</v>
      </c>
      <c r="P12" s="33">
        <v>2.5175176430797923</v>
      </c>
      <c r="Q12" s="33">
        <v>2.5175176430797923</v>
      </c>
      <c r="R12" s="63">
        <v>93.914488065843187</v>
      </c>
      <c r="S12" s="63">
        <v>97.684541615807987</v>
      </c>
      <c r="T12" s="63">
        <v>488.15831695375357</v>
      </c>
      <c r="U12" s="63">
        <v>56.348692839505908</v>
      </c>
      <c r="V12" s="63">
        <v>58.610724969484792</v>
      </c>
      <c r="W12" s="63">
        <v>292.89499017225211</v>
      </c>
    </row>
    <row r="13" spans="2:23" x14ac:dyDescent="0.25">
      <c r="B13" s="20" t="s">
        <v>1</v>
      </c>
      <c r="C13" s="28"/>
      <c r="D13" s="28" t="s">
        <v>31</v>
      </c>
      <c r="E13" s="53" t="s">
        <v>36</v>
      </c>
      <c r="F13" s="32">
        <v>329506.86394378362</v>
      </c>
      <c r="G13" s="33">
        <v>3.6727465961255383</v>
      </c>
      <c r="H13" s="33">
        <v>3.3610685592983707</v>
      </c>
      <c r="I13" s="33">
        <v>2.0757632913866462</v>
      </c>
      <c r="J13" s="33">
        <v>1.7916223655322545</v>
      </c>
      <c r="K13" s="33">
        <v>2.0893802784388837</v>
      </c>
      <c r="L13" s="33">
        <v>2.4174175722127633</v>
      </c>
      <c r="M13" s="33">
        <v>2.4738129834521421</v>
      </c>
      <c r="N13" s="33">
        <v>2.5344239801902049</v>
      </c>
      <c r="O13" s="33">
        <v>2.5878545031992704</v>
      </c>
      <c r="P13" s="33">
        <v>2.717774728324776</v>
      </c>
      <c r="Q13" s="33">
        <v>2.717774728324776</v>
      </c>
      <c r="R13" s="63">
        <v>70.435866049382383</v>
      </c>
      <c r="S13" s="63">
        <v>73.26340621185598</v>
      </c>
      <c r="T13" s="63">
        <v>366.11873771531509</v>
      </c>
      <c r="U13" s="63">
        <v>42.261519629629426</v>
      </c>
      <c r="V13" s="63">
        <v>43.958043727113584</v>
      </c>
      <c r="W13" s="63">
        <v>219.67124262918904</v>
      </c>
    </row>
    <row r="14" spans="2:23" x14ac:dyDescent="0.25">
      <c r="B14" s="20" t="s">
        <v>2</v>
      </c>
      <c r="C14" s="28"/>
      <c r="D14" s="28" t="s">
        <v>31</v>
      </c>
      <c r="E14" s="53" t="s">
        <v>36</v>
      </c>
      <c r="F14" s="32">
        <v>329506.86394378368</v>
      </c>
      <c r="G14" s="33">
        <v>3.8660490485531986</v>
      </c>
      <c r="H14" s="33">
        <v>3.5379669045246009</v>
      </c>
      <c r="I14" s="33">
        <v>2.1850139909333119</v>
      </c>
      <c r="J14" s="33">
        <v>1.8859182795076364</v>
      </c>
      <c r="K14" s="33">
        <v>2.1993476615146146</v>
      </c>
      <c r="L14" s="33">
        <v>2.5446500760134354</v>
      </c>
      <c r="M14" s="33">
        <v>2.6040136667917286</v>
      </c>
      <c r="N14" s="33">
        <v>2.6678147159896897</v>
      </c>
      <c r="O14" s="33">
        <v>2.7240573717887058</v>
      </c>
      <c r="P14" s="33">
        <v>2.8608155034997642</v>
      </c>
      <c r="Q14" s="33">
        <v>2.8608155034997642</v>
      </c>
      <c r="R14" s="63">
        <v>70.435866049382383</v>
      </c>
      <c r="S14" s="63">
        <v>73.263406211855994</v>
      </c>
      <c r="T14" s="63">
        <v>366.11873771531521</v>
      </c>
      <c r="U14" s="63">
        <v>42.261519629629426</v>
      </c>
      <c r="V14" s="63">
        <v>43.958043727113598</v>
      </c>
      <c r="W14" s="63">
        <v>219.67124262918912</v>
      </c>
    </row>
    <row r="15" spans="2:23" x14ac:dyDescent="0.25">
      <c r="B15" s="20" t="s">
        <v>3</v>
      </c>
      <c r="C15" s="28"/>
      <c r="D15" s="28" t="s">
        <v>31</v>
      </c>
      <c r="E15" s="53" t="s">
        <v>36</v>
      </c>
      <c r="F15" s="32">
        <v>54917.810657297268</v>
      </c>
      <c r="G15" s="33">
        <v>4.175332972437455</v>
      </c>
      <c r="H15" s="33">
        <v>3.8210042568865692</v>
      </c>
      <c r="I15" s="33">
        <v>2.3598151102079772</v>
      </c>
      <c r="J15" s="33">
        <v>2.0367917418682473</v>
      </c>
      <c r="K15" s="33">
        <v>2.3752954744357839</v>
      </c>
      <c r="L15" s="33">
        <v>2.7482220820945105</v>
      </c>
      <c r="M15" s="33">
        <v>2.8123347601350672</v>
      </c>
      <c r="N15" s="33">
        <v>2.881239893268865</v>
      </c>
      <c r="O15" s="33">
        <v>2.9419819615318024</v>
      </c>
      <c r="P15" s="33">
        <v>3.0896807437797453</v>
      </c>
      <c r="Q15" s="33">
        <v>3.0896807437797453</v>
      </c>
      <c r="R15" s="63">
        <v>11.739311008230402</v>
      </c>
      <c r="S15" s="63">
        <v>12.210567701976004</v>
      </c>
      <c r="T15" s="63">
        <v>61.019789619219182</v>
      </c>
      <c r="U15" s="63">
        <v>7.0435866049382412</v>
      </c>
      <c r="V15" s="63">
        <v>7.3263406211856017</v>
      </c>
      <c r="W15" s="63">
        <v>36.611873771531506</v>
      </c>
    </row>
    <row r="16" spans="2:23" x14ac:dyDescent="0.25">
      <c r="B16" s="20" t="s">
        <v>4</v>
      </c>
      <c r="C16" s="28"/>
      <c r="D16" s="28" t="s">
        <v>31</v>
      </c>
      <c r="E16" s="53" t="s">
        <v>36</v>
      </c>
      <c r="F16" s="32">
        <v>54917.810657297465</v>
      </c>
      <c r="G16" s="33">
        <v>4.3299749343795826</v>
      </c>
      <c r="H16" s="33">
        <v>3.9625229330675533</v>
      </c>
      <c r="I16" s="33">
        <v>2.4472156698453098</v>
      </c>
      <c r="J16" s="33">
        <v>2.1122284730485528</v>
      </c>
      <c r="K16" s="33">
        <v>2.4632693808963686</v>
      </c>
      <c r="L16" s="33">
        <v>2.8500080851350478</v>
      </c>
      <c r="M16" s="33">
        <v>2.9164953068067363</v>
      </c>
      <c r="N16" s="33">
        <v>2.9879524819084526</v>
      </c>
      <c r="O16" s="33">
        <v>3.0509442564033509</v>
      </c>
      <c r="P16" s="33">
        <v>3.2041133639197361</v>
      </c>
      <c r="Q16" s="33">
        <v>3.2041133639197361</v>
      </c>
      <c r="R16" s="63">
        <v>11.73931100823043</v>
      </c>
      <c r="S16" s="63">
        <v>12.210567701976004</v>
      </c>
      <c r="T16" s="63">
        <v>61.019789619219409</v>
      </c>
      <c r="U16" s="63"/>
      <c r="V16" s="63"/>
      <c r="W16" s="63"/>
    </row>
    <row r="17" spans="2:23" x14ac:dyDescent="0.25">
      <c r="B17" s="20" t="s">
        <v>5</v>
      </c>
      <c r="C17" s="27"/>
      <c r="D17" s="28" t="s">
        <v>31</v>
      </c>
      <c r="E17" s="53" t="s">
        <v>36</v>
      </c>
      <c r="F17" s="32">
        <v>109835.62131459432</v>
      </c>
      <c r="G17" s="33">
        <v>5.9150550442863938</v>
      </c>
      <c r="H17" s="33">
        <v>5.4130893639226398</v>
      </c>
      <c r="I17" s="33">
        <v>3.3430714061279674</v>
      </c>
      <c r="J17" s="33">
        <v>2.8854549676466839</v>
      </c>
      <c r="K17" s="33">
        <v>3.3650019221173602</v>
      </c>
      <c r="L17" s="33">
        <v>3.8933146163005561</v>
      </c>
      <c r="M17" s="33">
        <v>3.984140910191345</v>
      </c>
      <c r="N17" s="33">
        <v>4.0817565154642255</v>
      </c>
      <c r="O17" s="33">
        <v>4.1678077788367203</v>
      </c>
      <c r="P17" s="33">
        <v>4.3770477203546392</v>
      </c>
      <c r="Q17" s="33">
        <v>4.3770477203546392</v>
      </c>
      <c r="R17" s="63">
        <v>23.478622016460747</v>
      </c>
      <c r="S17" s="63">
        <v>24.421135403951951</v>
      </c>
      <c r="T17" s="63">
        <v>122.03957923843814</v>
      </c>
      <c r="U17" s="63"/>
      <c r="V17" s="63"/>
      <c r="W17" s="63"/>
    </row>
    <row r="18" spans="2:23" x14ac:dyDescent="0.25">
      <c r="B18" s="20" t="s">
        <v>0</v>
      </c>
      <c r="C18" s="28"/>
      <c r="D18" s="28" t="s">
        <v>31</v>
      </c>
      <c r="E18" s="53" t="s">
        <v>44</v>
      </c>
      <c r="F18" s="32">
        <v>299574.20871415292</v>
      </c>
      <c r="G18" s="33">
        <v>3.4021231627268147</v>
      </c>
      <c r="H18" s="33">
        <v>3.113410875981649</v>
      </c>
      <c r="I18" s="33">
        <v>1.9228123120213145</v>
      </c>
      <c r="J18" s="33">
        <v>1.6596080859667199</v>
      </c>
      <c r="K18" s="33">
        <v>1.9354259421328608</v>
      </c>
      <c r="L18" s="33">
        <v>2.239292066891823</v>
      </c>
      <c r="M18" s="33">
        <v>2.2915320267767214</v>
      </c>
      <c r="N18" s="33">
        <v>2.3476769500709271</v>
      </c>
      <c r="O18" s="33">
        <v>2.3971704871740611</v>
      </c>
      <c r="P18" s="33">
        <v>2.5175176430797923</v>
      </c>
      <c r="Q18" s="33">
        <v>2.5175176430797923</v>
      </c>
      <c r="R18" s="63">
        <v>177.11617552831999</v>
      </c>
      <c r="S18" s="63">
        <v>193.00703103319677</v>
      </c>
      <c r="T18" s="63">
        <v>332.86023190461435</v>
      </c>
      <c r="U18" s="63">
        <v>106.26970531699199</v>
      </c>
      <c r="V18" s="77">
        <v>115.80421861991806</v>
      </c>
      <c r="W18" s="63">
        <v>199.71613914276861</v>
      </c>
    </row>
    <row r="19" spans="2:23" x14ac:dyDescent="0.25">
      <c r="B19" s="20" t="s">
        <v>1</v>
      </c>
      <c r="C19" s="28"/>
      <c r="D19" s="28" t="s">
        <v>31</v>
      </c>
      <c r="E19" s="53" t="s">
        <v>44</v>
      </c>
      <c r="F19" s="32">
        <v>224680.65653561466</v>
      </c>
      <c r="G19" s="33">
        <v>3.6727465961255383</v>
      </c>
      <c r="H19" s="33">
        <v>3.3610685592983707</v>
      </c>
      <c r="I19" s="33">
        <v>2.0757632913866462</v>
      </c>
      <c r="J19" s="33">
        <v>1.7916223655322545</v>
      </c>
      <c r="K19" s="33">
        <v>2.0893802784388837</v>
      </c>
      <c r="L19" s="33">
        <v>2.4174175722127633</v>
      </c>
      <c r="M19" s="33">
        <v>2.4738129834521421</v>
      </c>
      <c r="N19" s="33">
        <v>2.5344239801902049</v>
      </c>
      <c r="O19" s="33">
        <v>2.5878545031992704</v>
      </c>
      <c r="P19" s="33">
        <v>2.717774728324776</v>
      </c>
      <c r="Q19" s="33">
        <v>2.717774728324776</v>
      </c>
      <c r="R19" s="63">
        <v>132.83713164623995</v>
      </c>
      <c r="S19" s="63">
        <v>144.75527327489755</v>
      </c>
      <c r="T19" s="63">
        <v>249.64517392846074</v>
      </c>
      <c r="U19" s="63">
        <v>79.702278987743966</v>
      </c>
      <c r="V19" s="63">
        <v>86.853163964938531</v>
      </c>
      <c r="W19" s="63">
        <v>149.78710435707643</v>
      </c>
    </row>
    <row r="20" spans="2:23" x14ac:dyDescent="0.25">
      <c r="B20" s="20" t="s">
        <v>2</v>
      </c>
      <c r="C20" s="28"/>
      <c r="D20" s="28" t="s">
        <v>31</v>
      </c>
      <c r="E20" s="53" t="s">
        <v>44</v>
      </c>
      <c r="F20" s="32">
        <v>224680.65653561466</v>
      </c>
      <c r="G20" s="33">
        <v>3.8660490485531986</v>
      </c>
      <c r="H20" s="33">
        <v>3.5379669045246009</v>
      </c>
      <c r="I20" s="33">
        <v>2.1850139909333119</v>
      </c>
      <c r="J20" s="33">
        <v>1.8859182795076364</v>
      </c>
      <c r="K20" s="33">
        <v>2.1993476615146146</v>
      </c>
      <c r="L20" s="33">
        <v>2.5446500760134354</v>
      </c>
      <c r="M20" s="33">
        <v>2.6040136667917286</v>
      </c>
      <c r="N20" s="33">
        <v>2.6678147159896897</v>
      </c>
      <c r="O20" s="33">
        <v>2.7240573717887058</v>
      </c>
      <c r="P20" s="33">
        <v>2.8608155034997642</v>
      </c>
      <c r="Q20" s="33">
        <v>2.8608155034997642</v>
      </c>
      <c r="R20" s="63">
        <v>132.83713164623998</v>
      </c>
      <c r="S20" s="63">
        <v>144.7552732748976</v>
      </c>
      <c r="T20" s="63">
        <v>249.64517392846074</v>
      </c>
      <c r="U20" s="63">
        <v>79.702278987743981</v>
      </c>
      <c r="V20" s="63">
        <v>86.85316396493856</v>
      </c>
      <c r="W20" s="63">
        <v>149.78710435707643</v>
      </c>
    </row>
    <row r="21" spans="2:23" x14ac:dyDescent="0.25">
      <c r="B21" s="20" t="s">
        <v>3</v>
      </c>
      <c r="C21" s="28"/>
      <c r="D21" s="28" t="s">
        <v>31</v>
      </c>
      <c r="E21" s="53" t="s">
        <v>44</v>
      </c>
      <c r="F21" s="32">
        <v>37446.77608926918</v>
      </c>
      <c r="G21" s="33">
        <v>4.175332972437455</v>
      </c>
      <c r="H21" s="33">
        <v>3.8210042568865692</v>
      </c>
      <c r="I21" s="33">
        <v>2.3598151102079772</v>
      </c>
      <c r="J21" s="33">
        <v>2.0367917418682473</v>
      </c>
      <c r="K21" s="33">
        <v>2.3752954744357839</v>
      </c>
      <c r="L21" s="33">
        <v>2.7482220820945105</v>
      </c>
      <c r="M21" s="33">
        <v>2.8123347601350672</v>
      </c>
      <c r="N21" s="33">
        <v>2.881239893268865</v>
      </c>
      <c r="O21" s="33">
        <v>2.9419819615318024</v>
      </c>
      <c r="P21" s="33">
        <v>3.0896807437797453</v>
      </c>
      <c r="Q21" s="33">
        <v>3.0896807437797453</v>
      </c>
      <c r="R21" s="63">
        <v>22.139521941040016</v>
      </c>
      <c r="S21" s="63">
        <v>24.125878879149639</v>
      </c>
      <c r="T21" s="63">
        <v>41.607528988076865</v>
      </c>
      <c r="U21" s="63">
        <v>13.283713164624009</v>
      </c>
      <c r="V21" s="63">
        <v>14.475527327489782</v>
      </c>
      <c r="W21" s="63">
        <v>24.964517392846119</v>
      </c>
    </row>
    <row r="22" spans="2:23" x14ac:dyDescent="0.25">
      <c r="B22" s="20" t="s">
        <v>4</v>
      </c>
      <c r="C22" s="28"/>
      <c r="D22" s="28" t="s">
        <v>31</v>
      </c>
      <c r="E22" s="53" t="s">
        <v>44</v>
      </c>
      <c r="F22" s="32">
        <v>37446.776089269079</v>
      </c>
      <c r="G22" s="33">
        <v>4.3299749343795826</v>
      </c>
      <c r="H22" s="33">
        <v>3.9625229330675533</v>
      </c>
      <c r="I22" s="33">
        <v>2.4472156698453098</v>
      </c>
      <c r="J22" s="33">
        <v>2.1122284730485528</v>
      </c>
      <c r="K22" s="33">
        <v>2.4632693808963686</v>
      </c>
      <c r="L22" s="33">
        <v>2.8500080851350478</v>
      </c>
      <c r="M22" s="33">
        <v>2.9164953068067363</v>
      </c>
      <c r="N22" s="33">
        <v>2.9879524819084526</v>
      </c>
      <c r="O22" s="33">
        <v>3.0509442564033509</v>
      </c>
      <c r="P22" s="33">
        <v>3.2041133639197361</v>
      </c>
      <c r="Q22" s="33">
        <v>3.2041133639197361</v>
      </c>
      <c r="R22" s="63">
        <v>22.139521941040016</v>
      </c>
      <c r="S22" s="63">
        <v>24.125878879149582</v>
      </c>
      <c r="T22" s="63">
        <v>41.607528988076751</v>
      </c>
      <c r="U22" s="63"/>
      <c r="V22" s="63"/>
      <c r="W22" s="63"/>
    </row>
    <row r="23" spans="2:23" x14ac:dyDescent="0.25">
      <c r="B23" s="20" t="s">
        <v>5</v>
      </c>
      <c r="C23" s="27"/>
      <c r="D23" s="28" t="s">
        <v>31</v>
      </c>
      <c r="E23" s="53" t="s">
        <v>44</v>
      </c>
      <c r="F23" s="32">
        <v>74893.552178538157</v>
      </c>
      <c r="G23" s="33">
        <v>5.9150550442863938</v>
      </c>
      <c r="H23" s="33">
        <v>5.4130893639226398</v>
      </c>
      <c r="I23" s="33">
        <v>3.3430714061279674</v>
      </c>
      <c r="J23" s="33">
        <v>2.8854549676466839</v>
      </c>
      <c r="K23" s="33">
        <v>3.3650019221173602</v>
      </c>
      <c r="L23" s="33">
        <v>3.8933146163005561</v>
      </c>
      <c r="M23" s="33">
        <v>3.984140910191345</v>
      </c>
      <c r="N23" s="33">
        <v>4.0817565154642255</v>
      </c>
      <c r="O23" s="33">
        <v>4.1678077788367203</v>
      </c>
      <c r="P23" s="33">
        <v>4.3770477203546392</v>
      </c>
      <c r="Q23" s="33">
        <v>4.3770477203546392</v>
      </c>
      <c r="R23" s="63">
        <v>44.279043882079975</v>
      </c>
      <c r="S23" s="63">
        <v>48.251757758299163</v>
      </c>
      <c r="T23" s="63">
        <v>83.215057976153503</v>
      </c>
      <c r="U23" s="63"/>
      <c r="V23" s="63"/>
      <c r="W23" s="63"/>
    </row>
    <row r="24" spans="2:23" x14ac:dyDescent="0.25">
      <c r="B24" s="20" t="s">
        <v>0</v>
      </c>
      <c r="C24" s="28"/>
      <c r="D24" s="28" t="s">
        <v>31</v>
      </c>
      <c r="E24" s="53" t="s">
        <v>43</v>
      </c>
      <c r="F24" s="32">
        <v>561664.57051160058</v>
      </c>
      <c r="G24" s="33">
        <v>3.4021231627268147</v>
      </c>
      <c r="H24" s="33">
        <v>3.113410875981649</v>
      </c>
      <c r="I24" s="33">
        <v>1.9228123120213145</v>
      </c>
      <c r="J24" s="33">
        <v>1.6596080859667199</v>
      </c>
      <c r="K24" s="33">
        <v>1.9354259421328608</v>
      </c>
      <c r="L24" s="33">
        <v>2.239292066891823</v>
      </c>
      <c r="M24" s="33">
        <v>2.2915320267767214</v>
      </c>
      <c r="N24" s="33">
        <v>2.3476769500709271</v>
      </c>
      <c r="O24" s="33">
        <v>2.3971704871740611</v>
      </c>
      <c r="P24" s="33">
        <v>2.5175176430797923</v>
      </c>
      <c r="Q24" s="33">
        <v>2.5175176430797923</v>
      </c>
      <c r="R24" s="63">
        <v>183.25410391975677</v>
      </c>
      <c r="S24" s="63">
        <v>269.019048246144</v>
      </c>
      <c r="T24" s="63">
        <v>624.07174501288955</v>
      </c>
      <c r="U24" s="63">
        <v>109.95246235185407</v>
      </c>
      <c r="V24" s="63">
        <v>161.4114289476864</v>
      </c>
      <c r="W24" s="63">
        <v>374.4430470077337</v>
      </c>
    </row>
    <row r="25" spans="2:23" x14ac:dyDescent="0.25">
      <c r="B25" s="20" t="s">
        <v>1</v>
      </c>
      <c r="C25" s="28"/>
      <c r="D25" s="28" t="s">
        <v>31</v>
      </c>
      <c r="E25" s="53" t="s">
        <v>43</v>
      </c>
      <c r="F25" s="32">
        <v>421248.42788370023</v>
      </c>
      <c r="G25" s="33">
        <v>3.6727465961255383</v>
      </c>
      <c r="H25" s="33">
        <v>3.3610685592983707</v>
      </c>
      <c r="I25" s="33">
        <v>2.0757632913866462</v>
      </c>
      <c r="J25" s="33">
        <v>1.7916223655322545</v>
      </c>
      <c r="K25" s="33">
        <v>2.0893802784388837</v>
      </c>
      <c r="L25" s="33">
        <v>2.4174175722127633</v>
      </c>
      <c r="M25" s="33">
        <v>2.4738129834521421</v>
      </c>
      <c r="N25" s="33">
        <v>2.5344239801902049</v>
      </c>
      <c r="O25" s="33">
        <v>2.5878545031992704</v>
      </c>
      <c r="P25" s="33">
        <v>2.717774728324776</v>
      </c>
      <c r="Q25" s="33">
        <v>2.717774728324776</v>
      </c>
      <c r="R25" s="63">
        <v>137.44057793981753</v>
      </c>
      <c r="S25" s="63">
        <v>201.76428618460795</v>
      </c>
      <c r="T25" s="63">
        <v>468.05380875966694</v>
      </c>
      <c r="U25" s="63">
        <v>82.464346763890518</v>
      </c>
      <c r="V25" s="63">
        <v>121.05857171076477</v>
      </c>
      <c r="W25" s="63">
        <v>280.83228525580017</v>
      </c>
    </row>
    <row r="26" spans="2:23" x14ac:dyDescent="0.25">
      <c r="B26" s="20" t="s">
        <v>2</v>
      </c>
      <c r="C26" s="28"/>
      <c r="D26" s="28" t="s">
        <v>31</v>
      </c>
      <c r="E26" s="53" t="s">
        <v>43</v>
      </c>
      <c r="F26" s="32">
        <v>421248.42788370041</v>
      </c>
      <c r="G26" s="33">
        <v>3.8660490485531986</v>
      </c>
      <c r="H26" s="33">
        <v>3.5379669045246009</v>
      </c>
      <c r="I26" s="33">
        <v>2.1850139909333119</v>
      </c>
      <c r="J26" s="33">
        <v>1.8859182795076364</v>
      </c>
      <c r="K26" s="33">
        <v>2.1993476615146146</v>
      </c>
      <c r="L26" s="33">
        <v>2.5446500760134354</v>
      </c>
      <c r="M26" s="33">
        <v>2.6040136667917286</v>
      </c>
      <c r="N26" s="33">
        <v>2.6678147159896897</v>
      </c>
      <c r="O26" s="33">
        <v>2.7240573717887058</v>
      </c>
      <c r="P26" s="33">
        <v>2.8608155034997642</v>
      </c>
      <c r="Q26" s="33">
        <v>2.8608155034997642</v>
      </c>
      <c r="R26" s="63">
        <v>137.44057793981762</v>
      </c>
      <c r="S26" s="63">
        <v>201.76428618460801</v>
      </c>
      <c r="T26" s="63">
        <v>468.05380875966716</v>
      </c>
      <c r="U26" s="63">
        <v>82.464346763890561</v>
      </c>
      <c r="V26" s="63">
        <v>121.0585717107648</v>
      </c>
      <c r="W26" s="63">
        <v>280.83228525580029</v>
      </c>
    </row>
    <row r="27" spans="2:23" x14ac:dyDescent="0.25">
      <c r="B27" s="20" t="s">
        <v>3</v>
      </c>
      <c r="C27" s="28"/>
      <c r="D27" s="28" t="s">
        <v>31</v>
      </c>
      <c r="E27" s="53" t="s">
        <v>43</v>
      </c>
      <c r="F27" s="32">
        <v>70208.071313950175</v>
      </c>
      <c r="G27" s="33">
        <v>4.175332972437455</v>
      </c>
      <c r="H27" s="33">
        <v>3.8210042568865692</v>
      </c>
      <c r="I27" s="33">
        <v>2.3598151102079772</v>
      </c>
      <c r="J27" s="33">
        <v>2.0367917418682473</v>
      </c>
      <c r="K27" s="33">
        <v>2.3752954744357839</v>
      </c>
      <c r="L27" s="33">
        <v>2.7482220820945105</v>
      </c>
      <c r="M27" s="33">
        <v>2.8123347601350672</v>
      </c>
      <c r="N27" s="33">
        <v>2.881239893268865</v>
      </c>
      <c r="O27" s="33">
        <v>2.9419819615318024</v>
      </c>
      <c r="P27" s="33">
        <v>3.0896807437797453</v>
      </c>
      <c r="Q27" s="33">
        <v>3.0896807437797453</v>
      </c>
      <c r="R27" s="63">
        <v>22.906762989969593</v>
      </c>
      <c r="S27" s="63">
        <v>33.627381030767992</v>
      </c>
      <c r="T27" s="63">
        <v>78.008968126611308</v>
      </c>
      <c r="U27" s="63">
        <v>13.744057793981755</v>
      </c>
      <c r="V27" s="63">
        <v>20.176428618460793</v>
      </c>
      <c r="W27" s="63">
        <v>46.805380875966783</v>
      </c>
    </row>
    <row r="28" spans="2:23" x14ac:dyDescent="0.25">
      <c r="B28" s="20" t="s">
        <v>4</v>
      </c>
      <c r="C28" s="28"/>
      <c r="D28" s="28" t="s">
        <v>31</v>
      </c>
      <c r="E28" s="53" t="s">
        <v>43</v>
      </c>
      <c r="F28" s="32">
        <v>70208.071313950175</v>
      </c>
      <c r="G28" s="33">
        <v>4.3299749343795826</v>
      </c>
      <c r="H28" s="33">
        <v>3.9625229330675533</v>
      </c>
      <c r="I28" s="33">
        <v>2.4472156698453098</v>
      </c>
      <c r="J28" s="33">
        <v>2.1122284730485528</v>
      </c>
      <c r="K28" s="33">
        <v>2.4632693808963686</v>
      </c>
      <c r="L28" s="33">
        <v>2.8500080851350478</v>
      </c>
      <c r="M28" s="33">
        <v>2.9164953068067363</v>
      </c>
      <c r="N28" s="33">
        <v>2.9879524819084526</v>
      </c>
      <c r="O28" s="33">
        <v>3.0509442564033509</v>
      </c>
      <c r="P28" s="33">
        <v>3.2041133639197361</v>
      </c>
      <c r="Q28" s="33">
        <v>3.2041133639197361</v>
      </c>
      <c r="R28" s="63">
        <v>22.90676298996965</v>
      </c>
      <c r="S28" s="63">
        <v>33.627381030768106</v>
      </c>
      <c r="T28" s="63">
        <v>78.008968126611308</v>
      </c>
      <c r="U28" s="63"/>
      <c r="V28" s="63"/>
      <c r="W28" s="63"/>
    </row>
    <row r="29" spans="2:23" x14ac:dyDescent="0.25">
      <c r="B29" s="20" t="s">
        <v>5</v>
      </c>
      <c r="C29" s="27"/>
      <c r="D29" s="28" t="s">
        <v>31</v>
      </c>
      <c r="E29" s="53" t="s">
        <v>43</v>
      </c>
      <c r="F29" s="32">
        <v>140416.14262789974</v>
      </c>
      <c r="G29" s="33">
        <v>5.9150550442863938</v>
      </c>
      <c r="H29" s="33">
        <v>5.4130893639226398</v>
      </c>
      <c r="I29" s="33">
        <v>3.3430714061279674</v>
      </c>
      <c r="J29" s="33">
        <v>2.8854549676466839</v>
      </c>
      <c r="K29" s="33">
        <v>3.3650019221173602</v>
      </c>
      <c r="L29" s="33">
        <v>3.8933146163005561</v>
      </c>
      <c r="M29" s="33">
        <v>3.984140910191345</v>
      </c>
      <c r="N29" s="33">
        <v>4.0817565154642255</v>
      </c>
      <c r="O29" s="33">
        <v>4.1678077788367203</v>
      </c>
      <c r="P29" s="33">
        <v>4.3770477203546392</v>
      </c>
      <c r="Q29" s="33">
        <v>4.3770477203546392</v>
      </c>
      <c r="R29" s="63">
        <v>45.813525979939072</v>
      </c>
      <c r="S29" s="63">
        <v>67.254762061535871</v>
      </c>
      <c r="T29" s="63">
        <v>156.01793625322193</v>
      </c>
      <c r="U29" s="63"/>
      <c r="V29" s="63"/>
      <c r="W29" s="63"/>
    </row>
    <row r="30" spans="2:23" x14ac:dyDescent="0.25">
      <c r="B30" s="20" t="s">
        <v>0</v>
      </c>
      <c r="C30" s="28"/>
      <c r="D30" s="28" t="s">
        <v>31</v>
      </c>
      <c r="E30" s="53" t="s">
        <v>45</v>
      </c>
      <c r="F30" s="32">
        <v>153365.72251519474</v>
      </c>
      <c r="G30" s="33">
        <v>3.4021231627268147</v>
      </c>
      <c r="H30" s="33">
        <v>3.113410875981649</v>
      </c>
      <c r="I30" s="33">
        <v>1.9228123120213145</v>
      </c>
      <c r="J30" s="33">
        <v>1.6596080859667199</v>
      </c>
      <c r="K30" s="33">
        <v>1.9354259421328608</v>
      </c>
      <c r="L30" s="33">
        <v>2.239292066891823</v>
      </c>
      <c r="M30" s="33">
        <v>2.2915320267767214</v>
      </c>
      <c r="N30" s="33">
        <v>2.3476769500709271</v>
      </c>
      <c r="O30" s="33">
        <v>2.3971704871740611</v>
      </c>
      <c r="P30" s="33">
        <v>2.5175176430797923</v>
      </c>
      <c r="Q30" s="33">
        <v>2.5175176430797923</v>
      </c>
      <c r="R30" s="63">
        <v>247.60284176615016</v>
      </c>
      <c r="S30" s="63">
        <v>215.69127460233986</v>
      </c>
      <c r="T30" s="63">
        <v>170.40635835021635</v>
      </c>
      <c r="U30" s="63">
        <v>148.5617050596901</v>
      </c>
      <c r="V30" s="63">
        <v>129.41476476140392</v>
      </c>
      <c r="W30" s="63">
        <v>102.24381501012981</v>
      </c>
    </row>
    <row r="31" spans="2:23" x14ac:dyDescent="0.25">
      <c r="B31" s="20" t="s">
        <v>1</v>
      </c>
      <c r="C31" s="28"/>
      <c r="D31" s="28" t="s">
        <v>31</v>
      </c>
      <c r="E31" s="53" t="s">
        <v>45</v>
      </c>
      <c r="F31" s="32">
        <v>115024.29188639604</v>
      </c>
      <c r="G31" s="33">
        <v>3.6727465961255383</v>
      </c>
      <c r="H31" s="33">
        <v>3.3610685592983707</v>
      </c>
      <c r="I31" s="33">
        <v>2.0757632913866462</v>
      </c>
      <c r="J31" s="33">
        <v>1.7916223655322545</v>
      </c>
      <c r="K31" s="33">
        <v>2.0893802784388837</v>
      </c>
      <c r="L31" s="33">
        <v>2.4174175722127633</v>
      </c>
      <c r="M31" s="33">
        <v>2.4738129834521421</v>
      </c>
      <c r="N31" s="33">
        <v>2.5344239801902049</v>
      </c>
      <c r="O31" s="33">
        <v>2.5878545031992704</v>
      </c>
      <c r="P31" s="33">
        <v>2.717774728324776</v>
      </c>
      <c r="Q31" s="33">
        <v>2.717774728324776</v>
      </c>
      <c r="R31" s="63">
        <v>185.70213132461254</v>
      </c>
      <c r="S31" s="63">
        <v>161.76845595175487</v>
      </c>
      <c r="T31" s="63">
        <v>127.80476876266226</v>
      </c>
      <c r="U31" s="63">
        <v>111.42127879476752</v>
      </c>
      <c r="V31" s="63">
        <v>97.061073571052916</v>
      </c>
      <c r="W31" s="63">
        <v>76.682861257597352</v>
      </c>
    </row>
    <row r="32" spans="2:23" x14ac:dyDescent="0.25">
      <c r="B32" s="20" t="s">
        <v>2</v>
      </c>
      <c r="C32" s="28"/>
      <c r="D32" s="28" t="s">
        <v>31</v>
      </c>
      <c r="E32" s="53" t="s">
        <v>45</v>
      </c>
      <c r="F32" s="32">
        <v>115024.29188639604</v>
      </c>
      <c r="G32" s="33">
        <v>3.8660490485531986</v>
      </c>
      <c r="H32" s="33">
        <v>3.5379669045246009</v>
      </c>
      <c r="I32" s="33">
        <v>2.1850139909333119</v>
      </c>
      <c r="J32" s="33">
        <v>1.8859182795076364</v>
      </c>
      <c r="K32" s="33">
        <v>2.1993476615146146</v>
      </c>
      <c r="L32" s="33">
        <v>2.5446500760134354</v>
      </c>
      <c r="M32" s="33">
        <v>2.6040136667917286</v>
      </c>
      <c r="N32" s="33">
        <v>2.6678147159896897</v>
      </c>
      <c r="O32" s="33">
        <v>2.7240573717887058</v>
      </c>
      <c r="P32" s="33">
        <v>2.8608155034997642</v>
      </c>
      <c r="Q32" s="33">
        <v>2.8608155034997642</v>
      </c>
      <c r="R32" s="63">
        <v>185.70213132461265</v>
      </c>
      <c r="S32" s="63">
        <v>161.7684559517549</v>
      </c>
      <c r="T32" s="63">
        <v>127.80476876266226</v>
      </c>
      <c r="U32" s="63">
        <v>111.42127879476759</v>
      </c>
      <c r="V32" s="63">
        <v>97.061073571052944</v>
      </c>
      <c r="W32" s="63">
        <v>76.682861257597352</v>
      </c>
    </row>
    <row r="33" spans="2:23" x14ac:dyDescent="0.25">
      <c r="B33" s="20" t="s">
        <v>3</v>
      </c>
      <c r="C33" s="28"/>
      <c r="D33" s="28" t="s">
        <v>31</v>
      </c>
      <c r="E33" s="53" t="s">
        <v>45</v>
      </c>
      <c r="F33" s="32">
        <v>19170.715314399364</v>
      </c>
      <c r="G33" s="33">
        <v>4.175332972437455</v>
      </c>
      <c r="H33" s="33">
        <v>3.8210042568865692</v>
      </c>
      <c r="I33" s="33">
        <v>2.3598151102079772</v>
      </c>
      <c r="J33" s="33">
        <v>2.0367917418682473</v>
      </c>
      <c r="K33" s="33">
        <v>2.3752954744357839</v>
      </c>
      <c r="L33" s="33">
        <v>2.7482220820945105</v>
      </c>
      <c r="M33" s="33">
        <v>2.8123347601350672</v>
      </c>
      <c r="N33" s="33">
        <v>2.881239893268865</v>
      </c>
      <c r="O33" s="33">
        <v>2.9419819615318024</v>
      </c>
      <c r="P33" s="33">
        <v>3.0896807437797453</v>
      </c>
      <c r="Q33" s="33">
        <v>3.0896807437797453</v>
      </c>
      <c r="R33" s="63">
        <v>30.950355220768756</v>
      </c>
      <c r="S33" s="63">
        <v>26.961409325292493</v>
      </c>
      <c r="T33" s="63">
        <v>21.300794793777072</v>
      </c>
      <c r="U33" s="63">
        <v>18.570213132461252</v>
      </c>
      <c r="V33" s="63">
        <v>16.176845595175497</v>
      </c>
      <c r="W33" s="63">
        <v>12.780476876266244</v>
      </c>
    </row>
    <row r="34" spans="2:23" x14ac:dyDescent="0.25">
      <c r="B34" s="20" t="s">
        <v>4</v>
      </c>
      <c r="C34" s="28"/>
      <c r="D34" s="28" t="s">
        <v>31</v>
      </c>
      <c r="E34" s="53" t="s">
        <v>45</v>
      </c>
      <c r="F34" s="32">
        <v>19170.715314399364</v>
      </c>
      <c r="G34" s="33">
        <v>4.3299749343795826</v>
      </c>
      <c r="H34" s="33">
        <v>3.9625229330675533</v>
      </c>
      <c r="I34" s="33">
        <v>2.4472156698453098</v>
      </c>
      <c r="J34" s="33">
        <v>2.1122284730485528</v>
      </c>
      <c r="K34" s="33">
        <v>2.4632693808963686</v>
      </c>
      <c r="L34" s="33">
        <v>2.8500080851350478</v>
      </c>
      <c r="M34" s="33">
        <v>2.9164953068067363</v>
      </c>
      <c r="N34" s="33">
        <v>2.9879524819084526</v>
      </c>
      <c r="O34" s="33">
        <v>3.0509442564033509</v>
      </c>
      <c r="P34" s="33">
        <v>3.2041133639197361</v>
      </c>
      <c r="Q34" s="33">
        <v>3.2041133639197361</v>
      </c>
      <c r="R34" s="63">
        <v>30.95035522076887</v>
      </c>
      <c r="S34" s="63">
        <v>26.961409325292493</v>
      </c>
      <c r="T34" s="63">
        <v>21.300794793777072</v>
      </c>
      <c r="U34" s="63"/>
      <c r="V34" s="63"/>
      <c r="W34" s="63"/>
    </row>
    <row r="35" spans="2:23" x14ac:dyDescent="0.25">
      <c r="B35" s="20" t="s">
        <v>5</v>
      </c>
      <c r="C35" s="27"/>
      <c r="D35" s="28" t="s">
        <v>31</v>
      </c>
      <c r="E35" s="53" t="s">
        <v>45</v>
      </c>
      <c r="F35" s="32">
        <v>38341.430628798626</v>
      </c>
      <c r="G35" s="33">
        <v>5.9150550442863938</v>
      </c>
      <c r="H35" s="33">
        <v>5.4130893639226398</v>
      </c>
      <c r="I35" s="33">
        <v>3.3430714061279674</v>
      </c>
      <c r="J35" s="33">
        <v>2.8854549676466839</v>
      </c>
      <c r="K35" s="33">
        <v>3.3650019221173602</v>
      </c>
      <c r="L35" s="33">
        <v>3.8933146163005561</v>
      </c>
      <c r="M35" s="33">
        <v>3.984140910191345</v>
      </c>
      <c r="N35" s="33">
        <v>4.0817565154642255</v>
      </c>
      <c r="O35" s="33">
        <v>4.1678077788367203</v>
      </c>
      <c r="P35" s="33">
        <v>4.3770477203546392</v>
      </c>
      <c r="Q35" s="33">
        <v>4.3770477203546392</v>
      </c>
      <c r="R35" s="63">
        <v>61.900710441537399</v>
      </c>
      <c r="S35" s="63">
        <v>53.922818650584873</v>
      </c>
      <c r="T35" s="63">
        <v>42.601589587554031</v>
      </c>
      <c r="U35" s="63"/>
      <c r="V35" s="63"/>
      <c r="W35" s="63"/>
    </row>
    <row r="36" spans="2:23" x14ac:dyDescent="0.25">
      <c r="B36" s="20" t="s">
        <v>0</v>
      </c>
      <c r="C36" s="28"/>
      <c r="D36" s="28" t="s">
        <v>31</v>
      </c>
      <c r="E36" s="53" t="s">
        <v>46</v>
      </c>
      <c r="F36" s="32">
        <v>5022697.9364455193</v>
      </c>
      <c r="G36" s="33">
        <v>3.4021231627268147</v>
      </c>
      <c r="H36" s="33">
        <v>3.113410875981649</v>
      </c>
      <c r="I36" s="33">
        <v>1.9228123120213145</v>
      </c>
      <c r="J36" s="33">
        <v>1.6596080859667199</v>
      </c>
      <c r="K36" s="33">
        <v>1.9354259421328608</v>
      </c>
      <c r="L36" s="33">
        <v>2.239292066891823</v>
      </c>
      <c r="M36" s="33">
        <v>2.2915320267767214</v>
      </c>
      <c r="N36" s="33">
        <v>2.3476769500709271</v>
      </c>
      <c r="O36" s="33">
        <v>2.3971704871740611</v>
      </c>
      <c r="P36" s="33">
        <v>2.5175176430797923</v>
      </c>
      <c r="Q36" s="33">
        <v>2.5175176430797923</v>
      </c>
      <c r="R36" s="63">
        <v>5351.9690098969168</v>
      </c>
      <c r="S36" s="63">
        <v>5787.9188646379216</v>
      </c>
      <c r="T36" s="63">
        <v>5580.775484939466</v>
      </c>
      <c r="U36" s="63">
        <v>3211.18140593815</v>
      </c>
      <c r="V36" s="63">
        <v>3472.7513187827531</v>
      </c>
      <c r="W36" s="63">
        <v>3348.4652909636793</v>
      </c>
    </row>
    <row r="37" spans="2:23" x14ac:dyDescent="0.25">
      <c r="B37" s="20" t="s">
        <v>1</v>
      </c>
      <c r="C37" s="28"/>
      <c r="D37" s="28" t="s">
        <v>31</v>
      </c>
      <c r="E37" s="53" t="s">
        <v>46</v>
      </c>
      <c r="F37" s="32">
        <v>3767023.4523341381</v>
      </c>
      <c r="G37" s="33">
        <v>3.6727465961255383</v>
      </c>
      <c r="H37" s="33">
        <v>3.3610685592983707</v>
      </c>
      <c r="I37" s="33">
        <v>2.0757632913866462</v>
      </c>
      <c r="J37" s="33">
        <v>1.7916223655322545</v>
      </c>
      <c r="K37" s="33">
        <v>2.0893802784388837</v>
      </c>
      <c r="L37" s="33">
        <v>2.4174175722127633</v>
      </c>
      <c r="M37" s="33">
        <v>2.4738129834521421</v>
      </c>
      <c r="N37" s="33">
        <v>2.5344239801902049</v>
      </c>
      <c r="O37" s="33">
        <v>2.5878545031992704</v>
      </c>
      <c r="P37" s="33">
        <v>2.717774728324776</v>
      </c>
      <c r="Q37" s="33">
        <v>2.717774728324776</v>
      </c>
      <c r="R37" s="63">
        <v>4013.9767574226871</v>
      </c>
      <c r="S37" s="63">
        <v>4340.939148478441</v>
      </c>
      <c r="T37" s="63">
        <v>4185.5816137045977</v>
      </c>
      <c r="U37" s="63">
        <v>2408.3860544536124</v>
      </c>
      <c r="V37" s="63">
        <v>2604.5634890870647</v>
      </c>
      <c r="W37" s="63">
        <v>2511.3489682227587</v>
      </c>
    </row>
    <row r="38" spans="2:23" x14ac:dyDescent="0.25">
      <c r="B38" s="20" t="s">
        <v>2</v>
      </c>
      <c r="C38" s="28"/>
      <c r="D38" s="28" t="s">
        <v>31</v>
      </c>
      <c r="E38" s="53" t="s">
        <v>46</v>
      </c>
      <c r="F38" s="32">
        <v>3767023.4523341395</v>
      </c>
      <c r="G38" s="33">
        <v>3.8660490485531986</v>
      </c>
      <c r="H38" s="33">
        <v>3.5379669045246009</v>
      </c>
      <c r="I38" s="33">
        <v>2.1850139909333119</v>
      </c>
      <c r="J38" s="33">
        <v>1.8859182795076364</v>
      </c>
      <c r="K38" s="33">
        <v>2.1993476615146146</v>
      </c>
      <c r="L38" s="33">
        <v>2.5446500760134354</v>
      </c>
      <c r="M38" s="33">
        <v>2.6040136667917286</v>
      </c>
      <c r="N38" s="33">
        <v>2.6678147159896897</v>
      </c>
      <c r="O38" s="33">
        <v>2.7240573717887058</v>
      </c>
      <c r="P38" s="33">
        <v>2.8608155034997642</v>
      </c>
      <c r="Q38" s="33">
        <v>2.8608155034997642</v>
      </c>
      <c r="R38" s="63">
        <v>4013.976757422688</v>
      </c>
      <c r="S38" s="63">
        <v>4340.939148478441</v>
      </c>
      <c r="T38" s="63">
        <v>4185.5816137045995</v>
      </c>
      <c r="U38" s="63">
        <v>2408.3860544536128</v>
      </c>
      <c r="V38" s="63">
        <v>2604.5634890870647</v>
      </c>
      <c r="W38" s="63">
        <v>2511.3489682227596</v>
      </c>
    </row>
    <row r="39" spans="2:23" x14ac:dyDescent="0.25">
      <c r="B39" s="20" t="s">
        <v>3</v>
      </c>
      <c r="C39" s="28"/>
      <c r="D39" s="28" t="s">
        <v>31</v>
      </c>
      <c r="E39" s="53" t="s">
        <v>46</v>
      </c>
      <c r="F39" s="32">
        <v>627837.24205569061</v>
      </c>
      <c r="G39" s="33">
        <v>4.175332972437455</v>
      </c>
      <c r="H39" s="33">
        <v>3.8210042568865692</v>
      </c>
      <c r="I39" s="33">
        <v>2.3598151102079772</v>
      </c>
      <c r="J39" s="33">
        <v>2.0367917418682473</v>
      </c>
      <c r="K39" s="33">
        <v>2.3752954744357839</v>
      </c>
      <c r="L39" s="33">
        <v>2.7482220820945105</v>
      </c>
      <c r="M39" s="33">
        <v>2.8123347601350672</v>
      </c>
      <c r="N39" s="33">
        <v>2.881239893268865</v>
      </c>
      <c r="O39" s="33">
        <v>2.9419819615318024</v>
      </c>
      <c r="P39" s="33">
        <v>3.0896807437797453</v>
      </c>
      <c r="Q39" s="33">
        <v>3.0896807437797453</v>
      </c>
      <c r="R39" s="63">
        <v>668.99612623711494</v>
      </c>
      <c r="S39" s="63">
        <v>723.48985807974043</v>
      </c>
      <c r="T39" s="63">
        <v>697.59693561743404</v>
      </c>
      <c r="U39" s="63">
        <v>401.39767574226897</v>
      </c>
      <c r="V39" s="63">
        <v>434.09391484784425</v>
      </c>
      <c r="W39" s="63">
        <v>418.55816137046043</v>
      </c>
    </row>
    <row r="40" spans="2:23" x14ac:dyDescent="0.25">
      <c r="B40" s="20" t="s">
        <v>4</v>
      </c>
      <c r="C40" s="28"/>
      <c r="D40" s="28" t="s">
        <v>31</v>
      </c>
      <c r="E40" s="53" t="s">
        <v>46</v>
      </c>
      <c r="F40" s="32">
        <v>627837.24205568922</v>
      </c>
      <c r="G40" s="33">
        <v>4.3299749343795826</v>
      </c>
      <c r="H40" s="33">
        <v>3.9625229330675533</v>
      </c>
      <c r="I40" s="33">
        <v>2.4472156698453098</v>
      </c>
      <c r="J40" s="33">
        <v>2.1122284730485528</v>
      </c>
      <c r="K40" s="33">
        <v>2.4632693808963686</v>
      </c>
      <c r="L40" s="33">
        <v>2.8500080851350478</v>
      </c>
      <c r="M40" s="33">
        <v>2.9164953068067363</v>
      </c>
      <c r="N40" s="33">
        <v>2.9879524819084526</v>
      </c>
      <c r="O40" s="33">
        <v>3.0509442564033509</v>
      </c>
      <c r="P40" s="33">
        <v>3.2041133639197361</v>
      </c>
      <c r="Q40" s="33">
        <v>3.2041133639197361</v>
      </c>
      <c r="R40" s="63">
        <v>668.99612623711494</v>
      </c>
      <c r="S40" s="63">
        <v>723.48985807974202</v>
      </c>
      <c r="T40" s="63">
        <v>697.59693561743245</v>
      </c>
      <c r="U40" s="63"/>
      <c r="V40" s="63"/>
      <c r="W40" s="63"/>
    </row>
    <row r="41" spans="2:23" x14ac:dyDescent="0.25">
      <c r="B41" s="20" t="s">
        <v>5</v>
      </c>
      <c r="C41" s="27"/>
      <c r="D41" s="28" t="s">
        <v>31</v>
      </c>
      <c r="E41" s="53" t="s">
        <v>46</v>
      </c>
      <c r="F41" s="32">
        <v>1255674.4841113784</v>
      </c>
      <c r="G41" s="33">
        <v>5.9150550442863938</v>
      </c>
      <c r="H41" s="33">
        <v>5.4130893639226398</v>
      </c>
      <c r="I41" s="33">
        <v>3.3430714061279674</v>
      </c>
      <c r="J41" s="33">
        <v>2.8854549676466839</v>
      </c>
      <c r="K41" s="33">
        <v>3.3650019221173602</v>
      </c>
      <c r="L41" s="33">
        <v>3.8933146163005561</v>
      </c>
      <c r="M41" s="33">
        <v>3.984140910191345</v>
      </c>
      <c r="N41" s="33">
        <v>4.0817565154642255</v>
      </c>
      <c r="O41" s="33">
        <v>4.1678077788367203</v>
      </c>
      <c r="P41" s="33">
        <v>4.3770477203546392</v>
      </c>
      <c r="Q41" s="33">
        <v>4.3770477203546392</v>
      </c>
      <c r="R41" s="63">
        <v>1486.6580583046962</v>
      </c>
      <c r="S41" s="63">
        <v>1446.9797161594777</v>
      </c>
      <c r="T41" s="63">
        <v>1395.1938712348649</v>
      </c>
      <c r="U41" s="63"/>
      <c r="V41" s="63"/>
      <c r="W41" s="63"/>
    </row>
    <row r="42" spans="2:23" x14ac:dyDescent="0.25">
      <c r="B42" s="20" t="s">
        <v>0</v>
      </c>
      <c r="C42" s="28"/>
      <c r="D42" s="28" t="s">
        <v>31</v>
      </c>
      <c r="E42" s="53" t="s">
        <v>47</v>
      </c>
      <c r="F42" s="32">
        <v>2027903.1352575202</v>
      </c>
      <c r="G42" s="33">
        <v>3.4021231627268147</v>
      </c>
      <c r="H42" s="33">
        <v>3.113410875981649</v>
      </c>
      <c r="I42" s="33">
        <v>1.9228123120213145</v>
      </c>
      <c r="J42" s="33">
        <v>1.6596080859667199</v>
      </c>
      <c r="K42" s="33">
        <v>1.9354259421328608</v>
      </c>
      <c r="L42" s="33">
        <v>2.239292066891823</v>
      </c>
      <c r="M42" s="33">
        <v>2.2915320267767214</v>
      </c>
      <c r="N42" s="33">
        <v>2.3476769500709271</v>
      </c>
      <c r="O42" s="33">
        <v>2.3971704871740611</v>
      </c>
      <c r="P42" s="33">
        <v>2.5175176430797923</v>
      </c>
      <c r="Q42" s="33">
        <v>2.5175176430797923</v>
      </c>
      <c r="R42" s="63">
        <v>2456.6636784238076</v>
      </c>
      <c r="S42" s="63">
        <v>2387.6099353124027</v>
      </c>
      <c r="T42" s="63">
        <v>2253.225705841689</v>
      </c>
      <c r="U42" s="63">
        <v>1473.9982070542844</v>
      </c>
      <c r="V42" s="63">
        <v>1432.5659611874416</v>
      </c>
      <c r="W42" s="63">
        <v>1351.9354235050134</v>
      </c>
    </row>
    <row r="43" spans="2:23" x14ac:dyDescent="0.25">
      <c r="B43" s="20" t="s">
        <v>1</v>
      </c>
      <c r="C43" s="28"/>
      <c r="D43" s="28" t="s">
        <v>31</v>
      </c>
      <c r="E43" s="53" t="s">
        <v>47</v>
      </c>
      <c r="F43" s="32">
        <v>1520927.3514431398</v>
      </c>
      <c r="G43" s="33">
        <v>3.6727465961255383</v>
      </c>
      <c r="H43" s="33">
        <v>3.3610685592983707</v>
      </c>
      <c r="I43" s="33">
        <v>2.0757632913866462</v>
      </c>
      <c r="J43" s="33">
        <v>1.7916223655322545</v>
      </c>
      <c r="K43" s="33">
        <v>2.0893802784388837</v>
      </c>
      <c r="L43" s="33">
        <v>2.4174175722127633</v>
      </c>
      <c r="M43" s="33">
        <v>2.4738129834521421</v>
      </c>
      <c r="N43" s="33">
        <v>2.5344239801902049</v>
      </c>
      <c r="O43" s="33">
        <v>2.5878545031992704</v>
      </c>
      <c r="P43" s="33">
        <v>2.717774728324776</v>
      </c>
      <c r="Q43" s="33">
        <v>2.717774728324776</v>
      </c>
      <c r="R43" s="63">
        <v>1842.4977588178549</v>
      </c>
      <c r="S43" s="63">
        <v>1790.7074514843016</v>
      </c>
      <c r="T43" s="63">
        <v>1689.9192793812663</v>
      </c>
      <c r="U43" s="63">
        <v>1105.4986552907128</v>
      </c>
      <c r="V43" s="63">
        <v>1074.424470890581</v>
      </c>
      <c r="W43" s="63">
        <v>1013.9515676287597</v>
      </c>
    </row>
    <row r="44" spans="2:23" x14ac:dyDescent="0.25">
      <c r="B44" s="20" t="s">
        <v>2</v>
      </c>
      <c r="C44" s="28"/>
      <c r="D44" s="28" t="s">
        <v>31</v>
      </c>
      <c r="E44" s="53" t="s">
        <v>47</v>
      </c>
      <c r="F44" s="32">
        <v>1520927.3514431403</v>
      </c>
      <c r="G44" s="33">
        <v>3.8660490485531986</v>
      </c>
      <c r="H44" s="33">
        <v>3.5379669045246009</v>
      </c>
      <c r="I44" s="33">
        <v>2.1850139909333119</v>
      </c>
      <c r="J44" s="33">
        <v>1.8859182795076364</v>
      </c>
      <c r="K44" s="33">
        <v>2.1993476615146146</v>
      </c>
      <c r="L44" s="33">
        <v>2.5446500760134354</v>
      </c>
      <c r="M44" s="33">
        <v>2.6040136667917286</v>
      </c>
      <c r="N44" s="33">
        <v>2.6678147159896897</v>
      </c>
      <c r="O44" s="33">
        <v>2.7240573717887058</v>
      </c>
      <c r="P44" s="33">
        <v>2.8608155034997642</v>
      </c>
      <c r="Q44" s="33">
        <v>2.8608155034997642</v>
      </c>
      <c r="R44" s="63">
        <v>1842.4977588178563</v>
      </c>
      <c r="S44" s="63">
        <v>1790.7074514843025</v>
      </c>
      <c r="T44" s="63">
        <v>1689.9192793812672</v>
      </c>
      <c r="U44" s="63">
        <v>1105.4986552907137</v>
      </c>
      <c r="V44" s="63">
        <v>1074.4244708905815</v>
      </c>
      <c r="W44" s="63">
        <v>1013.9515676287602</v>
      </c>
    </row>
    <row r="45" spans="2:23" x14ac:dyDescent="0.25">
      <c r="B45" s="20" t="s">
        <v>3</v>
      </c>
      <c r="C45" s="28"/>
      <c r="D45" s="28" t="s">
        <v>31</v>
      </c>
      <c r="E45" s="53" t="s">
        <v>47</v>
      </c>
      <c r="F45" s="32">
        <v>253487.89190719064</v>
      </c>
      <c r="G45" s="33">
        <v>4.175332972437455</v>
      </c>
      <c r="H45" s="33">
        <v>3.8210042568865692</v>
      </c>
      <c r="I45" s="33">
        <v>2.3598151102079772</v>
      </c>
      <c r="J45" s="33">
        <v>2.0367917418682473</v>
      </c>
      <c r="K45" s="33">
        <v>2.3752954744357839</v>
      </c>
      <c r="L45" s="33">
        <v>2.7482220820945105</v>
      </c>
      <c r="M45" s="33">
        <v>2.8123347601350672</v>
      </c>
      <c r="N45" s="33">
        <v>2.881239893268865</v>
      </c>
      <c r="O45" s="33">
        <v>2.9419819615318024</v>
      </c>
      <c r="P45" s="33">
        <v>3.0896807437797453</v>
      </c>
      <c r="Q45" s="33">
        <v>3.0896807437797453</v>
      </c>
      <c r="R45" s="63">
        <v>307.08295980297589</v>
      </c>
      <c r="S45" s="63">
        <v>298.45124191405102</v>
      </c>
      <c r="T45" s="63">
        <v>281.6532132302118</v>
      </c>
      <c r="U45" s="63">
        <v>184.24977588178552</v>
      </c>
      <c r="V45" s="63">
        <v>179.0707451484306</v>
      </c>
      <c r="W45" s="63">
        <v>168.99192793812708</v>
      </c>
    </row>
    <row r="46" spans="2:23" x14ac:dyDescent="0.25">
      <c r="B46" s="20" t="s">
        <v>4</v>
      </c>
      <c r="C46" s="28"/>
      <c r="D46" s="28" t="s">
        <v>31</v>
      </c>
      <c r="E46" s="53" t="s">
        <v>47</v>
      </c>
      <c r="F46" s="32">
        <v>253487.8919071898</v>
      </c>
      <c r="G46" s="33">
        <v>4.3299749343795826</v>
      </c>
      <c r="H46" s="33">
        <v>3.9625229330675533</v>
      </c>
      <c r="I46" s="33">
        <v>2.4472156698453098</v>
      </c>
      <c r="J46" s="33">
        <v>2.1122284730485528</v>
      </c>
      <c r="K46" s="33">
        <v>2.4632693808963686</v>
      </c>
      <c r="L46" s="33">
        <v>2.8500080851350478</v>
      </c>
      <c r="M46" s="33">
        <v>2.9164953068067363</v>
      </c>
      <c r="N46" s="33">
        <v>2.9879524819084526</v>
      </c>
      <c r="O46" s="33">
        <v>3.0509442564033509</v>
      </c>
      <c r="P46" s="33">
        <v>3.2041133639197361</v>
      </c>
      <c r="Q46" s="33">
        <v>3.2041133639197361</v>
      </c>
      <c r="R46" s="63">
        <v>307.0829598029768</v>
      </c>
      <c r="S46" s="63">
        <v>298.45124191405012</v>
      </c>
      <c r="T46" s="63">
        <v>281.65321323021089</v>
      </c>
      <c r="U46" s="63"/>
      <c r="V46" s="63"/>
      <c r="W46" s="63"/>
    </row>
    <row r="47" spans="2:23" x14ac:dyDescent="0.25">
      <c r="B47" s="20" t="s">
        <v>5</v>
      </c>
      <c r="C47" s="27"/>
      <c r="D47" s="28" t="s">
        <v>31</v>
      </c>
      <c r="E47" s="53" t="s">
        <v>47</v>
      </c>
      <c r="F47" s="32">
        <v>506975.7838143796</v>
      </c>
      <c r="G47" s="33">
        <v>5.9150550442863938</v>
      </c>
      <c r="H47" s="33">
        <v>5.4130893639226398</v>
      </c>
      <c r="I47" s="33">
        <v>3.3430714061279674</v>
      </c>
      <c r="J47" s="33">
        <v>2.8854549676466839</v>
      </c>
      <c r="K47" s="33">
        <v>3.3650019221173602</v>
      </c>
      <c r="L47" s="33">
        <v>3.8933146163005561</v>
      </c>
      <c r="M47" s="33">
        <v>3.984140910191345</v>
      </c>
      <c r="N47" s="33">
        <v>4.0817565154642255</v>
      </c>
      <c r="O47" s="33">
        <v>4.1678077788367203</v>
      </c>
      <c r="P47" s="33">
        <v>4.3770477203546392</v>
      </c>
      <c r="Q47" s="33">
        <v>4.3770477203546392</v>
      </c>
      <c r="R47" s="63">
        <v>614.16591960595088</v>
      </c>
      <c r="S47" s="63">
        <v>596.90248382810023</v>
      </c>
      <c r="T47" s="63">
        <v>563.30642646042179</v>
      </c>
      <c r="U47" s="63"/>
      <c r="V47" s="63"/>
      <c r="W47" s="63"/>
    </row>
    <row r="48" spans="2:23" x14ac:dyDescent="0.25">
      <c r="B48" s="20" t="s">
        <v>0</v>
      </c>
      <c r="C48" s="28"/>
      <c r="D48" s="28" t="s">
        <v>31</v>
      </c>
      <c r="E48" s="53" t="s">
        <v>48</v>
      </c>
      <c r="F48" s="32">
        <v>223372.89090595584</v>
      </c>
      <c r="G48" s="33">
        <v>3.4021231627268147</v>
      </c>
      <c r="H48" s="33">
        <v>3.113410875981649</v>
      </c>
      <c r="I48" s="33">
        <v>1.9228123120213145</v>
      </c>
      <c r="J48" s="33">
        <v>1.6596080859667199</v>
      </c>
      <c r="K48" s="33">
        <v>1.9354259421328608</v>
      </c>
      <c r="L48" s="33">
        <v>2.239292066891823</v>
      </c>
      <c r="M48" s="33">
        <v>2.2915320267767214</v>
      </c>
      <c r="N48" s="33">
        <v>2.3476769500709271</v>
      </c>
      <c r="O48" s="33">
        <v>2.3971704871740611</v>
      </c>
      <c r="P48" s="33">
        <v>2.5175176430797923</v>
      </c>
      <c r="Q48" s="33">
        <v>2.5175176430797923</v>
      </c>
      <c r="R48" s="63">
        <v>285.72960250078717</v>
      </c>
      <c r="S48" s="63">
        <v>260.20680146590081</v>
      </c>
      <c r="T48" s="63">
        <v>248.19210100661758</v>
      </c>
      <c r="U48" s="63">
        <v>171.43776150047231</v>
      </c>
      <c r="V48" s="63">
        <v>156.12408087954049</v>
      </c>
      <c r="W48" s="63">
        <v>148.91526060397055</v>
      </c>
    </row>
    <row r="49" spans="2:23" x14ac:dyDescent="0.25">
      <c r="B49" s="20" t="s">
        <v>1</v>
      </c>
      <c r="C49" s="28"/>
      <c r="D49" s="28" t="s">
        <v>31</v>
      </c>
      <c r="E49" s="53" t="s">
        <v>48</v>
      </c>
      <c r="F49" s="32">
        <v>167529.66817946685</v>
      </c>
      <c r="G49" s="33">
        <v>3.6727465961255383</v>
      </c>
      <c r="H49" s="33">
        <v>3.3610685592983707</v>
      </c>
      <c r="I49" s="33">
        <v>2.0757632913866462</v>
      </c>
      <c r="J49" s="33">
        <v>1.7916223655322545</v>
      </c>
      <c r="K49" s="33">
        <v>2.0893802784388837</v>
      </c>
      <c r="L49" s="33">
        <v>2.4174175722127633</v>
      </c>
      <c r="M49" s="33">
        <v>2.4738129834521421</v>
      </c>
      <c r="N49" s="33">
        <v>2.5344239801902049</v>
      </c>
      <c r="O49" s="33">
        <v>2.5878545031992704</v>
      </c>
      <c r="P49" s="33">
        <v>2.717774728324776</v>
      </c>
      <c r="Q49" s="33">
        <v>2.717774728324776</v>
      </c>
      <c r="R49" s="63">
        <v>214.2972018755903</v>
      </c>
      <c r="S49" s="63">
        <v>195.15510109942556</v>
      </c>
      <c r="T49" s="63">
        <v>186.14407575496318</v>
      </c>
      <c r="U49" s="63">
        <v>128.57832112535417</v>
      </c>
      <c r="V49" s="63">
        <v>117.09306065965534</v>
      </c>
      <c r="W49" s="63">
        <v>111.68644545297791</v>
      </c>
    </row>
    <row r="50" spans="2:23" x14ac:dyDescent="0.25">
      <c r="B50" s="20" t="s">
        <v>2</v>
      </c>
      <c r="C50" s="28"/>
      <c r="D50" s="28" t="s">
        <v>31</v>
      </c>
      <c r="E50" s="53" t="s">
        <v>48</v>
      </c>
      <c r="F50" s="32">
        <v>167529.66817946685</v>
      </c>
      <c r="G50" s="33">
        <v>3.8660490485531986</v>
      </c>
      <c r="H50" s="33">
        <v>3.5379669045246009</v>
      </c>
      <c r="I50" s="33">
        <v>2.1850139909333119</v>
      </c>
      <c r="J50" s="33">
        <v>1.8859182795076364</v>
      </c>
      <c r="K50" s="33">
        <v>2.1993476615146146</v>
      </c>
      <c r="L50" s="33">
        <v>2.5446500760134354</v>
      </c>
      <c r="M50" s="33">
        <v>2.6040136667917286</v>
      </c>
      <c r="N50" s="33">
        <v>2.6678147159896897</v>
      </c>
      <c r="O50" s="33">
        <v>2.7240573717887058</v>
      </c>
      <c r="P50" s="33">
        <v>2.8608155034997642</v>
      </c>
      <c r="Q50" s="33">
        <v>2.8608155034997642</v>
      </c>
      <c r="R50" s="63">
        <v>214.29720187559036</v>
      </c>
      <c r="S50" s="63">
        <v>195.15510109942562</v>
      </c>
      <c r="T50" s="63">
        <v>186.14407575496318</v>
      </c>
      <c r="U50" s="63">
        <v>128.57832112535422</v>
      </c>
      <c r="V50" s="63">
        <v>117.09306065965536</v>
      </c>
      <c r="W50" s="63">
        <v>111.68644545297791</v>
      </c>
    </row>
    <row r="51" spans="2:23" x14ac:dyDescent="0.25">
      <c r="B51" s="20" t="s">
        <v>3</v>
      </c>
      <c r="C51" s="28"/>
      <c r="D51" s="28" t="s">
        <v>31</v>
      </c>
      <c r="E51" s="53" t="s">
        <v>48</v>
      </c>
      <c r="F51" s="32">
        <v>27921.611363244527</v>
      </c>
      <c r="G51" s="33">
        <v>4.175332972437455</v>
      </c>
      <c r="H51" s="33">
        <v>3.8210042568865692</v>
      </c>
      <c r="I51" s="33">
        <v>2.3598151102079772</v>
      </c>
      <c r="J51" s="33">
        <v>2.0367917418682473</v>
      </c>
      <c r="K51" s="33">
        <v>2.3752954744357839</v>
      </c>
      <c r="L51" s="33">
        <v>2.7482220820945105</v>
      </c>
      <c r="M51" s="33">
        <v>2.8123347601350672</v>
      </c>
      <c r="N51" s="33">
        <v>2.881239893268865</v>
      </c>
      <c r="O51" s="33">
        <v>2.9419819615318024</v>
      </c>
      <c r="P51" s="33">
        <v>3.0896807437797453</v>
      </c>
      <c r="Q51" s="33">
        <v>3.0896807437797453</v>
      </c>
      <c r="R51" s="63">
        <v>35.716200312598403</v>
      </c>
      <c r="S51" s="63">
        <v>32.525850183237594</v>
      </c>
      <c r="T51" s="63">
        <v>31.024012625827254</v>
      </c>
      <c r="U51" s="63">
        <v>21.429720187559042</v>
      </c>
      <c r="V51" s="63">
        <v>19.515510109942557</v>
      </c>
      <c r="W51" s="63">
        <v>18.614407575496351</v>
      </c>
    </row>
    <row r="52" spans="2:23" x14ac:dyDescent="0.25">
      <c r="B52" s="20" t="s">
        <v>4</v>
      </c>
      <c r="C52" s="28"/>
      <c r="D52" s="28" t="s">
        <v>31</v>
      </c>
      <c r="E52" s="53" t="s">
        <v>48</v>
      </c>
      <c r="F52" s="32">
        <v>27921.611363244429</v>
      </c>
      <c r="G52" s="33">
        <v>4.3299749343795826</v>
      </c>
      <c r="H52" s="33">
        <v>3.9625229330675533</v>
      </c>
      <c r="I52" s="33">
        <v>2.4472156698453098</v>
      </c>
      <c r="J52" s="33">
        <v>2.1122284730485528</v>
      </c>
      <c r="K52" s="33">
        <v>2.4632693808963686</v>
      </c>
      <c r="L52" s="33">
        <v>2.8500080851350478</v>
      </c>
      <c r="M52" s="33">
        <v>2.9164953068067363</v>
      </c>
      <c r="N52" s="33">
        <v>2.9879524819084526</v>
      </c>
      <c r="O52" s="33">
        <v>3.0509442564033509</v>
      </c>
      <c r="P52" s="33">
        <v>3.2041133639197361</v>
      </c>
      <c r="Q52" s="33">
        <v>3.2041133639197361</v>
      </c>
      <c r="R52" s="63">
        <v>35.716200312598403</v>
      </c>
      <c r="S52" s="63">
        <v>32.525850183237708</v>
      </c>
      <c r="T52" s="63">
        <v>31.02401262582714</v>
      </c>
      <c r="U52" s="63"/>
      <c r="V52" s="63"/>
      <c r="W52" s="63"/>
    </row>
    <row r="53" spans="2:23" x14ac:dyDescent="0.25">
      <c r="B53" s="20" t="s">
        <v>5</v>
      </c>
      <c r="C53" s="27"/>
      <c r="D53" s="28" t="s">
        <v>31</v>
      </c>
      <c r="E53" s="53" t="s">
        <v>48</v>
      </c>
      <c r="F53" s="32">
        <v>55843.222726488959</v>
      </c>
      <c r="G53" s="33">
        <v>5.9150550442863938</v>
      </c>
      <c r="H53" s="33">
        <v>5.4130893639226398</v>
      </c>
      <c r="I53" s="33">
        <v>3.3430714061279674</v>
      </c>
      <c r="J53" s="33">
        <v>2.8854549676466839</v>
      </c>
      <c r="K53" s="33">
        <v>3.3650019221173602</v>
      </c>
      <c r="L53" s="33">
        <v>3.8933146163005561</v>
      </c>
      <c r="M53" s="33">
        <v>3.984140910191345</v>
      </c>
      <c r="N53" s="33">
        <v>4.0817565154642255</v>
      </c>
      <c r="O53" s="33">
        <v>4.1678077788367203</v>
      </c>
      <c r="P53" s="33">
        <v>4.3770477203546392</v>
      </c>
      <c r="Q53" s="33">
        <v>4.3770477203546392</v>
      </c>
      <c r="R53" s="63">
        <v>71.432400625196692</v>
      </c>
      <c r="S53" s="63">
        <v>65.051700366475075</v>
      </c>
      <c r="T53" s="63">
        <v>62.048025251654394</v>
      </c>
      <c r="U53" s="63"/>
      <c r="V53" s="63"/>
      <c r="W53" s="63"/>
    </row>
    <row r="54" spans="2:23" x14ac:dyDescent="0.25">
      <c r="B54" s="20"/>
      <c r="C54" s="27"/>
      <c r="D54" s="28"/>
      <c r="E54" s="27"/>
      <c r="F54" s="53"/>
      <c r="G54" s="55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</row>
    <row r="55" spans="2:23" x14ac:dyDescent="0.25">
      <c r="B55" s="20"/>
      <c r="C55" s="27"/>
      <c r="D55" s="28"/>
      <c r="E55" s="27"/>
      <c r="F55" s="53"/>
      <c r="G55" s="55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</row>
    <row r="56" spans="2:23" s="11" customFormat="1" x14ac:dyDescent="0.25">
      <c r="B56" s="20"/>
      <c r="C56" s="27"/>
      <c r="D56" s="28"/>
      <c r="E56" s="27"/>
      <c r="F56" s="53"/>
      <c r="G56" s="55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</row>
    <row r="57" spans="2:23" s="11" customFormat="1" x14ac:dyDescent="0.25">
      <c r="B57" s="20"/>
      <c r="C57" s="27"/>
      <c r="D57" s="28"/>
      <c r="E57" s="27"/>
      <c r="F57" s="53"/>
      <c r="G57" s="55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</row>
    <row r="58" spans="2:23" x14ac:dyDescent="0.25">
      <c r="B58" s="27"/>
      <c r="C58" s="27"/>
      <c r="D58" s="27"/>
      <c r="E58" s="27"/>
      <c r="F58" s="53"/>
      <c r="G58" s="27"/>
      <c r="H58" s="27"/>
      <c r="I58" s="27"/>
      <c r="J58" s="27"/>
      <c r="K58" s="27"/>
      <c r="L58" s="27"/>
      <c r="M58" s="11"/>
    </row>
    <row r="59" spans="2:23" x14ac:dyDescent="0.25">
      <c r="B59" s="27"/>
      <c r="C59" s="24"/>
      <c r="D59" s="27"/>
      <c r="E59" s="27"/>
      <c r="F59" s="53"/>
      <c r="G59" s="27"/>
      <c r="H59" s="27"/>
      <c r="I59" s="27"/>
      <c r="J59" s="27"/>
      <c r="K59" s="27"/>
      <c r="L59" s="27"/>
      <c r="M59" s="11"/>
    </row>
    <row r="60" spans="2:23" x14ac:dyDescent="0.25">
      <c r="B60" s="27"/>
      <c r="C60" s="24"/>
      <c r="D60" s="24"/>
      <c r="E60" s="24"/>
      <c r="F60" s="5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2:23" x14ac:dyDescent="0.25">
      <c r="B61" s="24"/>
      <c r="C61" s="24"/>
      <c r="D61" s="24"/>
      <c r="E61" s="24"/>
      <c r="F61" s="5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2:23" x14ac:dyDescent="0.25">
      <c r="B62" s="24"/>
      <c r="C62" s="24"/>
      <c r="D62" s="24"/>
      <c r="E62" s="24"/>
      <c r="F62" s="5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2:23" x14ac:dyDescent="0.25">
      <c r="B63" s="24"/>
      <c r="C63" s="24"/>
      <c r="D63" s="24"/>
      <c r="E63" s="24"/>
      <c r="F63" s="5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2:23" x14ac:dyDescent="0.25">
      <c r="B64" s="24"/>
      <c r="C64" s="24"/>
      <c r="D64" s="24"/>
      <c r="E64" s="24"/>
      <c r="F64" s="5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2:17" x14ac:dyDescent="0.25">
      <c r="B65" s="24"/>
      <c r="C65" s="24"/>
      <c r="D65" s="24"/>
      <c r="E65" s="24"/>
      <c r="F65" s="5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2:17" x14ac:dyDescent="0.25">
      <c r="B66" s="24"/>
      <c r="C66" s="24"/>
      <c r="D66" s="24"/>
      <c r="E66" s="24"/>
      <c r="F66" s="5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2:17" x14ac:dyDescent="0.25">
      <c r="B67" s="24"/>
      <c r="C67" s="24"/>
      <c r="D67" s="24"/>
      <c r="E67" s="24"/>
      <c r="F67" s="5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2:17" x14ac:dyDescent="0.25">
      <c r="B68" s="24"/>
      <c r="C68" s="24"/>
      <c r="D68" s="24"/>
      <c r="E68" s="24"/>
      <c r="F68" s="5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2:17" x14ac:dyDescent="0.25">
      <c r="B69" s="24"/>
      <c r="C69" s="24"/>
      <c r="D69" s="24"/>
      <c r="E69" s="24"/>
      <c r="F69" s="5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1:BB44"/>
  <sheetViews>
    <sheetView tabSelected="1" zoomScale="85" zoomScaleNormal="85" workbookViewId="0">
      <selection sqref="A1:XFD1048576"/>
    </sheetView>
  </sheetViews>
  <sheetFormatPr defaultRowHeight="13.2" x14ac:dyDescent="0.25"/>
  <cols>
    <col min="2" max="2" width="12.33203125" customWidth="1"/>
    <col min="3" max="3" width="16.88671875" customWidth="1"/>
    <col min="4" max="4" width="14.5546875" customWidth="1"/>
    <col min="7" max="17" width="7.44140625" customWidth="1"/>
    <col min="18" max="19" width="10.109375" customWidth="1"/>
    <col min="20" max="21" width="10.109375" style="21" customWidth="1"/>
    <col min="22" max="23" width="10" customWidth="1"/>
    <col min="24" max="24" width="10.109375" customWidth="1"/>
    <col min="25" max="25" width="10.109375" style="21" customWidth="1"/>
  </cols>
  <sheetData>
    <row r="1" spans="2:25" s="21" customFormat="1" ht="15" x14ac:dyDescent="0.25">
      <c r="B1" s="45" t="s">
        <v>137</v>
      </c>
      <c r="E1" s="46"/>
      <c r="F1" s="46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50"/>
      <c r="T1" s="47"/>
      <c r="U1" s="50"/>
    </row>
    <row r="2" spans="2:25" s="21" customFormat="1" x14ac:dyDescent="0.25">
      <c r="B2" s="24"/>
      <c r="C2" s="24"/>
      <c r="E2" s="26" t="s">
        <v>109</v>
      </c>
      <c r="F2" s="23"/>
      <c r="G2" s="2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T2" s="26"/>
    </row>
    <row r="3" spans="2:25" s="21" customFormat="1" ht="26.4" x14ac:dyDescent="0.25">
      <c r="B3" s="25" t="s">
        <v>14</v>
      </c>
      <c r="C3" s="31" t="s">
        <v>111</v>
      </c>
      <c r="D3" s="25" t="s">
        <v>112</v>
      </c>
      <c r="E3" s="52" t="s">
        <v>6</v>
      </c>
      <c r="F3" s="34" t="s">
        <v>65</v>
      </c>
      <c r="G3" s="34" t="s">
        <v>158</v>
      </c>
      <c r="H3" s="34" t="s">
        <v>284</v>
      </c>
      <c r="I3" s="34" t="s">
        <v>159</v>
      </c>
      <c r="J3" s="34" t="s">
        <v>160</v>
      </c>
      <c r="K3" s="34" t="s">
        <v>161</v>
      </c>
      <c r="L3" s="34" t="s">
        <v>162</v>
      </c>
      <c r="M3" s="34" t="s">
        <v>163</v>
      </c>
      <c r="N3" s="34" t="s">
        <v>164</v>
      </c>
      <c r="O3" s="34" t="s">
        <v>165</v>
      </c>
      <c r="P3" s="34" t="s">
        <v>166</v>
      </c>
      <c r="Q3" s="34" t="s">
        <v>167</v>
      </c>
      <c r="R3" s="34" t="s">
        <v>156</v>
      </c>
      <c r="S3" s="34" t="s">
        <v>229</v>
      </c>
      <c r="T3" s="90" t="s">
        <v>216</v>
      </c>
      <c r="U3" s="90" t="s">
        <v>228</v>
      </c>
      <c r="V3" s="34" t="s">
        <v>168</v>
      </c>
      <c r="W3" s="34" t="s">
        <v>169</v>
      </c>
      <c r="X3" s="34" t="s">
        <v>170</v>
      </c>
      <c r="Y3" s="34" t="s">
        <v>217</v>
      </c>
    </row>
    <row r="4" spans="2:25" s="21" customFormat="1" ht="31.8" thickBot="1" x14ac:dyDescent="0.3">
      <c r="B4" s="30" t="s">
        <v>119</v>
      </c>
      <c r="C4" s="30" t="s">
        <v>120</v>
      </c>
      <c r="D4" s="30" t="s">
        <v>121</v>
      </c>
      <c r="E4" s="29" t="s">
        <v>157</v>
      </c>
      <c r="F4" s="30" t="s">
        <v>122</v>
      </c>
      <c r="G4" s="30" t="s">
        <v>123</v>
      </c>
      <c r="H4" s="30" t="s">
        <v>123</v>
      </c>
      <c r="I4" s="30" t="s">
        <v>123</v>
      </c>
      <c r="J4" s="30" t="s">
        <v>123</v>
      </c>
      <c r="K4" s="30" t="s">
        <v>123</v>
      </c>
      <c r="L4" s="30" t="s">
        <v>123</v>
      </c>
      <c r="M4" s="30" t="s">
        <v>123</v>
      </c>
      <c r="N4" s="30" t="s">
        <v>123</v>
      </c>
      <c r="O4" s="30" t="s">
        <v>123</v>
      </c>
      <c r="P4" s="30" t="s">
        <v>123</v>
      </c>
      <c r="Q4" s="30" t="s">
        <v>123</v>
      </c>
      <c r="R4" s="30" t="s">
        <v>155</v>
      </c>
      <c r="S4" s="30" t="s">
        <v>155</v>
      </c>
      <c r="T4" s="89" t="s">
        <v>155</v>
      </c>
      <c r="U4" s="89" t="s">
        <v>155</v>
      </c>
      <c r="V4" s="30" t="s">
        <v>155</v>
      </c>
      <c r="W4" s="30" t="s">
        <v>155</v>
      </c>
      <c r="X4" s="30" t="s">
        <v>155</v>
      </c>
      <c r="Y4" s="30" t="s">
        <v>155</v>
      </c>
    </row>
    <row r="5" spans="2:25" s="21" customFormat="1" ht="13.8" thickBot="1" x14ac:dyDescent="0.3">
      <c r="B5" s="30" t="s">
        <v>132</v>
      </c>
      <c r="C5" s="29"/>
      <c r="D5" s="29"/>
      <c r="E5" s="29" t="s">
        <v>157</v>
      </c>
      <c r="F5" s="29" t="s">
        <v>27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 t="s">
        <v>27</v>
      </c>
      <c r="S5" s="29" t="s">
        <v>27</v>
      </c>
      <c r="T5" s="88" t="s">
        <v>27</v>
      </c>
      <c r="U5" s="88" t="s">
        <v>27</v>
      </c>
      <c r="V5" s="29" t="s">
        <v>27</v>
      </c>
      <c r="W5" s="29" t="s">
        <v>27</v>
      </c>
      <c r="X5" s="29" t="s">
        <v>27</v>
      </c>
      <c r="Y5" s="29" t="s">
        <v>27</v>
      </c>
    </row>
    <row r="6" spans="2:25" x14ac:dyDescent="0.25">
      <c r="B6" s="20" t="s">
        <v>57</v>
      </c>
      <c r="D6" s="18" t="s">
        <v>34</v>
      </c>
      <c r="E6" s="18" t="s">
        <v>28</v>
      </c>
      <c r="G6" s="19">
        <v>3.8538264920421859</v>
      </c>
      <c r="H6" s="19">
        <v>4.293638973645681</v>
      </c>
      <c r="I6" s="19">
        <v>5.2866002713237314</v>
      </c>
      <c r="J6" s="19">
        <v>5.2969571007278704</v>
      </c>
      <c r="K6" s="19">
        <v>5.5738017286006114</v>
      </c>
      <c r="L6" s="19">
        <v>5.7480275741726512</v>
      </c>
      <c r="M6" s="19">
        <v>5.8643615260609741</v>
      </c>
      <c r="N6" s="19">
        <v>5.9501050560755715</v>
      </c>
      <c r="O6" s="19">
        <v>6.1010626354744826</v>
      </c>
      <c r="P6" s="19">
        <v>6.2558500952810876</v>
      </c>
      <c r="Q6" s="19">
        <v>6.4145646017588849</v>
      </c>
      <c r="R6" s="64">
        <v>142.23668902240894</v>
      </c>
      <c r="S6">
        <v>108.36831526528896</v>
      </c>
      <c r="T6" s="91"/>
      <c r="U6" s="91"/>
      <c r="V6" s="19">
        <v>27.141711457011198</v>
      </c>
      <c r="W6">
        <v>0</v>
      </c>
      <c r="X6" s="21">
        <v>0</v>
      </c>
      <c r="Y6" s="21">
        <v>5</v>
      </c>
    </row>
    <row r="7" spans="2:25" x14ac:dyDescent="0.25">
      <c r="B7" s="20" t="s">
        <v>58</v>
      </c>
      <c r="D7" s="18" t="s">
        <v>34</v>
      </c>
      <c r="E7" s="18" t="s">
        <v>28</v>
      </c>
      <c r="G7" s="19">
        <v>4.1603808720909958</v>
      </c>
      <c r="H7" s="19">
        <v>4.6351784374584053</v>
      </c>
      <c r="I7" s="19">
        <v>5.7071252929063006</v>
      </c>
      <c r="J7" s="19">
        <v>5.7183059610130416</v>
      </c>
      <c r="K7" s="19">
        <v>6.0171723206483874</v>
      </c>
      <c r="L7" s="19">
        <v>6.2052570403000216</v>
      </c>
      <c r="M7" s="19">
        <v>6.3308448292703687</v>
      </c>
      <c r="N7" s="19">
        <v>6.4234088673543104</v>
      </c>
      <c r="O7" s="19">
        <v>6.586374436023589</v>
      </c>
      <c r="P7" s="19">
        <v>6.7534745346784462</v>
      </c>
      <c r="Q7" s="19">
        <v>6.9248140587169775</v>
      </c>
      <c r="R7" s="64">
        <v>106.67751676680668</v>
      </c>
      <c r="S7">
        <v>81.276236448966685</v>
      </c>
      <c r="T7" s="91"/>
      <c r="U7" s="91"/>
      <c r="V7" s="19">
        <v>20.356283592758388</v>
      </c>
      <c r="W7" s="21">
        <v>0</v>
      </c>
      <c r="X7" s="21">
        <v>0</v>
      </c>
      <c r="Y7" s="21">
        <v>5</v>
      </c>
    </row>
    <row r="8" spans="2:25" x14ac:dyDescent="0.25">
      <c r="B8" s="20" t="s">
        <v>59</v>
      </c>
      <c r="D8" s="18" t="s">
        <v>34</v>
      </c>
      <c r="E8" s="18" t="s">
        <v>28</v>
      </c>
      <c r="G8" s="19">
        <v>4.3793482864115747</v>
      </c>
      <c r="H8" s="19">
        <v>4.8791351973246373</v>
      </c>
      <c r="I8" s="19">
        <v>6.0075003083224221</v>
      </c>
      <c r="J8" s="19">
        <v>6.0192694326453076</v>
      </c>
      <c r="K8" s="19">
        <v>6.3338656006825129</v>
      </c>
      <c r="L8" s="19">
        <v>6.5318495161052859</v>
      </c>
      <c r="M8" s="19">
        <v>6.664047188705652</v>
      </c>
      <c r="N8" s="19">
        <v>6.761483018267695</v>
      </c>
      <c r="O8" s="19">
        <v>6.9330257221300942</v>
      </c>
      <c r="P8" s="19">
        <v>7.1089205628194172</v>
      </c>
      <c r="Q8" s="19">
        <v>7.2892779565441872</v>
      </c>
      <c r="R8" s="64">
        <v>106.67751676680673</v>
      </c>
      <c r="S8">
        <v>81.276236448966728</v>
      </c>
      <c r="T8" s="91"/>
      <c r="U8" s="91"/>
      <c r="V8" s="19">
        <v>20.356283592758402</v>
      </c>
      <c r="W8" s="21">
        <v>0</v>
      </c>
      <c r="X8" s="21">
        <v>0</v>
      </c>
      <c r="Y8" s="21">
        <v>5</v>
      </c>
    </row>
    <row r="9" spans="2:25" x14ac:dyDescent="0.25">
      <c r="B9" s="20" t="s">
        <v>67</v>
      </c>
      <c r="D9" s="18" t="s">
        <v>33</v>
      </c>
      <c r="E9" s="18" t="s">
        <v>28</v>
      </c>
      <c r="G9" s="19">
        <v>3.4885704043686259</v>
      </c>
      <c r="H9" s="19">
        <v>3.1283916338444167</v>
      </c>
      <c r="I9" s="19">
        <v>2.0470857114766199</v>
      </c>
      <c r="J9" s="19">
        <v>3.2495046129039928</v>
      </c>
      <c r="K9" s="19">
        <v>3.5288345399637513</v>
      </c>
      <c r="L9" s="19">
        <v>3.902227730783828</v>
      </c>
      <c r="M9" s="19">
        <v>3.9930388637276257</v>
      </c>
      <c r="N9" s="19">
        <v>3.8956002662851104</v>
      </c>
      <c r="O9" s="19">
        <v>4.005622244591363</v>
      </c>
      <c r="P9" s="19">
        <v>4.1187515323962778</v>
      </c>
      <c r="Q9" s="19">
        <v>4.2350758882774517</v>
      </c>
      <c r="R9" s="64">
        <v>986.35845037774448</v>
      </c>
      <c r="S9" s="19">
        <v>841.30981293703678</v>
      </c>
      <c r="T9" s="91">
        <v>996.22203488152195</v>
      </c>
      <c r="U9" s="91">
        <v>849.72291106640716</v>
      </c>
      <c r="V9">
        <v>838.75966348959844</v>
      </c>
      <c r="W9">
        <v>725.40220142877672</v>
      </c>
    </row>
    <row r="10" spans="2:25" x14ac:dyDescent="0.25">
      <c r="B10" s="20" t="s">
        <v>68</v>
      </c>
      <c r="D10" s="18" t="s">
        <v>33</v>
      </c>
      <c r="E10" s="18" t="s">
        <v>28</v>
      </c>
      <c r="G10" s="19">
        <v>3.766070322897948</v>
      </c>
      <c r="H10" s="19">
        <v>3.3772409683547675</v>
      </c>
      <c r="I10" s="19">
        <v>2.209922074889533</v>
      </c>
      <c r="J10" s="19">
        <v>3.507987934384992</v>
      </c>
      <c r="K10" s="19">
        <v>3.8095372874608677</v>
      </c>
      <c r="L10" s="19">
        <v>4.2126322093689055</v>
      </c>
      <c r="M10" s="19">
        <v>4.3106669551605048</v>
      </c>
      <c r="N10" s="19">
        <v>4.2054775601941534</v>
      </c>
      <c r="O10" s="19">
        <v>4.324251286774766</v>
      </c>
      <c r="P10" s="19">
        <v>4.4463794952005262</v>
      </c>
      <c r="Q10" s="19">
        <v>4.5719569248449758</v>
      </c>
      <c r="R10" s="64">
        <v>739.76883778330819</v>
      </c>
      <c r="S10" s="19">
        <v>630.98235970277756</v>
      </c>
      <c r="T10" s="91">
        <v>747.16652616114129</v>
      </c>
      <c r="U10" s="91">
        <v>637.29218329980529</v>
      </c>
      <c r="V10">
        <v>629.0697476171988</v>
      </c>
      <c r="W10">
        <v>544.05165107158234</v>
      </c>
    </row>
    <row r="11" spans="2:25" s="21" customFormat="1" x14ac:dyDescent="0.25">
      <c r="B11" s="20" t="s">
        <v>69</v>
      </c>
      <c r="D11" s="18" t="s">
        <v>33</v>
      </c>
      <c r="E11" s="18" t="s">
        <v>28</v>
      </c>
      <c r="G11" s="19">
        <v>3.9642845504188928</v>
      </c>
      <c r="H11" s="19">
        <v>3.5549904930050187</v>
      </c>
      <c r="I11" s="19">
        <v>2.3262337630416137</v>
      </c>
      <c r="J11" s="19">
        <v>3.6926188782999918</v>
      </c>
      <c r="K11" s="19">
        <v>4.0100392499588082</v>
      </c>
      <c r="L11" s="19">
        <v>4.434349694072532</v>
      </c>
      <c r="M11" s="19">
        <v>4.5375441633268476</v>
      </c>
      <c r="N11" s="19">
        <v>4.4268184844148983</v>
      </c>
      <c r="O11" s="19">
        <v>4.551843459762912</v>
      </c>
      <c r="P11" s="19">
        <v>4.6803994686321335</v>
      </c>
      <c r="Q11" s="19">
        <v>4.8125862366789223</v>
      </c>
      <c r="R11" s="64">
        <v>739.76883778330853</v>
      </c>
      <c r="S11" s="19">
        <v>630.98235970277756</v>
      </c>
      <c r="T11" s="91">
        <v>747.16652616114163</v>
      </c>
      <c r="U11" s="91">
        <v>637.29218329980529</v>
      </c>
      <c r="V11" s="21">
        <v>629.06974761719891</v>
      </c>
      <c r="W11" s="21">
        <v>544.05165107158257</v>
      </c>
    </row>
    <row r="12" spans="2:25" s="21" customFormat="1" x14ac:dyDescent="0.25">
      <c r="B12" s="20" t="s">
        <v>70</v>
      </c>
      <c r="D12" s="18" t="s">
        <v>33</v>
      </c>
      <c r="E12" s="18" t="s">
        <v>28</v>
      </c>
      <c r="G12" s="19">
        <v>4.2814273144524044</v>
      </c>
      <c r="H12" s="19">
        <v>3.8393897324454205</v>
      </c>
      <c r="I12" s="19">
        <v>2.5123324640849427</v>
      </c>
      <c r="J12" s="19">
        <v>3.9880283885639916</v>
      </c>
      <c r="K12" s="19">
        <v>4.3308423899555129</v>
      </c>
      <c r="L12" s="19">
        <v>4.7890976695983349</v>
      </c>
      <c r="M12" s="19">
        <v>4.9005476963929961</v>
      </c>
      <c r="N12" s="19">
        <v>4.7809639631680909</v>
      </c>
      <c r="O12" s="19">
        <v>4.9159909365439454</v>
      </c>
      <c r="P12" s="19">
        <v>5.0548314261227043</v>
      </c>
      <c r="Q12" s="19">
        <v>5.1975931356132365</v>
      </c>
      <c r="R12" s="21">
        <v>123.29480629721816</v>
      </c>
      <c r="S12" s="21">
        <v>105.16372661712948</v>
      </c>
      <c r="T12" s="91">
        <v>124.52775436019034</v>
      </c>
      <c r="U12" s="91">
        <v>106.21536388330078</v>
      </c>
      <c r="V12" s="21">
        <v>104.84495793619996</v>
      </c>
      <c r="W12" s="21">
        <v>90.675275178597175</v>
      </c>
    </row>
    <row r="13" spans="2:25" s="21" customFormat="1" x14ac:dyDescent="0.25">
      <c r="B13" s="20" t="s">
        <v>71</v>
      </c>
      <c r="D13" s="18" t="s">
        <v>33</v>
      </c>
      <c r="E13" s="18" t="s">
        <v>28</v>
      </c>
      <c r="G13" s="19">
        <v>4.4399986964691607</v>
      </c>
      <c r="H13" s="19">
        <v>3.9815893521656212</v>
      </c>
      <c r="I13" s="19">
        <v>2.6053818146066074</v>
      </c>
      <c r="J13" s="19">
        <v>4.1357331436959912</v>
      </c>
      <c r="K13" s="19">
        <v>4.4912439599538656</v>
      </c>
      <c r="L13" s="19">
        <v>4.966471657361236</v>
      </c>
      <c r="M13" s="19">
        <v>5.0820494629260695</v>
      </c>
      <c r="N13" s="19">
        <v>4.9580367025446863</v>
      </c>
      <c r="O13" s="19">
        <v>5.098064674934462</v>
      </c>
      <c r="P13" s="19">
        <v>5.2420474048679901</v>
      </c>
      <c r="Q13" s="19">
        <v>5.3900965850803937</v>
      </c>
      <c r="R13" s="21">
        <v>123.29480629721816</v>
      </c>
      <c r="S13" s="21">
        <v>105.1637266171299</v>
      </c>
      <c r="T13" s="91">
        <v>124.52775436019034</v>
      </c>
      <c r="U13" s="91">
        <v>106.21536388330119</v>
      </c>
      <c r="V13" s="21">
        <v>104.84495793619996</v>
      </c>
      <c r="W13" s="21">
        <v>90.675275178597175</v>
      </c>
    </row>
    <row r="14" spans="2:25" x14ac:dyDescent="0.25">
      <c r="B14" s="20" t="s">
        <v>72</v>
      </c>
      <c r="D14" s="18" t="s">
        <v>33</v>
      </c>
      <c r="E14" s="18" t="s">
        <v>28</v>
      </c>
      <c r="G14" s="19">
        <v>6.065355362140906</v>
      </c>
      <c r="H14" s="19">
        <v>5.4391354542976789</v>
      </c>
      <c r="I14" s="19">
        <v>3.5591376574536691</v>
      </c>
      <c r="J14" s="19">
        <v>5.6497068837989879</v>
      </c>
      <c r="K14" s="19">
        <v>6.1353600524369769</v>
      </c>
      <c r="L14" s="19">
        <v>6.7845550319309744</v>
      </c>
      <c r="M14" s="19">
        <v>6.9424425698900771</v>
      </c>
      <c r="N14" s="19">
        <v>6.7730322811547943</v>
      </c>
      <c r="O14" s="19">
        <v>6.9643204934372553</v>
      </c>
      <c r="P14" s="19">
        <v>7.1610111870071647</v>
      </c>
      <c r="Q14" s="19">
        <v>7.3632569421187508</v>
      </c>
      <c r="R14">
        <v>246.58961259443592</v>
      </c>
      <c r="S14">
        <v>210.32745323425897</v>
      </c>
      <c r="T14" s="91">
        <v>249.05550872038029</v>
      </c>
      <c r="U14" s="91">
        <v>212.43072776660156</v>
      </c>
      <c r="V14">
        <v>209.68991587239901</v>
      </c>
      <c r="W14">
        <v>181.35055035719387</v>
      </c>
    </row>
    <row r="15" spans="2:25" s="21" customFormat="1" x14ac:dyDescent="0.25">
      <c r="B15" s="20"/>
      <c r="D15" s="18"/>
      <c r="E15" s="18"/>
      <c r="G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2:25" s="21" customFormat="1" x14ac:dyDescent="0.25">
      <c r="B16" s="20"/>
      <c r="D16" s="18"/>
      <c r="E16" s="18"/>
      <c r="G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2:20" s="21" customFormat="1" x14ac:dyDescent="0.25">
      <c r="B17" s="20"/>
      <c r="D17" s="18"/>
      <c r="E17" s="18"/>
      <c r="G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2:20" s="21" customFormat="1" x14ac:dyDescent="0.25">
      <c r="B18" s="24"/>
      <c r="C18" s="24"/>
      <c r="E18" s="26" t="s">
        <v>109</v>
      </c>
      <c r="G18" s="24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T18" s="26"/>
    </row>
    <row r="19" spans="2:20" s="21" customFormat="1" ht="24" x14ac:dyDescent="0.25">
      <c r="B19" s="25" t="s">
        <v>14</v>
      </c>
      <c r="C19" s="31" t="s">
        <v>111</v>
      </c>
      <c r="D19" s="25" t="s">
        <v>112</v>
      </c>
      <c r="E19" s="25" t="s">
        <v>6</v>
      </c>
      <c r="F19" s="25" t="s">
        <v>64</v>
      </c>
      <c r="G19" s="60" t="s">
        <v>151</v>
      </c>
      <c r="H19" s="60" t="s">
        <v>66</v>
      </c>
      <c r="I19" s="65" t="s">
        <v>172</v>
      </c>
    </row>
    <row r="20" spans="2:20" s="21" customFormat="1" ht="40.200000000000003" thickBot="1" x14ac:dyDescent="0.3">
      <c r="B20" s="30" t="s">
        <v>119</v>
      </c>
      <c r="C20" s="30" t="s">
        <v>120</v>
      </c>
      <c r="D20" s="30" t="s">
        <v>121</v>
      </c>
      <c r="E20" s="29" t="s">
        <v>157</v>
      </c>
      <c r="F20" s="59" t="s">
        <v>150</v>
      </c>
      <c r="G20" s="61" t="s">
        <v>152</v>
      </c>
      <c r="H20" s="61" t="s">
        <v>153</v>
      </c>
      <c r="I20" s="30" t="s">
        <v>171</v>
      </c>
    </row>
    <row r="21" spans="2:20" s="21" customFormat="1" ht="13.8" thickBot="1" x14ac:dyDescent="0.3">
      <c r="B21" s="30" t="s">
        <v>132</v>
      </c>
      <c r="C21" s="29"/>
      <c r="D21" s="29"/>
      <c r="E21" s="29" t="s">
        <v>157</v>
      </c>
      <c r="F21" s="29"/>
      <c r="G21" s="62"/>
      <c r="H21" s="62" t="s">
        <v>154</v>
      </c>
      <c r="I21" s="29"/>
    </row>
    <row r="22" spans="2:20" s="21" customFormat="1" x14ac:dyDescent="0.25">
      <c r="B22" s="44" t="s">
        <v>78</v>
      </c>
      <c r="C22" s="20" t="s">
        <v>33</v>
      </c>
      <c r="D22" s="28" t="s">
        <v>73</v>
      </c>
      <c r="E22" s="28" t="s">
        <v>28</v>
      </c>
      <c r="F22" s="21">
        <v>2010</v>
      </c>
      <c r="G22" s="21">
        <v>1</v>
      </c>
      <c r="H22" s="21">
        <v>45</v>
      </c>
      <c r="I22" s="19">
        <v>5.2592613637011731E-2</v>
      </c>
    </row>
    <row r="23" spans="2:20" s="21" customFormat="1" x14ac:dyDescent="0.25">
      <c r="B23" s="20"/>
      <c r="C23" s="27"/>
      <c r="D23" s="28" t="s">
        <v>74</v>
      </c>
      <c r="E23" s="28" t="s">
        <v>28</v>
      </c>
      <c r="F23" s="53"/>
      <c r="G23" s="55"/>
      <c r="H23" s="56"/>
      <c r="I23" s="56">
        <v>8.3594039241481247E-2</v>
      </c>
      <c r="J23" s="56"/>
      <c r="K23" s="56"/>
      <c r="L23" s="56"/>
      <c r="M23" s="11"/>
    </row>
    <row r="24" spans="2:20" s="21" customFormat="1" x14ac:dyDescent="0.25">
      <c r="B24" s="20"/>
      <c r="D24" s="28" t="s">
        <v>75</v>
      </c>
      <c r="E24" s="28" t="s">
        <v>28</v>
      </c>
      <c r="G24" s="19"/>
      <c r="I24" s="19">
        <v>0.30812019852191735</v>
      </c>
      <c r="J24" s="19"/>
      <c r="K24" s="19"/>
      <c r="L24" s="19"/>
      <c r="M24" s="19"/>
      <c r="N24" s="19"/>
      <c r="O24" s="19"/>
      <c r="P24" s="19"/>
      <c r="Q24" s="19"/>
    </row>
    <row r="25" spans="2:20" s="21" customFormat="1" x14ac:dyDescent="0.25">
      <c r="B25" s="20"/>
      <c r="D25" s="28" t="s">
        <v>76</v>
      </c>
      <c r="E25" s="28" t="s">
        <v>28</v>
      </c>
      <c r="G25" s="19"/>
      <c r="I25" s="19">
        <v>0.45216956152031246</v>
      </c>
      <c r="J25" s="19"/>
      <c r="K25" s="19"/>
      <c r="L25" s="19"/>
      <c r="M25" s="19"/>
      <c r="N25" s="19"/>
      <c r="O25" s="19"/>
      <c r="P25" s="19"/>
      <c r="Q25" s="19"/>
    </row>
    <row r="26" spans="2:20" s="21" customFormat="1" x14ac:dyDescent="0.25">
      <c r="B26" s="20"/>
      <c r="D26" s="28" t="s">
        <v>77</v>
      </c>
      <c r="E26" s="28" t="s">
        <v>28</v>
      </c>
      <c r="G26" s="19"/>
      <c r="I26" s="19">
        <v>0.10352358707927727</v>
      </c>
      <c r="J26" s="19"/>
      <c r="K26" s="19"/>
      <c r="L26" s="19"/>
      <c r="M26" s="19"/>
      <c r="N26" s="19"/>
      <c r="O26" s="19"/>
      <c r="P26" s="19"/>
      <c r="Q26" s="19"/>
    </row>
    <row r="27" spans="2:20" s="21" customFormat="1" x14ac:dyDescent="0.25">
      <c r="B27" s="20" t="s">
        <v>79</v>
      </c>
      <c r="C27" s="18" t="s">
        <v>34</v>
      </c>
      <c r="D27" s="28" t="s">
        <v>173</v>
      </c>
      <c r="E27" s="28" t="s">
        <v>28</v>
      </c>
      <c r="F27" s="21">
        <v>2010</v>
      </c>
      <c r="G27" s="19">
        <v>1</v>
      </c>
      <c r="H27" s="21">
        <v>45</v>
      </c>
      <c r="I27" s="19">
        <v>0.26699300221909877</v>
      </c>
      <c r="J27" s="19"/>
      <c r="K27" s="19"/>
      <c r="L27" s="19"/>
      <c r="M27" s="19"/>
      <c r="N27" s="19"/>
      <c r="O27" s="19"/>
      <c r="P27" s="19"/>
      <c r="Q27" s="19"/>
    </row>
    <row r="28" spans="2:20" s="21" customFormat="1" x14ac:dyDescent="0.25">
      <c r="B28" s="20"/>
      <c r="D28" s="28" t="s">
        <v>174</v>
      </c>
      <c r="E28" s="28" t="s">
        <v>28</v>
      </c>
      <c r="G28" s="19"/>
      <c r="I28" s="19">
        <v>0.56040000000000001</v>
      </c>
      <c r="J28" s="19"/>
      <c r="K28" s="19"/>
      <c r="L28" s="19"/>
      <c r="M28" s="19"/>
      <c r="N28" s="19"/>
      <c r="O28" s="19"/>
      <c r="P28" s="19"/>
      <c r="Q28" s="19"/>
    </row>
    <row r="29" spans="2:20" s="21" customFormat="1" x14ac:dyDescent="0.25">
      <c r="B29" s="20"/>
      <c r="D29" s="28" t="s">
        <v>175</v>
      </c>
      <c r="E29" s="28" t="s">
        <v>28</v>
      </c>
      <c r="G29" s="19"/>
      <c r="I29" s="19">
        <v>0.17261824039783263</v>
      </c>
      <c r="J29" s="19"/>
      <c r="K29" s="19"/>
      <c r="L29" s="19"/>
      <c r="M29" s="19"/>
      <c r="N29" s="19"/>
      <c r="O29" s="19"/>
      <c r="P29" s="19"/>
      <c r="Q29" s="19"/>
    </row>
    <row r="30" spans="2:20" s="21" customFormat="1" x14ac:dyDescent="0.25">
      <c r="B30" s="20"/>
      <c r="D30" s="28"/>
      <c r="E30" s="18"/>
      <c r="G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2:20" s="21" customFormat="1" x14ac:dyDescent="0.25">
      <c r="B31" s="20"/>
      <c r="D31" s="28"/>
      <c r="E31" s="18"/>
      <c r="G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2:20" s="21" customFormat="1" x14ac:dyDescent="0.25">
      <c r="B32" s="20"/>
      <c r="D32" s="28"/>
      <c r="E32" s="18"/>
      <c r="G32" s="19"/>
      <c r="I32" s="19"/>
      <c r="J32" s="19"/>
      <c r="K32" s="19"/>
      <c r="L32" s="19"/>
      <c r="M32" s="19"/>
      <c r="N32" s="19"/>
      <c r="O32" s="19"/>
      <c r="P32" s="19"/>
      <c r="Q32" s="19"/>
    </row>
    <row r="44" spans="10:54" s="21" customFormat="1" x14ac:dyDescent="0.25">
      <c r="J44" s="11"/>
      <c r="K44" s="11"/>
      <c r="M44" s="19"/>
      <c r="N44" s="19"/>
      <c r="O44" s="19"/>
      <c r="P44" s="19"/>
      <c r="Q44" s="19"/>
      <c r="R44" s="19"/>
      <c r="S44" s="19"/>
      <c r="T44" s="19"/>
      <c r="U44" s="19"/>
      <c r="V44" s="11"/>
      <c r="W44" s="11"/>
      <c r="X44" s="11"/>
      <c r="Y44" s="11"/>
      <c r="Z44" s="11"/>
      <c r="AA44" s="11"/>
      <c r="AB44" s="11"/>
      <c r="AX44" s="11"/>
      <c r="BB44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1:X81"/>
  <sheetViews>
    <sheetView zoomScale="85" zoomScaleNormal="85" workbookViewId="0">
      <pane ySplit="5" topLeftCell="A6" activePane="bottomLeft" state="frozen"/>
      <selection pane="bottomLeft" sqref="A1:XFD1048576"/>
    </sheetView>
  </sheetViews>
  <sheetFormatPr defaultColWidth="8.88671875" defaultRowHeight="13.2" x14ac:dyDescent="0.25"/>
  <cols>
    <col min="1" max="1" width="8.88671875" style="21"/>
    <col min="2" max="2" width="18" style="21" customWidth="1"/>
    <col min="3" max="3" width="18.33203125" style="21" customWidth="1"/>
    <col min="4" max="4" width="12" style="21" bestFit="1" customWidth="1"/>
    <col min="5" max="5" width="23.33203125" style="21" customWidth="1"/>
    <col min="6" max="7" width="9.88671875" style="23" customWidth="1"/>
    <col min="8" max="18" width="10.44140625" style="21" customWidth="1"/>
    <col min="19" max="16384" width="8.88671875" style="21"/>
  </cols>
  <sheetData>
    <row r="1" spans="2:24" ht="15" x14ac:dyDescent="0.25">
      <c r="B1" s="45" t="s">
        <v>137</v>
      </c>
      <c r="E1" s="46"/>
      <c r="F1" s="46"/>
      <c r="G1" s="46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8"/>
      <c r="T1" s="49"/>
      <c r="U1" s="50"/>
      <c r="V1" s="51"/>
      <c r="W1" s="50"/>
      <c r="X1" s="50"/>
    </row>
    <row r="2" spans="2:24" x14ac:dyDescent="0.25">
      <c r="B2" s="24"/>
      <c r="C2" s="24"/>
      <c r="D2" s="24"/>
      <c r="E2" s="26" t="s">
        <v>109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2:24" ht="24" x14ac:dyDescent="0.25">
      <c r="B3" s="25" t="s">
        <v>14</v>
      </c>
      <c r="C3" s="31" t="s">
        <v>111</v>
      </c>
      <c r="D3" s="25" t="s">
        <v>112</v>
      </c>
      <c r="E3" s="52" t="s">
        <v>6</v>
      </c>
      <c r="F3" s="52" t="s">
        <v>151</v>
      </c>
      <c r="G3" s="58" t="s">
        <v>138</v>
      </c>
      <c r="H3" s="58" t="s">
        <v>139</v>
      </c>
      <c r="I3" s="58" t="s">
        <v>140</v>
      </c>
      <c r="J3" s="58" t="s">
        <v>141</v>
      </c>
      <c r="K3" s="58" t="s">
        <v>142</v>
      </c>
      <c r="L3" s="58" t="s">
        <v>143</v>
      </c>
      <c r="M3" s="58" t="s">
        <v>144</v>
      </c>
      <c r="N3" s="58" t="s">
        <v>145</v>
      </c>
      <c r="O3" s="58" t="s">
        <v>146</v>
      </c>
      <c r="P3" s="58" t="s">
        <v>147</v>
      </c>
      <c r="Q3" s="58" t="s">
        <v>148</v>
      </c>
    </row>
    <row r="4" spans="2:24" ht="31.8" thickBot="1" x14ac:dyDescent="0.3">
      <c r="B4" s="30" t="s">
        <v>119</v>
      </c>
      <c r="C4" s="30" t="s">
        <v>120</v>
      </c>
      <c r="D4" s="30" t="s">
        <v>121</v>
      </c>
      <c r="E4" s="29" t="s">
        <v>157</v>
      </c>
      <c r="F4" s="29" t="s">
        <v>152</v>
      </c>
      <c r="G4" s="30" t="s">
        <v>149</v>
      </c>
      <c r="H4" s="30" t="s">
        <v>149</v>
      </c>
      <c r="I4" s="30" t="s">
        <v>149</v>
      </c>
      <c r="J4" s="30" t="s">
        <v>149</v>
      </c>
      <c r="K4" s="30" t="s">
        <v>149</v>
      </c>
      <c r="L4" s="30" t="s">
        <v>149</v>
      </c>
      <c r="M4" s="30" t="s">
        <v>149</v>
      </c>
      <c r="N4" s="30" t="s">
        <v>149</v>
      </c>
      <c r="O4" s="30" t="s">
        <v>149</v>
      </c>
      <c r="P4" s="30" t="s">
        <v>149</v>
      </c>
      <c r="Q4" s="30" t="s">
        <v>149</v>
      </c>
    </row>
    <row r="5" spans="2:24" ht="13.8" thickBot="1" x14ac:dyDescent="0.3">
      <c r="B5" s="30" t="s">
        <v>132</v>
      </c>
      <c r="C5" s="29"/>
      <c r="D5" s="29"/>
      <c r="E5" s="29" t="s">
        <v>157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2:24" x14ac:dyDescent="0.25">
      <c r="B6" s="20" t="s">
        <v>81</v>
      </c>
      <c r="C6" s="28" t="s">
        <v>30</v>
      </c>
      <c r="D6" s="57" t="s">
        <v>38</v>
      </c>
      <c r="E6" s="53" t="s">
        <v>35</v>
      </c>
      <c r="F6" s="53">
        <v>1</v>
      </c>
      <c r="G6" s="33">
        <v>8.8130371533146175</v>
      </c>
      <c r="H6" s="33">
        <v>8.1979136593102311</v>
      </c>
      <c r="I6" s="33">
        <v>7.8189530459817096</v>
      </c>
      <c r="J6" s="33">
        <v>7.6133092510330123</v>
      </c>
      <c r="K6" s="33">
        <v>8.7196551036684546</v>
      </c>
      <c r="L6" s="33">
        <v>8.7156593268758371</v>
      </c>
      <c r="M6" s="33">
        <v>8.9479948641740581</v>
      </c>
      <c r="N6" s="33">
        <v>9.1561336883598017</v>
      </c>
      <c r="O6" s="33">
        <v>9.1561336883598017</v>
      </c>
      <c r="P6" s="33">
        <v>9.1561336883598017</v>
      </c>
      <c r="Q6" s="33">
        <v>9.1561336883598017</v>
      </c>
    </row>
    <row r="7" spans="2:24" x14ac:dyDescent="0.25">
      <c r="B7" s="20" t="s">
        <v>82</v>
      </c>
      <c r="C7" s="28" t="s">
        <v>30</v>
      </c>
      <c r="D7" s="57" t="s">
        <v>39</v>
      </c>
      <c r="E7" s="53" t="s">
        <v>35</v>
      </c>
      <c r="F7" s="53">
        <v>1</v>
      </c>
      <c r="G7" s="33">
        <v>6.1066525969764101</v>
      </c>
      <c r="H7" s="33">
        <v>5.6577274189479381</v>
      </c>
      <c r="I7" s="33">
        <v>5.4173018029141096</v>
      </c>
      <c r="J7" s="33">
        <v>4.5425795746811408</v>
      </c>
      <c r="K7" s="33">
        <v>5.8500306931500106</v>
      </c>
      <c r="L7" s="33">
        <v>5.7776672731984648</v>
      </c>
      <c r="M7" s="33">
        <v>5.9239679145156909</v>
      </c>
      <c r="N7" s="33">
        <v>6.0625222361964255</v>
      </c>
      <c r="O7" s="33">
        <v>6.0625222361964255</v>
      </c>
      <c r="P7" s="33">
        <v>6.0625222361964255</v>
      </c>
      <c r="Q7" s="33">
        <v>6.0625222361964255</v>
      </c>
    </row>
    <row r="8" spans="2:24" x14ac:dyDescent="0.25">
      <c r="B8" s="20" t="s">
        <v>83</v>
      </c>
      <c r="C8" s="28" t="s">
        <v>30</v>
      </c>
      <c r="D8" s="57" t="s">
        <v>40</v>
      </c>
      <c r="E8" s="53" t="s">
        <v>35</v>
      </c>
      <c r="F8" s="53">
        <v>1</v>
      </c>
      <c r="G8" s="33">
        <v>3.9690852204664613</v>
      </c>
      <c r="H8" s="33">
        <v>3.572878882897252</v>
      </c>
      <c r="I8" s="33">
        <v>2.6272840274491154</v>
      </c>
      <c r="J8" s="33">
        <v>3.1768504383493084</v>
      </c>
      <c r="K8" s="33">
        <v>2.9680794751701471</v>
      </c>
      <c r="L8" s="33">
        <v>2.9025861232660612</v>
      </c>
      <c r="M8" s="33">
        <v>2.992734161943992</v>
      </c>
      <c r="N8" s="33">
        <v>3.0444603086336053</v>
      </c>
      <c r="O8" s="33">
        <v>3.0444603086336053</v>
      </c>
      <c r="P8" s="33">
        <v>3.0444603086336053</v>
      </c>
      <c r="Q8" s="33">
        <v>3.0444603086336053</v>
      </c>
    </row>
    <row r="9" spans="2:24" x14ac:dyDescent="0.25">
      <c r="B9" s="20" t="s">
        <v>84</v>
      </c>
      <c r="C9" s="28" t="s">
        <v>30</v>
      </c>
      <c r="D9" s="57" t="s">
        <v>41</v>
      </c>
      <c r="E9" s="53" t="s">
        <v>35</v>
      </c>
      <c r="F9" s="53">
        <v>1</v>
      </c>
      <c r="G9" s="33">
        <v>0.99043876595898483</v>
      </c>
      <c r="H9" s="33">
        <v>0.89210278914876773</v>
      </c>
      <c r="I9" s="33">
        <v>0.78706930792061247</v>
      </c>
      <c r="J9" s="33">
        <v>0.72295756642502074</v>
      </c>
      <c r="K9" s="33">
        <v>0.69633762686582501</v>
      </c>
      <c r="L9" s="33">
        <v>0.64293274920775445</v>
      </c>
      <c r="M9" s="33">
        <v>0.68895910936691973</v>
      </c>
      <c r="N9" s="33">
        <v>0.71440706885287686</v>
      </c>
      <c r="O9" s="33">
        <v>0.71440706885287686</v>
      </c>
      <c r="P9" s="33">
        <v>0.71440706885287686</v>
      </c>
      <c r="Q9" s="33">
        <v>0.71440706885287686</v>
      </c>
    </row>
    <row r="10" spans="2:24" x14ac:dyDescent="0.25">
      <c r="B10" s="20" t="s">
        <v>85</v>
      </c>
      <c r="C10" s="28" t="s">
        <v>30</v>
      </c>
      <c r="D10" s="57" t="s">
        <v>42</v>
      </c>
      <c r="E10" s="53" t="s">
        <v>35</v>
      </c>
      <c r="F10" s="53">
        <v>1</v>
      </c>
      <c r="G10" s="33">
        <v>14.610206091826599</v>
      </c>
      <c r="H10" s="33">
        <v>12.071655328120974</v>
      </c>
      <c r="I10" s="33">
        <v>13.20512093618207</v>
      </c>
      <c r="J10" s="33">
        <v>12.214310435105585</v>
      </c>
      <c r="K10" s="33">
        <v>11.247654614855056</v>
      </c>
      <c r="L10" s="33">
        <v>10.348113023077216</v>
      </c>
      <c r="M10" s="33">
        <v>9.8623596791413171</v>
      </c>
      <c r="N10" s="33">
        <v>9.6043040814017306</v>
      </c>
      <c r="O10" s="33">
        <v>9.6043040814017306</v>
      </c>
      <c r="P10" s="33">
        <v>9.6043040814017306</v>
      </c>
      <c r="Q10" s="33">
        <v>9.6043040814017306</v>
      </c>
    </row>
    <row r="11" spans="2:24" x14ac:dyDescent="0.25">
      <c r="B11" s="20" t="s">
        <v>81</v>
      </c>
      <c r="C11" s="28" t="s">
        <v>30</v>
      </c>
      <c r="D11" s="57" t="s">
        <v>38</v>
      </c>
      <c r="E11" s="53" t="s">
        <v>37</v>
      </c>
      <c r="F11" s="53">
        <v>1</v>
      </c>
      <c r="G11" s="33">
        <v>7.6422737248059587</v>
      </c>
      <c r="H11" s="33">
        <v>7.1771709436564635</v>
      </c>
      <c r="I11" s="33">
        <v>5.9624206508924811</v>
      </c>
      <c r="J11" s="33">
        <v>5.7977782345395523</v>
      </c>
      <c r="K11" s="33">
        <v>5.6016486140756108</v>
      </c>
      <c r="L11" s="33">
        <v>5.6703371705403613</v>
      </c>
      <c r="M11" s="33">
        <v>5.7375189807816467</v>
      </c>
      <c r="N11" s="33">
        <v>5.7429894398683201</v>
      </c>
      <c r="O11" s="33">
        <v>5.7429894398683201</v>
      </c>
      <c r="P11" s="33">
        <v>5.7429894398683201</v>
      </c>
      <c r="Q11" s="33">
        <v>5.7429894398683201</v>
      </c>
    </row>
    <row r="12" spans="2:24" x14ac:dyDescent="0.25">
      <c r="B12" s="20" t="s">
        <v>82</v>
      </c>
      <c r="C12" s="28" t="s">
        <v>30</v>
      </c>
      <c r="D12" s="57" t="s">
        <v>39</v>
      </c>
      <c r="E12" s="53" t="s">
        <v>37</v>
      </c>
      <c r="F12" s="53">
        <v>1</v>
      </c>
      <c r="G12" s="33">
        <v>5.2265561966999439</v>
      </c>
      <c r="H12" s="33">
        <v>4.6815227897256815</v>
      </c>
      <c r="I12" s="33">
        <v>3.909336419691134</v>
      </c>
      <c r="J12" s="33">
        <v>3.4413265227838012</v>
      </c>
      <c r="K12" s="33">
        <v>3.375802655105185</v>
      </c>
      <c r="L12" s="33">
        <v>3.3519860187385451</v>
      </c>
      <c r="M12" s="33">
        <v>3.3378214999028404</v>
      </c>
      <c r="N12" s="33">
        <v>3.2782474282291041</v>
      </c>
      <c r="O12" s="33">
        <v>3.2782474282291041</v>
      </c>
      <c r="P12" s="33">
        <v>3.2782474282291041</v>
      </c>
      <c r="Q12" s="33">
        <v>3.2782474282291041</v>
      </c>
    </row>
    <row r="13" spans="2:24" x14ac:dyDescent="0.25">
      <c r="B13" s="20" t="s">
        <v>83</v>
      </c>
      <c r="C13" s="28" t="s">
        <v>30</v>
      </c>
      <c r="D13" s="57" t="s">
        <v>40</v>
      </c>
      <c r="E13" s="53" t="s">
        <v>37</v>
      </c>
      <c r="F13" s="53">
        <v>1</v>
      </c>
      <c r="G13" s="33">
        <v>2.7925789683097224</v>
      </c>
      <c r="H13" s="33">
        <v>2.8110946681770481</v>
      </c>
      <c r="I13" s="33">
        <v>2.2976450301965698</v>
      </c>
      <c r="J13" s="33">
        <v>1.7448299279905435</v>
      </c>
      <c r="K13" s="33">
        <v>1.7691025592552529</v>
      </c>
      <c r="L13" s="33">
        <v>1.8143853349394021</v>
      </c>
      <c r="M13" s="33">
        <v>1.8434682988401854</v>
      </c>
      <c r="N13" s="33">
        <v>1.8353527113425168</v>
      </c>
      <c r="O13" s="33">
        <v>1.8353527113425168</v>
      </c>
      <c r="P13" s="33">
        <v>1.8353527113425168</v>
      </c>
      <c r="Q13" s="33">
        <v>1.8353527113425168</v>
      </c>
    </row>
    <row r="14" spans="2:24" x14ac:dyDescent="0.25">
      <c r="B14" s="20" t="s">
        <v>84</v>
      </c>
      <c r="C14" s="28" t="s">
        <v>30</v>
      </c>
      <c r="D14" s="57" t="s">
        <v>41</v>
      </c>
      <c r="E14" s="53" t="s">
        <v>37</v>
      </c>
      <c r="F14" s="53">
        <v>1</v>
      </c>
      <c r="G14" s="33">
        <v>1.0180596819423431</v>
      </c>
      <c r="H14" s="33">
        <v>0.93655343700657001</v>
      </c>
      <c r="I14" s="33">
        <v>0.54671570887154253</v>
      </c>
      <c r="J14" s="33">
        <v>0.50420406530160544</v>
      </c>
      <c r="K14" s="33">
        <v>0.59604128611629514</v>
      </c>
      <c r="L14" s="33">
        <v>0.59920304441326444</v>
      </c>
      <c r="M14" s="33">
        <v>0.61712027137721015</v>
      </c>
      <c r="N14" s="33">
        <v>0.61599911349596403</v>
      </c>
      <c r="O14" s="33">
        <v>0.61599911349596403</v>
      </c>
      <c r="P14" s="33">
        <v>0.61599911349596403</v>
      </c>
      <c r="Q14" s="33">
        <v>0.61599911349596403</v>
      </c>
    </row>
    <row r="15" spans="2:24" x14ac:dyDescent="0.25">
      <c r="B15" s="20" t="s">
        <v>85</v>
      </c>
      <c r="C15" s="28" t="s">
        <v>30</v>
      </c>
      <c r="D15" s="57" t="s">
        <v>42</v>
      </c>
      <c r="E15" s="53" t="s">
        <v>37</v>
      </c>
      <c r="F15" s="53">
        <v>1</v>
      </c>
      <c r="G15" s="33">
        <v>9.99444835528071</v>
      </c>
      <c r="H15" s="33">
        <v>10.432491854675966</v>
      </c>
      <c r="I15" s="33">
        <v>10.307333463629874</v>
      </c>
      <c r="J15" s="33">
        <v>9.1956792767978346</v>
      </c>
      <c r="K15" s="33">
        <v>8.5132832031396894</v>
      </c>
      <c r="L15" s="33">
        <v>7.9244002562265301</v>
      </c>
      <c r="M15" s="33">
        <v>7.478631727899395</v>
      </c>
      <c r="N15" s="33">
        <v>7.2014328354351811</v>
      </c>
      <c r="O15" s="33">
        <v>7.2014328354351811</v>
      </c>
      <c r="P15" s="33">
        <v>7.2014328354351811</v>
      </c>
      <c r="Q15" s="33">
        <v>7.2014328354351811</v>
      </c>
    </row>
    <row r="16" spans="2:24" x14ac:dyDescent="0.25">
      <c r="B16" s="20" t="s">
        <v>81</v>
      </c>
      <c r="C16" s="28" t="s">
        <v>30</v>
      </c>
      <c r="D16" s="57" t="s">
        <v>38</v>
      </c>
      <c r="E16" s="53" t="s">
        <v>36</v>
      </c>
      <c r="F16" s="53">
        <v>1</v>
      </c>
      <c r="G16" s="33">
        <v>4.3421202214345076</v>
      </c>
      <c r="H16" s="33">
        <v>4.0466381601570687</v>
      </c>
      <c r="I16" s="33">
        <v>3.6510766421577818</v>
      </c>
      <c r="J16" s="33">
        <v>3.5941481447119727</v>
      </c>
      <c r="K16" s="33">
        <v>3.5862208250071865</v>
      </c>
      <c r="L16" s="33">
        <v>3.8779666750307609</v>
      </c>
      <c r="M16" s="33">
        <v>3.978962560928085</v>
      </c>
      <c r="N16" s="33">
        <v>4.0583680389293271</v>
      </c>
      <c r="O16" s="33">
        <v>4.0583680389293271</v>
      </c>
      <c r="P16" s="33">
        <v>4.0583680389293271</v>
      </c>
      <c r="Q16" s="33">
        <v>4.0583680389293271</v>
      </c>
    </row>
    <row r="17" spans="2:17" x14ac:dyDescent="0.25">
      <c r="B17" s="20" t="s">
        <v>82</v>
      </c>
      <c r="C17" s="28" t="s">
        <v>30</v>
      </c>
      <c r="D17" s="57" t="s">
        <v>39</v>
      </c>
      <c r="E17" s="53" t="s">
        <v>36</v>
      </c>
      <c r="F17" s="53">
        <v>1</v>
      </c>
      <c r="G17" s="33">
        <v>3.1679335230443484</v>
      </c>
      <c r="H17" s="33">
        <v>3.0204337626164919</v>
      </c>
      <c r="I17" s="33">
        <v>2.6028604194107352</v>
      </c>
      <c r="J17" s="33">
        <v>2.3134795387706477</v>
      </c>
      <c r="K17" s="33">
        <v>2.3721655163930961</v>
      </c>
      <c r="L17" s="33">
        <v>2.5420530099521104</v>
      </c>
      <c r="M17" s="33">
        <v>2.5800389020217298</v>
      </c>
      <c r="N17" s="33">
        <v>2.6088146753879493</v>
      </c>
      <c r="O17" s="33">
        <v>2.6088146753879493</v>
      </c>
      <c r="P17" s="33">
        <v>2.6088146753879493</v>
      </c>
      <c r="Q17" s="33">
        <v>2.6088146753879493</v>
      </c>
    </row>
    <row r="18" spans="2:17" x14ac:dyDescent="0.25">
      <c r="B18" s="20" t="s">
        <v>83</v>
      </c>
      <c r="C18" s="28" t="s">
        <v>30</v>
      </c>
      <c r="D18" s="57" t="s">
        <v>40</v>
      </c>
      <c r="E18" s="53" t="s">
        <v>36</v>
      </c>
      <c r="F18" s="53">
        <v>1</v>
      </c>
      <c r="G18" s="33">
        <v>1.3922025646203191</v>
      </c>
      <c r="H18" s="33">
        <v>1.2746412669192053</v>
      </c>
      <c r="I18" s="33">
        <v>1.0052330170895714</v>
      </c>
      <c r="J18" s="33">
        <v>0.84672173437672893</v>
      </c>
      <c r="K18" s="33">
        <v>0.92214828185670494</v>
      </c>
      <c r="L18" s="33">
        <v>1.0109922164890655</v>
      </c>
      <c r="M18" s="33">
        <v>1.0186405224380795</v>
      </c>
      <c r="N18" s="33">
        <v>1.0237853679880802</v>
      </c>
      <c r="O18" s="33">
        <v>1.0237853679880802</v>
      </c>
      <c r="P18" s="33">
        <v>1.0237853679880802</v>
      </c>
      <c r="Q18" s="33">
        <v>1.0237853679880802</v>
      </c>
    </row>
    <row r="19" spans="2:17" x14ac:dyDescent="0.25">
      <c r="B19" s="20" t="s">
        <v>84</v>
      </c>
      <c r="C19" s="28" t="s">
        <v>30</v>
      </c>
      <c r="D19" s="57" t="s">
        <v>41</v>
      </c>
      <c r="E19" s="53" t="s">
        <v>36</v>
      </c>
      <c r="F19" s="53">
        <v>1</v>
      </c>
      <c r="G19" s="33">
        <v>0.27226233872342842</v>
      </c>
      <c r="H19" s="33">
        <v>0.24711785190587798</v>
      </c>
      <c r="I19" s="33">
        <v>0.15606568250540165</v>
      </c>
      <c r="J19" s="33">
        <v>0.12604354788034733</v>
      </c>
      <c r="K19" s="33">
        <v>0.16602516976966081</v>
      </c>
      <c r="L19" s="33">
        <v>0.18628926511930391</v>
      </c>
      <c r="M19" s="33">
        <v>0.18942062584275832</v>
      </c>
      <c r="N19" s="33">
        <v>0.19052927569652298</v>
      </c>
      <c r="O19" s="33">
        <v>0.19052927569652298</v>
      </c>
      <c r="P19" s="33">
        <v>0.19052927569652298</v>
      </c>
      <c r="Q19" s="33">
        <v>0.19052927569652298</v>
      </c>
    </row>
    <row r="20" spans="2:17" x14ac:dyDescent="0.25">
      <c r="B20" s="20" t="s">
        <v>85</v>
      </c>
      <c r="C20" s="28" t="s">
        <v>30</v>
      </c>
      <c r="D20" s="57" t="s">
        <v>42</v>
      </c>
      <c r="E20" s="53" t="s">
        <v>36</v>
      </c>
      <c r="F20" s="53">
        <v>1</v>
      </c>
      <c r="G20" s="33">
        <v>8.3820647646873709</v>
      </c>
      <c r="H20" s="33">
        <v>8.9277964437982504</v>
      </c>
      <c r="I20" s="33">
        <v>8.5590264311729669</v>
      </c>
      <c r="J20" s="33">
        <v>7.9197316530621382</v>
      </c>
      <c r="K20" s="33">
        <v>7.381581710306798</v>
      </c>
      <c r="L20" s="33">
        <v>6.4399614680416217</v>
      </c>
      <c r="M20" s="33">
        <v>5.9008957537601923</v>
      </c>
      <c r="N20" s="33">
        <v>5.7507049640788761</v>
      </c>
      <c r="O20" s="33">
        <v>5.7507049640788761</v>
      </c>
      <c r="P20" s="33">
        <v>5.7507049640788761</v>
      </c>
      <c r="Q20" s="33">
        <v>5.7507049640788761</v>
      </c>
    </row>
    <row r="21" spans="2:17" x14ac:dyDescent="0.25">
      <c r="B21" s="20" t="s">
        <v>81</v>
      </c>
      <c r="C21" s="28" t="s">
        <v>30</v>
      </c>
      <c r="D21" s="57" t="s">
        <v>38</v>
      </c>
      <c r="E21" s="53" t="s">
        <v>44</v>
      </c>
      <c r="F21" s="53">
        <v>1</v>
      </c>
      <c r="G21" s="33">
        <v>3.6171627189878053</v>
      </c>
      <c r="H21" s="33">
        <v>3.5140628990043092</v>
      </c>
      <c r="I21" s="33">
        <v>3.5357833707158077</v>
      </c>
      <c r="J21" s="33">
        <v>3.1732710081589146</v>
      </c>
      <c r="K21" s="33">
        <v>3.5903062823431751</v>
      </c>
      <c r="L21" s="33">
        <v>3.8471528094305176</v>
      </c>
      <c r="M21" s="33">
        <v>3.9241118160429154</v>
      </c>
      <c r="N21" s="33">
        <v>3.9782770948499269</v>
      </c>
      <c r="O21" s="33">
        <v>3.9782770948499269</v>
      </c>
      <c r="P21" s="33">
        <v>3.9782770948499269</v>
      </c>
      <c r="Q21" s="33">
        <v>3.9782770948499269</v>
      </c>
    </row>
    <row r="22" spans="2:17" x14ac:dyDescent="0.25">
      <c r="B22" s="20" t="s">
        <v>82</v>
      </c>
      <c r="C22" s="28" t="s">
        <v>30</v>
      </c>
      <c r="D22" s="57" t="s">
        <v>39</v>
      </c>
      <c r="E22" s="53" t="s">
        <v>44</v>
      </c>
      <c r="F22" s="53">
        <v>1</v>
      </c>
      <c r="G22" s="33">
        <v>2.4631062687040735</v>
      </c>
      <c r="H22" s="33">
        <v>2.3581164824547902</v>
      </c>
      <c r="I22" s="33">
        <v>2.2497567529627069</v>
      </c>
      <c r="J22" s="33">
        <v>1.9711255066652509</v>
      </c>
      <c r="K22" s="33">
        <v>2.1332599845504538</v>
      </c>
      <c r="L22" s="33">
        <v>2.2937792038032283</v>
      </c>
      <c r="M22" s="33">
        <v>2.3522195156781613</v>
      </c>
      <c r="N22" s="33">
        <v>2.4021756700156405</v>
      </c>
      <c r="O22" s="33">
        <v>2.4021756700156405</v>
      </c>
      <c r="P22" s="33">
        <v>2.4021756700156405</v>
      </c>
      <c r="Q22" s="33">
        <v>2.4021756700156405</v>
      </c>
    </row>
    <row r="23" spans="2:17" x14ac:dyDescent="0.25">
      <c r="B23" s="20" t="s">
        <v>83</v>
      </c>
      <c r="C23" s="28" t="s">
        <v>30</v>
      </c>
      <c r="D23" s="57" t="s">
        <v>40</v>
      </c>
      <c r="E23" s="53" t="s">
        <v>44</v>
      </c>
      <c r="F23" s="53">
        <v>1</v>
      </c>
      <c r="G23" s="33">
        <v>0.2218583861013097</v>
      </c>
      <c r="H23" s="33">
        <v>0.20277214571202518</v>
      </c>
      <c r="I23" s="33">
        <v>0.16489660256395791</v>
      </c>
      <c r="J23" s="33">
        <v>0.14033945038661921</v>
      </c>
      <c r="K23" s="33">
        <v>0.15797676638220706</v>
      </c>
      <c r="L23" s="33">
        <v>0.17697864203310182</v>
      </c>
      <c r="M23" s="33">
        <v>0.18046564953073774</v>
      </c>
      <c r="N23" s="33">
        <v>0.18335057907039512</v>
      </c>
      <c r="O23" s="33">
        <v>0.18335057907039512</v>
      </c>
      <c r="P23" s="33">
        <v>0.18335057907039512</v>
      </c>
      <c r="Q23" s="33">
        <v>0.18335057907039512</v>
      </c>
    </row>
    <row r="24" spans="2:17" x14ac:dyDescent="0.25">
      <c r="B24" s="20" t="s">
        <v>84</v>
      </c>
      <c r="C24" s="28" t="s">
        <v>30</v>
      </c>
      <c r="D24" s="57" t="s">
        <v>41</v>
      </c>
      <c r="E24" s="53" t="s">
        <v>44</v>
      </c>
      <c r="F24" s="53">
        <v>1</v>
      </c>
      <c r="G24" s="33">
        <v>0.37979905333977948</v>
      </c>
      <c r="H24" s="33">
        <v>0.34657529480049504</v>
      </c>
      <c r="I24" s="33">
        <v>0.23706025998801736</v>
      </c>
      <c r="J24" s="33">
        <v>0.17711411144995839</v>
      </c>
      <c r="K24" s="33">
        <v>0.23145908509039542</v>
      </c>
      <c r="L24" s="33">
        <v>0.26133316505102033</v>
      </c>
      <c r="M24" s="33">
        <v>0.27108042672620469</v>
      </c>
      <c r="N24" s="33">
        <v>0.28032502405012416</v>
      </c>
      <c r="O24" s="33">
        <v>0.28032502405012416</v>
      </c>
      <c r="P24" s="33">
        <v>0.28032502405012416</v>
      </c>
      <c r="Q24" s="33">
        <v>0.28032502405012416</v>
      </c>
    </row>
    <row r="25" spans="2:17" x14ac:dyDescent="0.25">
      <c r="B25" s="20" t="s">
        <v>85</v>
      </c>
      <c r="C25" s="28" t="s">
        <v>30</v>
      </c>
      <c r="D25" s="57" t="s">
        <v>42</v>
      </c>
      <c r="E25" s="53" t="s">
        <v>44</v>
      </c>
      <c r="F25" s="53">
        <v>1</v>
      </c>
      <c r="G25" s="33">
        <v>11.12063115287784</v>
      </c>
      <c r="H25" s="33">
        <v>8.7473936267616708</v>
      </c>
      <c r="I25" s="33">
        <v>9.6477631317135302</v>
      </c>
      <c r="J25" s="33">
        <v>7.0267345457547545</v>
      </c>
      <c r="K25" s="33">
        <v>6.5164689732564032</v>
      </c>
      <c r="L25" s="33">
        <v>5.6237022471251592</v>
      </c>
      <c r="M25" s="33">
        <v>5.2340249984719689</v>
      </c>
      <c r="N25" s="33">
        <v>5.1718923552700113</v>
      </c>
      <c r="O25" s="33">
        <v>5.1718923552700113</v>
      </c>
      <c r="P25" s="33">
        <v>5.1718923552700113</v>
      </c>
      <c r="Q25" s="33">
        <v>5.1718923552700113</v>
      </c>
    </row>
    <row r="26" spans="2:17" x14ac:dyDescent="0.25">
      <c r="B26" s="20" t="s">
        <v>81</v>
      </c>
      <c r="C26" s="28" t="s">
        <v>30</v>
      </c>
      <c r="D26" s="57" t="s">
        <v>38</v>
      </c>
      <c r="E26" s="53" t="s">
        <v>43</v>
      </c>
      <c r="F26" s="53">
        <v>1</v>
      </c>
      <c r="G26" s="33">
        <v>6.3096399592210304</v>
      </c>
      <c r="H26" s="33">
        <v>6.2670344990895757</v>
      </c>
      <c r="I26" s="33">
        <v>6.0461043522473439</v>
      </c>
      <c r="J26" s="33">
        <v>5.8155532501077998</v>
      </c>
      <c r="K26" s="33">
        <v>6.3626757544332291</v>
      </c>
      <c r="L26" s="33">
        <v>6.6244226138562565</v>
      </c>
      <c r="M26" s="33">
        <v>6.7837952354353961</v>
      </c>
      <c r="N26" s="33">
        <v>6.907284897550535</v>
      </c>
      <c r="O26" s="33">
        <v>6.907284897550535</v>
      </c>
      <c r="P26" s="33">
        <v>6.907284897550535</v>
      </c>
      <c r="Q26" s="33">
        <v>6.907284897550535</v>
      </c>
    </row>
    <row r="27" spans="2:17" x14ac:dyDescent="0.25">
      <c r="B27" s="20" t="s">
        <v>82</v>
      </c>
      <c r="C27" s="28" t="s">
        <v>30</v>
      </c>
      <c r="D27" s="57" t="s">
        <v>39</v>
      </c>
      <c r="E27" s="53" t="s">
        <v>43</v>
      </c>
      <c r="F27" s="53">
        <v>1</v>
      </c>
      <c r="G27" s="33">
        <v>3.9870178556468638</v>
      </c>
      <c r="H27" s="33">
        <v>3.8766052177887262</v>
      </c>
      <c r="I27" s="33">
        <v>3.5343911358043032</v>
      </c>
      <c r="J27" s="33">
        <v>3.2893826465848459</v>
      </c>
      <c r="K27" s="33">
        <v>3.5400534955255094</v>
      </c>
      <c r="L27" s="33">
        <v>3.6939824859057802</v>
      </c>
      <c r="M27" s="33">
        <v>3.780074590908896</v>
      </c>
      <c r="N27" s="33">
        <v>3.8398989296251673</v>
      </c>
      <c r="O27" s="33">
        <v>3.8398989296251673</v>
      </c>
      <c r="P27" s="33">
        <v>3.8398989296251673</v>
      </c>
      <c r="Q27" s="33">
        <v>3.8398989296251673</v>
      </c>
    </row>
    <row r="28" spans="2:17" x14ac:dyDescent="0.25">
      <c r="B28" s="20" t="s">
        <v>83</v>
      </c>
      <c r="C28" s="28" t="s">
        <v>30</v>
      </c>
      <c r="D28" s="57" t="s">
        <v>40</v>
      </c>
      <c r="E28" s="53" t="s">
        <v>43</v>
      </c>
      <c r="F28" s="53">
        <v>1</v>
      </c>
      <c r="G28" s="33">
        <v>0.74561427363815413</v>
      </c>
      <c r="H28" s="33">
        <v>0.66453639077397386</v>
      </c>
      <c r="I28" s="33">
        <v>0.49503015998023464</v>
      </c>
      <c r="J28" s="33">
        <v>0.49670680784310228</v>
      </c>
      <c r="K28" s="33">
        <v>0.51572623646321447</v>
      </c>
      <c r="L28" s="33">
        <v>0.55695140521899855</v>
      </c>
      <c r="M28" s="33">
        <v>0.56620274366964196</v>
      </c>
      <c r="N28" s="33">
        <v>0.56632840718734312</v>
      </c>
      <c r="O28" s="33">
        <v>0.56632840718734312</v>
      </c>
      <c r="P28" s="33">
        <v>0.56632840718734312</v>
      </c>
      <c r="Q28" s="33">
        <v>0.56632840718734312</v>
      </c>
    </row>
    <row r="29" spans="2:17" x14ac:dyDescent="0.25">
      <c r="B29" s="20" t="s">
        <v>84</v>
      </c>
      <c r="C29" s="28" t="s">
        <v>30</v>
      </c>
      <c r="D29" s="57" t="s">
        <v>41</v>
      </c>
      <c r="E29" s="53" t="s">
        <v>43</v>
      </c>
      <c r="F29" s="53">
        <v>1</v>
      </c>
      <c r="G29" s="33">
        <v>0.85837831276323184</v>
      </c>
      <c r="H29" s="33">
        <v>0.7499895481009371</v>
      </c>
      <c r="I29" s="33">
        <v>0.56388200638341379</v>
      </c>
      <c r="J29" s="33">
        <v>0.44504724802398515</v>
      </c>
      <c r="K29" s="33">
        <v>0.53989768395596371</v>
      </c>
      <c r="L29" s="33">
        <v>0.57674401899815597</v>
      </c>
      <c r="M29" s="33">
        <v>0.59209136031196952</v>
      </c>
      <c r="N29" s="33">
        <v>0.59474955415496489</v>
      </c>
      <c r="O29" s="33">
        <v>0.59474955415496489</v>
      </c>
      <c r="P29" s="33">
        <v>0.59474955415496489</v>
      </c>
      <c r="Q29" s="33">
        <v>0.59474955415496489</v>
      </c>
    </row>
    <row r="30" spans="2:17" x14ac:dyDescent="0.25">
      <c r="B30" s="20" t="s">
        <v>85</v>
      </c>
      <c r="C30" s="28" t="s">
        <v>30</v>
      </c>
      <c r="D30" s="57" t="s">
        <v>42</v>
      </c>
      <c r="E30" s="53" t="s">
        <v>43</v>
      </c>
      <c r="F30" s="53">
        <v>1</v>
      </c>
      <c r="G30" s="33">
        <v>7.4665953634206002</v>
      </c>
      <c r="H30" s="33">
        <v>7.8991525941563889</v>
      </c>
      <c r="I30" s="33">
        <v>7.7172271482677255</v>
      </c>
      <c r="J30" s="33">
        <v>5.6820502882895552</v>
      </c>
      <c r="K30" s="33">
        <v>5.4085139738058245</v>
      </c>
      <c r="L30" s="33">
        <v>5.1418240300474212</v>
      </c>
      <c r="M30" s="33">
        <v>4.9558651945574281</v>
      </c>
      <c r="N30" s="33">
        <v>4.9048903032819391</v>
      </c>
      <c r="O30" s="33">
        <v>4.9048903032819391</v>
      </c>
      <c r="P30" s="33">
        <v>4.9048903032819391</v>
      </c>
      <c r="Q30" s="33">
        <v>4.9048903032819391</v>
      </c>
    </row>
    <row r="31" spans="2:17" x14ac:dyDescent="0.25">
      <c r="B31" s="20" t="s">
        <v>81</v>
      </c>
      <c r="C31" s="28" t="s">
        <v>30</v>
      </c>
      <c r="D31" s="57" t="s">
        <v>38</v>
      </c>
      <c r="E31" s="53" t="s">
        <v>45</v>
      </c>
      <c r="F31" s="53">
        <v>1</v>
      </c>
      <c r="G31" s="33">
        <v>4.7432500734382703</v>
      </c>
      <c r="H31" s="33">
        <v>4.5352791999685618</v>
      </c>
      <c r="I31" s="33">
        <v>4.5000531198371814</v>
      </c>
      <c r="J31" s="33">
        <v>4.6545953475824895</v>
      </c>
      <c r="K31" s="33">
        <v>4.4896407420188265</v>
      </c>
      <c r="L31" s="33">
        <v>4.782412688948221</v>
      </c>
      <c r="M31" s="33">
        <v>4.9080352564348084</v>
      </c>
      <c r="N31" s="33">
        <v>5.0036066484361985</v>
      </c>
      <c r="O31" s="33">
        <v>5.0036066484361985</v>
      </c>
      <c r="P31" s="33">
        <v>5.0036066484361985</v>
      </c>
      <c r="Q31" s="33">
        <v>5.0036066484361985</v>
      </c>
    </row>
    <row r="32" spans="2:17" x14ac:dyDescent="0.25">
      <c r="B32" s="20" t="s">
        <v>82</v>
      </c>
      <c r="C32" s="28" t="s">
        <v>30</v>
      </c>
      <c r="D32" s="57" t="s">
        <v>39</v>
      </c>
      <c r="E32" s="53" t="s">
        <v>45</v>
      </c>
      <c r="F32" s="53">
        <v>1</v>
      </c>
      <c r="G32" s="33">
        <v>3.5691131171280985</v>
      </c>
      <c r="H32" s="33">
        <v>3.3018352685102883</v>
      </c>
      <c r="I32" s="33">
        <v>3.2456102576987234</v>
      </c>
      <c r="J32" s="33">
        <v>2.902711293435293</v>
      </c>
      <c r="K32" s="33">
        <v>3.3273120378233894</v>
      </c>
      <c r="L32" s="33">
        <v>3.4941981798318387</v>
      </c>
      <c r="M32" s="33">
        <v>3.5342109271299287</v>
      </c>
      <c r="N32" s="33">
        <v>3.5541611759403424</v>
      </c>
      <c r="O32" s="33">
        <v>3.5541611759403424</v>
      </c>
      <c r="P32" s="33">
        <v>3.5541611759403424</v>
      </c>
      <c r="Q32" s="33">
        <v>3.5541611759403424</v>
      </c>
    </row>
    <row r="33" spans="2:17" x14ac:dyDescent="0.25">
      <c r="B33" s="20" t="s">
        <v>83</v>
      </c>
      <c r="C33" s="28" t="s">
        <v>30</v>
      </c>
      <c r="D33" s="57" t="s">
        <v>40</v>
      </c>
      <c r="E33" s="53" t="s">
        <v>45</v>
      </c>
      <c r="F33" s="53">
        <v>1</v>
      </c>
      <c r="G33" s="33">
        <v>0.49213297632499176</v>
      </c>
      <c r="H33" s="33">
        <v>0.39670334919763739</v>
      </c>
      <c r="I33" s="33">
        <v>0.30528869925853724</v>
      </c>
      <c r="J33" s="33">
        <v>0.29379572388976494</v>
      </c>
      <c r="K33" s="33">
        <v>0.32660448687428467</v>
      </c>
      <c r="L33" s="33">
        <v>0.36272873084122575</v>
      </c>
      <c r="M33" s="33">
        <v>0.36642080472074195</v>
      </c>
      <c r="N33" s="33">
        <v>0.36527749727422976</v>
      </c>
      <c r="O33" s="33">
        <v>0.36527749727422976</v>
      </c>
      <c r="P33" s="33">
        <v>0.36527749727422976</v>
      </c>
      <c r="Q33" s="33">
        <v>0.36527749727422976</v>
      </c>
    </row>
    <row r="34" spans="2:17" x14ac:dyDescent="0.25">
      <c r="B34" s="20" t="s">
        <v>84</v>
      </c>
      <c r="C34" s="28" t="s">
        <v>30</v>
      </c>
      <c r="D34" s="57" t="s">
        <v>41</v>
      </c>
      <c r="E34" s="53" t="s">
        <v>45</v>
      </c>
      <c r="F34" s="53">
        <v>1</v>
      </c>
      <c r="G34" s="33">
        <v>-7.6913563402589258E-2</v>
      </c>
      <c r="H34" s="33">
        <v>-6.8034770829407662E-2</v>
      </c>
      <c r="I34" s="33">
        <v>-4.6804944082360488E-2</v>
      </c>
      <c r="J34" s="33">
        <v>-4.0113847248356524E-2</v>
      </c>
      <c r="K34" s="33">
        <v>-5.1395830219379324E-2</v>
      </c>
      <c r="L34" s="33">
        <v>-5.7112012342614621E-2</v>
      </c>
      <c r="M34" s="33">
        <v>-5.8639798031040573E-2</v>
      </c>
      <c r="N34" s="33">
        <v>-5.8942454397527412E-2</v>
      </c>
      <c r="O34" s="33">
        <v>-5.8942454397527412E-2</v>
      </c>
      <c r="P34" s="33">
        <v>-5.8942454397527412E-2</v>
      </c>
      <c r="Q34" s="33">
        <v>-5.8942454397527412E-2</v>
      </c>
    </row>
    <row r="35" spans="2:17" x14ac:dyDescent="0.25">
      <c r="B35" s="20" t="s">
        <v>85</v>
      </c>
      <c r="C35" s="28" t="s">
        <v>30</v>
      </c>
      <c r="D35" s="57" t="s">
        <v>42</v>
      </c>
      <c r="E35" s="53" t="s">
        <v>45</v>
      </c>
      <c r="F35" s="53">
        <v>1</v>
      </c>
      <c r="G35" s="33">
        <v>13.854846978791036</v>
      </c>
      <c r="H35" s="33">
        <v>10.428231482676523</v>
      </c>
      <c r="I35" s="33">
        <v>10.423487815300872</v>
      </c>
      <c r="J35" s="33">
        <v>7.3626672293867221</v>
      </c>
      <c r="K35" s="33">
        <v>7.0826283608095038</v>
      </c>
      <c r="L35" s="33">
        <v>6.5559051050424539</v>
      </c>
      <c r="M35" s="33">
        <v>6.1211571125011446</v>
      </c>
      <c r="N35" s="33">
        <v>5.9673630830247841</v>
      </c>
      <c r="O35" s="33">
        <v>5.9673630830247841</v>
      </c>
      <c r="P35" s="33">
        <v>5.9673630830247841</v>
      </c>
      <c r="Q35" s="33">
        <v>5.9673630830247841</v>
      </c>
    </row>
    <row r="36" spans="2:17" x14ac:dyDescent="0.25">
      <c r="B36" s="20" t="s">
        <v>81</v>
      </c>
      <c r="C36" s="28" t="s">
        <v>30</v>
      </c>
      <c r="D36" s="57" t="s">
        <v>38</v>
      </c>
      <c r="E36" s="53" t="s">
        <v>46</v>
      </c>
      <c r="F36" s="53">
        <v>1</v>
      </c>
      <c r="G36" s="33">
        <v>4.461045533704322</v>
      </c>
      <c r="H36" s="33">
        <v>4.2904492205258773</v>
      </c>
      <c r="I36" s="33">
        <v>4.3201830006569359</v>
      </c>
      <c r="J36" s="33">
        <v>4.3025357469447822</v>
      </c>
      <c r="K36" s="33">
        <v>4.5673283687796733</v>
      </c>
      <c r="L36" s="33">
        <v>4.8180635985321789</v>
      </c>
      <c r="M36" s="33">
        <v>4.9408159122321207</v>
      </c>
      <c r="N36" s="33">
        <v>5.0513385794790162</v>
      </c>
      <c r="O36" s="33">
        <v>5.0513385794790162</v>
      </c>
      <c r="P36" s="33">
        <v>5.0513385794790162</v>
      </c>
      <c r="Q36" s="33">
        <v>5.0513385794790162</v>
      </c>
    </row>
    <row r="37" spans="2:17" x14ac:dyDescent="0.25">
      <c r="B37" s="20" t="s">
        <v>82</v>
      </c>
      <c r="C37" s="28" t="s">
        <v>30</v>
      </c>
      <c r="D37" s="57" t="s">
        <v>39</v>
      </c>
      <c r="E37" s="53" t="s">
        <v>46</v>
      </c>
      <c r="F37" s="53">
        <v>1</v>
      </c>
      <c r="G37" s="33">
        <v>2.5624616536702578</v>
      </c>
      <c r="H37" s="33">
        <v>2.3959330820329483</v>
      </c>
      <c r="I37" s="33">
        <v>2.2832982640961021</v>
      </c>
      <c r="J37" s="33">
        <v>2.0202691808090649</v>
      </c>
      <c r="K37" s="33">
        <v>2.419423051754281</v>
      </c>
      <c r="L37" s="33">
        <v>2.5530637704501369</v>
      </c>
      <c r="M37" s="33">
        <v>2.5933283131606073</v>
      </c>
      <c r="N37" s="33">
        <v>2.6295981484041273</v>
      </c>
      <c r="O37" s="33">
        <v>2.6295981484041273</v>
      </c>
      <c r="P37" s="33">
        <v>2.6295981484041273</v>
      </c>
      <c r="Q37" s="33">
        <v>2.6295981484041273</v>
      </c>
    </row>
    <row r="38" spans="2:17" x14ac:dyDescent="0.25">
      <c r="B38" s="20" t="s">
        <v>83</v>
      </c>
      <c r="C38" s="28" t="s">
        <v>30</v>
      </c>
      <c r="D38" s="57" t="s">
        <v>40</v>
      </c>
      <c r="E38" s="53" t="s">
        <v>46</v>
      </c>
      <c r="F38" s="53">
        <v>1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</row>
    <row r="39" spans="2:17" x14ac:dyDescent="0.25">
      <c r="B39" s="20" t="s">
        <v>84</v>
      </c>
      <c r="C39" s="28" t="s">
        <v>30</v>
      </c>
      <c r="D39" s="57" t="s">
        <v>41</v>
      </c>
      <c r="E39" s="53" t="s">
        <v>46</v>
      </c>
      <c r="F39" s="53">
        <v>1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</row>
    <row r="40" spans="2:17" x14ac:dyDescent="0.25">
      <c r="B40" s="20" t="s">
        <v>85</v>
      </c>
      <c r="C40" s="28" t="s">
        <v>30</v>
      </c>
      <c r="D40" s="57" t="s">
        <v>42</v>
      </c>
      <c r="E40" s="53" t="s">
        <v>46</v>
      </c>
      <c r="F40" s="53">
        <v>1</v>
      </c>
      <c r="G40" s="33">
        <v>7.2134626333818606</v>
      </c>
      <c r="H40" s="33">
        <v>7.6958001139622585</v>
      </c>
      <c r="I40" s="33">
        <v>7.8064903525389777</v>
      </c>
      <c r="J40" s="33">
        <v>5.527132898125986</v>
      </c>
      <c r="K40" s="33">
        <v>5.1354575410419816</v>
      </c>
      <c r="L40" s="33">
        <v>4.917027911704186</v>
      </c>
      <c r="M40" s="33">
        <v>4.6762910960294892</v>
      </c>
      <c r="N40" s="33">
        <v>4.6051883729587653</v>
      </c>
      <c r="O40" s="33">
        <v>4.6051883729587653</v>
      </c>
      <c r="P40" s="33">
        <v>4.6051883729587653</v>
      </c>
      <c r="Q40" s="33">
        <v>4.6051883729587653</v>
      </c>
    </row>
    <row r="41" spans="2:17" x14ac:dyDescent="0.25">
      <c r="B41" s="20" t="s">
        <v>81</v>
      </c>
      <c r="C41" s="28" t="s">
        <v>30</v>
      </c>
      <c r="D41" s="57" t="s">
        <v>38</v>
      </c>
      <c r="E41" s="53" t="s">
        <v>47</v>
      </c>
      <c r="F41" s="53">
        <v>1</v>
      </c>
      <c r="G41" s="33">
        <v>3.4131050858335183</v>
      </c>
      <c r="H41" s="33">
        <v>3.2658160281618924</v>
      </c>
      <c r="I41" s="33">
        <v>3.4246062447591976</v>
      </c>
      <c r="J41" s="33">
        <v>2.8538885287535045</v>
      </c>
      <c r="K41" s="33">
        <v>3.4265118217866681</v>
      </c>
      <c r="L41" s="33">
        <v>3.6370529140135779</v>
      </c>
      <c r="M41" s="33">
        <v>3.7074488662353362</v>
      </c>
      <c r="N41" s="33">
        <v>3.7691994213510482</v>
      </c>
      <c r="O41" s="33">
        <v>3.7691994213510482</v>
      </c>
      <c r="P41" s="33">
        <v>3.7691994213510482</v>
      </c>
      <c r="Q41" s="33">
        <v>3.7691994213510482</v>
      </c>
    </row>
    <row r="42" spans="2:17" x14ac:dyDescent="0.25">
      <c r="B42" s="20" t="s">
        <v>82</v>
      </c>
      <c r="C42" s="28" t="s">
        <v>30</v>
      </c>
      <c r="D42" s="57" t="s">
        <v>39</v>
      </c>
      <c r="E42" s="53" t="s">
        <v>47</v>
      </c>
      <c r="F42" s="53">
        <v>1</v>
      </c>
      <c r="G42" s="33">
        <v>2.410616222870217</v>
      </c>
      <c r="H42" s="33">
        <v>2.3001093274271254</v>
      </c>
      <c r="I42" s="33">
        <v>2.3119027069149696</v>
      </c>
      <c r="J42" s="33">
        <v>1.945793970512538</v>
      </c>
      <c r="K42" s="33">
        <v>2.1753379879935553</v>
      </c>
      <c r="L42" s="33">
        <v>2.3295662209123078</v>
      </c>
      <c r="M42" s="33">
        <v>2.3781871419101193</v>
      </c>
      <c r="N42" s="33">
        <v>2.4244669191758894</v>
      </c>
      <c r="O42" s="33">
        <v>2.4244669191758894</v>
      </c>
      <c r="P42" s="33">
        <v>2.4244669191758894</v>
      </c>
      <c r="Q42" s="33">
        <v>2.4244669191758894</v>
      </c>
    </row>
    <row r="43" spans="2:17" x14ac:dyDescent="0.25">
      <c r="B43" s="20" t="s">
        <v>83</v>
      </c>
      <c r="C43" s="28" t="s">
        <v>30</v>
      </c>
      <c r="D43" s="57" t="s">
        <v>40</v>
      </c>
      <c r="E43" s="53" t="s">
        <v>47</v>
      </c>
      <c r="F43" s="53">
        <v>1</v>
      </c>
      <c r="G43" s="33">
        <v>0.62008025952159818</v>
      </c>
      <c r="H43" s="33">
        <v>0.5833463766044914</v>
      </c>
      <c r="I43" s="33">
        <v>0.527596836090099</v>
      </c>
      <c r="J43" s="33">
        <v>0.37467655607853861</v>
      </c>
      <c r="K43" s="33">
        <v>0.41712515332993566</v>
      </c>
      <c r="L43" s="33">
        <v>0.46768080396391914</v>
      </c>
      <c r="M43" s="33">
        <v>0.47845730371358347</v>
      </c>
      <c r="N43" s="33">
        <v>0.48997972560400738</v>
      </c>
      <c r="O43" s="33">
        <v>0.48997972560400738</v>
      </c>
      <c r="P43" s="33">
        <v>0.48997972560400738</v>
      </c>
      <c r="Q43" s="33">
        <v>0.48997972560400738</v>
      </c>
    </row>
    <row r="44" spans="2:17" x14ac:dyDescent="0.25">
      <c r="B44" s="20" t="s">
        <v>84</v>
      </c>
      <c r="C44" s="28" t="s">
        <v>30</v>
      </c>
      <c r="D44" s="57" t="s">
        <v>41</v>
      </c>
      <c r="E44" s="53" t="s">
        <v>47</v>
      </c>
      <c r="F44" s="53">
        <v>1</v>
      </c>
      <c r="G44" s="33">
        <v>0.10689613596611336</v>
      </c>
      <c r="H44" s="33">
        <v>0.10039219114822598</v>
      </c>
      <c r="I44" s="33">
        <v>6.91897075302252E-2</v>
      </c>
      <c r="J44" s="33">
        <v>5.6510298310644573E-2</v>
      </c>
      <c r="K44" s="33">
        <v>7.1482677159589642E-2</v>
      </c>
      <c r="L44" s="33">
        <v>8.2845802864255552E-2</v>
      </c>
      <c r="M44" s="33">
        <v>8.6679472493211562E-2</v>
      </c>
      <c r="N44" s="33">
        <v>9.1397451391128356E-2</v>
      </c>
      <c r="O44" s="33">
        <v>9.1397451391128356E-2</v>
      </c>
      <c r="P44" s="33">
        <v>9.1397451391128356E-2</v>
      </c>
      <c r="Q44" s="33">
        <v>9.1397451391128356E-2</v>
      </c>
    </row>
    <row r="45" spans="2:17" x14ac:dyDescent="0.25">
      <c r="B45" s="20" t="s">
        <v>85</v>
      </c>
      <c r="C45" s="28" t="s">
        <v>30</v>
      </c>
      <c r="D45" s="57" t="s">
        <v>42</v>
      </c>
      <c r="E45" s="53" t="s">
        <v>47</v>
      </c>
      <c r="F45" s="53">
        <v>1</v>
      </c>
      <c r="G45" s="33">
        <v>10.220791383039025</v>
      </c>
      <c r="H45" s="33">
        <v>8.4575140119670209</v>
      </c>
      <c r="I45" s="33">
        <v>8.3835924274171774</v>
      </c>
      <c r="J45" s="33">
        <v>7.034996093742361</v>
      </c>
      <c r="K45" s="33">
        <v>6.5488960599797394</v>
      </c>
      <c r="L45" s="33">
        <v>5.7246935506068963</v>
      </c>
      <c r="M45" s="33">
        <v>5.357152637305731</v>
      </c>
      <c r="N45" s="33">
        <v>5.3190493129860519</v>
      </c>
      <c r="O45" s="33">
        <v>5.3190493129860519</v>
      </c>
      <c r="P45" s="33">
        <v>5.3190493129860519</v>
      </c>
      <c r="Q45" s="33">
        <v>5.3190493129860519</v>
      </c>
    </row>
    <row r="46" spans="2:17" x14ac:dyDescent="0.25">
      <c r="B46" s="20" t="s">
        <v>81</v>
      </c>
      <c r="C46" s="28" t="s">
        <v>30</v>
      </c>
      <c r="D46" s="57" t="s">
        <v>38</v>
      </c>
      <c r="E46" s="53" t="s">
        <v>48</v>
      </c>
      <c r="F46" s="53">
        <v>1</v>
      </c>
      <c r="G46" s="33">
        <v>3.95527081016226</v>
      </c>
      <c r="H46" s="33">
        <v>3.8708363806770669</v>
      </c>
      <c r="I46" s="33">
        <v>4.4470888786902014</v>
      </c>
      <c r="J46" s="33">
        <v>4.88504744486593</v>
      </c>
      <c r="K46" s="33">
        <v>4.1852304710248571</v>
      </c>
      <c r="L46" s="33">
        <v>5.2147970211347836</v>
      </c>
      <c r="M46" s="33">
        <v>5.4578494902558878</v>
      </c>
      <c r="N46" s="33">
        <v>5.5701678526272156</v>
      </c>
      <c r="O46" s="33">
        <v>5.5701678526272156</v>
      </c>
      <c r="P46" s="33">
        <v>5.5701678526272156</v>
      </c>
      <c r="Q46" s="33">
        <v>5.5701678526272156</v>
      </c>
    </row>
    <row r="47" spans="2:17" x14ac:dyDescent="0.25">
      <c r="B47" s="20" t="s">
        <v>82</v>
      </c>
      <c r="C47" s="28" t="s">
        <v>30</v>
      </c>
      <c r="D47" s="57" t="s">
        <v>39</v>
      </c>
      <c r="E47" s="53" t="s">
        <v>48</v>
      </c>
      <c r="F47" s="53">
        <v>1</v>
      </c>
      <c r="G47" s="33">
        <v>2.9051869983058851</v>
      </c>
      <c r="H47" s="33">
        <v>2.8345260381800581</v>
      </c>
      <c r="I47" s="33">
        <v>2.853878111496472</v>
      </c>
      <c r="J47" s="33">
        <v>2.7820675043447918</v>
      </c>
      <c r="K47" s="33">
        <v>2.9520392523201728</v>
      </c>
      <c r="L47" s="33">
        <v>3.704767141357507</v>
      </c>
      <c r="M47" s="33">
        <v>3.8449702882714329</v>
      </c>
      <c r="N47" s="33">
        <v>3.9358140467240483</v>
      </c>
      <c r="O47" s="33">
        <v>3.9358140467240483</v>
      </c>
      <c r="P47" s="33">
        <v>3.9358140467240483</v>
      </c>
      <c r="Q47" s="33">
        <v>3.9358140467240483</v>
      </c>
    </row>
    <row r="48" spans="2:17" x14ac:dyDescent="0.25">
      <c r="B48" s="20" t="s">
        <v>83</v>
      </c>
      <c r="C48" s="28" t="s">
        <v>30</v>
      </c>
      <c r="D48" s="57" t="s">
        <v>40</v>
      </c>
      <c r="E48" s="53" t="s">
        <v>48</v>
      </c>
      <c r="F48" s="53">
        <v>1</v>
      </c>
      <c r="G48" s="33">
        <v>1.0760430597047068</v>
      </c>
      <c r="H48" s="33">
        <v>1.0202252786810957</v>
      </c>
      <c r="I48" s="33">
        <v>0.88434740709576676</v>
      </c>
      <c r="J48" s="33">
        <v>0.74730699489145946</v>
      </c>
      <c r="K48" s="33">
        <v>0.77459071176280503</v>
      </c>
      <c r="L48" s="33">
        <v>0.84820745807397646</v>
      </c>
      <c r="M48" s="33">
        <v>0.87112924028537364</v>
      </c>
      <c r="N48" s="33">
        <v>0.90267696617137949</v>
      </c>
      <c r="O48" s="33">
        <v>0.90267696617137949</v>
      </c>
      <c r="P48" s="33">
        <v>0.90267696617137949</v>
      </c>
      <c r="Q48" s="33">
        <v>0.90267696617137949</v>
      </c>
    </row>
    <row r="49" spans="2:22" x14ac:dyDescent="0.25">
      <c r="B49" s="20" t="s">
        <v>84</v>
      </c>
      <c r="C49" s="28" t="s">
        <v>30</v>
      </c>
      <c r="D49" s="57" t="s">
        <v>41</v>
      </c>
      <c r="E49" s="53" t="s">
        <v>48</v>
      </c>
      <c r="F49" s="53">
        <v>1</v>
      </c>
      <c r="G49" s="33">
        <v>-4.6744091545077193E-2</v>
      </c>
      <c r="H49" s="33">
        <v>-4.3920565069855408E-2</v>
      </c>
      <c r="I49" s="33">
        <v>-3.1790129563546446E-2</v>
      </c>
      <c r="J49" s="33">
        <v>-2.5669261055390913E-2</v>
      </c>
      <c r="K49" s="33">
        <v>-3.1751135988006274E-2</v>
      </c>
      <c r="L49" s="33">
        <v>-3.5841211287026373E-2</v>
      </c>
      <c r="M49" s="33">
        <v>-3.7200761922834127E-2</v>
      </c>
      <c r="N49" s="33">
        <v>-3.969855934164572E-2</v>
      </c>
      <c r="O49" s="33">
        <v>-3.969855934164572E-2</v>
      </c>
      <c r="P49" s="33">
        <v>-3.969855934164572E-2</v>
      </c>
      <c r="Q49" s="33">
        <v>-3.969855934164572E-2</v>
      </c>
    </row>
    <row r="50" spans="2:22" x14ac:dyDescent="0.25">
      <c r="B50" s="20" t="s">
        <v>85</v>
      </c>
      <c r="C50" s="28" t="s">
        <v>30</v>
      </c>
      <c r="D50" s="57" t="s">
        <v>42</v>
      </c>
      <c r="E50" s="53" t="s">
        <v>48</v>
      </c>
      <c r="F50" s="53">
        <v>1</v>
      </c>
      <c r="G50" s="33">
        <v>6.8858454789946979</v>
      </c>
      <c r="H50" s="33">
        <v>7.292867117623536</v>
      </c>
      <c r="I50" s="33">
        <v>8.6390264740438862</v>
      </c>
      <c r="J50" s="33">
        <v>7.476733990070529</v>
      </c>
      <c r="K50" s="33">
        <v>6.9162220037987412</v>
      </c>
      <c r="L50" s="33">
        <v>8.1665207804345332</v>
      </c>
      <c r="M50" s="33">
        <v>8.0939949994375109</v>
      </c>
      <c r="N50" s="33">
        <v>7.9381323307425857</v>
      </c>
      <c r="O50" s="33">
        <v>7.9381323307425857</v>
      </c>
      <c r="P50" s="33">
        <v>7.9381323307425857</v>
      </c>
      <c r="Q50" s="33">
        <v>7.9381323307425857</v>
      </c>
    </row>
    <row r="51" spans="2:22" x14ac:dyDescent="0.25">
      <c r="B51" s="24"/>
      <c r="C51" s="24"/>
      <c r="D51" s="24"/>
      <c r="E51" s="24"/>
      <c r="F51" s="54"/>
      <c r="G51" s="5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2:22" ht="15" x14ac:dyDescent="0.25">
      <c r="B52" s="45" t="s">
        <v>137</v>
      </c>
      <c r="E52" s="46"/>
      <c r="F52" s="46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0"/>
      <c r="T52" s="51"/>
      <c r="U52" s="50"/>
      <c r="V52" s="50"/>
    </row>
    <row r="53" spans="2:22" x14ac:dyDescent="0.25">
      <c r="B53" s="24"/>
      <c r="C53" s="24"/>
      <c r="E53" s="26" t="s">
        <v>109</v>
      </c>
      <c r="G53" s="24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2:22" ht="26.4" x14ac:dyDescent="0.25">
      <c r="B54" s="25" t="s">
        <v>14</v>
      </c>
      <c r="C54" s="31" t="s">
        <v>111</v>
      </c>
      <c r="D54" s="25" t="s">
        <v>112</v>
      </c>
      <c r="E54" s="52" t="s">
        <v>6</v>
      </c>
      <c r="F54" s="34" t="s">
        <v>195</v>
      </c>
      <c r="G54" s="34" t="s">
        <v>285</v>
      </c>
      <c r="H54" s="34" t="s">
        <v>196</v>
      </c>
      <c r="I54" s="34" t="s">
        <v>197</v>
      </c>
      <c r="J54" s="34" t="s">
        <v>198</v>
      </c>
      <c r="K54" s="34" t="s">
        <v>199</v>
      </c>
      <c r="L54" s="34" t="s">
        <v>200</v>
      </c>
      <c r="M54" s="34" t="s">
        <v>201</v>
      </c>
      <c r="N54" s="34" t="s">
        <v>202</v>
      </c>
      <c r="O54" s="34" t="s">
        <v>203</v>
      </c>
      <c r="P54" s="34" t="s">
        <v>204</v>
      </c>
    </row>
    <row r="55" spans="2:22" ht="31.8" thickBot="1" x14ac:dyDescent="0.3">
      <c r="B55" s="30" t="s">
        <v>119</v>
      </c>
      <c r="C55" s="30" t="s">
        <v>120</v>
      </c>
      <c r="D55" s="30" t="s">
        <v>121</v>
      </c>
      <c r="E55" s="29" t="s">
        <v>157</v>
      </c>
      <c r="F55" s="30" t="s">
        <v>155</v>
      </c>
      <c r="G55" s="30" t="s">
        <v>155</v>
      </c>
      <c r="H55" s="30" t="s">
        <v>155</v>
      </c>
      <c r="I55" s="30" t="s">
        <v>155</v>
      </c>
      <c r="J55" s="30" t="s">
        <v>155</v>
      </c>
      <c r="K55" s="30" t="s">
        <v>155</v>
      </c>
      <c r="L55" s="30" t="s">
        <v>155</v>
      </c>
      <c r="M55" s="30" t="s">
        <v>155</v>
      </c>
      <c r="N55" s="30" t="s">
        <v>155</v>
      </c>
      <c r="O55" s="30" t="s">
        <v>155</v>
      </c>
      <c r="P55" s="30" t="s">
        <v>155</v>
      </c>
    </row>
    <row r="56" spans="2:22" ht="13.8" thickBot="1" x14ac:dyDescent="0.3">
      <c r="B56" s="30" t="s">
        <v>132</v>
      </c>
      <c r="C56" s="29"/>
      <c r="D56" s="29"/>
      <c r="E56" s="29" t="s">
        <v>157</v>
      </c>
      <c r="F56" s="29" t="s">
        <v>27</v>
      </c>
      <c r="G56" s="29" t="s">
        <v>27</v>
      </c>
      <c r="H56" s="29" t="s">
        <v>27</v>
      </c>
      <c r="I56" s="29" t="s">
        <v>27</v>
      </c>
      <c r="J56" s="29" t="s">
        <v>27</v>
      </c>
      <c r="K56" s="29" t="s">
        <v>27</v>
      </c>
      <c r="L56" s="29" t="s">
        <v>27</v>
      </c>
      <c r="M56" s="29" t="s">
        <v>27</v>
      </c>
      <c r="N56" s="29" t="s">
        <v>27</v>
      </c>
      <c r="O56" s="29" t="s">
        <v>27</v>
      </c>
      <c r="P56" s="29" t="s">
        <v>27</v>
      </c>
    </row>
    <row r="57" spans="2:22" x14ac:dyDescent="0.25">
      <c r="B57" s="20" t="s">
        <v>105</v>
      </c>
      <c r="C57" s="28" t="s">
        <v>30</v>
      </c>
      <c r="D57" s="28"/>
      <c r="E57" s="53" t="s">
        <v>37</v>
      </c>
      <c r="F57" s="75"/>
      <c r="G57" s="75"/>
      <c r="H57" s="75"/>
      <c r="I57" s="75">
        <v>122.11144574945118</v>
      </c>
      <c r="J57" s="75">
        <v>465.61563089466864</v>
      </c>
      <c r="K57" s="75">
        <v>929.47465664168624</v>
      </c>
      <c r="L57" s="75">
        <v>1239.2995421889152</v>
      </c>
      <c r="M57" s="75">
        <v>1552.3926557163356</v>
      </c>
      <c r="N57" s="75">
        <v>1552.3926557163356</v>
      </c>
      <c r="O57" s="75">
        <v>1552.3926557163356</v>
      </c>
      <c r="P57" s="75">
        <v>1552.3926557163356</v>
      </c>
    </row>
    <row r="58" spans="2:22" x14ac:dyDescent="0.25">
      <c r="B58" s="20" t="s">
        <v>105</v>
      </c>
      <c r="C58" s="28" t="s">
        <v>30</v>
      </c>
      <c r="D58" s="28"/>
      <c r="E58" s="53" t="s">
        <v>43</v>
      </c>
      <c r="F58" s="75"/>
      <c r="G58" s="75"/>
      <c r="H58" s="75"/>
      <c r="I58" s="75">
        <v>0</v>
      </c>
      <c r="J58" s="75">
        <v>23.280781544733433</v>
      </c>
      <c r="K58" s="75">
        <v>43.375483976612031</v>
      </c>
      <c r="L58" s="75">
        <v>43.375483976612031</v>
      </c>
      <c r="M58" s="75">
        <v>43.466994360057399</v>
      </c>
      <c r="N58" s="75">
        <v>43.375483976612031</v>
      </c>
      <c r="O58" s="75">
        <v>43.375483976612031</v>
      </c>
      <c r="P58" s="75">
        <v>43.375483976612031</v>
      </c>
    </row>
    <row r="59" spans="2:22" x14ac:dyDescent="0.25">
      <c r="B59" s="20" t="s">
        <v>105</v>
      </c>
      <c r="C59" s="28" t="s">
        <v>30</v>
      </c>
      <c r="D59" s="28"/>
      <c r="E59" s="53" t="s">
        <v>46</v>
      </c>
      <c r="F59" s="75"/>
      <c r="G59" s="75"/>
      <c r="H59" s="75"/>
      <c r="I59" s="75">
        <v>1671.814624778046</v>
      </c>
      <c r="J59" s="75">
        <v>2933.3784746364122</v>
      </c>
      <c r="K59" s="75">
        <v>3593.9686723478535</v>
      </c>
      <c r="L59" s="75">
        <v>3284.1437868006251</v>
      </c>
      <c r="M59" s="75">
        <v>2980.5938989753645</v>
      </c>
      <c r="N59" s="75">
        <v>2974.3189012533962</v>
      </c>
      <c r="O59" s="75">
        <v>2974.3189012533962</v>
      </c>
      <c r="P59" s="75">
        <v>2974.3189012533962</v>
      </c>
    </row>
    <row r="60" spans="2:22" x14ac:dyDescent="0.25">
      <c r="B60" s="20" t="s">
        <v>105</v>
      </c>
      <c r="C60" s="28" t="s">
        <v>30</v>
      </c>
      <c r="D60" s="28"/>
      <c r="E60" s="53" t="s">
        <v>48</v>
      </c>
      <c r="F60" s="75"/>
      <c r="G60" s="75"/>
      <c r="H60" s="75"/>
      <c r="I60" s="75">
        <v>648.32768936244076</v>
      </c>
      <c r="J60" s="75">
        <v>1236.0491854643869</v>
      </c>
      <c r="K60" s="75">
        <v>1644.9567927150702</v>
      </c>
      <c r="L60" s="75">
        <v>1644.9567927150702</v>
      </c>
      <c r="M60" s="75">
        <v>1648.427200720975</v>
      </c>
      <c r="N60" s="75">
        <v>1644.9567927150702</v>
      </c>
      <c r="O60" s="75">
        <v>1644.9567927150702</v>
      </c>
      <c r="P60" s="75">
        <v>1644.9567927150702</v>
      </c>
    </row>
    <row r="61" spans="2:22" x14ac:dyDescent="0.25">
      <c r="B61" s="20" t="s">
        <v>104</v>
      </c>
      <c r="C61" s="28" t="s">
        <v>30</v>
      </c>
      <c r="D61" s="28"/>
      <c r="E61" s="53" t="s">
        <v>46</v>
      </c>
      <c r="F61" s="75">
        <v>239.78132788369797</v>
      </c>
      <c r="G61" s="75">
        <v>393.24308463353032</v>
      </c>
      <c r="H61" s="75">
        <v>832.53781416738525</v>
      </c>
      <c r="I61" s="75">
        <v>1637.6474152994665</v>
      </c>
      <c r="J61" s="75">
        <v>2153.1277621233789</v>
      </c>
      <c r="K61" s="75">
        <v>2259.4513029704508</v>
      </c>
      <c r="L61" s="75">
        <v>2332.0239728982274</v>
      </c>
      <c r="M61" s="75">
        <v>2363.2650623602608</v>
      </c>
      <c r="N61" s="75">
        <v>2381.1598989785571</v>
      </c>
      <c r="O61" s="75">
        <v>2378.2700152288062</v>
      </c>
      <c r="P61" s="75">
        <v>2375.3836387731644</v>
      </c>
    </row>
    <row r="62" spans="2:22" x14ac:dyDescent="0.25">
      <c r="B62" s="20" t="s">
        <v>104</v>
      </c>
      <c r="C62" s="28" t="s">
        <v>30</v>
      </c>
      <c r="D62" s="28"/>
      <c r="E62" s="53" t="s">
        <v>47</v>
      </c>
      <c r="F62" s="75">
        <v>27.081496622687098</v>
      </c>
      <c r="G62" s="75">
        <v>44.413847243199136</v>
      </c>
      <c r="H62" s="75">
        <v>94.028881237863075</v>
      </c>
      <c r="I62" s="75">
        <v>184.95995221152489</v>
      </c>
      <c r="J62" s="75">
        <v>243.1795783800163</v>
      </c>
      <c r="K62" s="75">
        <v>255.18802223081823</v>
      </c>
      <c r="L62" s="75">
        <v>263.38455918761468</v>
      </c>
      <c r="M62" s="75">
        <v>266.91300515220411</v>
      </c>
      <c r="N62" s="75">
        <v>268.93409228905148</v>
      </c>
      <c r="O62" s="75">
        <v>268.60770166598013</v>
      </c>
      <c r="P62" s="75">
        <v>268.28170716538591</v>
      </c>
    </row>
    <row r="63" spans="2:22" x14ac:dyDescent="0.25">
      <c r="B63" s="20" t="s">
        <v>104</v>
      </c>
      <c r="C63" s="28" t="s">
        <v>30</v>
      </c>
      <c r="D63" s="28"/>
      <c r="E63" s="53" t="s">
        <v>48</v>
      </c>
      <c r="F63" s="75">
        <v>60.316879966606898</v>
      </c>
      <c r="G63" s="75">
        <v>98.920112516198472</v>
      </c>
      <c r="H63" s="75">
        <v>209.42449459263963</v>
      </c>
      <c r="I63" s="75">
        <v>411.94943512929626</v>
      </c>
      <c r="J63" s="75">
        <v>541.61827331174038</v>
      </c>
      <c r="K63" s="75">
        <v>568.36390987777042</v>
      </c>
      <c r="L63" s="75">
        <v>586.61953077838132</v>
      </c>
      <c r="M63" s="75">
        <v>594.47821210164716</v>
      </c>
      <c r="N63" s="75">
        <v>598.97964981514315</v>
      </c>
      <c r="O63" s="75">
        <v>598.25270092054143</v>
      </c>
      <c r="P63" s="75">
        <v>597.52663428411915</v>
      </c>
    </row>
    <row r="64" spans="2:22" x14ac:dyDescent="0.25">
      <c r="B64" s="24"/>
      <c r="C64" s="24"/>
      <c r="D64" s="24"/>
      <c r="E64" s="24"/>
      <c r="F64" s="54"/>
      <c r="G64" s="5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7" spans="2:22" x14ac:dyDescent="0.25">
      <c r="B67" s="24"/>
      <c r="C67" s="24"/>
      <c r="D67" s="26"/>
      <c r="E67" s="26" t="s">
        <v>109</v>
      </c>
      <c r="F67" s="21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</row>
    <row r="68" spans="2:22" ht="24" x14ac:dyDescent="0.25">
      <c r="B68" s="25" t="s">
        <v>14</v>
      </c>
      <c r="C68" s="31" t="s">
        <v>111</v>
      </c>
      <c r="D68" s="25" t="s">
        <v>112</v>
      </c>
      <c r="E68" s="52" t="s">
        <v>6</v>
      </c>
      <c r="F68" s="25" t="s">
        <v>223</v>
      </c>
      <c r="G68" s="52" t="s">
        <v>218</v>
      </c>
      <c r="H68" s="58" t="s">
        <v>220</v>
      </c>
      <c r="I68" s="58" t="s">
        <v>221</v>
      </c>
      <c r="J68" s="58" t="s">
        <v>151</v>
      </c>
      <c r="K68" s="58" t="s">
        <v>138</v>
      </c>
      <c r="L68" s="58" t="s">
        <v>139</v>
      </c>
      <c r="M68" s="58" t="s">
        <v>140</v>
      </c>
      <c r="N68" s="58" t="s">
        <v>141</v>
      </c>
      <c r="O68" s="58" t="s">
        <v>142</v>
      </c>
      <c r="P68" s="58" t="s">
        <v>143</v>
      </c>
      <c r="Q68" s="58" t="s">
        <v>144</v>
      </c>
      <c r="R68" s="58" t="s">
        <v>145</v>
      </c>
      <c r="S68" s="58" t="s">
        <v>146</v>
      </c>
      <c r="T68" s="58" t="s">
        <v>147</v>
      </c>
      <c r="U68" s="58" t="s">
        <v>148</v>
      </c>
    </row>
    <row r="69" spans="2:22" ht="31.8" thickBot="1" x14ac:dyDescent="0.3">
      <c r="B69" s="30" t="s">
        <v>119</v>
      </c>
      <c r="C69" s="30" t="s">
        <v>120</v>
      </c>
      <c r="D69" s="30" t="s">
        <v>121</v>
      </c>
      <c r="E69" s="29" t="s">
        <v>157</v>
      </c>
      <c r="F69" s="30" t="s">
        <v>224</v>
      </c>
      <c r="G69" s="29" t="s">
        <v>219</v>
      </c>
      <c r="H69" s="30" t="s">
        <v>171</v>
      </c>
      <c r="I69" s="30" t="s">
        <v>171</v>
      </c>
      <c r="J69" s="30" t="s">
        <v>222</v>
      </c>
      <c r="K69" s="30" t="s">
        <v>149</v>
      </c>
      <c r="L69" s="30" t="s">
        <v>149</v>
      </c>
      <c r="M69" s="30" t="s">
        <v>149</v>
      </c>
      <c r="N69" s="30" t="s">
        <v>149</v>
      </c>
      <c r="O69" s="30" t="s">
        <v>149</v>
      </c>
      <c r="P69" s="30" t="s">
        <v>149</v>
      </c>
      <c r="Q69" s="30" t="s">
        <v>149</v>
      </c>
      <c r="R69" s="30" t="s">
        <v>149</v>
      </c>
      <c r="S69" s="30" t="s">
        <v>149</v>
      </c>
      <c r="T69" s="30" t="s">
        <v>149</v>
      </c>
      <c r="U69" s="30" t="s">
        <v>149</v>
      </c>
    </row>
    <row r="70" spans="2:22" ht="13.8" thickBot="1" x14ac:dyDescent="0.3">
      <c r="B70" s="30" t="s">
        <v>132</v>
      </c>
      <c r="C70" s="29"/>
      <c r="D70" s="29"/>
      <c r="E70" s="29" t="s">
        <v>157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2:22" x14ac:dyDescent="0.25">
      <c r="B71" s="20" t="s">
        <v>87</v>
      </c>
      <c r="C71" s="28" t="s">
        <v>32</v>
      </c>
      <c r="D71" s="57" t="s">
        <v>101</v>
      </c>
      <c r="E71" s="57" t="s">
        <v>80</v>
      </c>
      <c r="F71" s="33"/>
      <c r="G71" s="33">
        <v>1</v>
      </c>
      <c r="H71" s="33">
        <v>0.37</v>
      </c>
      <c r="I71" s="33">
        <v>5</v>
      </c>
      <c r="J71" s="33"/>
      <c r="K71" s="33">
        <v>1.293078356045577</v>
      </c>
      <c r="L71" s="33">
        <v>1.1266879786242727</v>
      </c>
      <c r="M71" s="33">
        <v>0.9602976012029687</v>
      </c>
      <c r="N71" s="33">
        <v>0.96659484983309285</v>
      </c>
      <c r="O71" s="33">
        <v>1.0102475234537898</v>
      </c>
      <c r="P71" s="33">
        <v>1.0318477697146813</v>
      </c>
      <c r="Q71" s="33">
        <v>1.0363444721536128</v>
      </c>
      <c r="R71" s="33">
        <v>1.0780541267206827</v>
      </c>
      <c r="S71" s="33">
        <v>1.0780541267206827</v>
      </c>
      <c r="T71" s="33">
        <v>1.0780541267206827</v>
      </c>
      <c r="U71" s="33">
        <v>1.0780541267206827</v>
      </c>
    </row>
    <row r="72" spans="2:22" x14ac:dyDescent="0.25">
      <c r="B72" s="20"/>
      <c r="C72" s="28"/>
      <c r="D72" s="57" t="s">
        <v>102</v>
      </c>
      <c r="E72" s="57" t="s">
        <v>80</v>
      </c>
      <c r="F72" s="33"/>
      <c r="G72" s="33"/>
      <c r="H72" s="33">
        <v>0.42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56"/>
    </row>
    <row r="73" spans="2:22" x14ac:dyDescent="0.25">
      <c r="B73" s="20"/>
      <c r="C73" s="28"/>
      <c r="D73" s="57" t="s">
        <v>95</v>
      </c>
      <c r="E73" s="57" t="s">
        <v>80</v>
      </c>
      <c r="F73" s="33"/>
      <c r="G73" s="33"/>
      <c r="H73" s="33">
        <v>0.21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spans="2:22" x14ac:dyDescent="0.25">
      <c r="B74" s="20" t="s">
        <v>98</v>
      </c>
      <c r="C74" s="28" t="s">
        <v>86</v>
      </c>
      <c r="D74" s="57" t="s">
        <v>89</v>
      </c>
      <c r="E74" s="57" t="s">
        <v>80</v>
      </c>
      <c r="F74" s="33">
        <v>55</v>
      </c>
      <c r="G74" s="33"/>
      <c r="H74" s="33"/>
      <c r="I74" s="33"/>
      <c r="J74" s="33">
        <v>1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 spans="2:22" x14ac:dyDescent="0.25">
      <c r="B75" s="20" t="s">
        <v>97</v>
      </c>
      <c r="C75" s="28" t="s">
        <v>86</v>
      </c>
      <c r="D75" s="57" t="s">
        <v>227</v>
      </c>
      <c r="E75" s="57" t="s">
        <v>80</v>
      </c>
      <c r="F75" s="33">
        <v>55</v>
      </c>
      <c r="G75" s="33"/>
      <c r="H75" s="33"/>
      <c r="I75" s="33"/>
      <c r="J75" s="33">
        <v>1</v>
      </c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2:22" x14ac:dyDescent="0.25">
      <c r="B76" s="20" t="s">
        <v>96</v>
      </c>
      <c r="C76" s="28" t="s">
        <v>102</v>
      </c>
      <c r="D76" s="57" t="s">
        <v>225</v>
      </c>
      <c r="E76" s="57" t="s">
        <v>80</v>
      </c>
      <c r="F76" s="33">
        <v>55</v>
      </c>
      <c r="G76" s="33"/>
      <c r="H76" s="33"/>
      <c r="I76" s="33"/>
      <c r="J76" s="33">
        <v>1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 spans="2:22" x14ac:dyDescent="0.25">
      <c r="B77" s="20" t="s">
        <v>90</v>
      </c>
      <c r="C77" s="28" t="s">
        <v>101</v>
      </c>
      <c r="D77" s="57" t="s">
        <v>226</v>
      </c>
      <c r="E77" s="57" t="s">
        <v>80</v>
      </c>
      <c r="F77" s="33">
        <v>55</v>
      </c>
      <c r="G77" s="33"/>
      <c r="H77" s="33"/>
      <c r="I77" s="33"/>
      <c r="J77" s="33">
        <v>1</v>
      </c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spans="2:22" x14ac:dyDescent="0.25">
      <c r="B78" s="20" t="s">
        <v>91</v>
      </c>
      <c r="C78" s="28" t="s">
        <v>95</v>
      </c>
      <c r="D78" s="57" t="s">
        <v>86</v>
      </c>
      <c r="E78" s="57" t="s">
        <v>80</v>
      </c>
      <c r="F78" s="33">
        <v>55</v>
      </c>
      <c r="G78" s="33"/>
      <c r="H78" s="33"/>
      <c r="I78" s="33"/>
      <c r="J78" s="33">
        <v>1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 spans="2:22" x14ac:dyDescent="0.25">
      <c r="B79" s="20"/>
      <c r="C79" s="28"/>
      <c r="D79" s="57"/>
    </row>
    <row r="80" spans="2:22" x14ac:dyDescent="0.25">
      <c r="B80" s="20"/>
      <c r="C80" s="28"/>
      <c r="D80" s="57"/>
    </row>
    <row r="81" spans="2:4" x14ac:dyDescent="0.25">
      <c r="B81" s="20"/>
      <c r="C81" s="28"/>
      <c r="D81" s="5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B3:BN25"/>
  <sheetViews>
    <sheetView workbookViewId="0">
      <selection sqref="A1:XFD1048576"/>
    </sheetView>
  </sheetViews>
  <sheetFormatPr defaultColWidth="8.88671875" defaultRowHeight="13.2" x14ac:dyDescent="0.25"/>
  <cols>
    <col min="1" max="1" width="8.88671875" style="21"/>
    <col min="2" max="2" width="11.88671875" style="21" bestFit="1" customWidth="1"/>
    <col min="3" max="8" width="8.88671875" style="21"/>
    <col min="9" max="9" width="12.33203125" style="21" customWidth="1"/>
    <col min="10" max="16384" width="8.88671875" style="21"/>
  </cols>
  <sheetData>
    <row r="3" spans="2:66" x14ac:dyDescent="0.25">
      <c r="B3" s="24"/>
      <c r="C3" s="24"/>
      <c r="E3" s="26" t="s">
        <v>109</v>
      </c>
      <c r="G3" s="24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2:66" ht="41.4" x14ac:dyDescent="0.25">
      <c r="B4" s="25" t="s">
        <v>14</v>
      </c>
      <c r="C4" s="31" t="s">
        <v>111</v>
      </c>
      <c r="D4" s="25" t="s">
        <v>112</v>
      </c>
      <c r="E4" s="25" t="s">
        <v>6</v>
      </c>
      <c r="F4" s="60" t="s">
        <v>151</v>
      </c>
      <c r="G4" s="60" t="s">
        <v>66</v>
      </c>
      <c r="H4" s="65" t="s">
        <v>172</v>
      </c>
      <c r="I4" s="78" t="s">
        <v>231</v>
      </c>
      <c r="J4" s="78" t="s">
        <v>232</v>
      </c>
      <c r="K4" s="78" t="s">
        <v>233</v>
      </c>
      <c r="L4" s="78" t="s">
        <v>234</v>
      </c>
      <c r="M4" s="78" t="s">
        <v>235</v>
      </c>
      <c r="N4" s="78" t="s">
        <v>236</v>
      </c>
      <c r="O4" s="78" t="s">
        <v>237</v>
      </c>
      <c r="P4" s="78" t="s">
        <v>238</v>
      </c>
      <c r="Q4" s="78" t="s">
        <v>239</v>
      </c>
      <c r="R4" s="78" t="s">
        <v>240</v>
      </c>
      <c r="S4" s="78" t="s">
        <v>241</v>
      </c>
      <c r="T4" s="78" t="s">
        <v>242</v>
      </c>
      <c r="U4" s="78" t="s">
        <v>243</v>
      </c>
      <c r="V4" s="78" t="s">
        <v>244</v>
      </c>
      <c r="W4" s="78" t="s">
        <v>245</v>
      </c>
      <c r="X4" s="78" t="s">
        <v>246</v>
      </c>
      <c r="Y4" s="78" t="s">
        <v>247</v>
      </c>
      <c r="Z4" s="78" t="s">
        <v>248</v>
      </c>
      <c r="AA4" s="78" t="s">
        <v>249</v>
      </c>
      <c r="AB4" s="78" t="s">
        <v>250</v>
      </c>
      <c r="AC4" s="78" t="s">
        <v>251</v>
      </c>
      <c r="AD4" s="78" t="s">
        <v>252</v>
      </c>
      <c r="AE4" s="78" t="s">
        <v>253</v>
      </c>
      <c r="AF4" s="78" t="s">
        <v>254</v>
      </c>
      <c r="AG4" s="78" t="s">
        <v>255</v>
      </c>
      <c r="AH4" s="78" t="s">
        <v>256</v>
      </c>
      <c r="AI4" s="78" t="s">
        <v>257</v>
      </c>
      <c r="AJ4" s="78" t="s">
        <v>258</v>
      </c>
      <c r="AK4" s="78" t="s">
        <v>259</v>
      </c>
      <c r="AL4" s="78" t="s">
        <v>260</v>
      </c>
      <c r="AM4" s="78" t="s">
        <v>261</v>
      </c>
      <c r="AN4" s="78" t="s">
        <v>262</v>
      </c>
      <c r="AO4" s="78" t="s">
        <v>263</v>
      </c>
      <c r="AP4" s="78" t="s">
        <v>264</v>
      </c>
      <c r="AQ4" s="78" t="s">
        <v>265</v>
      </c>
      <c r="AR4" s="78" t="s">
        <v>266</v>
      </c>
      <c r="AS4" s="78" t="s">
        <v>267</v>
      </c>
      <c r="AT4" s="78" t="s">
        <v>268</v>
      </c>
      <c r="AU4" s="78" t="s">
        <v>269</v>
      </c>
      <c r="AV4" s="78" t="s">
        <v>270</v>
      </c>
      <c r="AW4" s="78" t="s">
        <v>271</v>
      </c>
      <c r="AX4" s="78" t="s">
        <v>272</v>
      </c>
      <c r="AY4" s="78" t="s">
        <v>273</v>
      </c>
      <c r="AZ4" s="78" t="s">
        <v>274</v>
      </c>
      <c r="BA4" s="78" t="s">
        <v>275</v>
      </c>
      <c r="BB4" s="78" t="s">
        <v>276</v>
      </c>
      <c r="BC4" s="78" t="s">
        <v>277</v>
      </c>
      <c r="BD4" s="78" t="s">
        <v>278</v>
      </c>
      <c r="BE4" s="78" t="s">
        <v>279</v>
      </c>
      <c r="BF4" s="78" t="s">
        <v>280</v>
      </c>
      <c r="BG4" s="78" t="s">
        <v>281</v>
      </c>
    </row>
    <row r="5" spans="2:66" ht="42" thickBot="1" x14ac:dyDescent="0.35">
      <c r="B5" s="30" t="s">
        <v>119</v>
      </c>
      <c r="C5" s="30" t="s">
        <v>120</v>
      </c>
      <c r="D5" s="30" t="s">
        <v>121</v>
      </c>
      <c r="E5" s="59" t="s">
        <v>6</v>
      </c>
      <c r="F5" s="61" t="s">
        <v>152</v>
      </c>
      <c r="G5" s="61" t="s">
        <v>153</v>
      </c>
      <c r="H5" s="30" t="s">
        <v>171</v>
      </c>
      <c r="I5" s="79" t="s">
        <v>282</v>
      </c>
      <c r="J5" s="79" t="s">
        <v>282</v>
      </c>
      <c r="K5" s="79" t="s">
        <v>282</v>
      </c>
      <c r="L5" s="79" t="s">
        <v>282</v>
      </c>
      <c r="M5" s="79" t="s">
        <v>282</v>
      </c>
      <c r="N5" s="79" t="s">
        <v>282</v>
      </c>
      <c r="O5" s="79" t="s">
        <v>282</v>
      </c>
      <c r="P5" s="79" t="s">
        <v>282</v>
      </c>
      <c r="Q5" s="79" t="s">
        <v>282</v>
      </c>
      <c r="R5" s="79" t="s">
        <v>282</v>
      </c>
      <c r="S5" s="79" t="s">
        <v>282</v>
      </c>
      <c r="T5" s="79" t="s">
        <v>282</v>
      </c>
      <c r="U5" s="79" t="s">
        <v>282</v>
      </c>
      <c r="V5" s="79" t="s">
        <v>282</v>
      </c>
      <c r="W5" s="79" t="s">
        <v>282</v>
      </c>
      <c r="X5" s="79" t="s">
        <v>282</v>
      </c>
      <c r="Y5" s="79" t="s">
        <v>282</v>
      </c>
      <c r="Z5" s="79" t="s">
        <v>282</v>
      </c>
      <c r="AA5" s="79" t="s">
        <v>282</v>
      </c>
      <c r="AB5" s="79" t="s">
        <v>282</v>
      </c>
      <c r="AC5" s="79" t="s">
        <v>282</v>
      </c>
      <c r="AD5" s="79" t="s">
        <v>282</v>
      </c>
      <c r="AE5" s="79" t="s">
        <v>282</v>
      </c>
      <c r="AF5" s="79" t="s">
        <v>282</v>
      </c>
      <c r="AG5" s="79" t="s">
        <v>282</v>
      </c>
      <c r="AH5" s="79" t="s">
        <v>282</v>
      </c>
      <c r="AI5" s="79" t="s">
        <v>282</v>
      </c>
      <c r="AJ5" s="79" t="s">
        <v>282</v>
      </c>
      <c r="AK5" s="79" t="s">
        <v>282</v>
      </c>
      <c r="AL5" s="79" t="s">
        <v>282</v>
      </c>
      <c r="AM5" s="79" t="s">
        <v>282</v>
      </c>
      <c r="AN5" s="79" t="s">
        <v>282</v>
      </c>
      <c r="AO5" s="79" t="s">
        <v>282</v>
      </c>
      <c r="AP5" s="79" t="s">
        <v>282</v>
      </c>
      <c r="AQ5" s="79" t="s">
        <v>282</v>
      </c>
      <c r="AR5" s="79" t="s">
        <v>282</v>
      </c>
      <c r="AS5" s="79" t="s">
        <v>282</v>
      </c>
      <c r="AT5" s="79" t="s">
        <v>282</v>
      </c>
      <c r="AU5" s="79" t="s">
        <v>282</v>
      </c>
      <c r="AV5" s="79" t="s">
        <v>282</v>
      </c>
      <c r="AW5" s="79" t="s">
        <v>282</v>
      </c>
      <c r="AX5" s="79" t="s">
        <v>282</v>
      </c>
      <c r="AY5" s="79" t="s">
        <v>282</v>
      </c>
      <c r="AZ5" s="79" t="s">
        <v>282</v>
      </c>
      <c r="BA5" s="79" t="s">
        <v>282</v>
      </c>
      <c r="BB5" s="79" t="s">
        <v>282</v>
      </c>
      <c r="BC5" s="79" t="s">
        <v>282</v>
      </c>
      <c r="BD5" s="79" t="s">
        <v>282</v>
      </c>
      <c r="BE5" s="79" t="s">
        <v>282</v>
      </c>
      <c r="BF5" s="79" t="s">
        <v>282</v>
      </c>
      <c r="BG5" s="79" t="s">
        <v>282</v>
      </c>
      <c r="BH5" s="11"/>
      <c r="BI5" s="11"/>
      <c r="BJ5" s="11"/>
      <c r="BK5" s="11"/>
      <c r="BL5" s="11"/>
      <c r="BM5" s="11"/>
      <c r="BN5" s="11"/>
    </row>
    <row r="6" spans="2:66" ht="13.8" thickBot="1" x14ac:dyDescent="0.3">
      <c r="B6" s="30" t="s">
        <v>132</v>
      </c>
      <c r="C6" s="29"/>
      <c r="D6" s="29"/>
      <c r="E6" s="29"/>
      <c r="F6" s="62"/>
      <c r="G6" s="62" t="s">
        <v>154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11"/>
      <c r="BI6" s="11"/>
      <c r="BJ6" s="11"/>
      <c r="BK6" s="11"/>
      <c r="BL6" s="11"/>
      <c r="BM6" s="11"/>
      <c r="BN6" s="11"/>
    </row>
    <row r="7" spans="2:66" x14ac:dyDescent="0.25">
      <c r="B7" s="28" t="s">
        <v>55</v>
      </c>
      <c r="C7" s="20" t="s">
        <v>31</v>
      </c>
      <c r="D7" s="28" t="s">
        <v>30</v>
      </c>
      <c r="E7" s="18" t="s">
        <v>37</v>
      </c>
      <c r="F7" s="21">
        <v>1</v>
      </c>
      <c r="G7" s="21">
        <v>45</v>
      </c>
      <c r="H7" s="66">
        <v>0.99320482715676917</v>
      </c>
      <c r="I7" s="80">
        <v>5.628863067892162E-3</v>
      </c>
      <c r="J7" s="80">
        <v>7.3165000000000003E-4</v>
      </c>
      <c r="K7" s="80">
        <v>7.1176000000000008E-4</v>
      </c>
      <c r="L7" s="80">
        <v>6.9187000000000003E-4</v>
      </c>
      <c r="M7" s="80">
        <v>6.6925999999999997E-4</v>
      </c>
      <c r="N7" s="81">
        <v>5</v>
      </c>
      <c r="O7" s="80">
        <v>4.8229299999999996E-3</v>
      </c>
      <c r="P7" s="80">
        <v>4.7071300000000003E-3</v>
      </c>
      <c r="Q7" s="80">
        <v>4.5913300000000002E-3</v>
      </c>
      <c r="R7" s="80">
        <v>4.4275499999999997E-3</v>
      </c>
      <c r="S7" s="81">
        <v>5</v>
      </c>
      <c r="T7" s="80">
        <v>1.509156E-2</v>
      </c>
      <c r="U7" s="80">
        <v>1.4038465E-2</v>
      </c>
      <c r="V7" s="80">
        <v>1.298537E-2</v>
      </c>
      <c r="W7" s="80">
        <v>1.214993E-2</v>
      </c>
      <c r="X7" s="81">
        <v>5</v>
      </c>
      <c r="Y7" s="80">
        <v>3.5759000000000002E-4</v>
      </c>
      <c r="Z7" s="80">
        <v>3.3991000000000002E-4</v>
      </c>
      <c r="AA7" s="80">
        <v>3.2223000000000001E-4</v>
      </c>
      <c r="AB7" s="80">
        <v>2.9514E-4</v>
      </c>
      <c r="AC7" s="81">
        <v>5</v>
      </c>
      <c r="AD7" s="80">
        <v>2.7726999999999998E-4</v>
      </c>
      <c r="AE7" s="80">
        <v>2.6164E-4</v>
      </c>
      <c r="AF7" s="80">
        <v>2.4601000000000001E-4</v>
      </c>
      <c r="AG7" s="80">
        <v>2.2243999999999999E-4</v>
      </c>
      <c r="AH7" s="81">
        <v>5</v>
      </c>
      <c r="AI7" s="80">
        <v>5.4062999999999995E-4</v>
      </c>
      <c r="AJ7" s="80">
        <v>5.1231999999999992E-4</v>
      </c>
      <c r="AK7" s="80">
        <v>4.8401E-4</v>
      </c>
      <c r="AL7" s="80">
        <v>4.8117E-4</v>
      </c>
      <c r="AM7" s="81">
        <v>5</v>
      </c>
      <c r="AN7" s="80">
        <v>0.28887951369738457</v>
      </c>
      <c r="AO7" s="80">
        <v>0.25703110464509632</v>
      </c>
      <c r="AP7" s="80">
        <v>0.22518269559280807</v>
      </c>
      <c r="AQ7" s="80">
        <v>0.22518269559280807</v>
      </c>
      <c r="AR7" s="81">
        <v>5</v>
      </c>
      <c r="AS7" s="80">
        <v>4.3059000000000002E-5</v>
      </c>
      <c r="AT7" s="80">
        <v>4.3055E-5</v>
      </c>
      <c r="AU7" s="80">
        <v>4.3050999999999998E-5</v>
      </c>
      <c r="AV7" s="80">
        <v>4.3032999999999999E-5</v>
      </c>
      <c r="AW7" s="81">
        <v>5</v>
      </c>
      <c r="AX7" s="80">
        <v>1.5204641223999519E-5</v>
      </c>
      <c r="AY7" s="80">
        <v>1.434753969000337E-5</v>
      </c>
      <c r="AZ7" s="80">
        <v>1.349043815600722E-5</v>
      </c>
      <c r="BA7" s="80">
        <v>1.2197931236219039E-5</v>
      </c>
      <c r="BB7" s="81">
        <v>5</v>
      </c>
      <c r="BC7" s="80">
        <v>4.001221374736716E-6</v>
      </c>
      <c r="BD7" s="80">
        <v>3.7756683394745711E-6</v>
      </c>
      <c r="BE7" s="80">
        <v>3.5501153042124267E-6</v>
      </c>
      <c r="BF7" s="80">
        <v>3.2099819042681687E-6</v>
      </c>
      <c r="BG7" s="81">
        <v>5</v>
      </c>
      <c r="BH7" s="82"/>
      <c r="BI7" s="82"/>
      <c r="BJ7" s="82"/>
      <c r="BK7" s="82"/>
      <c r="BL7" s="82"/>
      <c r="BM7" s="82"/>
      <c r="BN7" s="82"/>
    </row>
    <row r="8" spans="2:66" x14ac:dyDescent="0.25">
      <c r="B8" s="20"/>
      <c r="C8" s="27"/>
      <c r="D8" s="28" t="s">
        <v>32</v>
      </c>
      <c r="E8" s="18" t="s">
        <v>37</v>
      </c>
      <c r="F8" s="53"/>
      <c r="G8" s="55"/>
      <c r="H8" s="66">
        <v>6.7951728432308345E-3</v>
      </c>
      <c r="I8" s="80"/>
      <c r="J8" s="80"/>
      <c r="K8" s="80"/>
      <c r="L8" s="80"/>
      <c r="M8" s="80"/>
      <c r="N8" s="81"/>
      <c r="O8" s="80"/>
      <c r="P8" s="80"/>
      <c r="Q8" s="80"/>
      <c r="R8" s="80"/>
      <c r="S8" s="81"/>
      <c r="T8" s="80"/>
      <c r="U8" s="80"/>
      <c r="V8" s="80"/>
      <c r="W8" s="80"/>
      <c r="X8" s="81"/>
      <c r="Y8" s="80"/>
      <c r="Z8" s="80"/>
      <c r="AA8" s="80"/>
      <c r="AB8" s="80"/>
      <c r="AC8" s="81"/>
      <c r="AD8" s="80"/>
      <c r="AE8" s="80"/>
      <c r="AF8" s="80"/>
      <c r="AG8" s="80"/>
      <c r="AH8" s="81"/>
      <c r="AI8" s="80"/>
      <c r="AJ8" s="80"/>
      <c r="AK8" s="80"/>
      <c r="AL8" s="80"/>
      <c r="AM8" s="81"/>
      <c r="AN8" s="80"/>
      <c r="AO8" s="80"/>
      <c r="AP8" s="80"/>
      <c r="AQ8" s="80"/>
      <c r="AR8" s="81"/>
      <c r="AS8" s="80"/>
      <c r="AT8" s="80"/>
      <c r="AU8" s="80"/>
      <c r="AV8" s="80"/>
      <c r="AW8" s="81"/>
      <c r="AX8" s="80"/>
      <c r="AY8" s="80"/>
      <c r="AZ8" s="80"/>
      <c r="BA8" s="80"/>
      <c r="BB8" s="81"/>
      <c r="BC8" s="80"/>
      <c r="BD8" s="80"/>
      <c r="BE8" s="80"/>
      <c r="BF8" s="80"/>
      <c r="BG8" s="81"/>
      <c r="BH8" s="82"/>
      <c r="BI8" s="82"/>
      <c r="BJ8" s="82"/>
      <c r="BK8" s="82"/>
      <c r="BL8" s="82"/>
      <c r="BM8" s="82"/>
      <c r="BN8" s="82"/>
    </row>
    <row r="9" spans="2:66" x14ac:dyDescent="0.25">
      <c r="B9" s="28" t="s">
        <v>55</v>
      </c>
      <c r="C9" s="20" t="s">
        <v>31</v>
      </c>
      <c r="D9" s="28" t="s">
        <v>30</v>
      </c>
      <c r="E9" s="18" t="s">
        <v>36</v>
      </c>
      <c r="F9" s="21">
        <v>1</v>
      </c>
      <c r="G9" s="21">
        <v>45</v>
      </c>
      <c r="H9" s="66">
        <v>0.97593970046605982</v>
      </c>
      <c r="I9" s="80">
        <v>5.5391482811698294E-3</v>
      </c>
      <c r="J9" s="80">
        <v>7.3165000000000003E-4</v>
      </c>
      <c r="K9" s="80">
        <v>7.1176000000000008E-4</v>
      </c>
      <c r="L9" s="80">
        <v>6.9187000000000003E-4</v>
      </c>
      <c r="M9" s="80">
        <v>6.6925999999999997E-4</v>
      </c>
      <c r="N9" s="81">
        <v>5</v>
      </c>
      <c r="O9" s="80">
        <v>4.8229299999999996E-3</v>
      </c>
      <c r="P9" s="80">
        <v>4.7071300000000003E-3</v>
      </c>
      <c r="Q9" s="80">
        <v>4.5913300000000002E-3</v>
      </c>
      <c r="R9" s="80">
        <v>4.4275499999999997E-3</v>
      </c>
      <c r="S9" s="81">
        <v>5</v>
      </c>
      <c r="T9" s="80">
        <v>1.509156E-2</v>
      </c>
      <c r="U9" s="80">
        <v>1.4038465E-2</v>
      </c>
      <c r="V9" s="80">
        <v>1.298537E-2</v>
      </c>
      <c r="W9" s="80">
        <v>1.214993E-2</v>
      </c>
      <c r="X9" s="81">
        <v>5</v>
      </c>
      <c r="Y9" s="80">
        <v>3.5759000000000002E-4</v>
      </c>
      <c r="Z9" s="80">
        <v>3.3991000000000002E-4</v>
      </c>
      <c r="AA9" s="80">
        <v>3.2223000000000001E-4</v>
      </c>
      <c r="AB9" s="80">
        <v>2.9514E-4</v>
      </c>
      <c r="AC9" s="81">
        <v>5</v>
      </c>
      <c r="AD9" s="80">
        <v>2.7726999999999998E-4</v>
      </c>
      <c r="AE9" s="80">
        <v>2.6164E-4</v>
      </c>
      <c r="AF9" s="80">
        <v>2.4601000000000001E-4</v>
      </c>
      <c r="AG9" s="80">
        <v>2.2243999999999999E-4</v>
      </c>
      <c r="AH9" s="81">
        <v>5</v>
      </c>
      <c r="AI9" s="80">
        <v>5.4062999999999995E-4</v>
      </c>
      <c r="AJ9" s="80">
        <v>5.1231999999999992E-4</v>
      </c>
      <c r="AK9" s="80">
        <v>4.8401E-4</v>
      </c>
      <c r="AL9" s="80">
        <v>4.8117E-4</v>
      </c>
      <c r="AM9" s="81">
        <v>5</v>
      </c>
      <c r="AN9" s="80">
        <v>0.30777942876688902</v>
      </c>
      <c r="AO9" s="80">
        <v>0.28789299127757828</v>
      </c>
      <c r="AP9" s="80">
        <v>0.26800655378826749</v>
      </c>
      <c r="AQ9" s="80">
        <v>0.26800655378826749</v>
      </c>
      <c r="AR9" s="81">
        <v>5</v>
      </c>
      <c r="AS9" s="80">
        <v>4.3059000000000002E-5</v>
      </c>
      <c r="AT9" s="80">
        <v>4.3055E-5</v>
      </c>
      <c r="AU9" s="80">
        <v>4.3050999999999998E-5</v>
      </c>
      <c r="AV9" s="80">
        <v>4.3032999999999999E-5</v>
      </c>
      <c r="AW9" s="81">
        <v>5</v>
      </c>
      <c r="AX9" s="80">
        <v>1.5204641223999519E-5</v>
      </c>
      <c r="AY9" s="80">
        <v>1.434753969000337E-5</v>
      </c>
      <c r="AZ9" s="80">
        <v>1.349043815600722E-5</v>
      </c>
      <c r="BA9" s="80">
        <v>1.2197931236219039E-5</v>
      </c>
      <c r="BB9" s="81">
        <v>5</v>
      </c>
      <c r="BC9" s="80">
        <v>4.001221374736716E-6</v>
      </c>
      <c r="BD9" s="80">
        <v>3.7756683394745711E-6</v>
      </c>
      <c r="BE9" s="80">
        <v>3.5501153042124267E-6</v>
      </c>
      <c r="BF9" s="80">
        <v>3.2099819042681687E-6</v>
      </c>
      <c r="BG9" s="81">
        <v>5</v>
      </c>
      <c r="BH9" s="82"/>
      <c r="BI9" s="82"/>
      <c r="BJ9" s="82"/>
      <c r="BK9" s="82"/>
      <c r="BL9" s="82"/>
      <c r="BM9" s="82"/>
      <c r="BN9" s="82"/>
    </row>
    <row r="10" spans="2:66" x14ac:dyDescent="0.25">
      <c r="B10" s="20"/>
      <c r="C10" s="27"/>
      <c r="D10" s="28" t="s">
        <v>32</v>
      </c>
      <c r="E10" s="18" t="s">
        <v>36</v>
      </c>
      <c r="F10" s="53"/>
      <c r="G10" s="55"/>
      <c r="H10" s="66">
        <v>2.4060299533940177E-2</v>
      </c>
      <c r="I10" s="80"/>
      <c r="J10" s="80"/>
      <c r="K10" s="80"/>
      <c r="L10" s="80"/>
      <c r="M10" s="80"/>
      <c r="N10" s="81"/>
      <c r="O10" s="80"/>
      <c r="P10" s="80"/>
      <c r="Q10" s="80"/>
      <c r="R10" s="80"/>
      <c r="S10" s="81"/>
      <c r="T10" s="80"/>
      <c r="U10" s="80"/>
      <c r="V10" s="80"/>
      <c r="W10" s="80"/>
      <c r="X10" s="81"/>
      <c r="Y10" s="80"/>
      <c r="Z10" s="80"/>
      <c r="AA10" s="80"/>
      <c r="AB10" s="80"/>
      <c r="AC10" s="81"/>
      <c r="AD10" s="80"/>
      <c r="AE10" s="80"/>
      <c r="AF10" s="80"/>
      <c r="AG10" s="80"/>
      <c r="AH10" s="81"/>
      <c r="AI10" s="80"/>
      <c r="AJ10" s="80"/>
      <c r="AK10" s="80"/>
      <c r="AL10" s="80"/>
      <c r="AM10" s="81"/>
      <c r="AN10" s="80"/>
      <c r="AO10" s="80"/>
      <c r="AP10" s="80"/>
      <c r="AQ10" s="80"/>
      <c r="AR10" s="81"/>
      <c r="AS10" s="80"/>
      <c r="AT10" s="80"/>
      <c r="AU10" s="80"/>
      <c r="AV10" s="80"/>
      <c r="AW10" s="81"/>
      <c r="AX10" s="80"/>
      <c r="AY10" s="80"/>
      <c r="AZ10" s="80"/>
      <c r="BA10" s="80"/>
      <c r="BB10" s="81"/>
      <c r="BC10" s="80"/>
      <c r="BD10" s="80"/>
      <c r="BE10" s="80"/>
      <c r="BF10" s="80"/>
      <c r="BG10" s="81"/>
      <c r="BH10" s="82"/>
      <c r="BI10" s="82"/>
      <c r="BJ10" s="82"/>
      <c r="BK10" s="82"/>
      <c r="BL10" s="82"/>
      <c r="BM10" s="82"/>
      <c r="BN10" s="82"/>
    </row>
    <row r="11" spans="2:66" x14ac:dyDescent="0.25">
      <c r="B11" s="28" t="s">
        <v>55</v>
      </c>
      <c r="C11" s="20" t="s">
        <v>31</v>
      </c>
      <c r="D11" s="28" t="s">
        <v>30</v>
      </c>
      <c r="E11" s="18" t="s">
        <v>44</v>
      </c>
      <c r="F11" s="21">
        <v>1</v>
      </c>
      <c r="G11" s="21">
        <v>45</v>
      </c>
      <c r="H11" s="66">
        <v>0.90026718709962728</v>
      </c>
      <c r="I11" s="80">
        <v>5.4616638346842378E-3</v>
      </c>
      <c r="J11" s="80">
        <v>7.3165000000000003E-4</v>
      </c>
      <c r="K11" s="80">
        <v>7.1176000000000008E-4</v>
      </c>
      <c r="L11" s="80">
        <v>6.9187000000000003E-4</v>
      </c>
      <c r="M11" s="80">
        <v>6.6925999999999997E-4</v>
      </c>
      <c r="N11" s="81">
        <v>5</v>
      </c>
      <c r="O11" s="80">
        <v>4.8229299999999996E-3</v>
      </c>
      <c r="P11" s="80">
        <v>4.7071300000000003E-3</v>
      </c>
      <c r="Q11" s="80">
        <v>4.5913300000000002E-3</v>
      </c>
      <c r="R11" s="80">
        <v>4.4275499999999997E-3</v>
      </c>
      <c r="S11" s="81">
        <v>5</v>
      </c>
      <c r="T11" s="80">
        <v>1.509156E-2</v>
      </c>
      <c r="U11" s="80">
        <v>1.4038465E-2</v>
      </c>
      <c r="V11" s="80">
        <v>1.298537E-2</v>
      </c>
      <c r="W11" s="80">
        <v>1.214993E-2</v>
      </c>
      <c r="X11" s="81">
        <v>5</v>
      </c>
      <c r="Y11" s="80">
        <v>3.5759000000000002E-4</v>
      </c>
      <c r="Z11" s="80">
        <v>3.3991000000000002E-4</v>
      </c>
      <c r="AA11" s="80">
        <v>3.2223000000000001E-4</v>
      </c>
      <c r="AB11" s="80">
        <v>2.9514E-4</v>
      </c>
      <c r="AC11" s="81">
        <v>5</v>
      </c>
      <c r="AD11" s="80">
        <v>2.7726999999999998E-4</v>
      </c>
      <c r="AE11" s="80">
        <v>2.6164E-4</v>
      </c>
      <c r="AF11" s="80">
        <v>2.4601000000000001E-4</v>
      </c>
      <c r="AG11" s="80">
        <v>2.2243999999999999E-4</v>
      </c>
      <c r="AH11" s="81">
        <v>5</v>
      </c>
      <c r="AI11" s="80">
        <v>5.4062999999999995E-4</v>
      </c>
      <c r="AJ11" s="80">
        <v>5.1231999999999992E-4</v>
      </c>
      <c r="AK11" s="80">
        <v>4.8401E-4</v>
      </c>
      <c r="AL11" s="80">
        <v>4.8117E-4</v>
      </c>
      <c r="AM11" s="81">
        <v>5</v>
      </c>
      <c r="AN11" s="80">
        <v>0.3241028188265207</v>
      </c>
      <c r="AO11" s="80">
        <v>0.31454764086862241</v>
      </c>
      <c r="AP11" s="80">
        <v>0.30499246291072407</v>
      </c>
      <c r="AQ11" s="80">
        <v>0.30499246291072407</v>
      </c>
      <c r="AR11" s="81">
        <v>5</v>
      </c>
      <c r="AS11" s="80">
        <v>4.3059000000000002E-5</v>
      </c>
      <c r="AT11" s="80">
        <v>4.3055E-5</v>
      </c>
      <c r="AU11" s="80">
        <v>4.3050999999999998E-5</v>
      </c>
      <c r="AV11" s="80">
        <v>4.3032999999999999E-5</v>
      </c>
      <c r="AW11" s="81">
        <v>5</v>
      </c>
      <c r="AX11" s="80">
        <v>1.5204641223999519E-5</v>
      </c>
      <c r="AY11" s="80">
        <v>1.434753969000337E-5</v>
      </c>
      <c r="AZ11" s="80">
        <v>1.349043815600722E-5</v>
      </c>
      <c r="BA11" s="80">
        <v>1.2197931236219039E-5</v>
      </c>
      <c r="BB11" s="81">
        <v>5</v>
      </c>
      <c r="BC11" s="80">
        <v>4.001221374736716E-6</v>
      </c>
      <c r="BD11" s="80">
        <v>3.7756683394745711E-6</v>
      </c>
      <c r="BE11" s="80">
        <v>3.5501153042124267E-6</v>
      </c>
      <c r="BF11" s="80">
        <v>3.2099819042681687E-6</v>
      </c>
      <c r="BG11" s="81">
        <v>5</v>
      </c>
      <c r="BH11" s="82"/>
      <c r="BI11" s="82"/>
      <c r="BJ11" s="82"/>
      <c r="BK11" s="82"/>
      <c r="BL11" s="82"/>
      <c r="BM11" s="82"/>
      <c r="BN11" s="82"/>
    </row>
    <row r="12" spans="2:66" x14ac:dyDescent="0.25">
      <c r="B12" s="20"/>
      <c r="C12" s="27"/>
      <c r="D12" s="28" t="s">
        <v>32</v>
      </c>
      <c r="E12" s="18" t="s">
        <v>44</v>
      </c>
      <c r="F12" s="53"/>
      <c r="G12" s="55"/>
      <c r="H12" s="66">
        <v>9.9732812900372725E-2</v>
      </c>
      <c r="I12" s="80"/>
      <c r="J12" s="80"/>
      <c r="K12" s="80"/>
      <c r="L12" s="80"/>
      <c r="M12" s="80"/>
      <c r="N12" s="81"/>
      <c r="O12" s="80"/>
      <c r="P12" s="80"/>
      <c r="Q12" s="80"/>
      <c r="R12" s="80"/>
      <c r="S12" s="81"/>
      <c r="T12" s="80"/>
      <c r="U12" s="80"/>
      <c r="V12" s="80"/>
      <c r="W12" s="80"/>
      <c r="X12" s="81"/>
      <c r="Y12" s="80"/>
      <c r="Z12" s="80"/>
      <c r="AA12" s="80"/>
      <c r="AB12" s="80"/>
      <c r="AC12" s="81"/>
      <c r="AD12" s="80"/>
      <c r="AE12" s="80"/>
      <c r="AF12" s="80"/>
      <c r="AG12" s="80"/>
      <c r="AH12" s="81"/>
      <c r="AI12" s="80"/>
      <c r="AJ12" s="80"/>
      <c r="AK12" s="80"/>
      <c r="AL12" s="80"/>
      <c r="AM12" s="81"/>
      <c r="AN12" s="80"/>
      <c r="AO12" s="80"/>
      <c r="AP12" s="80"/>
      <c r="AQ12" s="80"/>
      <c r="AR12" s="81"/>
      <c r="AS12" s="80"/>
      <c r="AT12" s="80"/>
      <c r="AU12" s="80"/>
      <c r="AV12" s="80"/>
      <c r="AW12" s="81"/>
      <c r="AX12" s="80"/>
      <c r="AY12" s="80"/>
      <c r="AZ12" s="80"/>
      <c r="BA12" s="80"/>
      <c r="BB12" s="81"/>
      <c r="BC12" s="80"/>
      <c r="BD12" s="80"/>
      <c r="BE12" s="80"/>
      <c r="BF12" s="80"/>
      <c r="BG12" s="81"/>
      <c r="BN12" s="82"/>
    </row>
    <row r="13" spans="2:66" x14ac:dyDescent="0.25">
      <c r="B13" s="28" t="s">
        <v>55</v>
      </c>
      <c r="C13" s="20" t="s">
        <v>31</v>
      </c>
      <c r="D13" s="28" t="s">
        <v>30</v>
      </c>
      <c r="E13" s="18" t="s">
        <v>43</v>
      </c>
      <c r="F13" s="21">
        <v>1</v>
      </c>
      <c r="G13" s="21">
        <v>45</v>
      </c>
      <c r="H13" s="66">
        <v>0.972546996312183</v>
      </c>
      <c r="I13" s="80">
        <v>5.52096774078829E-3</v>
      </c>
      <c r="J13" s="80">
        <v>7.3165000000000003E-4</v>
      </c>
      <c r="K13" s="80">
        <v>7.1176000000000008E-4</v>
      </c>
      <c r="L13" s="80">
        <v>6.9187000000000003E-4</v>
      </c>
      <c r="M13" s="80">
        <v>6.6925999999999997E-4</v>
      </c>
      <c r="N13" s="81">
        <v>5</v>
      </c>
      <c r="O13" s="80">
        <v>4.8229299999999996E-3</v>
      </c>
      <c r="P13" s="80">
        <v>4.7071300000000003E-3</v>
      </c>
      <c r="Q13" s="80">
        <v>4.5913300000000002E-3</v>
      </c>
      <c r="R13" s="80">
        <v>4.4275499999999997E-3</v>
      </c>
      <c r="S13" s="81">
        <v>5</v>
      </c>
      <c r="T13" s="80">
        <v>1.509156E-2</v>
      </c>
      <c r="U13" s="80">
        <v>1.4038465E-2</v>
      </c>
      <c r="V13" s="80">
        <v>1.298537E-2</v>
      </c>
      <c r="W13" s="80">
        <v>1.214993E-2</v>
      </c>
      <c r="X13" s="81">
        <v>5</v>
      </c>
      <c r="Y13" s="80">
        <v>3.5759000000000002E-4</v>
      </c>
      <c r="Z13" s="80">
        <v>3.3991000000000002E-4</v>
      </c>
      <c r="AA13" s="80">
        <v>3.2223000000000001E-4</v>
      </c>
      <c r="AB13" s="80">
        <v>2.9514E-4</v>
      </c>
      <c r="AC13" s="81">
        <v>5</v>
      </c>
      <c r="AD13" s="80">
        <v>2.7726999999999998E-4</v>
      </c>
      <c r="AE13" s="80">
        <v>2.6164E-4</v>
      </c>
      <c r="AF13" s="80">
        <v>2.4601000000000001E-4</v>
      </c>
      <c r="AG13" s="80">
        <v>2.2243999999999999E-4</v>
      </c>
      <c r="AH13" s="81">
        <v>5</v>
      </c>
      <c r="AI13" s="80">
        <v>5.4062999999999995E-4</v>
      </c>
      <c r="AJ13" s="80">
        <v>5.1231999999999992E-4</v>
      </c>
      <c r="AK13" s="80">
        <v>4.8401E-4</v>
      </c>
      <c r="AL13" s="80">
        <v>4.8117E-4</v>
      </c>
      <c r="AM13" s="81">
        <v>5</v>
      </c>
      <c r="AN13" s="80">
        <v>0.31160946260726696</v>
      </c>
      <c r="AO13" s="80">
        <v>0.29414709716882836</v>
      </c>
      <c r="AP13" s="80">
        <v>0.27668473173038971</v>
      </c>
      <c r="AQ13" s="80">
        <v>0.27668473173038971</v>
      </c>
      <c r="AR13" s="81">
        <v>5</v>
      </c>
      <c r="AS13" s="80">
        <v>4.3059000000000002E-5</v>
      </c>
      <c r="AT13" s="80">
        <v>4.3055E-5</v>
      </c>
      <c r="AU13" s="80">
        <v>4.3050999999999998E-5</v>
      </c>
      <c r="AV13" s="80">
        <v>4.3032999999999999E-5</v>
      </c>
      <c r="AW13" s="81">
        <v>5</v>
      </c>
      <c r="AX13" s="80">
        <v>1.5204641223999519E-5</v>
      </c>
      <c r="AY13" s="80">
        <v>1.434753969000337E-5</v>
      </c>
      <c r="AZ13" s="80">
        <v>1.349043815600722E-5</v>
      </c>
      <c r="BA13" s="80">
        <v>1.2197931236219039E-5</v>
      </c>
      <c r="BB13" s="81">
        <v>5</v>
      </c>
      <c r="BC13" s="80">
        <v>4.001221374736716E-6</v>
      </c>
      <c r="BD13" s="80">
        <v>3.7756683394745711E-6</v>
      </c>
      <c r="BE13" s="80">
        <v>3.5501153042124267E-6</v>
      </c>
      <c r="BF13" s="80">
        <v>3.2099819042681687E-6</v>
      </c>
      <c r="BG13" s="81">
        <v>5</v>
      </c>
      <c r="BH13" s="82"/>
      <c r="BI13" s="82"/>
      <c r="BJ13" s="82"/>
      <c r="BK13" s="82"/>
      <c r="BL13" s="82"/>
      <c r="BM13" s="82"/>
      <c r="BN13" s="82"/>
    </row>
    <row r="14" spans="2:66" x14ac:dyDescent="0.25">
      <c r="B14" s="20"/>
      <c r="C14" s="27"/>
      <c r="D14" s="28" t="s">
        <v>32</v>
      </c>
      <c r="E14" s="18" t="s">
        <v>43</v>
      </c>
      <c r="F14" s="53"/>
      <c r="G14" s="55"/>
      <c r="H14" s="66">
        <v>2.7453003687817001E-2</v>
      </c>
      <c r="I14" s="80"/>
      <c r="J14" s="80"/>
      <c r="K14" s="80"/>
      <c r="L14" s="80"/>
      <c r="M14" s="80"/>
      <c r="N14" s="81"/>
      <c r="O14" s="80"/>
      <c r="P14" s="80"/>
      <c r="Q14" s="80"/>
      <c r="R14" s="80"/>
      <c r="S14" s="81"/>
      <c r="T14" s="80"/>
      <c r="U14" s="80"/>
      <c r="V14" s="80"/>
      <c r="W14" s="80"/>
      <c r="X14" s="81"/>
      <c r="Y14" s="80"/>
      <c r="Z14" s="80"/>
      <c r="AA14" s="80"/>
      <c r="AB14" s="80"/>
      <c r="AC14" s="81"/>
      <c r="AD14" s="80"/>
      <c r="AE14" s="80"/>
      <c r="AF14" s="80"/>
      <c r="AG14" s="80"/>
      <c r="AH14" s="81"/>
      <c r="AI14" s="80"/>
      <c r="AJ14" s="80"/>
      <c r="AK14" s="80"/>
      <c r="AL14" s="80"/>
      <c r="AM14" s="81"/>
      <c r="AN14" s="80"/>
      <c r="AO14" s="80"/>
      <c r="AP14" s="80"/>
      <c r="AQ14" s="80"/>
      <c r="AR14" s="81"/>
      <c r="AS14" s="80"/>
      <c r="AT14" s="80"/>
      <c r="AU14" s="80"/>
      <c r="AV14" s="80"/>
      <c r="AW14" s="81"/>
      <c r="AX14" s="80"/>
      <c r="AY14" s="80"/>
      <c r="AZ14" s="80"/>
      <c r="BA14" s="80"/>
      <c r="BB14" s="81"/>
      <c r="BC14" s="80"/>
      <c r="BD14" s="80"/>
      <c r="BE14" s="80"/>
      <c r="BF14" s="80"/>
      <c r="BG14" s="81"/>
      <c r="BH14" s="82"/>
      <c r="BI14" s="82"/>
      <c r="BJ14" s="82"/>
      <c r="BK14" s="82"/>
      <c r="BL14" s="82"/>
      <c r="BM14" s="82"/>
      <c r="BN14" s="82"/>
    </row>
    <row r="15" spans="2:66" x14ac:dyDescent="0.25">
      <c r="B15" s="28" t="s">
        <v>55</v>
      </c>
      <c r="C15" s="20" t="s">
        <v>31</v>
      </c>
      <c r="D15" s="28" t="s">
        <v>30</v>
      </c>
      <c r="E15" s="18" t="s">
        <v>45</v>
      </c>
      <c r="F15" s="21">
        <v>1</v>
      </c>
      <c r="G15" s="21">
        <v>45</v>
      </c>
      <c r="H15" s="66">
        <v>0.95168369098085803</v>
      </c>
      <c r="I15" s="80">
        <v>5.3899999999999998E-3</v>
      </c>
      <c r="J15" s="80">
        <v>7.3165000000000003E-4</v>
      </c>
      <c r="K15" s="80">
        <v>7.1176000000000008E-4</v>
      </c>
      <c r="L15" s="80">
        <v>6.9187000000000003E-4</v>
      </c>
      <c r="M15" s="80">
        <v>6.6925999999999997E-4</v>
      </c>
      <c r="N15" s="81">
        <v>5</v>
      </c>
      <c r="O15" s="80">
        <v>4.8229299999999996E-3</v>
      </c>
      <c r="P15" s="80">
        <v>4.7071300000000003E-3</v>
      </c>
      <c r="Q15" s="80">
        <v>4.5913300000000002E-3</v>
      </c>
      <c r="R15" s="80">
        <v>4.4275499999999997E-3</v>
      </c>
      <c r="S15" s="81">
        <v>5</v>
      </c>
      <c r="T15" s="80">
        <v>1.509156E-2</v>
      </c>
      <c r="U15" s="80">
        <v>1.4038465E-2</v>
      </c>
      <c r="V15" s="80">
        <v>1.298537E-2</v>
      </c>
      <c r="W15" s="80">
        <v>1.214993E-2</v>
      </c>
      <c r="X15" s="81">
        <v>5</v>
      </c>
      <c r="Y15" s="80">
        <v>3.5759000000000002E-4</v>
      </c>
      <c r="Z15" s="80">
        <v>3.3991000000000002E-4</v>
      </c>
      <c r="AA15" s="80">
        <v>3.2223000000000001E-4</v>
      </c>
      <c r="AB15" s="80">
        <v>2.9514E-4</v>
      </c>
      <c r="AC15" s="81">
        <v>5</v>
      </c>
      <c r="AD15" s="80">
        <v>2.7726999999999998E-4</v>
      </c>
      <c r="AE15" s="80">
        <v>2.6164E-4</v>
      </c>
      <c r="AF15" s="80">
        <v>2.4601000000000001E-4</v>
      </c>
      <c r="AG15" s="80">
        <v>2.2243999999999999E-4</v>
      </c>
      <c r="AH15" s="81">
        <v>5</v>
      </c>
      <c r="AI15" s="80">
        <v>5.4062999999999995E-4</v>
      </c>
      <c r="AJ15" s="80">
        <v>5.1231999999999992E-4</v>
      </c>
      <c r="AK15" s="80">
        <v>4.8401E-4</v>
      </c>
      <c r="AL15" s="80">
        <v>4.8117E-4</v>
      </c>
      <c r="AM15" s="81">
        <v>5</v>
      </c>
      <c r="AN15" s="80">
        <v>0.3392</v>
      </c>
      <c r="AO15" s="80">
        <v>0.3392</v>
      </c>
      <c r="AP15" s="80">
        <v>0.3392</v>
      </c>
      <c r="AQ15" s="80">
        <v>0.3392</v>
      </c>
      <c r="AR15" s="81">
        <v>5</v>
      </c>
      <c r="AS15" s="80">
        <v>4.3059000000000002E-5</v>
      </c>
      <c r="AT15" s="80">
        <v>4.3055E-5</v>
      </c>
      <c r="AU15" s="80">
        <v>4.3050999999999998E-5</v>
      </c>
      <c r="AV15" s="80">
        <v>4.3032999999999999E-5</v>
      </c>
      <c r="AW15" s="81">
        <v>5</v>
      </c>
      <c r="AX15" s="80">
        <v>1.5204641223999519E-5</v>
      </c>
      <c r="AY15" s="80">
        <v>1.434753969000337E-5</v>
      </c>
      <c r="AZ15" s="80">
        <v>1.349043815600722E-5</v>
      </c>
      <c r="BA15" s="80">
        <v>1.2197931236219039E-5</v>
      </c>
      <c r="BB15" s="81">
        <v>5</v>
      </c>
      <c r="BC15" s="80">
        <v>4.001221374736716E-6</v>
      </c>
      <c r="BD15" s="80">
        <v>3.7756683394745711E-6</v>
      </c>
      <c r="BE15" s="80">
        <v>3.5501153042124267E-6</v>
      </c>
      <c r="BF15" s="80">
        <v>3.2099819042681687E-6</v>
      </c>
      <c r="BG15" s="81">
        <v>5</v>
      </c>
      <c r="BH15" s="82"/>
      <c r="BI15" s="82"/>
      <c r="BJ15" s="82"/>
      <c r="BK15" s="82"/>
      <c r="BL15" s="82"/>
      <c r="BM15" s="82"/>
      <c r="BN15" s="11"/>
    </row>
    <row r="16" spans="2:66" x14ac:dyDescent="0.25">
      <c r="B16" s="20"/>
      <c r="C16" s="27"/>
      <c r="D16" s="28" t="s">
        <v>32</v>
      </c>
      <c r="E16" s="18" t="s">
        <v>45</v>
      </c>
      <c r="F16" s="53"/>
      <c r="G16" s="55"/>
      <c r="H16" s="66">
        <v>4.8316309019141968E-2</v>
      </c>
      <c r="I16" s="80"/>
      <c r="J16" s="80"/>
      <c r="K16" s="80"/>
      <c r="L16" s="80"/>
      <c r="M16" s="80"/>
      <c r="N16" s="81"/>
      <c r="O16" s="80"/>
      <c r="P16" s="80"/>
      <c r="Q16" s="80"/>
      <c r="R16" s="80"/>
      <c r="S16" s="81"/>
      <c r="T16" s="80"/>
      <c r="U16" s="80"/>
      <c r="V16" s="80"/>
      <c r="W16" s="80"/>
      <c r="X16" s="81"/>
      <c r="Y16" s="80"/>
      <c r="Z16" s="80"/>
      <c r="AA16" s="80"/>
      <c r="AB16" s="80"/>
      <c r="AC16" s="81"/>
      <c r="AD16" s="80"/>
      <c r="AE16" s="80"/>
      <c r="AF16" s="80"/>
      <c r="AG16" s="80"/>
      <c r="AH16" s="81"/>
      <c r="AI16" s="80"/>
      <c r="AJ16" s="80"/>
      <c r="AK16" s="80"/>
      <c r="AL16" s="80"/>
      <c r="AM16" s="81"/>
      <c r="AN16" s="80"/>
      <c r="AO16" s="80"/>
      <c r="AP16" s="80"/>
      <c r="AQ16" s="80"/>
      <c r="AR16" s="81"/>
      <c r="AS16" s="80"/>
      <c r="AT16" s="80"/>
      <c r="AU16" s="80"/>
      <c r="AV16" s="80"/>
      <c r="AW16" s="81"/>
      <c r="AX16" s="80"/>
      <c r="AY16" s="80"/>
      <c r="AZ16" s="80"/>
      <c r="BA16" s="80"/>
      <c r="BB16" s="81"/>
      <c r="BC16" s="80"/>
      <c r="BD16" s="80"/>
      <c r="BE16" s="80"/>
      <c r="BF16" s="80"/>
      <c r="BG16" s="81"/>
      <c r="BH16" s="11"/>
      <c r="BI16" s="11"/>
      <c r="BJ16" s="11"/>
      <c r="BK16" s="11"/>
      <c r="BL16" s="11"/>
      <c r="BM16" s="11"/>
    </row>
    <row r="17" spans="2:59" x14ac:dyDescent="0.25">
      <c r="B17" s="28" t="s">
        <v>55</v>
      </c>
      <c r="C17" s="20" t="s">
        <v>31</v>
      </c>
      <c r="D17" s="28" t="s">
        <v>30</v>
      </c>
      <c r="E17" s="18" t="s">
        <v>46</v>
      </c>
      <c r="F17" s="21">
        <v>1</v>
      </c>
      <c r="G17" s="21">
        <v>45</v>
      </c>
      <c r="H17" s="66">
        <v>0.94216531639223366</v>
      </c>
      <c r="I17" s="80">
        <v>5.512681857108355E-3</v>
      </c>
      <c r="J17" s="80">
        <v>7.3165000000000003E-4</v>
      </c>
      <c r="K17" s="80">
        <v>7.1176000000000008E-4</v>
      </c>
      <c r="L17" s="80">
        <v>6.9187000000000003E-4</v>
      </c>
      <c r="M17" s="80">
        <v>6.6925999999999997E-4</v>
      </c>
      <c r="N17" s="81">
        <v>5</v>
      </c>
      <c r="O17" s="80">
        <v>4.8229299999999996E-3</v>
      </c>
      <c r="P17" s="80">
        <v>4.7071300000000003E-3</v>
      </c>
      <c r="Q17" s="80">
        <v>4.5913300000000002E-3</v>
      </c>
      <c r="R17" s="80">
        <v>4.4275499999999997E-3</v>
      </c>
      <c r="S17" s="81">
        <v>5</v>
      </c>
      <c r="T17" s="80">
        <v>1.509156E-2</v>
      </c>
      <c r="U17" s="80">
        <v>1.4038465E-2</v>
      </c>
      <c r="V17" s="80">
        <v>1.298537E-2</v>
      </c>
      <c r="W17" s="80">
        <v>1.214993E-2</v>
      </c>
      <c r="X17" s="81">
        <v>5</v>
      </c>
      <c r="Y17" s="80">
        <v>3.5759000000000002E-4</v>
      </c>
      <c r="Z17" s="80">
        <v>3.3991000000000002E-4</v>
      </c>
      <c r="AA17" s="80">
        <v>3.2223000000000001E-4</v>
      </c>
      <c r="AB17" s="80">
        <v>2.9514E-4</v>
      </c>
      <c r="AC17" s="81">
        <v>5</v>
      </c>
      <c r="AD17" s="80">
        <v>2.7726999999999998E-4</v>
      </c>
      <c r="AE17" s="80">
        <v>2.6164E-4</v>
      </c>
      <c r="AF17" s="80">
        <v>2.4601000000000001E-4</v>
      </c>
      <c r="AG17" s="80">
        <v>2.2243999999999999E-4</v>
      </c>
      <c r="AH17" s="81">
        <v>5</v>
      </c>
      <c r="AI17" s="80">
        <v>5.4062999999999995E-4</v>
      </c>
      <c r="AJ17" s="80">
        <v>5.1231999999999992E-4</v>
      </c>
      <c r="AK17" s="80">
        <v>4.8401E-4</v>
      </c>
      <c r="AL17" s="80">
        <v>4.8117E-4</v>
      </c>
      <c r="AM17" s="81">
        <v>5</v>
      </c>
      <c r="AN17" s="80">
        <v>0.31335502210250665</v>
      </c>
      <c r="AO17" s="80">
        <v>0.29699744115472604</v>
      </c>
      <c r="AP17" s="80">
        <v>0.28063986020694542</v>
      </c>
      <c r="AQ17" s="80">
        <v>0.28063986020694542</v>
      </c>
      <c r="AR17" s="81">
        <v>5</v>
      </c>
      <c r="AS17" s="80">
        <v>4.3059000000000002E-5</v>
      </c>
      <c r="AT17" s="80">
        <v>4.3055E-5</v>
      </c>
      <c r="AU17" s="80">
        <v>4.3050999999999998E-5</v>
      </c>
      <c r="AV17" s="80">
        <v>4.3032999999999999E-5</v>
      </c>
      <c r="AW17" s="81">
        <v>5</v>
      </c>
      <c r="AX17" s="80">
        <v>1.5204641223999519E-5</v>
      </c>
      <c r="AY17" s="80">
        <v>1.434753969000337E-5</v>
      </c>
      <c r="AZ17" s="80">
        <v>1.349043815600722E-5</v>
      </c>
      <c r="BA17" s="80">
        <v>1.2197931236219039E-5</v>
      </c>
      <c r="BB17" s="81">
        <v>5</v>
      </c>
      <c r="BC17" s="80">
        <v>4.001221374736716E-6</v>
      </c>
      <c r="BD17" s="80">
        <v>3.7756683394745711E-6</v>
      </c>
      <c r="BE17" s="80">
        <v>3.5501153042124267E-6</v>
      </c>
      <c r="BF17" s="80">
        <v>3.2099819042681687E-6</v>
      </c>
      <c r="BG17" s="81">
        <v>5</v>
      </c>
    </row>
    <row r="18" spans="2:59" x14ac:dyDescent="0.25">
      <c r="B18" s="20"/>
      <c r="C18" s="27"/>
      <c r="D18" s="28" t="s">
        <v>32</v>
      </c>
      <c r="E18" s="18" t="s">
        <v>46</v>
      </c>
      <c r="F18" s="53"/>
      <c r="G18" s="55"/>
      <c r="H18" s="66">
        <v>5.7834683607766335E-2</v>
      </c>
      <c r="I18" s="80"/>
      <c r="J18" s="80"/>
      <c r="K18" s="80"/>
      <c r="L18" s="80"/>
      <c r="M18" s="80"/>
      <c r="N18" s="81"/>
      <c r="O18" s="80"/>
      <c r="P18" s="80"/>
      <c r="Q18" s="80"/>
      <c r="R18" s="80"/>
      <c r="S18" s="81"/>
      <c r="T18" s="80"/>
      <c r="U18" s="80"/>
      <c r="V18" s="80"/>
      <c r="W18" s="80"/>
      <c r="X18" s="81"/>
      <c r="Y18" s="80"/>
      <c r="Z18" s="80"/>
      <c r="AA18" s="80"/>
      <c r="AB18" s="80"/>
      <c r="AC18" s="81"/>
      <c r="AD18" s="80"/>
      <c r="AE18" s="80"/>
      <c r="AF18" s="80"/>
      <c r="AG18" s="80"/>
      <c r="AH18" s="81"/>
      <c r="AI18" s="80"/>
      <c r="AJ18" s="80"/>
      <c r="AK18" s="80"/>
      <c r="AL18" s="80"/>
      <c r="AM18" s="81"/>
      <c r="AN18" s="80"/>
      <c r="AO18" s="80"/>
      <c r="AP18" s="80"/>
      <c r="AQ18" s="80"/>
      <c r="AR18" s="81"/>
      <c r="AS18" s="80"/>
      <c r="AT18" s="80"/>
      <c r="AU18" s="80"/>
      <c r="AV18" s="80"/>
      <c r="AW18" s="81"/>
      <c r="AX18" s="80"/>
      <c r="AY18" s="80"/>
      <c r="AZ18" s="80"/>
      <c r="BA18" s="80"/>
      <c r="BB18" s="81"/>
      <c r="BC18" s="80"/>
      <c r="BD18" s="80"/>
      <c r="BE18" s="80"/>
      <c r="BF18" s="80"/>
      <c r="BG18" s="81"/>
    </row>
    <row r="19" spans="2:59" x14ac:dyDescent="0.25">
      <c r="B19" s="28" t="s">
        <v>55</v>
      </c>
      <c r="C19" s="20" t="s">
        <v>31</v>
      </c>
      <c r="D19" s="28" t="s">
        <v>30</v>
      </c>
      <c r="E19" s="18" t="s">
        <v>47</v>
      </c>
      <c r="F19" s="21">
        <v>1</v>
      </c>
      <c r="G19" s="21">
        <v>45</v>
      </c>
      <c r="H19" s="66">
        <v>0.95051945751502154</v>
      </c>
      <c r="I19" s="80">
        <v>5.4065247667770596E-3</v>
      </c>
      <c r="J19" s="80">
        <v>7.3165000000000003E-4</v>
      </c>
      <c r="K19" s="80">
        <v>7.1176000000000008E-4</v>
      </c>
      <c r="L19" s="80">
        <v>6.9187000000000003E-4</v>
      </c>
      <c r="M19" s="80">
        <v>6.6925999999999997E-4</v>
      </c>
      <c r="N19" s="81">
        <v>5</v>
      </c>
      <c r="O19" s="80">
        <v>4.8229299999999996E-3</v>
      </c>
      <c r="P19" s="80">
        <v>4.7071300000000003E-3</v>
      </c>
      <c r="Q19" s="80">
        <v>4.5913300000000002E-3</v>
      </c>
      <c r="R19" s="80">
        <v>4.4275499999999997E-3</v>
      </c>
      <c r="S19" s="81">
        <v>5</v>
      </c>
      <c r="T19" s="80">
        <v>1.509156E-2</v>
      </c>
      <c r="U19" s="80">
        <v>1.4038465E-2</v>
      </c>
      <c r="V19" s="80">
        <v>1.298537E-2</v>
      </c>
      <c r="W19" s="80">
        <v>1.214993E-2</v>
      </c>
      <c r="X19" s="81">
        <v>5</v>
      </c>
      <c r="Y19" s="80">
        <v>3.5759000000000002E-4</v>
      </c>
      <c r="Z19" s="80">
        <v>3.3991000000000002E-4</v>
      </c>
      <c r="AA19" s="80">
        <v>3.2223000000000001E-4</v>
      </c>
      <c r="AB19" s="80">
        <v>2.9514E-4</v>
      </c>
      <c r="AC19" s="81">
        <v>5</v>
      </c>
      <c r="AD19" s="80">
        <v>2.7726999999999998E-4</v>
      </c>
      <c r="AE19" s="80">
        <v>2.6164E-4</v>
      </c>
      <c r="AF19" s="80">
        <v>2.4601000000000001E-4</v>
      </c>
      <c r="AG19" s="80">
        <v>2.2243999999999999E-4</v>
      </c>
      <c r="AH19" s="81">
        <v>5</v>
      </c>
      <c r="AI19" s="80">
        <v>5.4062999999999995E-4</v>
      </c>
      <c r="AJ19" s="80">
        <v>5.1231999999999992E-4</v>
      </c>
      <c r="AK19" s="80">
        <v>4.8401E-4</v>
      </c>
      <c r="AL19" s="80">
        <v>4.8117E-4</v>
      </c>
      <c r="AM19" s="81">
        <v>5</v>
      </c>
      <c r="AN19" s="80">
        <v>0.33571878246563264</v>
      </c>
      <c r="AO19" s="80">
        <v>0.33351548022869126</v>
      </c>
      <c r="AP19" s="80">
        <v>0.33131217799174995</v>
      </c>
      <c r="AQ19" s="80">
        <v>0.33131217799174995</v>
      </c>
      <c r="AR19" s="81">
        <v>5</v>
      </c>
      <c r="AS19" s="80">
        <v>4.3059000000000002E-5</v>
      </c>
      <c r="AT19" s="80">
        <v>4.3055E-5</v>
      </c>
      <c r="AU19" s="80">
        <v>4.3050999999999998E-5</v>
      </c>
      <c r="AV19" s="80">
        <v>4.3032999999999999E-5</v>
      </c>
      <c r="AW19" s="81">
        <v>5</v>
      </c>
      <c r="AX19" s="80">
        <v>1.5204641223999519E-5</v>
      </c>
      <c r="AY19" s="80">
        <v>1.434753969000337E-5</v>
      </c>
      <c r="AZ19" s="80">
        <v>1.349043815600722E-5</v>
      </c>
      <c r="BA19" s="80">
        <v>1.2197931236219039E-5</v>
      </c>
      <c r="BB19" s="81">
        <v>5</v>
      </c>
      <c r="BC19" s="80">
        <v>4.001221374736716E-6</v>
      </c>
      <c r="BD19" s="80">
        <v>3.7756683394745711E-6</v>
      </c>
      <c r="BE19" s="80">
        <v>3.5501153042124267E-6</v>
      </c>
      <c r="BF19" s="80">
        <v>3.2099819042681687E-6</v>
      </c>
      <c r="BG19" s="81">
        <v>5</v>
      </c>
    </row>
    <row r="20" spans="2:59" x14ac:dyDescent="0.25">
      <c r="B20" s="20"/>
      <c r="C20" s="27"/>
      <c r="D20" s="28" t="s">
        <v>32</v>
      </c>
      <c r="E20" s="18" t="s">
        <v>47</v>
      </c>
      <c r="F20" s="53"/>
      <c r="G20" s="55"/>
      <c r="H20" s="66">
        <v>4.9480542484978463E-2</v>
      </c>
      <c r="I20" s="80"/>
      <c r="J20" s="80"/>
      <c r="K20" s="80"/>
      <c r="L20" s="80"/>
      <c r="M20" s="80"/>
      <c r="N20" s="81"/>
      <c r="O20" s="80"/>
      <c r="P20" s="80"/>
      <c r="Q20" s="80"/>
      <c r="R20" s="80"/>
      <c r="S20" s="81"/>
      <c r="T20" s="80"/>
      <c r="U20" s="80"/>
      <c r="V20" s="80"/>
      <c r="W20" s="80"/>
      <c r="X20" s="81"/>
      <c r="Y20" s="80"/>
      <c r="Z20" s="80"/>
      <c r="AA20" s="80"/>
      <c r="AB20" s="80"/>
      <c r="AC20" s="81"/>
      <c r="AD20" s="80"/>
      <c r="AE20" s="80"/>
      <c r="AF20" s="80"/>
      <c r="AG20" s="80"/>
      <c r="AH20" s="81"/>
      <c r="AI20" s="80"/>
      <c r="AJ20" s="80"/>
      <c r="AK20" s="80"/>
      <c r="AL20" s="80"/>
      <c r="AM20" s="81"/>
      <c r="AN20" s="80"/>
      <c r="AO20" s="80"/>
      <c r="AP20" s="80"/>
      <c r="AQ20" s="80"/>
      <c r="AR20" s="81"/>
      <c r="AS20" s="80"/>
      <c r="AT20" s="80"/>
      <c r="AU20" s="80"/>
      <c r="AV20" s="80"/>
      <c r="AW20" s="81"/>
      <c r="AX20" s="80"/>
      <c r="AY20" s="80"/>
      <c r="AZ20" s="80"/>
      <c r="BA20" s="80"/>
      <c r="BB20" s="81"/>
      <c r="BC20" s="80"/>
      <c r="BD20" s="80"/>
      <c r="BE20" s="80"/>
      <c r="BF20" s="80"/>
      <c r="BG20" s="81"/>
    </row>
    <row r="21" spans="2:59" x14ac:dyDescent="0.25">
      <c r="B21" s="28" t="s">
        <v>55</v>
      </c>
      <c r="C21" s="20" t="s">
        <v>31</v>
      </c>
      <c r="D21" s="28" t="s">
        <v>30</v>
      </c>
      <c r="E21" s="18" t="s">
        <v>48</v>
      </c>
      <c r="F21" s="21">
        <v>1</v>
      </c>
      <c r="G21" s="21">
        <v>45</v>
      </c>
      <c r="H21" s="66">
        <v>0.94517756917555551</v>
      </c>
      <c r="I21" s="80">
        <v>5.398219995608986E-3</v>
      </c>
      <c r="J21" s="80">
        <v>7.3165000000000003E-4</v>
      </c>
      <c r="K21" s="80">
        <v>7.1176000000000008E-4</v>
      </c>
      <c r="L21" s="80">
        <v>6.9187000000000003E-4</v>
      </c>
      <c r="M21" s="80">
        <v>6.6925999999999997E-4</v>
      </c>
      <c r="N21" s="81">
        <v>5</v>
      </c>
      <c r="O21" s="80">
        <v>4.8229299999999996E-3</v>
      </c>
      <c r="P21" s="80">
        <v>4.7071300000000003E-3</v>
      </c>
      <c r="Q21" s="80">
        <v>4.5913300000000002E-3</v>
      </c>
      <c r="R21" s="80">
        <v>4.4275499999999997E-3</v>
      </c>
      <c r="S21" s="81">
        <v>5</v>
      </c>
      <c r="T21" s="80">
        <v>1.509156E-2</v>
      </c>
      <c r="U21" s="80">
        <v>1.4038465E-2</v>
      </c>
      <c r="V21" s="80">
        <v>1.298537E-2</v>
      </c>
      <c r="W21" s="80">
        <v>1.214993E-2</v>
      </c>
      <c r="X21" s="81">
        <v>5</v>
      </c>
      <c r="Y21" s="80">
        <v>3.5759000000000002E-4</v>
      </c>
      <c r="Z21" s="80">
        <v>3.3991000000000002E-4</v>
      </c>
      <c r="AA21" s="80">
        <v>3.2223000000000001E-4</v>
      </c>
      <c r="AB21" s="80">
        <v>2.9514E-4</v>
      </c>
      <c r="AC21" s="81">
        <v>5</v>
      </c>
      <c r="AD21" s="80">
        <v>2.7726999999999998E-4</v>
      </c>
      <c r="AE21" s="80">
        <v>2.6164E-4</v>
      </c>
      <c r="AF21" s="80">
        <v>2.4601000000000001E-4</v>
      </c>
      <c r="AG21" s="80">
        <v>2.2243999999999999E-4</v>
      </c>
      <c r="AH21" s="81">
        <v>5</v>
      </c>
      <c r="AI21" s="80">
        <v>5.4062999999999995E-4</v>
      </c>
      <c r="AJ21" s="80">
        <v>5.1231999999999992E-4</v>
      </c>
      <c r="AK21" s="80">
        <v>4.8401E-4</v>
      </c>
      <c r="AL21" s="80">
        <v>4.8117E-4</v>
      </c>
      <c r="AM21" s="81">
        <v>5</v>
      </c>
      <c r="AN21" s="80">
        <v>0.33746832092504031</v>
      </c>
      <c r="AO21" s="80">
        <v>0.33637232151050883</v>
      </c>
      <c r="AP21" s="80">
        <v>0.33527632209597735</v>
      </c>
      <c r="AQ21" s="80">
        <v>0.33527632209597735</v>
      </c>
      <c r="AR21" s="81">
        <v>5</v>
      </c>
      <c r="AS21" s="80">
        <v>4.3059000000000002E-5</v>
      </c>
      <c r="AT21" s="80">
        <v>4.3055E-5</v>
      </c>
      <c r="AU21" s="80">
        <v>4.3050999999999998E-5</v>
      </c>
      <c r="AV21" s="80">
        <v>4.3032999999999999E-5</v>
      </c>
      <c r="AW21" s="81">
        <v>5</v>
      </c>
      <c r="AX21" s="80">
        <v>1.5204641223999519E-5</v>
      </c>
      <c r="AY21" s="80">
        <v>1.434753969000337E-5</v>
      </c>
      <c r="AZ21" s="80">
        <v>1.349043815600722E-5</v>
      </c>
      <c r="BA21" s="80">
        <v>1.2197931236219039E-5</v>
      </c>
      <c r="BB21" s="81">
        <v>5</v>
      </c>
      <c r="BC21" s="80">
        <v>4.001221374736716E-6</v>
      </c>
      <c r="BD21" s="80">
        <v>3.7756683394745711E-6</v>
      </c>
      <c r="BE21" s="80">
        <v>3.5501153042124267E-6</v>
      </c>
      <c r="BF21" s="80">
        <v>3.2099819042681687E-6</v>
      </c>
      <c r="BG21" s="81">
        <v>5</v>
      </c>
    </row>
    <row r="22" spans="2:59" x14ac:dyDescent="0.25">
      <c r="B22" s="20"/>
      <c r="C22" s="27"/>
      <c r="D22" s="28" t="s">
        <v>32</v>
      </c>
      <c r="E22" s="18" t="s">
        <v>48</v>
      </c>
      <c r="F22" s="53"/>
      <c r="G22" s="55"/>
      <c r="H22" s="66">
        <v>5.482243082444449E-2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</row>
    <row r="23" spans="2:59" s="11" customFormat="1" x14ac:dyDescent="0.25">
      <c r="B23" s="28" t="s">
        <v>283</v>
      </c>
      <c r="C23" s="20"/>
      <c r="D23" s="28"/>
      <c r="E23" s="20"/>
      <c r="H23" s="83"/>
      <c r="I23" s="86"/>
      <c r="J23" s="86"/>
      <c r="K23" s="86"/>
      <c r="L23" s="86"/>
      <c r="M23" s="86"/>
      <c r="N23" s="87"/>
      <c r="O23" s="86"/>
      <c r="P23" s="86"/>
      <c r="Q23" s="86"/>
      <c r="R23" s="86"/>
      <c r="S23" s="87"/>
      <c r="T23" s="86"/>
      <c r="U23" s="86"/>
      <c r="V23" s="86"/>
      <c r="W23" s="86"/>
      <c r="X23" s="87"/>
      <c r="Y23" s="86"/>
      <c r="Z23" s="86"/>
      <c r="AA23" s="86"/>
      <c r="AB23" s="86"/>
      <c r="AC23" s="87"/>
      <c r="AD23" s="86"/>
      <c r="AE23" s="86"/>
      <c r="AF23" s="86"/>
      <c r="AG23" s="86"/>
      <c r="AH23" s="87"/>
      <c r="AI23" s="86"/>
      <c r="AJ23" s="86"/>
      <c r="AK23" s="86"/>
      <c r="AL23" s="86"/>
      <c r="AM23" s="87"/>
      <c r="AN23" s="86"/>
      <c r="AO23" s="86"/>
      <c r="AP23" s="86"/>
      <c r="AQ23" s="86"/>
      <c r="AR23" s="87"/>
      <c r="AS23" s="86"/>
      <c r="AT23" s="86"/>
      <c r="AU23" s="86"/>
      <c r="AV23" s="86"/>
      <c r="AW23" s="87"/>
      <c r="AX23" s="86"/>
      <c r="AY23" s="86"/>
      <c r="AZ23" s="86"/>
      <c r="BA23" s="86"/>
      <c r="BB23" s="87"/>
      <c r="BC23" s="86"/>
      <c r="BD23" s="86"/>
      <c r="BE23" s="86"/>
      <c r="BF23" s="86"/>
      <c r="BG23" s="87"/>
    </row>
    <row r="24" spans="2:59" s="11" customFormat="1" x14ac:dyDescent="0.25">
      <c r="B24" s="20"/>
      <c r="C24" s="27"/>
      <c r="D24" s="28"/>
      <c r="E24" s="20"/>
      <c r="F24" s="53"/>
      <c r="G24" s="55"/>
      <c r="H24" s="83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</row>
    <row r="25" spans="2:59" s="11" customFormat="1" x14ac:dyDescent="0.25">
      <c r="B25" s="28"/>
      <c r="C25" s="20"/>
      <c r="D25" s="28"/>
      <c r="E25" s="20"/>
      <c r="H25" s="83"/>
      <c r="I25" s="84"/>
      <c r="J25" s="83"/>
      <c r="K25" s="83"/>
      <c r="L25" s="83"/>
      <c r="M25" s="83"/>
      <c r="N25" s="83"/>
      <c r="O25" s="83"/>
      <c r="P25" s="83"/>
      <c r="S25" s="83"/>
      <c r="X25" s="8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4:O24"/>
  <sheetViews>
    <sheetView workbookViewId="0">
      <selection sqref="A1:XFD1048576"/>
    </sheetView>
  </sheetViews>
  <sheetFormatPr defaultRowHeight="13.2" x14ac:dyDescent="0.25"/>
  <cols>
    <col min="1" max="1" width="8.88671875" style="21"/>
    <col min="2" max="3" width="15.6640625" style="21" customWidth="1"/>
    <col min="4" max="4" width="13.44140625" style="21" customWidth="1"/>
    <col min="5" max="16384" width="8.88671875" style="21"/>
  </cols>
  <sheetData>
    <row r="4" spans="1:15" ht="15" x14ac:dyDescent="0.25">
      <c r="A4" s="42" t="s">
        <v>188</v>
      </c>
    </row>
    <row r="6" spans="1:15" ht="12.75" customHeight="1" x14ac:dyDescent="0.25">
      <c r="B6" s="68" t="s">
        <v>286</v>
      </c>
      <c r="C6" s="69"/>
    </row>
    <row r="7" spans="1:15" ht="21" customHeight="1" x14ac:dyDescent="0.25">
      <c r="B7" s="70" t="s">
        <v>12</v>
      </c>
      <c r="C7" s="71" t="s">
        <v>30</v>
      </c>
      <c r="D7" s="71" t="s">
        <v>32</v>
      </c>
    </row>
    <row r="8" spans="1:15" ht="21" customHeight="1" thickBot="1" x14ac:dyDescent="0.3">
      <c r="B8" s="72" t="s">
        <v>189</v>
      </c>
      <c r="C8" s="73" t="s">
        <v>190</v>
      </c>
      <c r="D8" s="73" t="s">
        <v>190</v>
      </c>
    </row>
    <row r="9" spans="1:15" x14ac:dyDescent="0.25">
      <c r="B9" s="74" t="s">
        <v>206</v>
      </c>
      <c r="C9" s="85">
        <v>4.2702380285836546E-4</v>
      </c>
      <c r="D9" s="85">
        <v>4.2702380285836546E-4</v>
      </c>
    </row>
    <row r="10" spans="1:15" x14ac:dyDescent="0.25">
      <c r="B10" s="74" t="s">
        <v>207</v>
      </c>
      <c r="C10" s="85">
        <v>9.8095010711004801E-4</v>
      </c>
      <c r="D10" s="85">
        <v>9.8095010711004801E-4</v>
      </c>
      <c r="O10" s="11"/>
    </row>
    <row r="11" spans="1:15" x14ac:dyDescent="0.25">
      <c r="B11" s="74" t="s">
        <v>208</v>
      </c>
      <c r="C11" s="85">
        <v>2.6126521837571814E-3</v>
      </c>
      <c r="D11" s="85">
        <v>2.6126521837571814E-3</v>
      </c>
    </row>
    <row r="12" spans="1:15" x14ac:dyDescent="0.25">
      <c r="B12" s="74" t="s">
        <v>209</v>
      </c>
      <c r="C12" s="85">
        <v>1.371173763923653E-4</v>
      </c>
      <c r="D12" s="85">
        <v>1.371173763923653E-4</v>
      </c>
    </row>
    <row r="13" spans="1:15" x14ac:dyDescent="0.25">
      <c r="B13" s="74" t="s">
        <v>210</v>
      </c>
      <c r="C13" s="85">
        <v>7.5384379564155695E-5</v>
      </c>
      <c r="D13" s="85">
        <v>7.5384379564155695E-5</v>
      </c>
    </row>
    <row r="14" spans="1:15" x14ac:dyDescent="0.25">
      <c r="B14" s="74" t="s">
        <v>211</v>
      </c>
      <c r="C14" s="85">
        <v>1.9290626913037349E-4</v>
      </c>
      <c r="D14" s="85">
        <v>1.9290626913037349E-4</v>
      </c>
    </row>
    <row r="15" spans="1:15" x14ac:dyDescent="0.25">
      <c r="B15" s="74" t="s">
        <v>212</v>
      </c>
      <c r="C15" s="85">
        <v>7.9544099694811812E-2</v>
      </c>
      <c r="D15" s="85">
        <v>7.9544099694811812E-2</v>
      </c>
    </row>
    <row r="16" spans="1:15" x14ac:dyDescent="0.25">
      <c r="B16" s="74" t="s">
        <v>213</v>
      </c>
      <c r="C16" s="85">
        <v>1.0079862516248546E-5</v>
      </c>
      <c r="D16" s="85">
        <v>1.0079862516248546E-5</v>
      </c>
    </row>
    <row r="17" spans="2:4" x14ac:dyDescent="0.25">
      <c r="B17" s="74" t="s">
        <v>214</v>
      </c>
      <c r="C17" s="76">
        <v>1.349043815600722E-5</v>
      </c>
      <c r="D17" s="85">
        <v>1.349043815600722E-5</v>
      </c>
    </row>
    <row r="18" spans="2:4" x14ac:dyDescent="0.25">
      <c r="B18" s="74" t="s">
        <v>215</v>
      </c>
      <c r="C18" s="76">
        <v>4.001221374736716E-6</v>
      </c>
      <c r="D18" s="85">
        <v>4.001221374736716E-6</v>
      </c>
    </row>
    <row r="19" spans="2:4" x14ac:dyDescent="0.25">
      <c r="C19" s="67"/>
      <c r="D19" s="67"/>
    </row>
    <row r="20" spans="2:4" x14ac:dyDescent="0.25">
      <c r="C20" s="67"/>
      <c r="D20" s="67"/>
    </row>
    <row r="21" spans="2:4" ht="12.75" customHeight="1" x14ac:dyDescent="0.25">
      <c r="B21" s="68" t="s">
        <v>286</v>
      </c>
      <c r="C21" s="69"/>
      <c r="D21" s="69"/>
    </row>
    <row r="22" spans="2:4" ht="21" customHeight="1" x14ac:dyDescent="0.25">
      <c r="B22" s="70" t="s">
        <v>12</v>
      </c>
      <c r="C22" s="71" t="s">
        <v>30</v>
      </c>
      <c r="D22" s="71" t="s">
        <v>32</v>
      </c>
    </row>
    <row r="23" spans="2:4" ht="21" customHeight="1" thickBot="1" x14ac:dyDescent="0.3">
      <c r="B23" s="72" t="s">
        <v>189</v>
      </c>
      <c r="C23" s="73" t="s">
        <v>191</v>
      </c>
      <c r="D23" s="73" t="s">
        <v>191</v>
      </c>
    </row>
    <row r="24" spans="2:4" x14ac:dyDescent="0.25">
      <c r="B24" s="74" t="s">
        <v>205</v>
      </c>
      <c r="C24" s="85">
        <v>3.4352762224830528E-4</v>
      </c>
      <c r="D24" s="85">
        <v>3.4352762224830528E-4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26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26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686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71686" r:id="rId4" name="cmdRefreshUnits"/>
      </mc:Fallback>
    </mc:AlternateContent>
    <mc:AlternateContent xmlns:mc="http://schemas.openxmlformats.org/markup-compatibility/2006">
      <mc:Choice Requires="x14">
        <control shapeId="7168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71685" r:id="rId6" name="cmdAddParamQualifier"/>
      </mc:Fallback>
    </mc:AlternateContent>
    <mc:AlternateContent xmlns:mc="http://schemas.openxmlformats.org/markup-compatibility/2006">
      <mc:Choice Requires="x14">
        <control shapeId="7168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71684" r:id="rId8" name="cmdCheckConstrDataSheet"/>
      </mc:Fallback>
    </mc:AlternateContent>
    <mc:AlternateContent xmlns:mc="http://schemas.openxmlformats.org/markup-compatibility/2006">
      <mc:Choice Requires="x14">
        <control shapeId="7168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71683" r:id="rId10" name="cmdAddParameter"/>
      </mc:Fallback>
    </mc:AlternateContent>
    <mc:AlternateContent xmlns:mc="http://schemas.openxmlformats.org/markup-compatibility/2006">
      <mc:Choice Requires="x14">
        <control shapeId="7168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71682" r:id="rId12" name="cmdTechName"/>
      </mc:Fallback>
    </mc:AlternateContent>
    <mc:AlternateContent xmlns:mc="http://schemas.openxmlformats.org/markup-compatibility/2006">
      <mc:Choice Requires="x14">
        <control shapeId="71681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71681" r:id="rId14" name="cmdConstr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25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63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70663" r:id="rId4" name="cmdRefreshUnits"/>
      </mc:Fallback>
    </mc:AlternateContent>
    <mc:AlternateContent xmlns:mc="http://schemas.openxmlformats.org/markup-compatibility/2006">
      <mc:Choice Requires="x14">
        <control shapeId="70662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70662" r:id="rId6" name="cmdCheckTechDataSheet"/>
      </mc:Fallback>
    </mc:AlternateContent>
    <mc:AlternateContent xmlns:mc="http://schemas.openxmlformats.org/markup-compatibility/2006">
      <mc:Choice Requires="x14">
        <control shapeId="70661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70661" r:id="rId8" name="cmdAddParamQualifier"/>
      </mc:Fallback>
    </mc:AlternateContent>
    <mc:AlternateContent xmlns:mc="http://schemas.openxmlformats.org/markup-compatibility/2006">
      <mc:Choice Requires="x14">
        <control shapeId="70660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70660" r:id="rId10" name="cmdAddParameter"/>
      </mc:Fallback>
    </mc:AlternateContent>
    <mc:AlternateContent xmlns:mc="http://schemas.openxmlformats.org/markup-compatibility/2006">
      <mc:Choice Requires="x14">
        <control shapeId="70659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70659" r:id="rId12" name="cmdCommOUT"/>
      </mc:Fallback>
    </mc:AlternateContent>
    <mc:AlternateContent xmlns:mc="http://schemas.openxmlformats.org/markup-compatibility/2006">
      <mc:Choice Requires="x14">
        <control shapeId="70658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70658" r:id="rId14" name="cmdCommIN"/>
      </mc:Fallback>
    </mc:AlternateContent>
    <mc:AlternateContent xmlns:mc="http://schemas.openxmlformats.org/markup-compatibility/2006">
      <mc:Choice Requires="x14">
        <control shapeId="70657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70657" r:id="rId16" name="cmdTechNameAndDesc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24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12</v>
      </c>
      <c r="C7" s="1" t="s">
        <v>13</v>
      </c>
      <c r="D7" s="1" t="s">
        <v>16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7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9637" r:id="rId4" name="cmdRefreshUnits"/>
      </mc:Fallback>
    </mc:AlternateContent>
    <mc:AlternateContent xmlns:mc="http://schemas.openxmlformats.org/markup-compatibility/2006">
      <mc:Choice Requires="x14">
        <control shapeId="6963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9636" r:id="rId6" name="cmdCheckCommDataSheet"/>
      </mc:Fallback>
    </mc:AlternateContent>
    <mc:AlternateContent xmlns:mc="http://schemas.openxmlformats.org/markup-compatibility/2006">
      <mc:Choice Requires="x14">
        <control shapeId="69635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9635" r:id="rId8" name="cmdAddParamQualifier"/>
      </mc:Fallback>
    </mc:AlternateContent>
    <mc:AlternateContent xmlns:mc="http://schemas.openxmlformats.org/markup-compatibility/2006">
      <mc:Choice Requires="x14">
        <control shapeId="69634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9634" r:id="rId10" name="cmdCommNameAndDesc"/>
      </mc:Fallback>
    </mc:AlternateContent>
    <mc:AlternateContent xmlns:mc="http://schemas.openxmlformats.org/markup-compatibility/2006">
      <mc:Choice Requires="x14">
        <control shapeId="69633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9633" r:id="rId12" name="cmdAddParameter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23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2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8612" r:id="rId4" name="cmdRefreshUnits"/>
      </mc:Fallback>
    </mc:AlternateContent>
    <mc:AlternateContent xmlns:mc="http://schemas.openxmlformats.org/markup-compatibility/2006">
      <mc:Choice Requires="x14">
        <control shapeId="68611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8611" r:id="rId6" name="cmdConstraintUnit"/>
      </mc:Fallback>
    </mc:AlternateContent>
    <mc:AlternateContent xmlns:mc="http://schemas.openxmlformats.org/markup-compatibility/2006">
      <mc:Choice Requires="x14">
        <control shapeId="68610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8610" r:id="rId8" name="cmdCheckConstraintsSheet"/>
      </mc:Fallback>
    </mc:AlternateContent>
    <mc:AlternateContent xmlns:mc="http://schemas.openxmlformats.org/markup-compatibility/2006">
      <mc:Choice Requires="x14">
        <control shapeId="68609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8609" r:id="rId10" name="cmdConstraintSe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22</v>
      </c>
      <c r="B1" s="2"/>
    </row>
    <row r="4" spans="1:12" ht="18" customHeight="1" x14ac:dyDescent="0.25"/>
    <row r="7" spans="1:12" x14ac:dyDescent="0.25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67589" r:id="rId4" name="cmdRefreshUnits"/>
      </mc:Fallback>
    </mc:AlternateContent>
    <mc:AlternateContent xmlns:mc="http://schemas.openxmlformats.org/markup-compatibility/2006">
      <mc:Choice Requires="x14">
        <control shapeId="67588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7588" r:id="rId6" name="cmdTCAPUnit"/>
      </mc:Fallback>
    </mc:AlternateContent>
    <mc:AlternateContent xmlns:mc="http://schemas.openxmlformats.org/markup-compatibility/2006">
      <mc:Choice Requires="x14">
        <control shapeId="67587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7587" r:id="rId8" name="cmdTACTUnit"/>
      </mc:Fallback>
    </mc:AlternateContent>
    <mc:AlternateContent xmlns:mc="http://schemas.openxmlformats.org/markup-compatibility/2006">
      <mc:Choice Requires="x14">
        <control shapeId="67586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10" name="cmdCheckTechnologiesSheet"/>
      </mc:Fallback>
    </mc:AlternateContent>
    <mc:AlternateContent xmlns:mc="http://schemas.openxmlformats.org/markup-compatibility/2006">
      <mc:Choice Requires="x14">
        <control shapeId="6758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67585" r:id="rId12" name="cmdTechnologySets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21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7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66567" r:id="rId4" name="cmdRefreshUnits"/>
      </mc:Fallback>
    </mc:AlternateContent>
    <mc:AlternateContent xmlns:mc="http://schemas.openxmlformats.org/markup-compatibility/2006">
      <mc:Choice Requires="x14">
        <control shapeId="66566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66566" r:id="rId6" name="cmdCommUnit"/>
      </mc:Fallback>
    </mc:AlternateContent>
    <mc:AlternateContent xmlns:mc="http://schemas.openxmlformats.org/markup-compatibility/2006">
      <mc:Choice Requires="x14">
        <control shapeId="66565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66565" r:id="rId8" name="cmdCheckCommoditiesSheet"/>
      </mc:Fallback>
    </mc:AlternateContent>
    <mc:AlternateContent xmlns:mc="http://schemas.openxmlformats.org/markup-compatibility/2006">
      <mc:Choice Requires="x14">
        <control shapeId="66564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66564" r:id="rId10" name="cmdMaterialSets"/>
      </mc:Fallback>
    </mc:AlternateContent>
    <mc:AlternateContent xmlns:mc="http://schemas.openxmlformats.org/markup-compatibility/2006">
      <mc:Choice Requires="x14">
        <control shapeId="66563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66563" r:id="rId12" name="cmdEmissionSets"/>
      </mc:Fallback>
    </mc:AlternateContent>
    <mc:AlternateContent xmlns:mc="http://schemas.openxmlformats.org/markup-compatibility/2006">
      <mc:Choice Requires="x14">
        <control shapeId="66562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66562" r:id="rId14" name="cmdDemandSets"/>
      </mc:Fallback>
    </mc:AlternateContent>
    <mc:AlternateContent xmlns:mc="http://schemas.openxmlformats.org/markup-compatibility/2006">
      <mc:Choice Requires="x14">
        <control shapeId="66561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66561" r:id="rId16" name="cmdEnergySe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066C7-23CC-434B-8BAA-83028C3FE282}"/>
</file>

<file path=customXml/itemProps2.xml><?xml version="1.0" encoding="utf-8"?>
<ds:datastoreItem xmlns:ds="http://schemas.openxmlformats.org/officeDocument/2006/customXml" ds:itemID="{7E1413BE-4395-41CC-A166-E34858D47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SEC_Process</vt:lpstr>
      <vt:lpstr>Process_Charac_Dom</vt:lpstr>
      <vt:lpstr>Process_Charac_ImpExp</vt:lpstr>
      <vt:lpstr>Process_Charac_NGtoSectors</vt:lpstr>
      <vt:lpstr>Process_Charac_MinEmis</vt:lpstr>
      <vt:lpstr>Emissions_deliv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2005-06-23T04:07:43Z</cp:lastPrinted>
  <dcterms:created xsi:type="dcterms:W3CDTF">2005-05-01T12:39:10Z</dcterms:created>
  <dcterms:modified xsi:type="dcterms:W3CDTF">2020-06-15T21:19:39Z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105888009071350</vt:r8>
  </property>
  <property fmtid="{D5CDD505-2E9C-101B-9397-08002B2CF9AE}" pid="3" name="WorkbookGuid">
    <vt:lpwstr>3bbc28a0-01ca-4725-9e5a-3636fb085e83</vt:lpwstr>
  </property>
</Properties>
</file>