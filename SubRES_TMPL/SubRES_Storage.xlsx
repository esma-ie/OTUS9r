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VEDA\VEDA_Models\EPAUS9rT_v18.1.1\SubRES_Tmpl\"/>
    </mc:Choice>
  </mc:AlternateContent>
  <xr:revisionPtr revIDLastSave="0" documentId="13_ncr:1_{A6630A00-6F43-4A0B-95B0-6DF3E50FCF16}" xr6:coauthVersionLast="44" xr6:coauthVersionMax="44" xr10:uidLastSave="{00000000-0000-0000-0000-000000000000}"/>
  <bookViews>
    <workbookView xWindow="-60" yWindow="-60" windowWidth="28920" windowHeight="15660" xr2:uid="{00000000-000D-0000-FFFF-FFFF00000000}"/>
  </bookViews>
  <sheets>
    <sheet name="ELC_Storage" sheetId="2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U5" i="25" l="1"/>
  <c r="L5" i="25"/>
  <c r="J5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N3" authorId="0" shapeId="0" xr:uid="{717C8C95-90CA-452E-8F6A-C96F93836089}">
      <text>
        <r>
          <rPr>
            <b/>
            <sz val="8"/>
            <color indexed="81"/>
            <rFont val="Tahoma"/>
            <charset val="1"/>
          </rPr>
          <t>Amit:</t>
        </r>
        <r>
          <rPr>
            <sz val="8"/>
            <color indexed="81"/>
            <rFont val="Tahoma"/>
            <charset val="1"/>
          </rPr>
          <t xml:space="preserve">
9/26/2019
cost in USD16 - to be converted to USD05</t>
        </r>
      </text>
    </comment>
  </commentList>
</comments>
</file>

<file path=xl/sharedStrings.xml><?xml version="1.0" encoding="utf-8"?>
<sst xmlns="http://schemas.openxmlformats.org/spreadsheetml/2006/main" count="25" uniqueCount="23">
  <si>
    <t>TechName</t>
  </si>
  <si>
    <t>Comm-IN</t>
  </si>
  <si>
    <t>Comm-OUT</t>
  </si>
  <si>
    <t>~FI_Process</t>
  </si>
  <si>
    <t>Sets</t>
  </si>
  <si>
    <t>TechDesc</t>
  </si>
  <si>
    <t>Tslvl</t>
  </si>
  <si>
    <t>Tact</t>
  </si>
  <si>
    <t>Tcap</t>
  </si>
  <si>
    <t>DAYNITE</t>
  </si>
  <si>
    <t>GW</t>
  </si>
  <si>
    <t>ELC</t>
  </si>
  <si>
    <t>TBTU</t>
  </si>
  <si>
    <t>Region</t>
  </si>
  <si>
    <t>S_EFF</t>
  </si>
  <si>
    <t>TimeSlice</t>
  </si>
  <si>
    <t>CommGrp</t>
  </si>
  <si>
    <t>AFC</t>
  </si>
  <si>
    <t>ACT</t>
  </si>
  <si>
    <t>ELE,STG</t>
  </si>
  <si>
    <t>EN_STG8hbNREL</t>
  </si>
  <si>
    <t>8 hour battery (from NREL)</t>
  </si>
  <si>
    <t>~FI_T: INVCOST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</si>
</sst>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\Te\x\t"/>
    <numFmt numFmtId="166" formatCode="m\o\n\th\ d\,\ yyyy"/>
    <numFmt numFmtId="167" formatCode="#.00"/>
    <numFmt numFmtId="168" formatCode="#."/>
  </numFmts>
  <fonts count="1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4"/>
      <name val="Calibri"/>
      <family val="2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26">
    <xf numFmtId="0" fontId="0" fillId="0" borderId="0"/>
    <xf numFmtId="0" fontId="7" fillId="0" borderId="1" applyNumberFormat="0" applyFont="0" applyProtection="0">
      <alignment wrapText="1"/>
    </xf>
    <xf numFmtId="43" fontId="6" fillId="0" borderId="0" applyFont="0" applyFill="0" applyBorder="0" applyAlignment="0" applyProtection="0"/>
    <xf numFmtId="166" fontId="3" fillId="0" borderId="0">
      <protection locked="0"/>
    </xf>
    <xf numFmtId="167" fontId="3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Protection="0">
      <alignment vertical="top" wrapText="1"/>
    </xf>
    <xf numFmtId="0" fontId="7" fillId="0" borderId="2" applyNumberFormat="0" applyProtection="0">
      <alignment vertical="top" wrapText="1"/>
    </xf>
    <xf numFmtId="0" fontId="8" fillId="0" borderId="3" applyNumberFormat="0" applyProtection="0">
      <alignment wrapText="1"/>
    </xf>
    <xf numFmtId="0" fontId="8" fillId="0" borderId="4" applyNumberFormat="0" applyProtection="0">
      <alignment horizontal="left" wrapText="1"/>
    </xf>
    <xf numFmtId="168" fontId="4" fillId="0" borderId="0">
      <protection locked="0"/>
    </xf>
    <xf numFmtId="168" fontId="4" fillId="0" borderId="0">
      <protection locked="0"/>
    </xf>
    <xf numFmtId="0" fontId="9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5" fillId="0" borderId="0"/>
    <xf numFmtId="0" fontId="10" fillId="0" borderId="0"/>
    <xf numFmtId="0" fontId="11" fillId="0" borderId="0"/>
    <xf numFmtId="0" fontId="8" fillId="0" borderId="5" applyNumberFormat="0" applyProtection="0">
      <alignment wrapText="1"/>
    </xf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6" applyNumberFormat="0" applyFont="0" applyFill="0" applyProtection="0">
      <alignment wrapText="1"/>
    </xf>
    <xf numFmtId="0" fontId="8" fillId="0" borderId="7" applyNumberFormat="0" applyFill="0" applyProtection="0">
      <alignment wrapText="1"/>
    </xf>
    <xf numFmtId="0" fontId="2" fillId="0" borderId="0"/>
    <xf numFmtId="0" fontId="12" fillId="0" borderId="0" applyNumberFormat="0" applyProtection="0">
      <alignment horizontal="left"/>
    </xf>
  </cellStyleXfs>
  <cellXfs count="2">
    <xf numFmtId="0" fontId="0" fillId="0" borderId="0" xfId="0"/>
    <xf numFmtId="165" fontId="0" fillId="0" borderId="0" xfId="0" applyNumberFormat="1"/>
  </cellXfs>
  <cellStyles count="26">
    <cellStyle name="Body: normal cell" xfId="1" xr:uid="{00000000-0005-0000-0000-000000000000}"/>
    <cellStyle name="Comma 2" xfId="2" xr:uid="{00000000-0005-0000-0000-000001000000}"/>
    <cellStyle name="Date" xfId="3" xr:uid="{00000000-0005-0000-0000-000002000000}"/>
    <cellStyle name="Fixed" xfId="4" xr:uid="{00000000-0005-0000-0000-000003000000}"/>
    <cellStyle name="Font: Calibri, 9pt regular" xfId="5" xr:uid="{00000000-0005-0000-0000-000004000000}"/>
    <cellStyle name="Footnotes: all except top row" xfId="6" xr:uid="{00000000-0005-0000-0000-000005000000}"/>
    <cellStyle name="Footnotes: top row" xfId="7" xr:uid="{00000000-0005-0000-0000-000006000000}"/>
    <cellStyle name="Header: bottom row" xfId="8" xr:uid="{00000000-0005-0000-0000-000007000000}"/>
    <cellStyle name="Header: top rows" xfId="9" xr:uid="{00000000-0005-0000-0000-000008000000}"/>
    <cellStyle name="Heading1" xfId="10" xr:uid="{00000000-0005-0000-0000-000009000000}"/>
    <cellStyle name="Heading2" xfId="11" xr:uid="{00000000-0005-0000-0000-00000A000000}"/>
    <cellStyle name="Hyperlink 2" xfId="12" xr:uid="{00000000-0005-0000-0000-00000B000000}"/>
    <cellStyle name="Normal" xfId="0" builtinId="0"/>
    <cellStyle name="Normal 2" xfId="13" xr:uid="{00000000-0005-0000-0000-00000E000000}"/>
    <cellStyle name="Normal 2 2" xfId="14" xr:uid="{00000000-0005-0000-0000-00000F000000}"/>
    <cellStyle name="Normal 2 3" xfId="15" xr:uid="{00000000-0005-0000-0000-000010000000}"/>
    <cellStyle name="Normal 3" xfId="16" xr:uid="{00000000-0005-0000-0000-000011000000}"/>
    <cellStyle name="Normal 4" xfId="17" xr:uid="{00000000-0005-0000-0000-000012000000}"/>
    <cellStyle name="Normal 5" xfId="18" xr:uid="{00000000-0005-0000-0000-000013000000}"/>
    <cellStyle name="Parent row" xfId="19" xr:uid="{00000000-0005-0000-0000-000014000000}"/>
    <cellStyle name="Percent 2" xfId="20" xr:uid="{00000000-0005-0000-0000-000016000000}"/>
    <cellStyle name="Percent 3" xfId="21" xr:uid="{00000000-0005-0000-0000-000017000000}"/>
    <cellStyle name="Section Break" xfId="22" xr:uid="{00000000-0005-0000-0000-000018000000}"/>
    <cellStyle name="Section Break: parent row" xfId="23" xr:uid="{00000000-0005-0000-0000-000019000000}"/>
    <cellStyle name="Standard_WEO 2008 - RE Technology Cost (status 27-03-2008)-ext" xfId="24" xr:uid="{00000000-0005-0000-0000-00001A000000}"/>
    <cellStyle name="Table title" xfId="25" xr:uid="{00000000-0005-0000-0000-00001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U6"/>
  <sheetViews>
    <sheetView tabSelected="1" workbookViewId="0">
      <selection activeCell="N3" sqref="N3"/>
    </sheetView>
  </sheetViews>
  <sheetFormatPr defaultRowHeight="15"/>
  <cols>
    <col min="2" max="2" width="11.28515625" bestFit="1" customWidth="1"/>
    <col min="3" max="3" width="7.140625" bestFit="1" customWidth="1"/>
    <col min="4" max="4" width="12" bestFit="1" customWidth="1"/>
    <col min="5" max="5" width="15.85546875" bestFit="1" customWidth="1"/>
    <col min="6" max="6" width="5.42578125" bestFit="1" customWidth="1"/>
    <col min="7" max="7" width="7.140625" bestFit="1" customWidth="1"/>
    <col min="8" max="8" width="5" bestFit="1" customWidth="1"/>
    <col min="10" max="10" width="12" bestFit="1" customWidth="1"/>
    <col min="11" max="11" width="9.42578125" bestFit="1" customWidth="1"/>
    <col min="12" max="12" width="11.140625" bestFit="1" customWidth="1"/>
    <col min="13" max="14" width="11.140625" customWidth="1"/>
    <col min="15" max="15" width="6" bestFit="1" customWidth="1"/>
  </cols>
  <sheetData>
    <row r="3" spans="2:21">
      <c r="B3" s="1" t="s">
        <v>3</v>
      </c>
      <c r="C3" s="1"/>
      <c r="D3" s="1"/>
      <c r="E3" s="1"/>
      <c r="F3" s="1"/>
      <c r="G3" s="1"/>
      <c r="H3" s="1"/>
      <c r="N3" t="s">
        <v>22</v>
      </c>
    </row>
    <row r="4" spans="2:21">
      <c r="B4" s="1" t="s">
        <v>4</v>
      </c>
      <c r="C4" s="1" t="s">
        <v>13</v>
      </c>
      <c r="D4" s="1" t="s">
        <v>0</v>
      </c>
      <c r="E4" s="1" t="s">
        <v>5</v>
      </c>
      <c r="F4" s="1" t="s">
        <v>7</v>
      </c>
      <c r="G4" s="1" t="s">
        <v>8</v>
      </c>
      <c r="H4" s="1" t="s">
        <v>6</v>
      </c>
      <c r="J4" t="s">
        <v>0</v>
      </c>
      <c r="K4" t="s">
        <v>1</v>
      </c>
      <c r="L4" t="s">
        <v>2</v>
      </c>
      <c r="M4" t="s">
        <v>16</v>
      </c>
      <c r="N4" t="s">
        <v>15</v>
      </c>
      <c r="O4" t="s">
        <v>14</v>
      </c>
      <c r="P4">
        <v>2015</v>
      </c>
      <c r="Q4">
        <v>2020</v>
      </c>
      <c r="R4">
        <v>2025</v>
      </c>
      <c r="S4">
        <v>2030</v>
      </c>
      <c r="T4">
        <v>2050</v>
      </c>
      <c r="U4" t="s">
        <v>17</v>
      </c>
    </row>
    <row r="5" spans="2:21">
      <c r="B5" s="1" t="s">
        <v>19</v>
      </c>
      <c r="C5" s="1"/>
      <c r="D5" s="1" t="s">
        <v>20</v>
      </c>
      <c r="E5" s="1" t="s">
        <v>21</v>
      </c>
      <c r="F5" s="1" t="s">
        <v>12</v>
      </c>
      <c r="G5" s="1" t="s">
        <v>10</v>
      </c>
      <c r="H5" s="1" t="s">
        <v>9</v>
      </c>
      <c r="J5" t="str">
        <f>D5</f>
        <v>EN_STG8hbNREL</v>
      </c>
      <c r="K5" t="s">
        <v>11</v>
      </c>
      <c r="L5" t="str">
        <f>K5</f>
        <v>ELC</v>
      </c>
      <c r="M5" t="s">
        <v>18</v>
      </c>
      <c r="N5" t="s">
        <v>9</v>
      </c>
      <c r="O5">
        <v>0.8</v>
      </c>
      <c r="P5">
        <v>4000</v>
      </c>
      <c r="Q5">
        <v>2900</v>
      </c>
      <c r="R5">
        <v>2400</v>
      </c>
      <c r="S5">
        <v>2100</v>
      </c>
      <c r="T5">
        <v>1700</v>
      </c>
      <c r="U5">
        <f>ROUND(8/24,2)</f>
        <v>0.33</v>
      </c>
    </row>
    <row r="6" spans="2:21">
      <c r="B6" s="1"/>
      <c r="C6" s="1"/>
      <c r="D6" s="1"/>
      <c r="E6" s="1"/>
      <c r="F6" s="1"/>
      <c r="G6" s="1"/>
      <c r="H6" s="1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F54247-72A0-4EC0-9964-9F37EF2235E1}"/>
</file>

<file path=customXml/itemProps2.xml><?xml version="1.0" encoding="utf-8"?>
<ds:datastoreItem xmlns:ds="http://schemas.openxmlformats.org/officeDocument/2006/customXml" ds:itemID="{392EB997-0AD8-4795-8719-DAD5C739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cp:lastPrinted>2008-07-01T10:28:28Z</cp:lastPrinted>
  <dcterms:created xsi:type="dcterms:W3CDTF">2008-03-25T10:08:51Z</dcterms:created>
  <dcterms:modified xsi:type="dcterms:W3CDTF">2019-09-26T09:05:43Z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308956325054168</vt:r8>
  </property>
</Properties>
</file>