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2.0_localhost_2.18.1.1\Veda\Veda_models\EPAUS9rT_v20.4\SubRES_TMPL\"/>
    </mc:Choice>
  </mc:AlternateContent>
  <xr:revisionPtr revIDLastSave="0" documentId="13_ncr:1_{3E949276-B8C4-4F15-B6C8-CD98D4DC6A4F}" xr6:coauthVersionLast="47" xr6:coauthVersionMax="47" xr10:uidLastSave="{00000000-0000-0000-0000-000000000000}"/>
  <bookViews>
    <workbookView xWindow="380" yWindow="380" windowWidth="14400" windowHeight="7350" activeTab="1" xr2:uid="{00000000-000D-0000-FFFF-FFFF00000000}"/>
  </bookViews>
  <sheets>
    <sheet name="Fill table" sheetId="22" r:id="rId1"/>
    <sheet name="BaseCoalPlants" sheetId="23" r:id="rId2"/>
    <sheet name="LifeExtn techs" sheetId="24" r:id="rId3"/>
    <sheet name="Tech availbility" sheetId="25" r:id="rId4"/>
  </sheets>
  <definedNames>
    <definedName name="_xlnm._FilterDatabase" localSheetId="2" hidden="1">'LifeExtn techs'!$X$3:$AH$1563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368" i="24" l="1"/>
  <c r="U368" i="24"/>
  <c r="T368" i="24"/>
  <c r="S368" i="24"/>
  <c r="R368" i="24"/>
  <c r="Q368" i="24"/>
  <c r="P368" i="24"/>
  <c r="O368" i="24"/>
  <c r="N368" i="24"/>
  <c r="M368" i="24"/>
  <c r="V367" i="24"/>
  <c r="U367" i="24"/>
  <c r="T367" i="24"/>
  <c r="S367" i="24"/>
  <c r="R367" i="24"/>
  <c r="Q367" i="24"/>
  <c r="P367" i="24"/>
  <c r="O367" i="24"/>
  <c r="N367" i="24"/>
  <c r="M367" i="24"/>
  <c r="V366" i="24"/>
  <c r="U366" i="24"/>
  <c r="T366" i="24"/>
  <c r="S366" i="24"/>
  <c r="R366" i="24"/>
  <c r="Q366" i="24"/>
  <c r="P366" i="24"/>
  <c r="O366" i="24"/>
  <c r="N366" i="24"/>
  <c r="M366" i="24"/>
  <c r="V365" i="24"/>
  <c r="U365" i="24"/>
  <c r="T365" i="24"/>
  <c r="S365" i="24"/>
  <c r="R365" i="24"/>
  <c r="Q365" i="24"/>
  <c r="P365" i="24"/>
  <c r="O365" i="24"/>
  <c r="N365" i="24"/>
  <c r="M365" i="24"/>
  <c r="V364" i="24"/>
  <c r="U364" i="24"/>
  <c r="T364" i="24"/>
  <c r="S364" i="24"/>
  <c r="R364" i="24"/>
  <c r="Q364" i="24"/>
  <c r="P364" i="24"/>
  <c r="O364" i="24"/>
  <c r="N364" i="24"/>
  <c r="M364" i="24"/>
  <c r="V363" i="24"/>
  <c r="U363" i="24"/>
  <c r="T363" i="24"/>
  <c r="S363" i="24"/>
  <c r="R363" i="24"/>
  <c r="Q363" i="24"/>
  <c r="P363" i="24"/>
  <c r="O363" i="24"/>
  <c r="N363" i="24"/>
  <c r="M363" i="24"/>
  <c r="V362" i="24"/>
  <c r="U362" i="24"/>
  <c r="T362" i="24"/>
  <c r="S362" i="24"/>
  <c r="R362" i="24"/>
  <c r="Q362" i="24"/>
  <c r="P362" i="24"/>
  <c r="O362" i="24"/>
  <c r="N362" i="24"/>
  <c r="M362" i="24"/>
  <c r="V361" i="24"/>
  <c r="U361" i="24"/>
  <c r="T361" i="24"/>
  <c r="S361" i="24"/>
  <c r="R361" i="24"/>
  <c r="Q361" i="24"/>
  <c r="P361" i="24"/>
  <c r="O361" i="24"/>
  <c r="N361" i="24"/>
  <c r="M361" i="24"/>
  <c r="V360" i="24"/>
  <c r="U360" i="24"/>
  <c r="T360" i="24"/>
  <c r="S360" i="24"/>
  <c r="R360" i="24"/>
  <c r="Q360" i="24"/>
  <c r="P360" i="24"/>
  <c r="O360" i="24"/>
  <c r="N360" i="24"/>
  <c r="M360" i="24"/>
  <c r="V359" i="24"/>
  <c r="U359" i="24"/>
  <c r="T359" i="24"/>
  <c r="S359" i="24"/>
  <c r="R359" i="24"/>
  <c r="Q359" i="24"/>
  <c r="P359" i="24"/>
  <c r="O359" i="24"/>
  <c r="N359" i="24"/>
  <c r="M359" i="24"/>
  <c r="V358" i="24"/>
  <c r="U358" i="24"/>
  <c r="T358" i="24"/>
  <c r="S358" i="24"/>
  <c r="R358" i="24"/>
  <c r="Q358" i="24"/>
  <c r="P358" i="24"/>
  <c r="O358" i="24"/>
  <c r="N358" i="24"/>
  <c r="M358" i="24"/>
  <c r="N347" i="24" l="1"/>
  <c r="M347" i="24" s="1"/>
  <c r="O347" i="24"/>
  <c r="P347" i="24"/>
  <c r="Q347" i="24"/>
  <c r="R347" i="24"/>
  <c r="S347" i="24"/>
  <c r="T347" i="24"/>
  <c r="U347" i="24"/>
  <c r="V347" i="24"/>
  <c r="N348" i="24"/>
  <c r="M348" i="24" s="1"/>
  <c r="O348" i="24"/>
  <c r="P348" i="24"/>
  <c r="Q348" i="24"/>
  <c r="R348" i="24"/>
  <c r="S348" i="24"/>
  <c r="T348" i="24"/>
  <c r="U348" i="24"/>
  <c r="V348" i="24"/>
  <c r="N349" i="24"/>
  <c r="M349" i="24" s="1"/>
  <c r="O349" i="24"/>
  <c r="P349" i="24"/>
  <c r="Q349" i="24"/>
  <c r="R349" i="24"/>
  <c r="S349" i="24"/>
  <c r="T349" i="24"/>
  <c r="U349" i="24"/>
  <c r="V349" i="24"/>
  <c r="N350" i="24"/>
  <c r="M350" i="24" s="1"/>
  <c r="O350" i="24"/>
  <c r="P350" i="24"/>
  <c r="Q350" i="24"/>
  <c r="R350" i="24"/>
  <c r="S350" i="24"/>
  <c r="T350" i="24"/>
  <c r="U350" i="24"/>
  <c r="V350" i="24"/>
  <c r="N351" i="24"/>
  <c r="M351" i="24" s="1"/>
  <c r="O351" i="24"/>
  <c r="P351" i="24"/>
  <c r="Q351" i="24"/>
  <c r="R351" i="24"/>
  <c r="S351" i="24"/>
  <c r="T351" i="24"/>
  <c r="U351" i="24"/>
  <c r="V351" i="24"/>
  <c r="N352" i="24"/>
  <c r="M352" i="24" s="1"/>
  <c r="O352" i="24"/>
  <c r="P352" i="24"/>
  <c r="Q352" i="24"/>
  <c r="R352" i="24"/>
  <c r="S352" i="24"/>
  <c r="T352" i="24"/>
  <c r="U352" i="24"/>
  <c r="V352" i="24"/>
  <c r="N353" i="24"/>
  <c r="M353" i="24" s="1"/>
  <c r="O353" i="24"/>
  <c r="P353" i="24"/>
  <c r="Q353" i="24"/>
  <c r="R353" i="24"/>
  <c r="S353" i="24"/>
  <c r="T353" i="24"/>
  <c r="U353" i="24"/>
  <c r="V353" i="24"/>
  <c r="N354" i="24"/>
  <c r="M354" i="24" s="1"/>
  <c r="O354" i="24"/>
  <c r="P354" i="24"/>
  <c r="Q354" i="24"/>
  <c r="R354" i="24"/>
  <c r="S354" i="24"/>
  <c r="T354" i="24"/>
  <c r="U354" i="24"/>
  <c r="V354" i="24"/>
  <c r="N311" i="24" l="1"/>
  <c r="O311" i="24"/>
  <c r="P311" i="24"/>
  <c r="Q311" i="24"/>
  <c r="R311" i="24"/>
  <c r="S311" i="24"/>
  <c r="T311" i="24"/>
  <c r="U311" i="24"/>
  <c r="V311" i="24"/>
  <c r="N312" i="24"/>
  <c r="O312" i="24"/>
  <c r="P312" i="24"/>
  <c r="Q312" i="24"/>
  <c r="R312" i="24"/>
  <c r="S312" i="24"/>
  <c r="T312" i="24"/>
  <c r="U312" i="24"/>
  <c r="V312" i="24"/>
  <c r="N313" i="24"/>
  <c r="O313" i="24"/>
  <c r="P313" i="24"/>
  <c r="Q313" i="24"/>
  <c r="R313" i="24"/>
  <c r="S313" i="24"/>
  <c r="T313" i="24"/>
  <c r="U313" i="24"/>
  <c r="V313" i="24"/>
  <c r="N314" i="24"/>
  <c r="O314" i="24"/>
  <c r="P314" i="24"/>
  <c r="Q314" i="24"/>
  <c r="R314" i="24"/>
  <c r="S314" i="24"/>
  <c r="T314" i="24"/>
  <c r="U314" i="24"/>
  <c r="V314" i="24"/>
  <c r="N315" i="24"/>
  <c r="O315" i="24"/>
  <c r="P315" i="24"/>
  <c r="Q315" i="24"/>
  <c r="R315" i="24"/>
  <c r="S315" i="24"/>
  <c r="T315" i="24"/>
  <c r="U315" i="24"/>
  <c r="V315" i="24"/>
  <c r="N316" i="24"/>
  <c r="O316" i="24"/>
  <c r="P316" i="24"/>
  <c r="Q316" i="24"/>
  <c r="R316" i="24"/>
  <c r="S316" i="24"/>
  <c r="T316" i="24"/>
  <c r="U316" i="24"/>
  <c r="V316" i="24"/>
  <c r="N317" i="24"/>
  <c r="O317" i="24"/>
  <c r="P317" i="24"/>
  <c r="Q317" i="24"/>
  <c r="R317" i="24"/>
  <c r="S317" i="24"/>
  <c r="T317" i="24"/>
  <c r="U317" i="24"/>
  <c r="V317" i="24"/>
  <c r="N318" i="24"/>
  <c r="O318" i="24"/>
  <c r="P318" i="24"/>
  <c r="Q318" i="24"/>
  <c r="R318" i="24"/>
  <c r="S318" i="24"/>
  <c r="T318" i="24"/>
  <c r="U318" i="24"/>
  <c r="V318" i="24"/>
  <c r="N319" i="24"/>
  <c r="O319" i="24"/>
  <c r="P319" i="24"/>
  <c r="Q319" i="24"/>
  <c r="R319" i="24"/>
  <c r="S319" i="24"/>
  <c r="T319" i="24"/>
  <c r="U319" i="24"/>
  <c r="V319" i="24"/>
  <c r="N320" i="24"/>
  <c r="O320" i="24"/>
  <c r="P320" i="24"/>
  <c r="Q320" i="24"/>
  <c r="R320" i="24"/>
  <c r="S320" i="24"/>
  <c r="T320" i="24"/>
  <c r="U320" i="24"/>
  <c r="V320" i="24"/>
  <c r="N321" i="24"/>
  <c r="O321" i="24"/>
  <c r="P321" i="24"/>
  <c r="Q321" i="24"/>
  <c r="R321" i="24"/>
  <c r="S321" i="24"/>
  <c r="T321" i="24"/>
  <c r="U321" i="24"/>
  <c r="V321" i="24"/>
  <c r="N322" i="24"/>
  <c r="O322" i="24"/>
  <c r="P322" i="24"/>
  <c r="Q322" i="24"/>
  <c r="R322" i="24"/>
  <c r="S322" i="24"/>
  <c r="T322" i="24"/>
  <c r="U322" i="24"/>
  <c r="V322" i="24"/>
  <c r="N323" i="24"/>
  <c r="O323" i="24"/>
  <c r="P323" i="24"/>
  <c r="Q323" i="24"/>
  <c r="R323" i="24"/>
  <c r="S323" i="24"/>
  <c r="T323" i="24"/>
  <c r="U323" i="24"/>
  <c r="V323" i="24"/>
  <c r="N324" i="24"/>
  <c r="O324" i="24"/>
  <c r="P324" i="24"/>
  <c r="Q324" i="24"/>
  <c r="R324" i="24"/>
  <c r="S324" i="24"/>
  <c r="T324" i="24"/>
  <c r="U324" i="24"/>
  <c r="V324" i="24"/>
  <c r="N325" i="24"/>
  <c r="O325" i="24"/>
  <c r="P325" i="24"/>
  <c r="Q325" i="24"/>
  <c r="R325" i="24"/>
  <c r="S325" i="24"/>
  <c r="T325" i="24"/>
  <c r="U325" i="24"/>
  <c r="V325" i="24"/>
  <c r="N326" i="24"/>
  <c r="O326" i="24"/>
  <c r="P326" i="24"/>
  <c r="Q326" i="24"/>
  <c r="R326" i="24"/>
  <c r="S326" i="24"/>
  <c r="T326" i="24"/>
  <c r="U326" i="24"/>
  <c r="V326" i="24"/>
  <c r="N327" i="24"/>
  <c r="O327" i="24"/>
  <c r="P327" i="24"/>
  <c r="Q327" i="24"/>
  <c r="R327" i="24"/>
  <c r="S327" i="24"/>
  <c r="T327" i="24"/>
  <c r="U327" i="24"/>
  <c r="V327" i="24"/>
  <c r="N328" i="24"/>
  <c r="O328" i="24"/>
  <c r="P328" i="24"/>
  <c r="Q328" i="24"/>
  <c r="R328" i="24"/>
  <c r="S328" i="24"/>
  <c r="T328" i="24"/>
  <c r="U328" i="24"/>
  <c r="V328" i="24"/>
  <c r="R93" i="24"/>
  <c r="S127" i="24"/>
  <c r="R139" i="24"/>
  <c r="T145" i="24"/>
  <c r="P151" i="24"/>
  <c r="S157" i="24"/>
  <c r="U163" i="24"/>
  <c r="U171" i="24"/>
  <c r="S175" i="24"/>
  <c r="O179" i="24"/>
  <c r="N183" i="24"/>
  <c r="N187" i="24"/>
  <c r="S190" i="24"/>
  <c r="N194" i="24"/>
  <c r="T198" i="24"/>
  <c r="O201" i="24"/>
  <c r="U205" i="24"/>
  <c r="P58" i="24"/>
  <c r="T60" i="24"/>
  <c r="Q65" i="24"/>
  <c r="U67" i="24"/>
  <c r="R23" i="24"/>
  <c r="P25" i="24"/>
  <c r="U26" i="24"/>
  <c r="N28" i="24"/>
  <c r="S29" i="24"/>
  <c r="U30" i="24"/>
  <c r="Q32" i="24"/>
  <c r="V33" i="24"/>
  <c r="O35" i="24"/>
  <c r="T36" i="24"/>
  <c r="V37" i="24"/>
  <c r="R39" i="24"/>
  <c r="N41" i="24"/>
  <c r="P42" i="24"/>
  <c r="U43" i="24"/>
  <c r="N45" i="24"/>
  <c r="S46" i="24"/>
  <c r="O48" i="24"/>
  <c r="Q49" i="24"/>
  <c r="V50" i="24"/>
  <c r="O52" i="24"/>
  <c r="T53" i="24"/>
  <c r="P55" i="24"/>
  <c r="R21" i="24"/>
  <c r="P15" i="24"/>
  <c r="U16" i="24"/>
  <c r="Q18" i="24"/>
  <c r="S19" i="24"/>
  <c r="W263" i="23"/>
  <c r="N261" i="24" s="1"/>
  <c r="X263" i="23"/>
  <c r="O261" i="24" s="1"/>
  <c r="Y263" i="23"/>
  <c r="P261" i="24" s="1"/>
  <c r="Z263" i="23"/>
  <c r="Q261" i="24" s="1"/>
  <c r="AA263" i="23"/>
  <c r="R261" i="24" s="1"/>
  <c r="AB263" i="23"/>
  <c r="S261" i="24" s="1"/>
  <c r="AC263" i="23"/>
  <c r="T261" i="24" s="1"/>
  <c r="AD263" i="23"/>
  <c r="U261" i="24" s="1"/>
  <c r="AE263" i="23"/>
  <c r="V261" i="24" s="1"/>
  <c r="W264" i="23"/>
  <c r="N262" i="24" s="1"/>
  <c r="X264" i="23"/>
  <c r="O262" i="24" s="1"/>
  <c r="Y264" i="23"/>
  <c r="P262" i="24" s="1"/>
  <c r="Z264" i="23"/>
  <c r="Q262" i="24" s="1"/>
  <c r="AA264" i="23"/>
  <c r="R262" i="24" s="1"/>
  <c r="AB264" i="23"/>
  <c r="S262" i="24" s="1"/>
  <c r="AC264" i="23"/>
  <c r="T262" i="24" s="1"/>
  <c r="AD264" i="23"/>
  <c r="U262" i="24" s="1"/>
  <c r="AE264" i="23"/>
  <c r="V262" i="24" s="1"/>
  <c r="W265" i="23"/>
  <c r="N263" i="24" s="1"/>
  <c r="X265" i="23"/>
  <c r="O263" i="24" s="1"/>
  <c r="Y265" i="23"/>
  <c r="P263" i="24" s="1"/>
  <c r="Z265" i="23"/>
  <c r="Q263" i="24" s="1"/>
  <c r="AA265" i="23"/>
  <c r="R263" i="24" s="1"/>
  <c r="AB265" i="23"/>
  <c r="S263" i="24" s="1"/>
  <c r="AC265" i="23"/>
  <c r="T263" i="24" s="1"/>
  <c r="AD265" i="23"/>
  <c r="U263" i="24" s="1"/>
  <c r="AE265" i="23"/>
  <c r="V263" i="24" s="1"/>
  <c r="W266" i="23"/>
  <c r="N264" i="24" s="1"/>
  <c r="X266" i="23"/>
  <c r="O264" i="24" s="1"/>
  <c r="Y266" i="23"/>
  <c r="P264" i="24" s="1"/>
  <c r="Z266" i="23"/>
  <c r="Q264" i="24" s="1"/>
  <c r="AA266" i="23"/>
  <c r="R264" i="24" s="1"/>
  <c r="AB266" i="23"/>
  <c r="S264" i="24" s="1"/>
  <c r="AC266" i="23"/>
  <c r="T264" i="24" s="1"/>
  <c r="AD266" i="23"/>
  <c r="U264" i="24" s="1"/>
  <c r="AE266" i="23"/>
  <c r="V264" i="24" s="1"/>
  <c r="W267" i="23"/>
  <c r="N265" i="24" s="1"/>
  <c r="X267" i="23"/>
  <c r="O265" i="24" s="1"/>
  <c r="Y267" i="23"/>
  <c r="P265" i="24" s="1"/>
  <c r="Z267" i="23"/>
  <c r="Q265" i="24" s="1"/>
  <c r="AA267" i="23"/>
  <c r="R265" i="24" s="1"/>
  <c r="AB267" i="23"/>
  <c r="S265" i="24" s="1"/>
  <c r="AC267" i="23"/>
  <c r="T265" i="24" s="1"/>
  <c r="AD267" i="23"/>
  <c r="U265" i="24" s="1"/>
  <c r="AE267" i="23"/>
  <c r="V265" i="24" s="1"/>
  <c r="W268" i="23"/>
  <c r="N266" i="24" s="1"/>
  <c r="X268" i="23"/>
  <c r="O266" i="24" s="1"/>
  <c r="Y268" i="23"/>
  <c r="P266" i="24" s="1"/>
  <c r="Z268" i="23"/>
  <c r="Q266" i="24" s="1"/>
  <c r="AA268" i="23"/>
  <c r="R266" i="24" s="1"/>
  <c r="AB268" i="23"/>
  <c r="S266" i="24" s="1"/>
  <c r="AC268" i="23"/>
  <c r="T266" i="24" s="1"/>
  <c r="AD268" i="23"/>
  <c r="U266" i="24" s="1"/>
  <c r="AE268" i="23"/>
  <c r="V266" i="24" s="1"/>
  <c r="W269" i="23"/>
  <c r="N267" i="24" s="1"/>
  <c r="X269" i="23"/>
  <c r="O267" i="24" s="1"/>
  <c r="Y269" i="23"/>
  <c r="P267" i="24" s="1"/>
  <c r="Z269" i="23"/>
  <c r="Q267" i="24" s="1"/>
  <c r="AA269" i="23"/>
  <c r="R267" i="24" s="1"/>
  <c r="AB269" i="23"/>
  <c r="S267" i="24" s="1"/>
  <c r="AC269" i="23"/>
  <c r="T267" i="24" s="1"/>
  <c r="AD269" i="23"/>
  <c r="U267" i="24" s="1"/>
  <c r="AE269" i="23"/>
  <c r="V267" i="24" s="1"/>
  <c r="W270" i="23"/>
  <c r="N268" i="24" s="1"/>
  <c r="X270" i="23"/>
  <c r="O268" i="24" s="1"/>
  <c r="Y270" i="23"/>
  <c r="P268" i="24" s="1"/>
  <c r="Z270" i="23"/>
  <c r="Q268" i="24" s="1"/>
  <c r="AA270" i="23"/>
  <c r="R268" i="24" s="1"/>
  <c r="AB270" i="23"/>
  <c r="S268" i="24" s="1"/>
  <c r="AC270" i="23"/>
  <c r="T268" i="24" s="1"/>
  <c r="AD270" i="23"/>
  <c r="U268" i="24" s="1"/>
  <c r="AE270" i="23"/>
  <c r="V268" i="24" s="1"/>
  <c r="W271" i="23"/>
  <c r="N269" i="24" s="1"/>
  <c r="X271" i="23"/>
  <c r="O269" i="24" s="1"/>
  <c r="Y271" i="23"/>
  <c r="P269" i="24" s="1"/>
  <c r="Z271" i="23"/>
  <c r="Q269" i="24" s="1"/>
  <c r="AA271" i="23"/>
  <c r="R269" i="24" s="1"/>
  <c r="AB271" i="23"/>
  <c r="S269" i="24" s="1"/>
  <c r="AC271" i="23"/>
  <c r="T269" i="24" s="1"/>
  <c r="AD271" i="23"/>
  <c r="U269" i="24" s="1"/>
  <c r="AE271" i="23"/>
  <c r="V269" i="24" s="1"/>
  <c r="W272" i="23"/>
  <c r="N270" i="24" s="1"/>
  <c r="X272" i="23"/>
  <c r="O270" i="24" s="1"/>
  <c r="Y272" i="23"/>
  <c r="P270" i="24" s="1"/>
  <c r="Z272" i="23"/>
  <c r="Q270" i="24" s="1"/>
  <c r="AA272" i="23"/>
  <c r="R270" i="24" s="1"/>
  <c r="AB272" i="23"/>
  <c r="S270" i="24" s="1"/>
  <c r="AC272" i="23"/>
  <c r="T270" i="24" s="1"/>
  <c r="AD272" i="23"/>
  <c r="U270" i="24" s="1"/>
  <c r="AE272" i="23"/>
  <c r="V270" i="24" s="1"/>
  <c r="W273" i="23"/>
  <c r="N271" i="24" s="1"/>
  <c r="X273" i="23"/>
  <c r="O271" i="24" s="1"/>
  <c r="Y273" i="23"/>
  <c r="P271" i="24" s="1"/>
  <c r="Z273" i="23"/>
  <c r="Q271" i="24" s="1"/>
  <c r="AA273" i="23"/>
  <c r="R271" i="24" s="1"/>
  <c r="AB273" i="23"/>
  <c r="S271" i="24" s="1"/>
  <c r="AC273" i="23"/>
  <c r="T271" i="24" s="1"/>
  <c r="AD273" i="23"/>
  <c r="U271" i="24" s="1"/>
  <c r="AE273" i="23"/>
  <c r="V271" i="24" s="1"/>
  <c r="W274" i="23"/>
  <c r="N272" i="24" s="1"/>
  <c r="X274" i="23"/>
  <c r="O272" i="24" s="1"/>
  <c r="Y274" i="23"/>
  <c r="P272" i="24" s="1"/>
  <c r="Z274" i="23"/>
  <c r="Q272" i="24" s="1"/>
  <c r="AA274" i="23"/>
  <c r="R272" i="24" s="1"/>
  <c r="AB274" i="23"/>
  <c r="S272" i="24" s="1"/>
  <c r="AC274" i="23"/>
  <c r="T272" i="24" s="1"/>
  <c r="AD274" i="23"/>
  <c r="U272" i="24" s="1"/>
  <c r="AE274" i="23"/>
  <c r="V272" i="24" s="1"/>
  <c r="W275" i="23"/>
  <c r="N273" i="24" s="1"/>
  <c r="X275" i="23"/>
  <c r="O273" i="24" s="1"/>
  <c r="Y275" i="23"/>
  <c r="P273" i="24" s="1"/>
  <c r="Z275" i="23"/>
  <c r="Q273" i="24" s="1"/>
  <c r="AA275" i="23"/>
  <c r="R273" i="24" s="1"/>
  <c r="AB275" i="23"/>
  <c r="S273" i="24" s="1"/>
  <c r="AC275" i="23"/>
  <c r="T273" i="24" s="1"/>
  <c r="AD275" i="23"/>
  <c r="U273" i="24" s="1"/>
  <c r="AE275" i="23"/>
  <c r="V273" i="24" s="1"/>
  <c r="W276" i="23"/>
  <c r="N274" i="24" s="1"/>
  <c r="X276" i="23"/>
  <c r="O274" i="24" s="1"/>
  <c r="Y276" i="23"/>
  <c r="P274" i="24" s="1"/>
  <c r="Z276" i="23"/>
  <c r="Q274" i="24" s="1"/>
  <c r="AA276" i="23"/>
  <c r="R274" i="24" s="1"/>
  <c r="AB276" i="23"/>
  <c r="S274" i="24" s="1"/>
  <c r="AC276" i="23"/>
  <c r="T274" i="24" s="1"/>
  <c r="AD276" i="23"/>
  <c r="U274" i="24" s="1"/>
  <c r="AE276" i="23"/>
  <c r="V274" i="24" s="1"/>
  <c r="W277" i="23"/>
  <c r="N275" i="24" s="1"/>
  <c r="X277" i="23"/>
  <c r="O275" i="24" s="1"/>
  <c r="Y277" i="23"/>
  <c r="P275" i="24" s="1"/>
  <c r="Z277" i="23"/>
  <c r="Q275" i="24" s="1"/>
  <c r="AA277" i="23"/>
  <c r="R275" i="24" s="1"/>
  <c r="AB277" i="23"/>
  <c r="S275" i="24" s="1"/>
  <c r="AC277" i="23"/>
  <c r="T275" i="24" s="1"/>
  <c r="AD277" i="23"/>
  <c r="U275" i="24" s="1"/>
  <c r="AE277" i="23"/>
  <c r="V275" i="24" s="1"/>
  <c r="W278" i="23"/>
  <c r="N276" i="24" s="1"/>
  <c r="X278" i="23"/>
  <c r="O276" i="24" s="1"/>
  <c r="Y278" i="23"/>
  <c r="P276" i="24" s="1"/>
  <c r="Z278" i="23"/>
  <c r="Q276" i="24" s="1"/>
  <c r="AA278" i="23"/>
  <c r="R276" i="24" s="1"/>
  <c r="AB278" i="23"/>
  <c r="S276" i="24" s="1"/>
  <c r="AC278" i="23"/>
  <c r="T276" i="24" s="1"/>
  <c r="AD278" i="23"/>
  <c r="U276" i="24" s="1"/>
  <c r="AE278" i="23"/>
  <c r="V276" i="24" s="1"/>
  <c r="W279" i="23"/>
  <c r="N277" i="24" s="1"/>
  <c r="X279" i="23"/>
  <c r="O277" i="24" s="1"/>
  <c r="Y279" i="23"/>
  <c r="P277" i="24" s="1"/>
  <c r="Z279" i="23"/>
  <c r="Q277" i="24" s="1"/>
  <c r="AA279" i="23"/>
  <c r="R277" i="24" s="1"/>
  <c r="AB279" i="23"/>
  <c r="S277" i="24" s="1"/>
  <c r="AC279" i="23"/>
  <c r="T277" i="24" s="1"/>
  <c r="AD279" i="23"/>
  <c r="U277" i="24" s="1"/>
  <c r="AE279" i="23"/>
  <c r="V277" i="24" s="1"/>
  <c r="W280" i="23"/>
  <c r="N278" i="24" s="1"/>
  <c r="X280" i="23"/>
  <c r="O278" i="24" s="1"/>
  <c r="Y280" i="23"/>
  <c r="P278" i="24" s="1"/>
  <c r="Z280" i="23"/>
  <c r="Q278" i="24" s="1"/>
  <c r="AA280" i="23"/>
  <c r="R278" i="24" s="1"/>
  <c r="AB280" i="23"/>
  <c r="S278" i="24" s="1"/>
  <c r="AC280" i="23"/>
  <c r="T278" i="24" s="1"/>
  <c r="AD280" i="23"/>
  <c r="U278" i="24" s="1"/>
  <c r="AE280" i="23"/>
  <c r="V278" i="24" s="1"/>
  <c r="W281" i="23"/>
  <c r="N279" i="24" s="1"/>
  <c r="X281" i="23"/>
  <c r="O279" i="24" s="1"/>
  <c r="Y281" i="23"/>
  <c r="P279" i="24" s="1"/>
  <c r="Z281" i="23"/>
  <c r="Q279" i="24" s="1"/>
  <c r="AA281" i="23"/>
  <c r="R279" i="24" s="1"/>
  <c r="AB281" i="23"/>
  <c r="S279" i="24" s="1"/>
  <c r="AC281" i="23"/>
  <c r="T279" i="24" s="1"/>
  <c r="AD281" i="23"/>
  <c r="U279" i="24" s="1"/>
  <c r="AE281" i="23"/>
  <c r="V279" i="24" s="1"/>
  <c r="W282" i="23"/>
  <c r="N280" i="24" s="1"/>
  <c r="X282" i="23"/>
  <c r="O280" i="24" s="1"/>
  <c r="Y282" i="23"/>
  <c r="P280" i="24" s="1"/>
  <c r="Z282" i="23"/>
  <c r="Q280" i="24" s="1"/>
  <c r="AA282" i="23"/>
  <c r="R280" i="24" s="1"/>
  <c r="AB282" i="23"/>
  <c r="S280" i="24" s="1"/>
  <c r="AC282" i="23"/>
  <c r="T280" i="24" s="1"/>
  <c r="AD282" i="23"/>
  <c r="U280" i="24" s="1"/>
  <c r="AE282" i="23"/>
  <c r="V280" i="24" s="1"/>
  <c r="W283" i="23"/>
  <c r="N281" i="24" s="1"/>
  <c r="X283" i="23"/>
  <c r="O281" i="24" s="1"/>
  <c r="Y283" i="23"/>
  <c r="P281" i="24" s="1"/>
  <c r="Z283" i="23"/>
  <c r="Q281" i="24" s="1"/>
  <c r="AA283" i="23"/>
  <c r="R281" i="24" s="1"/>
  <c r="AB283" i="23"/>
  <c r="S281" i="24" s="1"/>
  <c r="AC283" i="23"/>
  <c r="T281" i="24" s="1"/>
  <c r="AD283" i="23"/>
  <c r="U281" i="24" s="1"/>
  <c r="AE283" i="23"/>
  <c r="V281" i="24" s="1"/>
  <c r="W284" i="23"/>
  <c r="N282" i="24" s="1"/>
  <c r="X284" i="23"/>
  <c r="O282" i="24" s="1"/>
  <c r="Y284" i="23"/>
  <c r="P282" i="24" s="1"/>
  <c r="Z284" i="23"/>
  <c r="Q282" i="24" s="1"/>
  <c r="AA284" i="23"/>
  <c r="R282" i="24" s="1"/>
  <c r="AB284" i="23"/>
  <c r="S282" i="24" s="1"/>
  <c r="AC284" i="23"/>
  <c r="T282" i="24" s="1"/>
  <c r="AD284" i="23"/>
  <c r="U282" i="24" s="1"/>
  <c r="AE284" i="23"/>
  <c r="V282" i="24" s="1"/>
  <c r="W285" i="23"/>
  <c r="N283" i="24" s="1"/>
  <c r="X285" i="23"/>
  <c r="O283" i="24" s="1"/>
  <c r="Y285" i="23"/>
  <c r="P283" i="24" s="1"/>
  <c r="Z285" i="23"/>
  <c r="Q283" i="24" s="1"/>
  <c r="AA285" i="23"/>
  <c r="R283" i="24" s="1"/>
  <c r="AB285" i="23"/>
  <c r="S283" i="24" s="1"/>
  <c r="AC285" i="23"/>
  <c r="T283" i="24" s="1"/>
  <c r="AD285" i="23"/>
  <c r="U283" i="24" s="1"/>
  <c r="AE285" i="23"/>
  <c r="V283" i="24" s="1"/>
  <c r="W286" i="23"/>
  <c r="N284" i="24" s="1"/>
  <c r="X286" i="23"/>
  <c r="O284" i="24" s="1"/>
  <c r="Y286" i="23"/>
  <c r="P284" i="24" s="1"/>
  <c r="Z286" i="23"/>
  <c r="Q284" i="24" s="1"/>
  <c r="AA286" i="23"/>
  <c r="R284" i="24" s="1"/>
  <c r="AB286" i="23"/>
  <c r="S284" i="24" s="1"/>
  <c r="AC286" i="23"/>
  <c r="T284" i="24" s="1"/>
  <c r="AD286" i="23"/>
  <c r="U284" i="24" s="1"/>
  <c r="AE286" i="23"/>
  <c r="V284" i="24" s="1"/>
  <c r="W287" i="23"/>
  <c r="N285" i="24" s="1"/>
  <c r="X287" i="23"/>
  <c r="O285" i="24" s="1"/>
  <c r="Y287" i="23"/>
  <c r="P285" i="24" s="1"/>
  <c r="Z287" i="23"/>
  <c r="Q285" i="24" s="1"/>
  <c r="AA287" i="23"/>
  <c r="R285" i="24" s="1"/>
  <c r="AB287" i="23"/>
  <c r="S285" i="24" s="1"/>
  <c r="AC287" i="23"/>
  <c r="T285" i="24" s="1"/>
  <c r="AD287" i="23"/>
  <c r="U285" i="24" s="1"/>
  <c r="AE287" i="23"/>
  <c r="V285" i="24" s="1"/>
  <c r="W288" i="23"/>
  <c r="N286" i="24" s="1"/>
  <c r="X288" i="23"/>
  <c r="O286" i="24" s="1"/>
  <c r="Y288" i="23"/>
  <c r="P286" i="24" s="1"/>
  <c r="Z288" i="23"/>
  <c r="Q286" i="24" s="1"/>
  <c r="AA288" i="23"/>
  <c r="R286" i="24" s="1"/>
  <c r="AB288" i="23"/>
  <c r="S286" i="24" s="1"/>
  <c r="AC288" i="23"/>
  <c r="T286" i="24" s="1"/>
  <c r="AD288" i="23"/>
  <c r="U286" i="24" s="1"/>
  <c r="AE288" i="23"/>
  <c r="V286" i="24" s="1"/>
  <c r="W289" i="23"/>
  <c r="N287" i="24" s="1"/>
  <c r="X289" i="23"/>
  <c r="O287" i="24" s="1"/>
  <c r="Y289" i="23"/>
  <c r="P287" i="24" s="1"/>
  <c r="Z289" i="23"/>
  <c r="Q287" i="24" s="1"/>
  <c r="AA289" i="23"/>
  <c r="R287" i="24" s="1"/>
  <c r="AB289" i="23"/>
  <c r="S287" i="24" s="1"/>
  <c r="AC289" i="23"/>
  <c r="T287" i="24" s="1"/>
  <c r="AD289" i="23"/>
  <c r="U287" i="24" s="1"/>
  <c r="AE289" i="23"/>
  <c r="V287" i="24" s="1"/>
  <c r="W290" i="23"/>
  <c r="N288" i="24" s="1"/>
  <c r="X290" i="23"/>
  <c r="O288" i="24" s="1"/>
  <c r="Y290" i="23"/>
  <c r="P288" i="24" s="1"/>
  <c r="Z290" i="23"/>
  <c r="Q288" i="24" s="1"/>
  <c r="AA290" i="23"/>
  <c r="R288" i="24" s="1"/>
  <c r="AB290" i="23"/>
  <c r="S288" i="24" s="1"/>
  <c r="AC290" i="23"/>
  <c r="T288" i="24" s="1"/>
  <c r="AD290" i="23"/>
  <c r="U288" i="24" s="1"/>
  <c r="AE290" i="23"/>
  <c r="V288" i="24" s="1"/>
  <c r="W291" i="23"/>
  <c r="N289" i="24" s="1"/>
  <c r="X291" i="23"/>
  <c r="O289" i="24" s="1"/>
  <c r="Y291" i="23"/>
  <c r="P289" i="24" s="1"/>
  <c r="Z291" i="23"/>
  <c r="Q289" i="24" s="1"/>
  <c r="AA291" i="23"/>
  <c r="R289" i="24" s="1"/>
  <c r="AB291" i="23"/>
  <c r="S289" i="24" s="1"/>
  <c r="AC291" i="23"/>
  <c r="T289" i="24" s="1"/>
  <c r="AD291" i="23"/>
  <c r="U289" i="24" s="1"/>
  <c r="AE291" i="23"/>
  <c r="V289" i="24" s="1"/>
  <c r="W292" i="23"/>
  <c r="N290" i="24" s="1"/>
  <c r="X292" i="23"/>
  <c r="O290" i="24" s="1"/>
  <c r="Y292" i="23"/>
  <c r="P290" i="24" s="1"/>
  <c r="Z292" i="23"/>
  <c r="Q290" i="24" s="1"/>
  <c r="AA292" i="23"/>
  <c r="R290" i="24" s="1"/>
  <c r="AB292" i="23"/>
  <c r="S290" i="24" s="1"/>
  <c r="AC292" i="23"/>
  <c r="T290" i="24" s="1"/>
  <c r="AD292" i="23"/>
  <c r="U290" i="24" s="1"/>
  <c r="AE292" i="23"/>
  <c r="V290" i="24" s="1"/>
  <c r="W293" i="23"/>
  <c r="N291" i="24" s="1"/>
  <c r="X293" i="23"/>
  <c r="O291" i="24" s="1"/>
  <c r="Y293" i="23"/>
  <c r="P291" i="24" s="1"/>
  <c r="Z293" i="23"/>
  <c r="Q291" i="24" s="1"/>
  <c r="AA293" i="23"/>
  <c r="R291" i="24" s="1"/>
  <c r="AB293" i="23"/>
  <c r="S291" i="24" s="1"/>
  <c r="AC293" i="23"/>
  <c r="T291" i="24" s="1"/>
  <c r="AD293" i="23"/>
  <c r="U291" i="24" s="1"/>
  <c r="AE293" i="23"/>
  <c r="V291" i="24" s="1"/>
  <c r="W294" i="23"/>
  <c r="N292" i="24" s="1"/>
  <c r="X294" i="23"/>
  <c r="O292" i="24" s="1"/>
  <c r="Y294" i="23"/>
  <c r="P292" i="24" s="1"/>
  <c r="Z294" i="23"/>
  <c r="Q292" i="24" s="1"/>
  <c r="AA294" i="23"/>
  <c r="R292" i="24" s="1"/>
  <c r="AB294" i="23"/>
  <c r="S292" i="24" s="1"/>
  <c r="AC294" i="23"/>
  <c r="T292" i="24" s="1"/>
  <c r="AD294" i="23"/>
  <c r="U292" i="24" s="1"/>
  <c r="AE294" i="23"/>
  <c r="V292" i="24" s="1"/>
  <c r="W295" i="23"/>
  <c r="N293" i="24" s="1"/>
  <c r="X295" i="23"/>
  <c r="O293" i="24" s="1"/>
  <c r="Y295" i="23"/>
  <c r="P293" i="24" s="1"/>
  <c r="Z295" i="23"/>
  <c r="Q293" i="24" s="1"/>
  <c r="AA295" i="23"/>
  <c r="R293" i="24" s="1"/>
  <c r="AB295" i="23"/>
  <c r="S293" i="24" s="1"/>
  <c r="AC295" i="23"/>
  <c r="T293" i="24" s="1"/>
  <c r="AD295" i="23"/>
  <c r="U293" i="24" s="1"/>
  <c r="AE295" i="23"/>
  <c r="V293" i="24" s="1"/>
  <c r="W296" i="23"/>
  <c r="N294" i="24" s="1"/>
  <c r="X296" i="23"/>
  <c r="O294" i="24" s="1"/>
  <c r="Y296" i="23"/>
  <c r="P294" i="24" s="1"/>
  <c r="Z296" i="23"/>
  <c r="Q294" i="24" s="1"/>
  <c r="AA296" i="23"/>
  <c r="R294" i="24" s="1"/>
  <c r="AB296" i="23"/>
  <c r="S294" i="24" s="1"/>
  <c r="AC296" i="23"/>
  <c r="T294" i="24" s="1"/>
  <c r="AD296" i="23"/>
  <c r="U294" i="24" s="1"/>
  <c r="AE296" i="23"/>
  <c r="V294" i="24" s="1"/>
  <c r="W297" i="23"/>
  <c r="N295" i="24" s="1"/>
  <c r="X297" i="23"/>
  <c r="O295" i="24" s="1"/>
  <c r="Y297" i="23"/>
  <c r="P295" i="24" s="1"/>
  <c r="Z297" i="23"/>
  <c r="Q295" i="24" s="1"/>
  <c r="AA297" i="23"/>
  <c r="R295" i="24" s="1"/>
  <c r="AB297" i="23"/>
  <c r="S295" i="24" s="1"/>
  <c r="AC297" i="23"/>
  <c r="T295" i="24" s="1"/>
  <c r="AD297" i="23"/>
  <c r="U295" i="24" s="1"/>
  <c r="AE297" i="23"/>
  <c r="V295" i="24" s="1"/>
  <c r="W298" i="23"/>
  <c r="N296" i="24" s="1"/>
  <c r="X298" i="23"/>
  <c r="O296" i="24" s="1"/>
  <c r="Y298" i="23"/>
  <c r="P296" i="24" s="1"/>
  <c r="Z298" i="23"/>
  <c r="Q296" i="24" s="1"/>
  <c r="AA298" i="23"/>
  <c r="R296" i="24" s="1"/>
  <c r="AB298" i="23"/>
  <c r="S296" i="24" s="1"/>
  <c r="AC298" i="23"/>
  <c r="T296" i="24" s="1"/>
  <c r="AD298" i="23"/>
  <c r="U296" i="24" s="1"/>
  <c r="AE298" i="23"/>
  <c r="V296" i="24" s="1"/>
  <c r="W299" i="23"/>
  <c r="N297" i="24" s="1"/>
  <c r="X299" i="23"/>
  <c r="O297" i="24" s="1"/>
  <c r="Y299" i="23"/>
  <c r="P297" i="24" s="1"/>
  <c r="Z299" i="23"/>
  <c r="Q297" i="24" s="1"/>
  <c r="AA299" i="23"/>
  <c r="R297" i="24" s="1"/>
  <c r="AB299" i="23"/>
  <c r="S297" i="24" s="1"/>
  <c r="AC299" i="23"/>
  <c r="T297" i="24" s="1"/>
  <c r="AD299" i="23"/>
  <c r="U297" i="24" s="1"/>
  <c r="AE299" i="23"/>
  <c r="V297" i="24" s="1"/>
  <c r="W300" i="23"/>
  <c r="N298" i="24" s="1"/>
  <c r="X300" i="23"/>
  <c r="O298" i="24" s="1"/>
  <c r="Y300" i="23"/>
  <c r="P298" i="24" s="1"/>
  <c r="Z300" i="23"/>
  <c r="Q298" i="24" s="1"/>
  <c r="AA300" i="23"/>
  <c r="R298" i="24" s="1"/>
  <c r="AB300" i="23"/>
  <c r="S298" i="24" s="1"/>
  <c r="AC300" i="23"/>
  <c r="T298" i="24" s="1"/>
  <c r="AD300" i="23"/>
  <c r="U298" i="24" s="1"/>
  <c r="AE300" i="23"/>
  <c r="V298" i="24" s="1"/>
  <c r="W301" i="23"/>
  <c r="N299" i="24" s="1"/>
  <c r="X301" i="23"/>
  <c r="O299" i="24" s="1"/>
  <c r="Y301" i="23"/>
  <c r="P299" i="24" s="1"/>
  <c r="Z301" i="23"/>
  <c r="Q299" i="24" s="1"/>
  <c r="AA301" i="23"/>
  <c r="R299" i="24" s="1"/>
  <c r="AB301" i="23"/>
  <c r="S299" i="24" s="1"/>
  <c r="AC301" i="23"/>
  <c r="T299" i="24" s="1"/>
  <c r="AD301" i="23"/>
  <c r="U299" i="24" s="1"/>
  <c r="AE301" i="23"/>
  <c r="V299" i="24" s="1"/>
  <c r="W302" i="23"/>
  <c r="N300" i="24" s="1"/>
  <c r="X302" i="23"/>
  <c r="O300" i="24" s="1"/>
  <c r="Y302" i="23"/>
  <c r="P300" i="24" s="1"/>
  <c r="Z302" i="23"/>
  <c r="Q300" i="24" s="1"/>
  <c r="AA302" i="23"/>
  <c r="R300" i="24" s="1"/>
  <c r="AB302" i="23"/>
  <c r="S300" i="24" s="1"/>
  <c r="AC302" i="23"/>
  <c r="T300" i="24" s="1"/>
  <c r="AD302" i="23"/>
  <c r="U300" i="24" s="1"/>
  <c r="AE302" i="23"/>
  <c r="V300" i="24" s="1"/>
  <c r="W303" i="23"/>
  <c r="N301" i="24" s="1"/>
  <c r="X303" i="23"/>
  <c r="O301" i="24" s="1"/>
  <c r="Y303" i="23"/>
  <c r="P301" i="24" s="1"/>
  <c r="Z303" i="23"/>
  <c r="Q301" i="24" s="1"/>
  <c r="AA303" i="23"/>
  <c r="R301" i="24" s="1"/>
  <c r="AB303" i="23"/>
  <c r="S301" i="24" s="1"/>
  <c r="AC303" i="23"/>
  <c r="T301" i="24" s="1"/>
  <c r="AD303" i="23"/>
  <c r="U301" i="24" s="1"/>
  <c r="AE303" i="23"/>
  <c r="V301" i="24" s="1"/>
  <c r="W304" i="23"/>
  <c r="N302" i="24" s="1"/>
  <c r="X304" i="23"/>
  <c r="O302" i="24" s="1"/>
  <c r="Y304" i="23"/>
  <c r="P302" i="24" s="1"/>
  <c r="Z304" i="23"/>
  <c r="Q302" i="24" s="1"/>
  <c r="AA304" i="23"/>
  <c r="R302" i="24" s="1"/>
  <c r="AB304" i="23"/>
  <c r="S302" i="24" s="1"/>
  <c r="AC304" i="23"/>
  <c r="T302" i="24" s="1"/>
  <c r="AD304" i="23"/>
  <c r="U302" i="24" s="1"/>
  <c r="AE304" i="23"/>
  <c r="V302" i="24" s="1"/>
  <c r="W305" i="23"/>
  <c r="N303" i="24" s="1"/>
  <c r="X305" i="23"/>
  <c r="O303" i="24" s="1"/>
  <c r="Y305" i="23"/>
  <c r="P303" i="24" s="1"/>
  <c r="Z305" i="23"/>
  <c r="Q303" i="24" s="1"/>
  <c r="AA305" i="23"/>
  <c r="R303" i="24" s="1"/>
  <c r="AB305" i="23"/>
  <c r="S303" i="24" s="1"/>
  <c r="AC305" i="23"/>
  <c r="T303" i="24" s="1"/>
  <c r="AD305" i="23"/>
  <c r="U303" i="24" s="1"/>
  <c r="AE305" i="23"/>
  <c r="V303" i="24" s="1"/>
  <c r="W306" i="23"/>
  <c r="N304" i="24" s="1"/>
  <c r="X306" i="23"/>
  <c r="O304" i="24" s="1"/>
  <c r="Y306" i="23"/>
  <c r="P304" i="24" s="1"/>
  <c r="Z306" i="23"/>
  <c r="Q304" i="24" s="1"/>
  <c r="AA306" i="23"/>
  <c r="R304" i="24" s="1"/>
  <c r="AB306" i="23"/>
  <c r="S304" i="24" s="1"/>
  <c r="AC306" i="23"/>
  <c r="T304" i="24" s="1"/>
  <c r="AD306" i="23"/>
  <c r="U304" i="24" s="1"/>
  <c r="AE306" i="23"/>
  <c r="V304" i="24" s="1"/>
  <c r="W307" i="23"/>
  <c r="N305" i="24" s="1"/>
  <c r="X307" i="23"/>
  <c r="O305" i="24" s="1"/>
  <c r="Y307" i="23"/>
  <c r="P305" i="24" s="1"/>
  <c r="Z307" i="23"/>
  <c r="Q305" i="24" s="1"/>
  <c r="AA307" i="23"/>
  <c r="R305" i="24" s="1"/>
  <c r="AB307" i="23"/>
  <c r="S305" i="24" s="1"/>
  <c r="AC307" i="23"/>
  <c r="T305" i="24" s="1"/>
  <c r="AD307" i="23"/>
  <c r="U305" i="24" s="1"/>
  <c r="AE307" i="23"/>
  <c r="V305" i="24" s="1"/>
  <c r="W308" i="23"/>
  <c r="N306" i="24" s="1"/>
  <c r="X308" i="23"/>
  <c r="O306" i="24" s="1"/>
  <c r="Y308" i="23"/>
  <c r="P306" i="24" s="1"/>
  <c r="Z308" i="23"/>
  <c r="Q306" i="24" s="1"/>
  <c r="AA308" i="23"/>
  <c r="R306" i="24" s="1"/>
  <c r="AB308" i="23"/>
  <c r="S306" i="24" s="1"/>
  <c r="AC308" i="23"/>
  <c r="T306" i="24" s="1"/>
  <c r="AD308" i="23"/>
  <c r="U306" i="24" s="1"/>
  <c r="AE308" i="23"/>
  <c r="V306" i="24" s="1"/>
  <c r="W309" i="23"/>
  <c r="N307" i="24" s="1"/>
  <c r="X309" i="23"/>
  <c r="O307" i="24" s="1"/>
  <c r="Y309" i="23"/>
  <c r="P307" i="24" s="1"/>
  <c r="Z309" i="23"/>
  <c r="Q307" i="24" s="1"/>
  <c r="AA309" i="23"/>
  <c r="R307" i="24" s="1"/>
  <c r="AB309" i="23"/>
  <c r="S307" i="24" s="1"/>
  <c r="AC309" i="23"/>
  <c r="T307" i="24" s="1"/>
  <c r="AD309" i="23"/>
  <c r="U307" i="24" s="1"/>
  <c r="AE309" i="23"/>
  <c r="V307" i="24" s="1"/>
  <c r="W310" i="23"/>
  <c r="N308" i="24" s="1"/>
  <c r="X310" i="23"/>
  <c r="O308" i="24" s="1"/>
  <c r="Y310" i="23"/>
  <c r="P308" i="24" s="1"/>
  <c r="Z310" i="23"/>
  <c r="Q308" i="24" s="1"/>
  <c r="AA310" i="23"/>
  <c r="R308" i="24" s="1"/>
  <c r="AB310" i="23"/>
  <c r="S308" i="24" s="1"/>
  <c r="AC310" i="23"/>
  <c r="T308" i="24" s="1"/>
  <c r="AD310" i="23"/>
  <c r="U308" i="24" s="1"/>
  <c r="AE310" i="23"/>
  <c r="V308" i="24" s="1"/>
  <c r="W311" i="23"/>
  <c r="N309" i="24" s="1"/>
  <c r="X311" i="23"/>
  <c r="O309" i="24" s="1"/>
  <c r="Y311" i="23"/>
  <c r="P309" i="24" s="1"/>
  <c r="Z311" i="23"/>
  <c r="Q309" i="24" s="1"/>
  <c r="AA311" i="23"/>
  <c r="R309" i="24" s="1"/>
  <c r="AB311" i="23"/>
  <c r="S309" i="24" s="1"/>
  <c r="AC311" i="23"/>
  <c r="T309" i="24" s="1"/>
  <c r="AD311" i="23"/>
  <c r="U309" i="24" s="1"/>
  <c r="AE311" i="23"/>
  <c r="V309" i="24" s="1"/>
  <c r="W312" i="23"/>
  <c r="N310" i="24" s="1"/>
  <c r="X312" i="23"/>
  <c r="O310" i="24" s="1"/>
  <c r="Y312" i="23"/>
  <c r="P310" i="24" s="1"/>
  <c r="Z312" i="23"/>
  <c r="Q310" i="24" s="1"/>
  <c r="AA312" i="23"/>
  <c r="R310" i="24" s="1"/>
  <c r="AB312" i="23"/>
  <c r="S310" i="24" s="1"/>
  <c r="AC312" i="23"/>
  <c r="T310" i="24" s="1"/>
  <c r="AD312" i="23"/>
  <c r="U310" i="24" s="1"/>
  <c r="AE312" i="23"/>
  <c r="V310" i="24" s="1"/>
  <c r="W223" i="23"/>
  <c r="N221" i="24" s="1"/>
  <c r="X223" i="23"/>
  <c r="O221" i="24" s="1"/>
  <c r="Y223" i="23"/>
  <c r="P221" i="24" s="1"/>
  <c r="Z223" i="23"/>
  <c r="Q221" i="24" s="1"/>
  <c r="AA223" i="23"/>
  <c r="R221" i="24" s="1"/>
  <c r="AB223" i="23"/>
  <c r="S221" i="24" s="1"/>
  <c r="AC223" i="23"/>
  <c r="T221" i="24" s="1"/>
  <c r="AD223" i="23"/>
  <c r="U221" i="24" s="1"/>
  <c r="AE223" i="23"/>
  <c r="V221" i="24" s="1"/>
  <c r="W224" i="23"/>
  <c r="N222" i="24" s="1"/>
  <c r="X224" i="23"/>
  <c r="O222" i="24" s="1"/>
  <c r="Y224" i="23"/>
  <c r="P222" i="24" s="1"/>
  <c r="Z224" i="23"/>
  <c r="Q222" i="24" s="1"/>
  <c r="AA224" i="23"/>
  <c r="R222" i="24" s="1"/>
  <c r="AB224" i="23"/>
  <c r="S222" i="24" s="1"/>
  <c r="AC224" i="23"/>
  <c r="T222" i="24" s="1"/>
  <c r="AD224" i="23"/>
  <c r="U222" i="24" s="1"/>
  <c r="AE224" i="23"/>
  <c r="V222" i="24" s="1"/>
  <c r="W225" i="23"/>
  <c r="N223" i="24" s="1"/>
  <c r="X225" i="23"/>
  <c r="O223" i="24" s="1"/>
  <c r="Y225" i="23"/>
  <c r="P223" i="24" s="1"/>
  <c r="Z225" i="23"/>
  <c r="Q223" i="24" s="1"/>
  <c r="AA225" i="23"/>
  <c r="R223" i="24" s="1"/>
  <c r="AB225" i="23"/>
  <c r="S223" i="24" s="1"/>
  <c r="AC225" i="23"/>
  <c r="T223" i="24" s="1"/>
  <c r="AD225" i="23"/>
  <c r="U223" i="24" s="1"/>
  <c r="AE225" i="23"/>
  <c r="V223" i="24" s="1"/>
  <c r="W226" i="23"/>
  <c r="N224" i="24" s="1"/>
  <c r="X226" i="23"/>
  <c r="O224" i="24" s="1"/>
  <c r="Y226" i="23"/>
  <c r="P224" i="24" s="1"/>
  <c r="Z226" i="23"/>
  <c r="Q224" i="24" s="1"/>
  <c r="AA226" i="23"/>
  <c r="R224" i="24" s="1"/>
  <c r="AB226" i="23"/>
  <c r="S224" i="24" s="1"/>
  <c r="AC226" i="23"/>
  <c r="T224" i="24" s="1"/>
  <c r="AD226" i="23"/>
  <c r="U224" i="24" s="1"/>
  <c r="AE226" i="23"/>
  <c r="V224" i="24" s="1"/>
  <c r="W227" i="23"/>
  <c r="N225" i="24" s="1"/>
  <c r="X227" i="23"/>
  <c r="O225" i="24" s="1"/>
  <c r="Y227" i="23"/>
  <c r="P225" i="24" s="1"/>
  <c r="Z227" i="23"/>
  <c r="Q225" i="24" s="1"/>
  <c r="AA227" i="23"/>
  <c r="R225" i="24" s="1"/>
  <c r="AB227" i="23"/>
  <c r="S225" i="24" s="1"/>
  <c r="AC227" i="23"/>
  <c r="T225" i="24" s="1"/>
  <c r="AD227" i="23"/>
  <c r="U225" i="24" s="1"/>
  <c r="AE227" i="23"/>
  <c r="V225" i="24" s="1"/>
  <c r="W228" i="23"/>
  <c r="N226" i="24" s="1"/>
  <c r="X228" i="23"/>
  <c r="O226" i="24" s="1"/>
  <c r="Y228" i="23"/>
  <c r="P226" i="24" s="1"/>
  <c r="Z228" i="23"/>
  <c r="Q226" i="24" s="1"/>
  <c r="AA228" i="23"/>
  <c r="R226" i="24" s="1"/>
  <c r="AB228" i="23"/>
  <c r="S226" i="24" s="1"/>
  <c r="AC228" i="23"/>
  <c r="T226" i="24" s="1"/>
  <c r="AD228" i="23"/>
  <c r="U226" i="24" s="1"/>
  <c r="AE228" i="23"/>
  <c r="V226" i="24" s="1"/>
  <c r="W229" i="23"/>
  <c r="N227" i="24" s="1"/>
  <c r="X229" i="23"/>
  <c r="O227" i="24" s="1"/>
  <c r="Y229" i="23"/>
  <c r="P227" i="24" s="1"/>
  <c r="Z229" i="23"/>
  <c r="Q227" i="24" s="1"/>
  <c r="AA229" i="23"/>
  <c r="R227" i="24" s="1"/>
  <c r="AB229" i="23"/>
  <c r="S227" i="24" s="1"/>
  <c r="AC229" i="23"/>
  <c r="T227" i="24" s="1"/>
  <c r="AD229" i="23"/>
  <c r="U227" i="24" s="1"/>
  <c r="AE229" i="23"/>
  <c r="V227" i="24" s="1"/>
  <c r="W230" i="23"/>
  <c r="N228" i="24" s="1"/>
  <c r="X230" i="23"/>
  <c r="O228" i="24" s="1"/>
  <c r="Y230" i="23"/>
  <c r="P228" i="24" s="1"/>
  <c r="Z230" i="23"/>
  <c r="Q228" i="24" s="1"/>
  <c r="AA230" i="23"/>
  <c r="R228" i="24" s="1"/>
  <c r="AB230" i="23"/>
  <c r="S228" i="24" s="1"/>
  <c r="AC230" i="23"/>
  <c r="T228" i="24" s="1"/>
  <c r="AD230" i="23"/>
  <c r="U228" i="24" s="1"/>
  <c r="AE230" i="23"/>
  <c r="V228" i="24" s="1"/>
  <c r="W231" i="23"/>
  <c r="N229" i="24" s="1"/>
  <c r="X231" i="23"/>
  <c r="O229" i="24" s="1"/>
  <c r="Y231" i="23"/>
  <c r="P229" i="24" s="1"/>
  <c r="Z231" i="23"/>
  <c r="Q229" i="24" s="1"/>
  <c r="AA231" i="23"/>
  <c r="R229" i="24" s="1"/>
  <c r="AB231" i="23"/>
  <c r="S229" i="24" s="1"/>
  <c r="AC231" i="23"/>
  <c r="T229" i="24" s="1"/>
  <c r="AD231" i="23"/>
  <c r="U229" i="24" s="1"/>
  <c r="AE231" i="23"/>
  <c r="V229" i="24" s="1"/>
  <c r="W232" i="23"/>
  <c r="N230" i="24" s="1"/>
  <c r="X232" i="23"/>
  <c r="O230" i="24" s="1"/>
  <c r="Y232" i="23"/>
  <c r="P230" i="24" s="1"/>
  <c r="Z232" i="23"/>
  <c r="Q230" i="24" s="1"/>
  <c r="AA232" i="23"/>
  <c r="R230" i="24" s="1"/>
  <c r="AB232" i="23"/>
  <c r="S230" i="24" s="1"/>
  <c r="AC232" i="23"/>
  <c r="T230" i="24" s="1"/>
  <c r="AD232" i="23"/>
  <c r="U230" i="24" s="1"/>
  <c r="AE232" i="23"/>
  <c r="V230" i="24" s="1"/>
  <c r="W233" i="23"/>
  <c r="N231" i="24" s="1"/>
  <c r="X233" i="23"/>
  <c r="O231" i="24" s="1"/>
  <c r="Y233" i="23"/>
  <c r="P231" i="24" s="1"/>
  <c r="Z233" i="23"/>
  <c r="Q231" i="24" s="1"/>
  <c r="AA233" i="23"/>
  <c r="R231" i="24" s="1"/>
  <c r="AB233" i="23"/>
  <c r="S231" i="24" s="1"/>
  <c r="AC233" i="23"/>
  <c r="T231" i="24" s="1"/>
  <c r="AD233" i="23"/>
  <c r="U231" i="24" s="1"/>
  <c r="AE233" i="23"/>
  <c r="V231" i="24" s="1"/>
  <c r="W234" i="23"/>
  <c r="N232" i="24" s="1"/>
  <c r="X234" i="23"/>
  <c r="O232" i="24" s="1"/>
  <c r="Y234" i="23"/>
  <c r="P232" i="24" s="1"/>
  <c r="Z234" i="23"/>
  <c r="Q232" i="24" s="1"/>
  <c r="AA234" i="23"/>
  <c r="R232" i="24" s="1"/>
  <c r="AB234" i="23"/>
  <c r="S232" i="24" s="1"/>
  <c r="AC234" i="23"/>
  <c r="T232" i="24" s="1"/>
  <c r="AD234" i="23"/>
  <c r="U232" i="24" s="1"/>
  <c r="AE234" i="23"/>
  <c r="V232" i="24" s="1"/>
  <c r="W235" i="23"/>
  <c r="N233" i="24" s="1"/>
  <c r="X235" i="23"/>
  <c r="O233" i="24" s="1"/>
  <c r="Y235" i="23"/>
  <c r="P233" i="24" s="1"/>
  <c r="Z235" i="23"/>
  <c r="Q233" i="24" s="1"/>
  <c r="AA235" i="23"/>
  <c r="R233" i="24" s="1"/>
  <c r="AB235" i="23"/>
  <c r="S233" i="24" s="1"/>
  <c r="AC235" i="23"/>
  <c r="T233" i="24" s="1"/>
  <c r="AD235" i="23"/>
  <c r="U233" i="24" s="1"/>
  <c r="AE235" i="23"/>
  <c r="V233" i="24" s="1"/>
  <c r="W236" i="23"/>
  <c r="N234" i="24" s="1"/>
  <c r="X236" i="23"/>
  <c r="O234" i="24" s="1"/>
  <c r="Y236" i="23"/>
  <c r="P234" i="24" s="1"/>
  <c r="Z236" i="23"/>
  <c r="Q234" i="24" s="1"/>
  <c r="AA236" i="23"/>
  <c r="R234" i="24" s="1"/>
  <c r="AB236" i="23"/>
  <c r="S234" i="24" s="1"/>
  <c r="AC236" i="23"/>
  <c r="T234" i="24" s="1"/>
  <c r="AD236" i="23"/>
  <c r="U234" i="24" s="1"/>
  <c r="AE236" i="23"/>
  <c r="V234" i="24" s="1"/>
  <c r="W237" i="23"/>
  <c r="N235" i="24" s="1"/>
  <c r="X237" i="23"/>
  <c r="O235" i="24" s="1"/>
  <c r="Y237" i="23"/>
  <c r="P235" i="24" s="1"/>
  <c r="Z237" i="23"/>
  <c r="Q235" i="24" s="1"/>
  <c r="AA237" i="23"/>
  <c r="R235" i="24" s="1"/>
  <c r="AB237" i="23"/>
  <c r="S235" i="24" s="1"/>
  <c r="AC237" i="23"/>
  <c r="T235" i="24" s="1"/>
  <c r="AD237" i="23"/>
  <c r="U235" i="24" s="1"/>
  <c r="AE237" i="23"/>
  <c r="V235" i="24" s="1"/>
  <c r="W238" i="23"/>
  <c r="N236" i="24" s="1"/>
  <c r="X238" i="23"/>
  <c r="O236" i="24" s="1"/>
  <c r="Y238" i="23"/>
  <c r="P236" i="24" s="1"/>
  <c r="Z238" i="23"/>
  <c r="Q236" i="24" s="1"/>
  <c r="AA238" i="23"/>
  <c r="R236" i="24" s="1"/>
  <c r="AB238" i="23"/>
  <c r="S236" i="24" s="1"/>
  <c r="AC238" i="23"/>
  <c r="T236" i="24" s="1"/>
  <c r="AD238" i="23"/>
  <c r="U236" i="24" s="1"/>
  <c r="AE238" i="23"/>
  <c r="V236" i="24" s="1"/>
  <c r="W239" i="23"/>
  <c r="N237" i="24" s="1"/>
  <c r="X239" i="23"/>
  <c r="O237" i="24" s="1"/>
  <c r="Y239" i="23"/>
  <c r="P237" i="24" s="1"/>
  <c r="Z239" i="23"/>
  <c r="Q237" i="24" s="1"/>
  <c r="AA239" i="23"/>
  <c r="R237" i="24" s="1"/>
  <c r="AB239" i="23"/>
  <c r="S237" i="24" s="1"/>
  <c r="AC239" i="23"/>
  <c r="T237" i="24" s="1"/>
  <c r="AD239" i="23"/>
  <c r="U237" i="24" s="1"/>
  <c r="AE239" i="23"/>
  <c r="V237" i="24" s="1"/>
  <c r="W240" i="23"/>
  <c r="N238" i="24" s="1"/>
  <c r="X240" i="23"/>
  <c r="O238" i="24" s="1"/>
  <c r="Y240" i="23"/>
  <c r="P238" i="24" s="1"/>
  <c r="Z240" i="23"/>
  <c r="Q238" i="24" s="1"/>
  <c r="AA240" i="23"/>
  <c r="R238" i="24" s="1"/>
  <c r="AB240" i="23"/>
  <c r="S238" i="24" s="1"/>
  <c r="AC240" i="23"/>
  <c r="T238" i="24" s="1"/>
  <c r="AD240" i="23"/>
  <c r="U238" i="24" s="1"/>
  <c r="AE240" i="23"/>
  <c r="V238" i="24" s="1"/>
  <c r="W241" i="23"/>
  <c r="N239" i="24" s="1"/>
  <c r="X241" i="23"/>
  <c r="O239" i="24" s="1"/>
  <c r="Y241" i="23"/>
  <c r="P239" i="24" s="1"/>
  <c r="Z241" i="23"/>
  <c r="Q239" i="24" s="1"/>
  <c r="AA241" i="23"/>
  <c r="R239" i="24" s="1"/>
  <c r="AB241" i="23"/>
  <c r="S239" i="24" s="1"/>
  <c r="AC241" i="23"/>
  <c r="T239" i="24" s="1"/>
  <c r="AD241" i="23"/>
  <c r="U239" i="24" s="1"/>
  <c r="AE241" i="23"/>
  <c r="V239" i="24" s="1"/>
  <c r="W242" i="23"/>
  <c r="N240" i="24" s="1"/>
  <c r="X242" i="23"/>
  <c r="O240" i="24" s="1"/>
  <c r="Y242" i="23"/>
  <c r="P240" i="24" s="1"/>
  <c r="Z242" i="23"/>
  <c r="Q240" i="24" s="1"/>
  <c r="AA242" i="23"/>
  <c r="R240" i="24" s="1"/>
  <c r="AB242" i="23"/>
  <c r="S240" i="24" s="1"/>
  <c r="AC242" i="23"/>
  <c r="T240" i="24" s="1"/>
  <c r="AD242" i="23"/>
  <c r="U240" i="24" s="1"/>
  <c r="AE242" i="23"/>
  <c r="V240" i="24" s="1"/>
  <c r="W243" i="23"/>
  <c r="N241" i="24" s="1"/>
  <c r="X243" i="23"/>
  <c r="O241" i="24" s="1"/>
  <c r="Y243" i="23"/>
  <c r="P241" i="24" s="1"/>
  <c r="Z243" i="23"/>
  <c r="Q241" i="24" s="1"/>
  <c r="AA243" i="23"/>
  <c r="R241" i="24" s="1"/>
  <c r="AB243" i="23"/>
  <c r="S241" i="24" s="1"/>
  <c r="AC243" i="23"/>
  <c r="T241" i="24" s="1"/>
  <c r="AD243" i="23"/>
  <c r="U241" i="24" s="1"/>
  <c r="AE243" i="23"/>
  <c r="V241" i="24" s="1"/>
  <c r="W244" i="23"/>
  <c r="N242" i="24" s="1"/>
  <c r="X244" i="23"/>
  <c r="O242" i="24" s="1"/>
  <c r="Y244" i="23"/>
  <c r="P242" i="24" s="1"/>
  <c r="Z244" i="23"/>
  <c r="Q242" i="24" s="1"/>
  <c r="AA244" i="23"/>
  <c r="R242" i="24" s="1"/>
  <c r="AB244" i="23"/>
  <c r="S242" i="24" s="1"/>
  <c r="AC244" i="23"/>
  <c r="T242" i="24" s="1"/>
  <c r="AD244" i="23"/>
  <c r="U242" i="24" s="1"/>
  <c r="AE244" i="23"/>
  <c r="V242" i="24" s="1"/>
  <c r="W245" i="23"/>
  <c r="N243" i="24" s="1"/>
  <c r="X245" i="23"/>
  <c r="O243" i="24" s="1"/>
  <c r="Y245" i="23"/>
  <c r="P243" i="24" s="1"/>
  <c r="Z245" i="23"/>
  <c r="Q243" i="24" s="1"/>
  <c r="AA245" i="23"/>
  <c r="R243" i="24" s="1"/>
  <c r="AB245" i="23"/>
  <c r="S243" i="24" s="1"/>
  <c r="AC245" i="23"/>
  <c r="T243" i="24" s="1"/>
  <c r="AD245" i="23"/>
  <c r="U243" i="24" s="1"/>
  <c r="AE245" i="23"/>
  <c r="V243" i="24" s="1"/>
  <c r="W246" i="23"/>
  <c r="N244" i="24" s="1"/>
  <c r="X246" i="23"/>
  <c r="O244" i="24" s="1"/>
  <c r="Y246" i="23"/>
  <c r="P244" i="24" s="1"/>
  <c r="Z246" i="23"/>
  <c r="Q244" i="24" s="1"/>
  <c r="AA246" i="23"/>
  <c r="R244" i="24" s="1"/>
  <c r="AB246" i="23"/>
  <c r="S244" i="24" s="1"/>
  <c r="AC246" i="23"/>
  <c r="T244" i="24" s="1"/>
  <c r="AD246" i="23"/>
  <c r="U244" i="24" s="1"/>
  <c r="AE246" i="23"/>
  <c r="V244" i="24" s="1"/>
  <c r="W247" i="23"/>
  <c r="N245" i="24" s="1"/>
  <c r="X247" i="23"/>
  <c r="O245" i="24" s="1"/>
  <c r="Y247" i="23"/>
  <c r="P245" i="24" s="1"/>
  <c r="Z247" i="23"/>
  <c r="Q245" i="24" s="1"/>
  <c r="AA247" i="23"/>
  <c r="R245" i="24" s="1"/>
  <c r="AB247" i="23"/>
  <c r="S245" i="24" s="1"/>
  <c r="AC247" i="23"/>
  <c r="T245" i="24" s="1"/>
  <c r="AD247" i="23"/>
  <c r="U245" i="24" s="1"/>
  <c r="AE247" i="23"/>
  <c r="V245" i="24" s="1"/>
  <c r="W248" i="23"/>
  <c r="N246" i="24" s="1"/>
  <c r="X248" i="23"/>
  <c r="O246" i="24" s="1"/>
  <c r="Y248" i="23"/>
  <c r="P246" i="24" s="1"/>
  <c r="Z248" i="23"/>
  <c r="Q246" i="24" s="1"/>
  <c r="AA248" i="23"/>
  <c r="R246" i="24" s="1"/>
  <c r="AB248" i="23"/>
  <c r="S246" i="24" s="1"/>
  <c r="AC248" i="23"/>
  <c r="T246" i="24" s="1"/>
  <c r="AD248" i="23"/>
  <c r="U246" i="24" s="1"/>
  <c r="AE248" i="23"/>
  <c r="V246" i="24" s="1"/>
  <c r="W249" i="23"/>
  <c r="N247" i="24" s="1"/>
  <c r="X249" i="23"/>
  <c r="O247" i="24" s="1"/>
  <c r="Y249" i="23"/>
  <c r="P247" i="24" s="1"/>
  <c r="Z249" i="23"/>
  <c r="Q247" i="24" s="1"/>
  <c r="AA249" i="23"/>
  <c r="R247" i="24" s="1"/>
  <c r="AB249" i="23"/>
  <c r="S247" i="24" s="1"/>
  <c r="AC249" i="23"/>
  <c r="T247" i="24" s="1"/>
  <c r="AD249" i="23"/>
  <c r="U247" i="24" s="1"/>
  <c r="AE249" i="23"/>
  <c r="V247" i="24" s="1"/>
  <c r="W250" i="23"/>
  <c r="N248" i="24" s="1"/>
  <c r="X250" i="23"/>
  <c r="O248" i="24" s="1"/>
  <c r="Y250" i="23"/>
  <c r="P248" i="24" s="1"/>
  <c r="Z250" i="23"/>
  <c r="Q248" i="24" s="1"/>
  <c r="AA250" i="23"/>
  <c r="R248" i="24" s="1"/>
  <c r="AB250" i="23"/>
  <c r="S248" i="24" s="1"/>
  <c r="AC250" i="23"/>
  <c r="T248" i="24" s="1"/>
  <c r="AD250" i="23"/>
  <c r="U248" i="24" s="1"/>
  <c r="AE250" i="23"/>
  <c r="V248" i="24" s="1"/>
  <c r="W251" i="23"/>
  <c r="N249" i="24" s="1"/>
  <c r="X251" i="23"/>
  <c r="O249" i="24" s="1"/>
  <c r="Y251" i="23"/>
  <c r="P249" i="24" s="1"/>
  <c r="Z251" i="23"/>
  <c r="Q249" i="24" s="1"/>
  <c r="AA251" i="23"/>
  <c r="R249" i="24" s="1"/>
  <c r="AB251" i="23"/>
  <c r="S249" i="24" s="1"/>
  <c r="AC251" i="23"/>
  <c r="T249" i="24" s="1"/>
  <c r="AD251" i="23"/>
  <c r="U249" i="24" s="1"/>
  <c r="AE251" i="23"/>
  <c r="V249" i="24" s="1"/>
  <c r="W252" i="23"/>
  <c r="N250" i="24" s="1"/>
  <c r="X252" i="23"/>
  <c r="O250" i="24" s="1"/>
  <c r="Y252" i="23"/>
  <c r="P250" i="24" s="1"/>
  <c r="Z252" i="23"/>
  <c r="Q250" i="24" s="1"/>
  <c r="AA252" i="23"/>
  <c r="R250" i="24" s="1"/>
  <c r="AB252" i="23"/>
  <c r="S250" i="24" s="1"/>
  <c r="AC252" i="23"/>
  <c r="T250" i="24" s="1"/>
  <c r="AD252" i="23"/>
  <c r="U250" i="24" s="1"/>
  <c r="AE252" i="23"/>
  <c r="V250" i="24" s="1"/>
  <c r="W253" i="23"/>
  <c r="N251" i="24" s="1"/>
  <c r="X253" i="23"/>
  <c r="O251" i="24" s="1"/>
  <c r="Y253" i="23"/>
  <c r="P251" i="24" s="1"/>
  <c r="Z253" i="23"/>
  <c r="Q251" i="24" s="1"/>
  <c r="AA253" i="23"/>
  <c r="R251" i="24" s="1"/>
  <c r="AB253" i="23"/>
  <c r="S251" i="24" s="1"/>
  <c r="AC253" i="23"/>
  <c r="T251" i="24" s="1"/>
  <c r="AD253" i="23"/>
  <c r="U251" i="24" s="1"/>
  <c r="AE253" i="23"/>
  <c r="V251" i="24" s="1"/>
  <c r="W254" i="23"/>
  <c r="N252" i="24" s="1"/>
  <c r="X254" i="23"/>
  <c r="O252" i="24" s="1"/>
  <c r="Y254" i="23"/>
  <c r="P252" i="24" s="1"/>
  <c r="Z254" i="23"/>
  <c r="Q252" i="24" s="1"/>
  <c r="AA254" i="23"/>
  <c r="R252" i="24" s="1"/>
  <c r="AB254" i="23"/>
  <c r="S252" i="24" s="1"/>
  <c r="AC254" i="23"/>
  <c r="T252" i="24" s="1"/>
  <c r="AD254" i="23"/>
  <c r="U252" i="24" s="1"/>
  <c r="AE254" i="23"/>
  <c r="V252" i="24" s="1"/>
  <c r="W255" i="23"/>
  <c r="N253" i="24" s="1"/>
  <c r="X255" i="23"/>
  <c r="O253" i="24" s="1"/>
  <c r="Y255" i="23"/>
  <c r="P253" i="24" s="1"/>
  <c r="Z255" i="23"/>
  <c r="Q253" i="24" s="1"/>
  <c r="AA255" i="23"/>
  <c r="R253" i="24" s="1"/>
  <c r="AB255" i="23"/>
  <c r="S253" i="24" s="1"/>
  <c r="AC255" i="23"/>
  <c r="T253" i="24" s="1"/>
  <c r="AD255" i="23"/>
  <c r="U253" i="24" s="1"/>
  <c r="AE255" i="23"/>
  <c r="V253" i="24" s="1"/>
  <c r="W256" i="23"/>
  <c r="N254" i="24" s="1"/>
  <c r="X256" i="23"/>
  <c r="O254" i="24" s="1"/>
  <c r="Y256" i="23"/>
  <c r="P254" i="24" s="1"/>
  <c r="Z256" i="23"/>
  <c r="Q254" i="24" s="1"/>
  <c r="AA256" i="23"/>
  <c r="R254" i="24" s="1"/>
  <c r="AB256" i="23"/>
  <c r="S254" i="24" s="1"/>
  <c r="AC256" i="23"/>
  <c r="T254" i="24" s="1"/>
  <c r="AD256" i="23"/>
  <c r="U254" i="24" s="1"/>
  <c r="AE256" i="23"/>
  <c r="V254" i="24" s="1"/>
  <c r="W257" i="23"/>
  <c r="N255" i="24" s="1"/>
  <c r="X257" i="23"/>
  <c r="O255" i="24" s="1"/>
  <c r="Y257" i="23"/>
  <c r="P255" i="24" s="1"/>
  <c r="Z257" i="23"/>
  <c r="Q255" i="24" s="1"/>
  <c r="AA257" i="23"/>
  <c r="R255" i="24" s="1"/>
  <c r="AB257" i="23"/>
  <c r="S255" i="24" s="1"/>
  <c r="AC257" i="23"/>
  <c r="T255" i="24" s="1"/>
  <c r="AD257" i="23"/>
  <c r="U255" i="24" s="1"/>
  <c r="AE257" i="23"/>
  <c r="V255" i="24" s="1"/>
  <c r="W258" i="23"/>
  <c r="N256" i="24" s="1"/>
  <c r="X258" i="23"/>
  <c r="O256" i="24" s="1"/>
  <c r="Y258" i="23"/>
  <c r="P256" i="24" s="1"/>
  <c r="Z258" i="23"/>
  <c r="Q256" i="24" s="1"/>
  <c r="AA258" i="23"/>
  <c r="R256" i="24" s="1"/>
  <c r="AB258" i="23"/>
  <c r="S256" i="24" s="1"/>
  <c r="AC258" i="23"/>
  <c r="T256" i="24" s="1"/>
  <c r="AD258" i="23"/>
  <c r="U256" i="24" s="1"/>
  <c r="AE258" i="23"/>
  <c r="V256" i="24" s="1"/>
  <c r="W259" i="23"/>
  <c r="N257" i="24" s="1"/>
  <c r="X259" i="23"/>
  <c r="O257" i="24" s="1"/>
  <c r="Y259" i="23"/>
  <c r="P257" i="24" s="1"/>
  <c r="Z259" i="23"/>
  <c r="Q257" i="24" s="1"/>
  <c r="AA259" i="23"/>
  <c r="R257" i="24" s="1"/>
  <c r="AB259" i="23"/>
  <c r="S257" i="24" s="1"/>
  <c r="AC259" i="23"/>
  <c r="T257" i="24" s="1"/>
  <c r="AD259" i="23"/>
  <c r="U257" i="24" s="1"/>
  <c r="AE259" i="23"/>
  <c r="V257" i="24" s="1"/>
  <c r="W260" i="23"/>
  <c r="N258" i="24" s="1"/>
  <c r="X260" i="23"/>
  <c r="O258" i="24" s="1"/>
  <c r="Y260" i="23"/>
  <c r="P258" i="24" s="1"/>
  <c r="Z260" i="23"/>
  <c r="Q258" i="24" s="1"/>
  <c r="AA260" i="23"/>
  <c r="R258" i="24" s="1"/>
  <c r="AB260" i="23"/>
  <c r="S258" i="24" s="1"/>
  <c r="AC260" i="23"/>
  <c r="T258" i="24" s="1"/>
  <c r="AD260" i="23"/>
  <c r="U258" i="24" s="1"/>
  <c r="AE260" i="23"/>
  <c r="V258" i="24" s="1"/>
  <c r="W261" i="23"/>
  <c r="N259" i="24" s="1"/>
  <c r="X261" i="23"/>
  <c r="O259" i="24" s="1"/>
  <c r="Y261" i="23"/>
  <c r="P259" i="24" s="1"/>
  <c r="Z261" i="23"/>
  <c r="Q259" i="24" s="1"/>
  <c r="AA261" i="23"/>
  <c r="R259" i="24" s="1"/>
  <c r="AB261" i="23"/>
  <c r="S259" i="24" s="1"/>
  <c r="AC261" i="23"/>
  <c r="T259" i="24" s="1"/>
  <c r="AD261" i="23"/>
  <c r="U259" i="24" s="1"/>
  <c r="AE261" i="23"/>
  <c r="V259" i="24" s="1"/>
  <c r="W262" i="23"/>
  <c r="N260" i="24" s="1"/>
  <c r="X262" i="23"/>
  <c r="O260" i="24" s="1"/>
  <c r="Y262" i="23"/>
  <c r="P260" i="24" s="1"/>
  <c r="Z262" i="23"/>
  <c r="Q260" i="24" s="1"/>
  <c r="AA262" i="23"/>
  <c r="R260" i="24" s="1"/>
  <c r="AB262" i="23"/>
  <c r="S260" i="24" s="1"/>
  <c r="AC262" i="23"/>
  <c r="T260" i="24" s="1"/>
  <c r="AD262" i="23"/>
  <c r="U260" i="24" s="1"/>
  <c r="AE262" i="23"/>
  <c r="V260" i="24" s="1"/>
  <c r="W15" i="23"/>
  <c r="N13" i="24" s="1"/>
  <c r="X15" i="23"/>
  <c r="O13" i="24" s="1"/>
  <c r="Y15" i="23"/>
  <c r="P13" i="24" s="1"/>
  <c r="Z15" i="23"/>
  <c r="Q13" i="24" s="1"/>
  <c r="AA15" i="23"/>
  <c r="R13" i="24" s="1"/>
  <c r="AB15" i="23"/>
  <c r="S13" i="24" s="1"/>
  <c r="AC15" i="23"/>
  <c r="T13" i="24" s="1"/>
  <c r="AD15" i="23"/>
  <c r="U13" i="24" s="1"/>
  <c r="AE15" i="23"/>
  <c r="V13" i="24" s="1"/>
  <c r="W16" i="23"/>
  <c r="N14" i="24" s="1"/>
  <c r="X16" i="23"/>
  <c r="O14" i="24" s="1"/>
  <c r="Y16" i="23"/>
  <c r="P14" i="24" s="1"/>
  <c r="Z16" i="23"/>
  <c r="Q14" i="24" s="1"/>
  <c r="AA16" i="23"/>
  <c r="R14" i="24" s="1"/>
  <c r="AB16" i="23"/>
  <c r="S14" i="24" s="1"/>
  <c r="AC16" i="23"/>
  <c r="T14" i="24" s="1"/>
  <c r="AD16" i="23"/>
  <c r="U14" i="24" s="1"/>
  <c r="AE16" i="23"/>
  <c r="V14" i="24" s="1"/>
  <c r="W17" i="23"/>
  <c r="N15" i="24" s="1"/>
  <c r="X17" i="23"/>
  <c r="O15" i="24" s="1"/>
  <c r="Y17" i="23"/>
  <c r="Z17" i="23"/>
  <c r="Q15" i="24" s="1"/>
  <c r="AA17" i="23"/>
  <c r="R15" i="24" s="1"/>
  <c r="AB17" i="23"/>
  <c r="S15" i="24" s="1"/>
  <c r="AC17" i="23"/>
  <c r="T15" i="24" s="1"/>
  <c r="AD17" i="23"/>
  <c r="U15" i="24" s="1"/>
  <c r="AE17" i="23"/>
  <c r="V15" i="24" s="1"/>
  <c r="W18" i="23"/>
  <c r="N16" i="24" s="1"/>
  <c r="X18" i="23"/>
  <c r="O16" i="24" s="1"/>
  <c r="Y18" i="23"/>
  <c r="P16" i="24" s="1"/>
  <c r="Z18" i="23"/>
  <c r="Q16" i="24" s="1"/>
  <c r="AA18" i="23"/>
  <c r="R16" i="24" s="1"/>
  <c r="AB18" i="23"/>
  <c r="S16" i="24" s="1"/>
  <c r="AC18" i="23"/>
  <c r="T16" i="24" s="1"/>
  <c r="AD18" i="23"/>
  <c r="AE18" i="23"/>
  <c r="V16" i="24" s="1"/>
  <c r="W19" i="23"/>
  <c r="N17" i="24" s="1"/>
  <c r="X19" i="23"/>
  <c r="O17" i="24" s="1"/>
  <c r="Y19" i="23"/>
  <c r="P17" i="24" s="1"/>
  <c r="Z19" i="23"/>
  <c r="Q17" i="24" s="1"/>
  <c r="AA19" i="23"/>
  <c r="R17" i="24" s="1"/>
  <c r="AB19" i="23"/>
  <c r="S17" i="24" s="1"/>
  <c r="AC19" i="23"/>
  <c r="T17" i="24" s="1"/>
  <c r="AD19" i="23"/>
  <c r="U17" i="24" s="1"/>
  <c r="AE19" i="23"/>
  <c r="V17" i="24" s="1"/>
  <c r="W20" i="23"/>
  <c r="N18" i="24" s="1"/>
  <c r="X20" i="23"/>
  <c r="O18" i="24" s="1"/>
  <c r="Y20" i="23"/>
  <c r="P18" i="24" s="1"/>
  <c r="Z20" i="23"/>
  <c r="AA20" i="23"/>
  <c r="R18" i="24" s="1"/>
  <c r="AB20" i="23"/>
  <c r="S18" i="24" s="1"/>
  <c r="AC20" i="23"/>
  <c r="T18" i="24" s="1"/>
  <c r="AD20" i="23"/>
  <c r="U18" i="24" s="1"/>
  <c r="AE20" i="23"/>
  <c r="V18" i="24" s="1"/>
  <c r="W21" i="23"/>
  <c r="N19" i="24" s="1"/>
  <c r="X21" i="23"/>
  <c r="O19" i="24" s="1"/>
  <c r="Y21" i="23"/>
  <c r="P19" i="24" s="1"/>
  <c r="Z21" i="23"/>
  <c r="Q19" i="24" s="1"/>
  <c r="AA21" i="23"/>
  <c r="R19" i="24" s="1"/>
  <c r="AB21" i="23"/>
  <c r="AC21" i="23"/>
  <c r="T19" i="24" s="1"/>
  <c r="AD21" i="23"/>
  <c r="U19" i="24" s="1"/>
  <c r="AE21" i="23"/>
  <c r="V19" i="24" s="1"/>
  <c r="W22" i="23"/>
  <c r="N20" i="24" s="1"/>
  <c r="X22" i="23"/>
  <c r="O20" i="24" s="1"/>
  <c r="Y22" i="23"/>
  <c r="P20" i="24" s="1"/>
  <c r="Z22" i="23"/>
  <c r="Q20" i="24" s="1"/>
  <c r="AA22" i="23"/>
  <c r="R20" i="24" s="1"/>
  <c r="AB22" i="23"/>
  <c r="S20" i="24" s="1"/>
  <c r="AC22" i="23"/>
  <c r="T20" i="24" s="1"/>
  <c r="AD22" i="23"/>
  <c r="U20" i="24" s="1"/>
  <c r="AE22" i="23"/>
  <c r="V20" i="24" s="1"/>
  <c r="W23" i="23"/>
  <c r="N21" i="24" s="1"/>
  <c r="X23" i="23"/>
  <c r="O21" i="24" s="1"/>
  <c r="Y23" i="23"/>
  <c r="P21" i="24" s="1"/>
  <c r="Z23" i="23"/>
  <c r="Q21" i="24" s="1"/>
  <c r="AA23" i="23"/>
  <c r="AB23" i="23"/>
  <c r="S21" i="24" s="1"/>
  <c r="AC23" i="23"/>
  <c r="T21" i="24" s="1"/>
  <c r="AD23" i="23"/>
  <c r="U21" i="24" s="1"/>
  <c r="AE23" i="23"/>
  <c r="V21" i="24" s="1"/>
  <c r="W24" i="23"/>
  <c r="N22" i="24" s="1"/>
  <c r="X24" i="23"/>
  <c r="O22" i="24" s="1"/>
  <c r="Y24" i="23"/>
  <c r="P22" i="24" s="1"/>
  <c r="Z24" i="23"/>
  <c r="Q22" i="24" s="1"/>
  <c r="AA24" i="23"/>
  <c r="R22" i="24" s="1"/>
  <c r="AB24" i="23"/>
  <c r="S22" i="24" s="1"/>
  <c r="AC24" i="23"/>
  <c r="T22" i="24" s="1"/>
  <c r="AD24" i="23"/>
  <c r="U22" i="24" s="1"/>
  <c r="AE24" i="23"/>
  <c r="V22" i="24" s="1"/>
  <c r="W25" i="23"/>
  <c r="N23" i="24" s="1"/>
  <c r="X25" i="23"/>
  <c r="O23" i="24" s="1"/>
  <c r="Y25" i="23"/>
  <c r="P23" i="24" s="1"/>
  <c r="Z25" i="23"/>
  <c r="Q23" i="24" s="1"/>
  <c r="AA25" i="23"/>
  <c r="AB25" i="23"/>
  <c r="S23" i="24" s="1"/>
  <c r="AC25" i="23"/>
  <c r="T23" i="24" s="1"/>
  <c r="AD25" i="23"/>
  <c r="U23" i="24" s="1"/>
  <c r="AE25" i="23"/>
  <c r="V23" i="24" s="1"/>
  <c r="W26" i="23"/>
  <c r="N24" i="24" s="1"/>
  <c r="X26" i="23"/>
  <c r="O24" i="24" s="1"/>
  <c r="Y26" i="23"/>
  <c r="P24" i="24" s="1"/>
  <c r="Z26" i="23"/>
  <c r="Q24" i="24" s="1"/>
  <c r="AA26" i="23"/>
  <c r="R24" i="24" s="1"/>
  <c r="AB26" i="23"/>
  <c r="S24" i="24" s="1"/>
  <c r="AC26" i="23"/>
  <c r="T24" i="24" s="1"/>
  <c r="AD26" i="23"/>
  <c r="U24" i="24" s="1"/>
  <c r="AE26" i="23"/>
  <c r="V24" i="24" s="1"/>
  <c r="W27" i="23"/>
  <c r="N25" i="24" s="1"/>
  <c r="X27" i="23"/>
  <c r="O25" i="24" s="1"/>
  <c r="Y27" i="23"/>
  <c r="Z27" i="23"/>
  <c r="Q25" i="24" s="1"/>
  <c r="AA27" i="23"/>
  <c r="R25" i="24" s="1"/>
  <c r="AB27" i="23"/>
  <c r="S25" i="24" s="1"/>
  <c r="AC27" i="23"/>
  <c r="T25" i="24" s="1"/>
  <c r="AD27" i="23"/>
  <c r="U25" i="24" s="1"/>
  <c r="AE27" i="23"/>
  <c r="V25" i="24" s="1"/>
  <c r="W28" i="23"/>
  <c r="N26" i="24" s="1"/>
  <c r="X28" i="23"/>
  <c r="O26" i="24" s="1"/>
  <c r="Y28" i="23"/>
  <c r="P26" i="24" s="1"/>
  <c r="Z28" i="23"/>
  <c r="Q26" i="24" s="1"/>
  <c r="AA28" i="23"/>
  <c r="R26" i="24" s="1"/>
  <c r="AB28" i="23"/>
  <c r="S26" i="24" s="1"/>
  <c r="AC28" i="23"/>
  <c r="T26" i="24" s="1"/>
  <c r="AD28" i="23"/>
  <c r="AE28" i="23"/>
  <c r="V26" i="24" s="1"/>
  <c r="W29" i="23"/>
  <c r="N27" i="24" s="1"/>
  <c r="X29" i="23"/>
  <c r="O27" i="24" s="1"/>
  <c r="Y29" i="23"/>
  <c r="P27" i="24" s="1"/>
  <c r="Z29" i="23"/>
  <c r="Q27" i="24" s="1"/>
  <c r="AA29" i="23"/>
  <c r="R27" i="24" s="1"/>
  <c r="AB29" i="23"/>
  <c r="S27" i="24" s="1"/>
  <c r="AC29" i="23"/>
  <c r="T27" i="24" s="1"/>
  <c r="AD29" i="23"/>
  <c r="U27" i="24" s="1"/>
  <c r="AE29" i="23"/>
  <c r="V27" i="24" s="1"/>
  <c r="W30" i="23"/>
  <c r="X30" i="23"/>
  <c r="O28" i="24" s="1"/>
  <c r="Y30" i="23"/>
  <c r="P28" i="24" s="1"/>
  <c r="Z30" i="23"/>
  <c r="Q28" i="24" s="1"/>
  <c r="AA30" i="23"/>
  <c r="R28" i="24" s="1"/>
  <c r="AB30" i="23"/>
  <c r="S28" i="24" s="1"/>
  <c r="AC30" i="23"/>
  <c r="T28" i="24" s="1"/>
  <c r="AD30" i="23"/>
  <c r="U28" i="24" s="1"/>
  <c r="AE30" i="23"/>
  <c r="V28" i="24" s="1"/>
  <c r="W31" i="23"/>
  <c r="N29" i="24" s="1"/>
  <c r="X31" i="23"/>
  <c r="O29" i="24" s="1"/>
  <c r="Y31" i="23"/>
  <c r="P29" i="24" s="1"/>
  <c r="Z31" i="23"/>
  <c r="Q29" i="24" s="1"/>
  <c r="AA31" i="23"/>
  <c r="R29" i="24" s="1"/>
  <c r="AB31" i="23"/>
  <c r="AC31" i="23"/>
  <c r="T29" i="24" s="1"/>
  <c r="AD31" i="23"/>
  <c r="U29" i="24" s="1"/>
  <c r="AE31" i="23"/>
  <c r="V29" i="24" s="1"/>
  <c r="W32" i="23"/>
  <c r="N30" i="24" s="1"/>
  <c r="X32" i="23"/>
  <c r="O30" i="24" s="1"/>
  <c r="Y32" i="23"/>
  <c r="P30" i="24" s="1"/>
  <c r="Z32" i="23"/>
  <c r="Q30" i="24" s="1"/>
  <c r="AA32" i="23"/>
  <c r="R30" i="24" s="1"/>
  <c r="AB32" i="23"/>
  <c r="S30" i="24" s="1"/>
  <c r="AC32" i="23"/>
  <c r="T30" i="24" s="1"/>
  <c r="AD32" i="23"/>
  <c r="AE32" i="23"/>
  <c r="V30" i="24" s="1"/>
  <c r="W33" i="23"/>
  <c r="N31" i="24" s="1"/>
  <c r="X33" i="23"/>
  <c r="O31" i="24" s="1"/>
  <c r="Y33" i="23"/>
  <c r="P31" i="24" s="1"/>
  <c r="Z33" i="23"/>
  <c r="Q31" i="24" s="1"/>
  <c r="AA33" i="23"/>
  <c r="R31" i="24" s="1"/>
  <c r="AB33" i="23"/>
  <c r="S31" i="24" s="1"/>
  <c r="AC33" i="23"/>
  <c r="T31" i="24" s="1"/>
  <c r="AD33" i="23"/>
  <c r="U31" i="24" s="1"/>
  <c r="AE33" i="23"/>
  <c r="V31" i="24" s="1"/>
  <c r="W34" i="23"/>
  <c r="N32" i="24" s="1"/>
  <c r="X34" i="23"/>
  <c r="O32" i="24" s="1"/>
  <c r="Y34" i="23"/>
  <c r="P32" i="24" s="1"/>
  <c r="Z34" i="23"/>
  <c r="AA34" i="23"/>
  <c r="R32" i="24" s="1"/>
  <c r="AB34" i="23"/>
  <c r="S32" i="24" s="1"/>
  <c r="AC34" i="23"/>
  <c r="T32" i="24" s="1"/>
  <c r="AD34" i="23"/>
  <c r="U32" i="24" s="1"/>
  <c r="AE34" i="23"/>
  <c r="V32" i="24" s="1"/>
  <c r="W35" i="23"/>
  <c r="N33" i="24" s="1"/>
  <c r="X35" i="23"/>
  <c r="O33" i="24" s="1"/>
  <c r="Y35" i="23"/>
  <c r="P33" i="24" s="1"/>
  <c r="Z35" i="23"/>
  <c r="Q33" i="24" s="1"/>
  <c r="AA35" i="23"/>
  <c r="R33" i="24" s="1"/>
  <c r="AB35" i="23"/>
  <c r="S33" i="24" s="1"/>
  <c r="AC35" i="23"/>
  <c r="T33" i="24" s="1"/>
  <c r="AD35" i="23"/>
  <c r="U33" i="24" s="1"/>
  <c r="AE35" i="23"/>
  <c r="W36" i="23"/>
  <c r="N34" i="24" s="1"/>
  <c r="X36" i="23"/>
  <c r="O34" i="24" s="1"/>
  <c r="Y36" i="23"/>
  <c r="P34" i="24" s="1"/>
  <c r="Z36" i="23"/>
  <c r="Q34" i="24" s="1"/>
  <c r="AA36" i="23"/>
  <c r="R34" i="24" s="1"/>
  <c r="AB36" i="23"/>
  <c r="S34" i="24" s="1"/>
  <c r="AC36" i="23"/>
  <c r="T34" i="24" s="1"/>
  <c r="AD36" i="23"/>
  <c r="U34" i="24" s="1"/>
  <c r="AE36" i="23"/>
  <c r="V34" i="24" s="1"/>
  <c r="W37" i="23"/>
  <c r="N35" i="24" s="1"/>
  <c r="X37" i="23"/>
  <c r="Y37" i="23"/>
  <c r="P35" i="24" s="1"/>
  <c r="Z37" i="23"/>
  <c r="Q35" i="24" s="1"/>
  <c r="AA37" i="23"/>
  <c r="R35" i="24" s="1"/>
  <c r="AB37" i="23"/>
  <c r="S35" i="24" s="1"/>
  <c r="AC37" i="23"/>
  <c r="T35" i="24" s="1"/>
  <c r="AD37" i="23"/>
  <c r="U35" i="24" s="1"/>
  <c r="AE37" i="23"/>
  <c r="V35" i="24" s="1"/>
  <c r="W38" i="23"/>
  <c r="N36" i="24" s="1"/>
  <c r="X38" i="23"/>
  <c r="O36" i="24" s="1"/>
  <c r="Y38" i="23"/>
  <c r="P36" i="24" s="1"/>
  <c r="Z38" i="23"/>
  <c r="Q36" i="24" s="1"/>
  <c r="AA38" i="23"/>
  <c r="R36" i="24" s="1"/>
  <c r="AB38" i="23"/>
  <c r="S36" i="24" s="1"/>
  <c r="AC38" i="23"/>
  <c r="AD38" i="23"/>
  <c r="U36" i="24" s="1"/>
  <c r="AE38" i="23"/>
  <c r="V36" i="24" s="1"/>
  <c r="W39" i="23"/>
  <c r="N37" i="24" s="1"/>
  <c r="X39" i="23"/>
  <c r="O37" i="24" s="1"/>
  <c r="Y39" i="23"/>
  <c r="P37" i="24" s="1"/>
  <c r="Z39" i="23"/>
  <c r="Q37" i="24" s="1"/>
  <c r="AA39" i="23"/>
  <c r="R37" i="24" s="1"/>
  <c r="AB39" i="23"/>
  <c r="S37" i="24" s="1"/>
  <c r="AC39" i="23"/>
  <c r="T37" i="24" s="1"/>
  <c r="AD39" i="23"/>
  <c r="U37" i="24" s="1"/>
  <c r="AE39" i="23"/>
  <c r="W40" i="23"/>
  <c r="N38" i="24" s="1"/>
  <c r="X40" i="23"/>
  <c r="O38" i="24" s="1"/>
  <c r="Y40" i="23"/>
  <c r="P38" i="24" s="1"/>
  <c r="Z40" i="23"/>
  <c r="Q38" i="24" s="1"/>
  <c r="AA40" i="23"/>
  <c r="R38" i="24" s="1"/>
  <c r="AB40" i="23"/>
  <c r="S38" i="24" s="1"/>
  <c r="AC40" i="23"/>
  <c r="T38" i="24" s="1"/>
  <c r="AD40" i="23"/>
  <c r="U38" i="24" s="1"/>
  <c r="AE40" i="23"/>
  <c r="V38" i="24" s="1"/>
  <c r="W41" i="23"/>
  <c r="N39" i="24" s="1"/>
  <c r="X41" i="23"/>
  <c r="O39" i="24" s="1"/>
  <c r="Y41" i="23"/>
  <c r="P39" i="24" s="1"/>
  <c r="Z41" i="23"/>
  <c r="Q39" i="24" s="1"/>
  <c r="AA41" i="23"/>
  <c r="AB41" i="23"/>
  <c r="S39" i="24" s="1"/>
  <c r="AC41" i="23"/>
  <c r="T39" i="24" s="1"/>
  <c r="AD41" i="23"/>
  <c r="U39" i="24" s="1"/>
  <c r="AE41" i="23"/>
  <c r="V39" i="24" s="1"/>
  <c r="W42" i="23"/>
  <c r="N40" i="24" s="1"/>
  <c r="X42" i="23"/>
  <c r="O40" i="24" s="1"/>
  <c r="Y42" i="23"/>
  <c r="P40" i="24" s="1"/>
  <c r="Z42" i="23"/>
  <c r="Q40" i="24" s="1"/>
  <c r="AA42" i="23"/>
  <c r="R40" i="24" s="1"/>
  <c r="AB42" i="23"/>
  <c r="S40" i="24" s="1"/>
  <c r="AC42" i="23"/>
  <c r="T40" i="24" s="1"/>
  <c r="AD42" i="23"/>
  <c r="U40" i="24" s="1"/>
  <c r="AE42" i="23"/>
  <c r="V40" i="24" s="1"/>
  <c r="W43" i="23"/>
  <c r="X43" i="23"/>
  <c r="O41" i="24" s="1"/>
  <c r="Y43" i="23"/>
  <c r="P41" i="24" s="1"/>
  <c r="Z43" i="23"/>
  <c r="Q41" i="24" s="1"/>
  <c r="AA43" i="23"/>
  <c r="R41" i="24" s="1"/>
  <c r="AB43" i="23"/>
  <c r="S41" i="24" s="1"/>
  <c r="AC43" i="23"/>
  <c r="T41" i="24" s="1"/>
  <c r="AD43" i="23"/>
  <c r="U41" i="24" s="1"/>
  <c r="AE43" i="23"/>
  <c r="V41" i="24" s="1"/>
  <c r="W44" i="23"/>
  <c r="N42" i="24" s="1"/>
  <c r="X44" i="23"/>
  <c r="O42" i="24" s="1"/>
  <c r="Y44" i="23"/>
  <c r="Z44" i="23"/>
  <c r="Q42" i="24" s="1"/>
  <c r="AA44" i="23"/>
  <c r="R42" i="24" s="1"/>
  <c r="AB44" i="23"/>
  <c r="S42" i="24" s="1"/>
  <c r="AC44" i="23"/>
  <c r="T42" i="24" s="1"/>
  <c r="AD44" i="23"/>
  <c r="U42" i="24" s="1"/>
  <c r="AE44" i="23"/>
  <c r="V42" i="24" s="1"/>
  <c r="W45" i="23"/>
  <c r="N43" i="24" s="1"/>
  <c r="X45" i="23"/>
  <c r="O43" i="24" s="1"/>
  <c r="Y45" i="23"/>
  <c r="P43" i="24" s="1"/>
  <c r="Z45" i="23"/>
  <c r="Q43" i="24" s="1"/>
  <c r="AA45" i="23"/>
  <c r="R43" i="24" s="1"/>
  <c r="AB45" i="23"/>
  <c r="S43" i="24" s="1"/>
  <c r="AC45" i="23"/>
  <c r="T43" i="24" s="1"/>
  <c r="AD45" i="23"/>
  <c r="AE45" i="23"/>
  <c r="V43" i="24" s="1"/>
  <c r="W46" i="23"/>
  <c r="N44" i="24" s="1"/>
  <c r="X46" i="23"/>
  <c r="O44" i="24" s="1"/>
  <c r="Y46" i="23"/>
  <c r="P44" i="24" s="1"/>
  <c r="Z46" i="23"/>
  <c r="Q44" i="24" s="1"/>
  <c r="AA46" i="23"/>
  <c r="R44" i="24" s="1"/>
  <c r="AB46" i="23"/>
  <c r="S44" i="24" s="1"/>
  <c r="AC46" i="23"/>
  <c r="T44" i="24" s="1"/>
  <c r="AD46" i="23"/>
  <c r="U44" i="24" s="1"/>
  <c r="AE46" i="23"/>
  <c r="V44" i="24" s="1"/>
  <c r="W47" i="23"/>
  <c r="X47" i="23"/>
  <c r="O45" i="24" s="1"/>
  <c r="Y47" i="23"/>
  <c r="P45" i="24" s="1"/>
  <c r="Z47" i="23"/>
  <c r="Q45" i="24" s="1"/>
  <c r="AA47" i="23"/>
  <c r="R45" i="24" s="1"/>
  <c r="AB47" i="23"/>
  <c r="S45" i="24" s="1"/>
  <c r="AC47" i="23"/>
  <c r="T45" i="24" s="1"/>
  <c r="AD47" i="23"/>
  <c r="U45" i="24" s="1"/>
  <c r="AE47" i="23"/>
  <c r="V45" i="24" s="1"/>
  <c r="W48" i="23"/>
  <c r="N46" i="24" s="1"/>
  <c r="X48" i="23"/>
  <c r="O46" i="24" s="1"/>
  <c r="Y48" i="23"/>
  <c r="P46" i="24" s="1"/>
  <c r="Z48" i="23"/>
  <c r="Q46" i="24" s="1"/>
  <c r="AA48" i="23"/>
  <c r="R46" i="24" s="1"/>
  <c r="AB48" i="23"/>
  <c r="AC48" i="23"/>
  <c r="T46" i="24" s="1"/>
  <c r="AD48" i="23"/>
  <c r="U46" i="24" s="1"/>
  <c r="AE48" i="23"/>
  <c r="V46" i="24" s="1"/>
  <c r="W49" i="23"/>
  <c r="N47" i="24" s="1"/>
  <c r="X49" i="23"/>
  <c r="O47" i="24" s="1"/>
  <c r="Y49" i="23"/>
  <c r="P47" i="24" s="1"/>
  <c r="Z49" i="23"/>
  <c r="Q47" i="24" s="1"/>
  <c r="AA49" i="23"/>
  <c r="R47" i="24" s="1"/>
  <c r="AB49" i="23"/>
  <c r="S47" i="24" s="1"/>
  <c r="AC49" i="23"/>
  <c r="T47" i="24" s="1"/>
  <c r="AD49" i="23"/>
  <c r="U47" i="24" s="1"/>
  <c r="AE49" i="23"/>
  <c r="V47" i="24" s="1"/>
  <c r="W50" i="23"/>
  <c r="N48" i="24" s="1"/>
  <c r="X50" i="23"/>
  <c r="Y50" i="23"/>
  <c r="P48" i="24" s="1"/>
  <c r="Z50" i="23"/>
  <c r="Q48" i="24" s="1"/>
  <c r="AA50" i="23"/>
  <c r="R48" i="24" s="1"/>
  <c r="AB50" i="23"/>
  <c r="S48" i="24" s="1"/>
  <c r="AC50" i="23"/>
  <c r="T48" i="24" s="1"/>
  <c r="AD50" i="23"/>
  <c r="U48" i="24" s="1"/>
  <c r="AE50" i="23"/>
  <c r="V48" i="24" s="1"/>
  <c r="W51" i="23"/>
  <c r="N49" i="24" s="1"/>
  <c r="X51" i="23"/>
  <c r="O49" i="24" s="1"/>
  <c r="Y51" i="23"/>
  <c r="P49" i="24" s="1"/>
  <c r="Z51" i="23"/>
  <c r="AA51" i="23"/>
  <c r="R49" i="24" s="1"/>
  <c r="AB51" i="23"/>
  <c r="S49" i="24" s="1"/>
  <c r="AC51" i="23"/>
  <c r="T49" i="24" s="1"/>
  <c r="AD51" i="23"/>
  <c r="U49" i="24" s="1"/>
  <c r="AE51" i="23"/>
  <c r="V49" i="24" s="1"/>
  <c r="W52" i="23"/>
  <c r="N50" i="24" s="1"/>
  <c r="X52" i="23"/>
  <c r="O50" i="24" s="1"/>
  <c r="Y52" i="23"/>
  <c r="P50" i="24" s="1"/>
  <c r="Z52" i="23"/>
  <c r="Q50" i="24" s="1"/>
  <c r="AA52" i="23"/>
  <c r="R50" i="24" s="1"/>
  <c r="AB52" i="23"/>
  <c r="S50" i="24" s="1"/>
  <c r="AC52" i="23"/>
  <c r="T50" i="24" s="1"/>
  <c r="AD52" i="23"/>
  <c r="U50" i="24" s="1"/>
  <c r="AE52" i="23"/>
  <c r="W53" i="23"/>
  <c r="N51" i="24" s="1"/>
  <c r="X53" i="23"/>
  <c r="O51" i="24" s="1"/>
  <c r="Y53" i="23"/>
  <c r="P51" i="24" s="1"/>
  <c r="Z53" i="23"/>
  <c r="Q51" i="24" s="1"/>
  <c r="AA53" i="23"/>
  <c r="R51" i="24" s="1"/>
  <c r="AB53" i="23"/>
  <c r="S51" i="24" s="1"/>
  <c r="AC53" i="23"/>
  <c r="T51" i="24" s="1"/>
  <c r="AD53" i="23"/>
  <c r="U51" i="24" s="1"/>
  <c r="AE53" i="23"/>
  <c r="V51" i="24" s="1"/>
  <c r="W54" i="23"/>
  <c r="N52" i="24" s="1"/>
  <c r="X54" i="23"/>
  <c r="Y54" i="23"/>
  <c r="P52" i="24" s="1"/>
  <c r="Z54" i="23"/>
  <c r="Q52" i="24" s="1"/>
  <c r="AA54" i="23"/>
  <c r="R52" i="24" s="1"/>
  <c r="AB54" i="23"/>
  <c r="S52" i="24" s="1"/>
  <c r="AC54" i="23"/>
  <c r="T52" i="24" s="1"/>
  <c r="AD54" i="23"/>
  <c r="U52" i="24" s="1"/>
  <c r="AE54" i="23"/>
  <c r="V52" i="24" s="1"/>
  <c r="W55" i="23"/>
  <c r="N53" i="24" s="1"/>
  <c r="X55" i="23"/>
  <c r="O53" i="24" s="1"/>
  <c r="Y55" i="23"/>
  <c r="P53" i="24" s="1"/>
  <c r="Z55" i="23"/>
  <c r="Q53" i="24" s="1"/>
  <c r="AA55" i="23"/>
  <c r="R53" i="24" s="1"/>
  <c r="AB55" i="23"/>
  <c r="S53" i="24" s="1"/>
  <c r="AC55" i="23"/>
  <c r="AD55" i="23"/>
  <c r="U53" i="24" s="1"/>
  <c r="AE55" i="23"/>
  <c r="V53" i="24" s="1"/>
  <c r="W56" i="23"/>
  <c r="N54" i="24" s="1"/>
  <c r="X56" i="23"/>
  <c r="O54" i="24" s="1"/>
  <c r="Y56" i="23"/>
  <c r="P54" i="24" s="1"/>
  <c r="Z56" i="23"/>
  <c r="Q54" i="24" s="1"/>
  <c r="AA56" i="23"/>
  <c r="R54" i="24" s="1"/>
  <c r="AB56" i="23"/>
  <c r="S54" i="24" s="1"/>
  <c r="AC56" i="23"/>
  <c r="T54" i="24" s="1"/>
  <c r="AD56" i="23"/>
  <c r="U54" i="24" s="1"/>
  <c r="AE56" i="23"/>
  <c r="V54" i="24" s="1"/>
  <c r="W57" i="23"/>
  <c r="N55" i="24" s="1"/>
  <c r="X57" i="23"/>
  <c r="O55" i="24" s="1"/>
  <c r="Y57" i="23"/>
  <c r="Z57" i="23"/>
  <c r="Q55" i="24" s="1"/>
  <c r="AA57" i="23"/>
  <c r="R55" i="24" s="1"/>
  <c r="AB57" i="23"/>
  <c r="S55" i="24" s="1"/>
  <c r="AC57" i="23"/>
  <c r="T55" i="24" s="1"/>
  <c r="AD57" i="23"/>
  <c r="U55" i="24" s="1"/>
  <c r="AE57" i="23"/>
  <c r="V55" i="24" s="1"/>
  <c r="W58" i="23"/>
  <c r="N56" i="24" s="1"/>
  <c r="X58" i="23"/>
  <c r="O56" i="24" s="1"/>
  <c r="Y58" i="23"/>
  <c r="P56" i="24" s="1"/>
  <c r="Z58" i="23"/>
  <c r="Q56" i="24" s="1"/>
  <c r="AA58" i="23"/>
  <c r="R56" i="24" s="1"/>
  <c r="AB58" i="23"/>
  <c r="S56" i="24" s="1"/>
  <c r="AC58" i="23"/>
  <c r="T56" i="24" s="1"/>
  <c r="AD58" i="23"/>
  <c r="U56" i="24" s="1"/>
  <c r="AE58" i="23"/>
  <c r="V56" i="24" s="1"/>
  <c r="W59" i="23"/>
  <c r="N57" i="24" s="1"/>
  <c r="X59" i="23"/>
  <c r="O57" i="24" s="1"/>
  <c r="Y59" i="23"/>
  <c r="P57" i="24" s="1"/>
  <c r="Z59" i="23"/>
  <c r="Q57" i="24" s="1"/>
  <c r="AA59" i="23"/>
  <c r="R57" i="24" s="1"/>
  <c r="AB59" i="23"/>
  <c r="S57" i="24" s="1"/>
  <c r="AC59" i="23"/>
  <c r="T57" i="24" s="1"/>
  <c r="AD59" i="23"/>
  <c r="U57" i="24" s="1"/>
  <c r="AE59" i="23"/>
  <c r="V57" i="24" s="1"/>
  <c r="W60" i="23"/>
  <c r="N58" i="24" s="1"/>
  <c r="X60" i="23"/>
  <c r="O58" i="24" s="1"/>
  <c r="Y60" i="23"/>
  <c r="Z60" i="23"/>
  <c r="Q58" i="24" s="1"/>
  <c r="AA60" i="23"/>
  <c r="R58" i="24" s="1"/>
  <c r="AB60" i="23"/>
  <c r="S58" i="24" s="1"/>
  <c r="AC60" i="23"/>
  <c r="T58" i="24" s="1"/>
  <c r="AD60" i="23"/>
  <c r="U58" i="24" s="1"/>
  <c r="AE60" i="23"/>
  <c r="V58" i="24" s="1"/>
  <c r="W61" i="23"/>
  <c r="N59" i="24" s="1"/>
  <c r="X61" i="23"/>
  <c r="O59" i="24" s="1"/>
  <c r="Y61" i="23"/>
  <c r="P59" i="24" s="1"/>
  <c r="Z61" i="23"/>
  <c r="Q59" i="24" s="1"/>
  <c r="AA61" i="23"/>
  <c r="R59" i="24" s="1"/>
  <c r="AB61" i="23"/>
  <c r="S59" i="24" s="1"/>
  <c r="AC61" i="23"/>
  <c r="T59" i="24" s="1"/>
  <c r="AD61" i="23"/>
  <c r="U59" i="24" s="1"/>
  <c r="AE61" i="23"/>
  <c r="V59" i="24" s="1"/>
  <c r="W62" i="23"/>
  <c r="N60" i="24" s="1"/>
  <c r="X62" i="23"/>
  <c r="O60" i="24" s="1"/>
  <c r="Y62" i="23"/>
  <c r="P60" i="24" s="1"/>
  <c r="Z62" i="23"/>
  <c r="Q60" i="24" s="1"/>
  <c r="AA62" i="23"/>
  <c r="R60" i="24" s="1"/>
  <c r="AB62" i="23"/>
  <c r="S60" i="24" s="1"/>
  <c r="AC62" i="23"/>
  <c r="AD62" i="23"/>
  <c r="U60" i="24" s="1"/>
  <c r="AE62" i="23"/>
  <c r="V60" i="24" s="1"/>
  <c r="W63" i="23"/>
  <c r="N61" i="24" s="1"/>
  <c r="X63" i="23"/>
  <c r="O61" i="24" s="1"/>
  <c r="Y63" i="23"/>
  <c r="P61" i="24" s="1"/>
  <c r="Z63" i="23"/>
  <c r="Q61" i="24" s="1"/>
  <c r="AA63" i="23"/>
  <c r="R61" i="24" s="1"/>
  <c r="AB63" i="23"/>
  <c r="S61" i="24" s="1"/>
  <c r="AC63" i="23"/>
  <c r="T61" i="24" s="1"/>
  <c r="AD63" i="23"/>
  <c r="U61" i="24" s="1"/>
  <c r="AE63" i="23"/>
  <c r="V61" i="24" s="1"/>
  <c r="W64" i="23"/>
  <c r="N62" i="24" s="1"/>
  <c r="X64" i="23"/>
  <c r="O62" i="24" s="1"/>
  <c r="Y64" i="23"/>
  <c r="P62" i="24" s="1"/>
  <c r="Z64" i="23"/>
  <c r="Q62" i="24" s="1"/>
  <c r="AA64" i="23"/>
  <c r="R62" i="24" s="1"/>
  <c r="AB64" i="23"/>
  <c r="S62" i="24" s="1"/>
  <c r="AC64" i="23"/>
  <c r="T62" i="24" s="1"/>
  <c r="AD64" i="23"/>
  <c r="U62" i="24" s="1"/>
  <c r="AE64" i="23"/>
  <c r="V62" i="24" s="1"/>
  <c r="W65" i="23"/>
  <c r="N63" i="24" s="1"/>
  <c r="X65" i="23"/>
  <c r="O63" i="24" s="1"/>
  <c r="Y65" i="23"/>
  <c r="P63" i="24" s="1"/>
  <c r="Z65" i="23"/>
  <c r="Q63" i="24" s="1"/>
  <c r="AA65" i="23"/>
  <c r="R63" i="24" s="1"/>
  <c r="AB65" i="23"/>
  <c r="S63" i="24" s="1"/>
  <c r="AC65" i="23"/>
  <c r="T63" i="24" s="1"/>
  <c r="AD65" i="23"/>
  <c r="U63" i="24" s="1"/>
  <c r="AE65" i="23"/>
  <c r="V63" i="24" s="1"/>
  <c r="W66" i="23"/>
  <c r="N64" i="24" s="1"/>
  <c r="X66" i="23"/>
  <c r="O64" i="24" s="1"/>
  <c r="Y66" i="23"/>
  <c r="P64" i="24" s="1"/>
  <c r="Z66" i="23"/>
  <c r="Q64" i="24" s="1"/>
  <c r="AA66" i="23"/>
  <c r="R64" i="24" s="1"/>
  <c r="AB66" i="23"/>
  <c r="S64" i="24" s="1"/>
  <c r="AC66" i="23"/>
  <c r="T64" i="24" s="1"/>
  <c r="AD66" i="23"/>
  <c r="U64" i="24" s="1"/>
  <c r="AE66" i="23"/>
  <c r="V64" i="24" s="1"/>
  <c r="W67" i="23"/>
  <c r="N65" i="24" s="1"/>
  <c r="X67" i="23"/>
  <c r="O65" i="24" s="1"/>
  <c r="Y67" i="23"/>
  <c r="P65" i="24" s="1"/>
  <c r="Z67" i="23"/>
  <c r="AA67" i="23"/>
  <c r="R65" i="24" s="1"/>
  <c r="AB67" i="23"/>
  <c r="S65" i="24" s="1"/>
  <c r="AC67" i="23"/>
  <c r="T65" i="24" s="1"/>
  <c r="AD67" i="23"/>
  <c r="U65" i="24" s="1"/>
  <c r="AE67" i="23"/>
  <c r="V65" i="24" s="1"/>
  <c r="W68" i="23"/>
  <c r="N66" i="24" s="1"/>
  <c r="X68" i="23"/>
  <c r="O66" i="24" s="1"/>
  <c r="Y68" i="23"/>
  <c r="P66" i="24" s="1"/>
  <c r="Z68" i="23"/>
  <c r="Q66" i="24" s="1"/>
  <c r="AA68" i="23"/>
  <c r="R66" i="24" s="1"/>
  <c r="AB68" i="23"/>
  <c r="S66" i="24" s="1"/>
  <c r="AC68" i="23"/>
  <c r="T66" i="24" s="1"/>
  <c r="AD68" i="23"/>
  <c r="U66" i="24" s="1"/>
  <c r="AE68" i="23"/>
  <c r="V66" i="24" s="1"/>
  <c r="W69" i="23"/>
  <c r="N67" i="24" s="1"/>
  <c r="X69" i="23"/>
  <c r="O67" i="24" s="1"/>
  <c r="Y69" i="23"/>
  <c r="P67" i="24" s="1"/>
  <c r="Z69" i="23"/>
  <c r="Q67" i="24" s="1"/>
  <c r="AA69" i="23"/>
  <c r="R67" i="24" s="1"/>
  <c r="AB69" i="23"/>
  <c r="S67" i="24" s="1"/>
  <c r="AC69" i="23"/>
  <c r="T67" i="24" s="1"/>
  <c r="AD69" i="23"/>
  <c r="AE69" i="23"/>
  <c r="V67" i="24" s="1"/>
  <c r="W70" i="23"/>
  <c r="N68" i="24" s="1"/>
  <c r="X70" i="23"/>
  <c r="O68" i="24" s="1"/>
  <c r="Y70" i="23"/>
  <c r="P68" i="24" s="1"/>
  <c r="Z70" i="23"/>
  <c r="Q68" i="24" s="1"/>
  <c r="AA70" i="23"/>
  <c r="R68" i="24" s="1"/>
  <c r="AB70" i="23"/>
  <c r="S68" i="24" s="1"/>
  <c r="AC70" i="23"/>
  <c r="T68" i="24" s="1"/>
  <c r="AD70" i="23"/>
  <c r="U68" i="24" s="1"/>
  <c r="AE70" i="23"/>
  <c r="V68" i="24" s="1"/>
  <c r="W71" i="23"/>
  <c r="N69" i="24" s="1"/>
  <c r="X71" i="23"/>
  <c r="O69" i="24" s="1"/>
  <c r="Y71" i="23"/>
  <c r="P69" i="24" s="1"/>
  <c r="Z71" i="23"/>
  <c r="Q69" i="24" s="1"/>
  <c r="AA71" i="23"/>
  <c r="R69" i="24" s="1"/>
  <c r="AB71" i="23"/>
  <c r="S69" i="24" s="1"/>
  <c r="AC71" i="23"/>
  <c r="T69" i="24" s="1"/>
  <c r="AD71" i="23"/>
  <c r="U69" i="24" s="1"/>
  <c r="AE71" i="23"/>
  <c r="V69" i="24" s="1"/>
  <c r="W72" i="23"/>
  <c r="N70" i="24" s="1"/>
  <c r="X72" i="23"/>
  <c r="O70" i="24" s="1"/>
  <c r="Y72" i="23"/>
  <c r="P70" i="24" s="1"/>
  <c r="Z72" i="23"/>
  <c r="Q70" i="24" s="1"/>
  <c r="AA72" i="23"/>
  <c r="R70" i="24" s="1"/>
  <c r="AB72" i="23"/>
  <c r="S70" i="24" s="1"/>
  <c r="AC72" i="23"/>
  <c r="T70" i="24" s="1"/>
  <c r="AD72" i="23"/>
  <c r="U70" i="24" s="1"/>
  <c r="AE72" i="23"/>
  <c r="V70" i="24" s="1"/>
  <c r="W73" i="23"/>
  <c r="N71" i="24" s="1"/>
  <c r="X73" i="23"/>
  <c r="O71" i="24" s="1"/>
  <c r="Y73" i="23"/>
  <c r="P71" i="24" s="1"/>
  <c r="Z73" i="23"/>
  <c r="Q71" i="24" s="1"/>
  <c r="AA73" i="23"/>
  <c r="R71" i="24" s="1"/>
  <c r="AB73" i="23"/>
  <c r="S71" i="24" s="1"/>
  <c r="AC73" i="23"/>
  <c r="T71" i="24" s="1"/>
  <c r="AD73" i="23"/>
  <c r="U71" i="24" s="1"/>
  <c r="AE73" i="23"/>
  <c r="V71" i="24" s="1"/>
  <c r="W74" i="23"/>
  <c r="N72" i="24" s="1"/>
  <c r="X74" i="23"/>
  <c r="O72" i="24" s="1"/>
  <c r="Y74" i="23"/>
  <c r="P72" i="24" s="1"/>
  <c r="Z74" i="23"/>
  <c r="Q72" i="24" s="1"/>
  <c r="AA74" i="23"/>
  <c r="R72" i="24" s="1"/>
  <c r="AB74" i="23"/>
  <c r="S72" i="24" s="1"/>
  <c r="AC74" i="23"/>
  <c r="T72" i="24" s="1"/>
  <c r="AD74" i="23"/>
  <c r="U72" i="24" s="1"/>
  <c r="AE74" i="23"/>
  <c r="V72" i="24" s="1"/>
  <c r="W75" i="23"/>
  <c r="N73" i="24" s="1"/>
  <c r="X75" i="23"/>
  <c r="O73" i="24" s="1"/>
  <c r="Y75" i="23"/>
  <c r="P73" i="24" s="1"/>
  <c r="Z75" i="23"/>
  <c r="Q73" i="24" s="1"/>
  <c r="AA75" i="23"/>
  <c r="R73" i="24" s="1"/>
  <c r="AB75" i="23"/>
  <c r="S73" i="24" s="1"/>
  <c r="AC75" i="23"/>
  <c r="T73" i="24" s="1"/>
  <c r="AD75" i="23"/>
  <c r="U73" i="24" s="1"/>
  <c r="AE75" i="23"/>
  <c r="V73" i="24" s="1"/>
  <c r="W76" i="23"/>
  <c r="N74" i="24" s="1"/>
  <c r="X76" i="23"/>
  <c r="O74" i="24" s="1"/>
  <c r="Y76" i="23"/>
  <c r="P74" i="24" s="1"/>
  <c r="Z76" i="23"/>
  <c r="Q74" i="24" s="1"/>
  <c r="AA76" i="23"/>
  <c r="R74" i="24" s="1"/>
  <c r="AB76" i="23"/>
  <c r="S74" i="24" s="1"/>
  <c r="AC76" i="23"/>
  <c r="T74" i="24" s="1"/>
  <c r="AD76" i="23"/>
  <c r="U74" i="24" s="1"/>
  <c r="AE76" i="23"/>
  <c r="V74" i="24" s="1"/>
  <c r="W77" i="23"/>
  <c r="N75" i="24" s="1"/>
  <c r="X77" i="23"/>
  <c r="O75" i="24" s="1"/>
  <c r="Y77" i="23"/>
  <c r="P75" i="24" s="1"/>
  <c r="Z77" i="23"/>
  <c r="Q75" i="24" s="1"/>
  <c r="AA77" i="23"/>
  <c r="R75" i="24" s="1"/>
  <c r="AB77" i="23"/>
  <c r="S75" i="24" s="1"/>
  <c r="AC77" i="23"/>
  <c r="T75" i="24" s="1"/>
  <c r="AD77" i="23"/>
  <c r="U75" i="24" s="1"/>
  <c r="AE77" i="23"/>
  <c r="V75" i="24" s="1"/>
  <c r="W78" i="23"/>
  <c r="N76" i="24" s="1"/>
  <c r="X78" i="23"/>
  <c r="O76" i="24" s="1"/>
  <c r="Y78" i="23"/>
  <c r="P76" i="24" s="1"/>
  <c r="Z78" i="23"/>
  <c r="Q76" i="24" s="1"/>
  <c r="AA78" i="23"/>
  <c r="R76" i="24" s="1"/>
  <c r="AB78" i="23"/>
  <c r="S76" i="24" s="1"/>
  <c r="AC78" i="23"/>
  <c r="T76" i="24" s="1"/>
  <c r="AD78" i="23"/>
  <c r="U76" i="24" s="1"/>
  <c r="AE78" i="23"/>
  <c r="V76" i="24" s="1"/>
  <c r="W79" i="23"/>
  <c r="N77" i="24" s="1"/>
  <c r="X79" i="23"/>
  <c r="O77" i="24" s="1"/>
  <c r="Y79" i="23"/>
  <c r="P77" i="24" s="1"/>
  <c r="Z79" i="23"/>
  <c r="Q77" i="24" s="1"/>
  <c r="AA79" i="23"/>
  <c r="R77" i="24" s="1"/>
  <c r="AB79" i="23"/>
  <c r="S77" i="24" s="1"/>
  <c r="AC79" i="23"/>
  <c r="T77" i="24" s="1"/>
  <c r="AD79" i="23"/>
  <c r="U77" i="24" s="1"/>
  <c r="AE79" i="23"/>
  <c r="V77" i="24" s="1"/>
  <c r="W80" i="23"/>
  <c r="N78" i="24" s="1"/>
  <c r="X80" i="23"/>
  <c r="O78" i="24" s="1"/>
  <c r="Y80" i="23"/>
  <c r="P78" i="24" s="1"/>
  <c r="Z80" i="23"/>
  <c r="Q78" i="24" s="1"/>
  <c r="AA80" i="23"/>
  <c r="R78" i="24" s="1"/>
  <c r="AB80" i="23"/>
  <c r="S78" i="24" s="1"/>
  <c r="AC80" i="23"/>
  <c r="T78" i="24" s="1"/>
  <c r="AD80" i="23"/>
  <c r="U78" i="24" s="1"/>
  <c r="AE80" i="23"/>
  <c r="V78" i="24" s="1"/>
  <c r="W81" i="23"/>
  <c r="N79" i="24" s="1"/>
  <c r="X81" i="23"/>
  <c r="O79" i="24" s="1"/>
  <c r="Y81" i="23"/>
  <c r="P79" i="24" s="1"/>
  <c r="Z81" i="23"/>
  <c r="Q79" i="24" s="1"/>
  <c r="AA81" i="23"/>
  <c r="R79" i="24" s="1"/>
  <c r="AB81" i="23"/>
  <c r="S79" i="24" s="1"/>
  <c r="AC81" i="23"/>
  <c r="T79" i="24" s="1"/>
  <c r="AD81" i="23"/>
  <c r="U79" i="24" s="1"/>
  <c r="AE81" i="23"/>
  <c r="V79" i="24" s="1"/>
  <c r="W82" i="23"/>
  <c r="N80" i="24" s="1"/>
  <c r="X82" i="23"/>
  <c r="O80" i="24" s="1"/>
  <c r="Y82" i="23"/>
  <c r="P80" i="24" s="1"/>
  <c r="Z82" i="23"/>
  <c r="Q80" i="24" s="1"/>
  <c r="AA82" i="23"/>
  <c r="R80" i="24" s="1"/>
  <c r="AB82" i="23"/>
  <c r="S80" i="24" s="1"/>
  <c r="AC82" i="23"/>
  <c r="T80" i="24" s="1"/>
  <c r="AD82" i="23"/>
  <c r="U80" i="24" s="1"/>
  <c r="AE82" i="23"/>
  <c r="V80" i="24" s="1"/>
  <c r="W83" i="23"/>
  <c r="N81" i="24" s="1"/>
  <c r="X83" i="23"/>
  <c r="O81" i="24" s="1"/>
  <c r="Y83" i="23"/>
  <c r="P81" i="24" s="1"/>
  <c r="Z83" i="23"/>
  <c r="Q81" i="24" s="1"/>
  <c r="AA83" i="23"/>
  <c r="R81" i="24" s="1"/>
  <c r="AB83" i="23"/>
  <c r="S81" i="24" s="1"/>
  <c r="AC83" i="23"/>
  <c r="T81" i="24" s="1"/>
  <c r="AD83" i="23"/>
  <c r="U81" i="24" s="1"/>
  <c r="AE83" i="23"/>
  <c r="V81" i="24" s="1"/>
  <c r="W84" i="23"/>
  <c r="N82" i="24" s="1"/>
  <c r="X84" i="23"/>
  <c r="O82" i="24" s="1"/>
  <c r="Y84" i="23"/>
  <c r="P82" i="24" s="1"/>
  <c r="Z84" i="23"/>
  <c r="Q82" i="24" s="1"/>
  <c r="AA84" i="23"/>
  <c r="R82" i="24" s="1"/>
  <c r="AB84" i="23"/>
  <c r="S82" i="24" s="1"/>
  <c r="AC84" i="23"/>
  <c r="T82" i="24" s="1"/>
  <c r="AD84" i="23"/>
  <c r="U82" i="24" s="1"/>
  <c r="AE84" i="23"/>
  <c r="V82" i="24" s="1"/>
  <c r="W85" i="23"/>
  <c r="N83" i="24" s="1"/>
  <c r="X85" i="23"/>
  <c r="O83" i="24" s="1"/>
  <c r="Y85" i="23"/>
  <c r="P83" i="24" s="1"/>
  <c r="Z85" i="23"/>
  <c r="Q83" i="24" s="1"/>
  <c r="AA85" i="23"/>
  <c r="R83" i="24" s="1"/>
  <c r="AB85" i="23"/>
  <c r="S83" i="24" s="1"/>
  <c r="AC85" i="23"/>
  <c r="T83" i="24" s="1"/>
  <c r="AD85" i="23"/>
  <c r="U83" i="24" s="1"/>
  <c r="AE85" i="23"/>
  <c r="V83" i="24" s="1"/>
  <c r="W86" i="23"/>
  <c r="N84" i="24" s="1"/>
  <c r="X86" i="23"/>
  <c r="O84" i="24" s="1"/>
  <c r="Y86" i="23"/>
  <c r="P84" i="24" s="1"/>
  <c r="Z86" i="23"/>
  <c r="Q84" i="24" s="1"/>
  <c r="AA86" i="23"/>
  <c r="R84" i="24" s="1"/>
  <c r="AB86" i="23"/>
  <c r="S84" i="24" s="1"/>
  <c r="AC86" i="23"/>
  <c r="T84" i="24" s="1"/>
  <c r="AD86" i="23"/>
  <c r="U84" i="24" s="1"/>
  <c r="AE86" i="23"/>
  <c r="V84" i="24" s="1"/>
  <c r="W87" i="23"/>
  <c r="N85" i="24" s="1"/>
  <c r="X87" i="23"/>
  <c r="O85" i="24" s="1"/>
  <c r="Y87" i="23"/>
  <c r="P85" i="24" s="1"/>
  <c r="Z87" i="23"/>
  <c r="Q85" i="24" s="1"/>
  <c r="AA87" i="23"/>
  <c r="R85" i="24" s="1"/>
  <c r="AB87" i="23"/>
  <c r="S85" i="24" s="1"/>
  <c r="AC87" i="23"/>
  <c r="T85" i="24" s="1"/>
  <c r="AD87" i="23"/>
  <c r="U85" i="24" s="1"/>
  <c r="AE87" i="23"/>
  <c r="V85" i="24" s="1"/>
  <c r="W88" i="23"/>
  <c r="N86" i="24" s="1"/>
  <c r="X88" i="23"/>
  <c r="O86" i="24" s="1"/>
  <c r="Y88" i="23"/>
  <c r="P86" i="24" s="1"/>
  <c r="Z88" i="23"/>
  <c r="Q86" i="24" s="1"/>
  <c r="AA88" i="23"/>
  <c r="R86" i="24" s="1"/>
  <c r="AB88" i="23"/>
  <c r="S86" i="24" s="1"/>
  <c r="AC88" i="23"/>
  <c r="T86" i="24" s="1"/>
  <c r="AD88" i="23"/>
  <c r="U86" i="24" s="1"/>
  <c r="AE88" i="23"/>
  <c r="V86" i="24" s="1"/>
  <c r="W89" i="23"/>
  <c r="N87" i="24" s="1"/>
  <c r="X89" i="23"/>
  <c r="O87" i="24" s="1"/>
  <c r="Y89" i="23"/>
  <c r="P87" i="24" s="1"/>
  <c r="Z89" i="23"/>
  <c r="Q87" i="24" s="1"/>
  <c r="AA89" i="23"/>
  <c r="R87" i="24" s="1"/>
  <c r="AB89" i="23"/>
  <c r="S87" i="24" s="1"/>
  <c r="AC89" i="23"/>
  <c r="T87" i="24" s="1"/>
  <c r="AD89" i="23"/>
  <c r="U87" i="24" s="1"/>
  <c r="AE89" i="23"/>
  <c r="V87" i="24" s="1"/>
  <c r="W90" i="23"/>
  <c r="N88" i="24" s="1"/>
  <c r="X90" i="23"/>
  <c r="O88" i="24" s="1"/>
  <c r="Y90" i="23"/>
  <c r="P88" i="24" s="1"/>
  <c r="Z90" i="23"/>
  <c r="Q88" i="24" s="1"/>
  <c r="AA90" i="23"/>
  <c r="R88" i="24" s="1"/>
  <c r="AB90" i="23"/>
  <c r="S88" i="24" s="1"/>
  <c r="AC90" i="23"/>
  <c r="T88" i="24" s="1"/>
  <c r="AD90" i="23"/>
  <c r="U88" i="24" s="1"/>
  <c r="AE90" i="23"/>
  <c r="V88" i="24" s="1"/>
  <c r="W91" i="23"/>
  <c r="N89" i="24" s="1"/>
  <c r="X91" i="23"/>
  <c r="O89" i="24" s="1"/>
  <c r="Y91" i="23"/>
  <c r="P89" i="24" s="1"/>
  <c r="Z91" i="23"/>
  <c r="Q89" i="24" s="1"/>
  <c r="AA91" i="23"/>
  <c r="R89" i="24" s="1"/>
  <c r="AB91" i="23"/>
  <c r="S89" i="24" s="1"/>
  <c r="AC91" i="23"/>
  <c r="T89" i="24" s="1"/>
  <c r="AD91" i="23"/>
  <c r="U89" i="24" s="1"/>
  <c r="AE91" i="23"/>
  <c r="V89" i="24" s="1"/>
  <c r="W92" i="23"/>
  <c r="N90" i="24" s="1"/>
  <c r="X92" i="23"/>
  <c r="O90" i="24" s="1"/>
  <c r="Y92" i="23"/>
  <c r="P90" i="24" s="1"/>
  <c r="Z92" i="23"/>
  <c r="Q90" i="24" s="1"/>
  <c r="AA92" i="23"/>
  <c r="R90" i="24" s="1"/>
  <c r="AB92" i="23"/>
  <c r="S90" i="24" s="1"/>
  <c r="AC92" i="23"/>
  <c r="T90" i="24" s="1"/>
  <c r="AD92" i="23"/>
  <c r="U90" i="24" s="1"/>
  <c r="AE92" i="23"/>
  <c r="V90" i="24" s="1"/>
  <c r="W93" i="23"/>
  <c r="N91" i="24" s="1"/>
  <c r="X93" i="23"/>
  <c r="O91" i="24" s="1"/>
  <c r="Y93" i="23"/>
  <c r="P91" i="24" s="1"/>
  <c r="Z93" i="23"/>
  <c r="Q91" i="24" s="1"/>
  <c r="AA93" i="23"/>
  <c r="R91" i="24" s="1"/>
  <c r="AB93" i="23"/>
  <c r="S91" i="24" s="1"/>
  <c r="AC93" i="23"/>
  <c r="T91" i="24" s="1"/>
  <c r="AD93" i="23"/>
  <c r="U91" i="24" s="1"/>
  <c r="AE93" i="23"/>
  <c r="V91" i="24" s="1"/>
  <c r="W94" i="23"/>
  <c r="N92" i="24" s="1"/>
  <c r="X94" i="23"/>
  <c r="O92" i="24" s="1"/>
  <c r="Y94" i="23"/>
  <c r="P92" i="24" s="1"/>
  <c r="Z94" i="23"/>
  <c r="Q92" i="24" s="1"/>
  <c r="AA94" i="23"/>
  <c r="R92" i="24" s="1"/>
  <c r="AB94" i="23"/>
  <c r="S92" i="24" s="1"/>
  <c r="AC94" i="23"/>
  <c r="T92" i="24" s="1"/>
  <c r="AD94" i="23"/>
  <c r="U92" i="24" s="1"/>
  <c r="AE94" i="23"/>
  <c r="V92" i="24" s="1"/>
  <c r="W95" i="23"/>
  <c r="N93" i="24" s="1"/>
  <c r="X95" i="23"/>
  <c r="O93" i="24" s="1"/>
  <c r="Y95" i="23"/>
  <c r="P93" i="24" s="1"/>
  <c r="Z95" i="23"/>
  <c r="Q93" i="24" s="1"/>
  <c r="AA95" i="23"/>
  <c r="AB95" i="23"/>
  <c r="S93" i="24" s="1"/>
  <c r="AC95" i="23"/>
  <c r="T93" i="24" s="1"/>
  <c r="AD95" i="23"/>
  <c r="U93" i="24" s="1"/>
  <c r="AE95" i="23"/>
  <c r="V93" i="24" s="1"/>
  <c r="W96" i="23"/>
  <c r="N94" i="24" s="1"/>
  <c r="X96" i="23"/>
  <c r="O94" i="24" s="1"/>
  <c r="Y96" i="23"/>
  <c r="P94" i="24" s="1"/>
  <c r="Z96" i="23"/>
  <c r="Q94" i="24" s="1"/>
  <c r="AA96" i="23"/>
  <c r="R94" i="24" s="1"/>
  <c r="AB96" i="23"/>
  <c r="S94" i="24" s="1"/>
  <c r="AC96" i="23"/>
  <c r="T94" i="24" s="1"/>
  <c r="AD96" i="23"/>
  <c r="U94" i="24" s="1"/>
  <c r="AE96" i="23"/>
  <c r="V94" i="24" s="1"/>
  <c r="W97" i="23"/>
  <c r="N95" i="24" s="1"/>
  <c r="X97" i="23"/>
  <c r="O95" i="24" s="1"/>
  <c r="Y97" i="23"/>
  <c r="P95" i="24" s="1"/>
  <c r="Z97" i="23"/>
  <c r="Q95" i="24" s="1"/>
  <c r="AA97" i="23"/>
  <c r="R95" i="24" s="1"/>
  <c r="AB97" i="23"/>
  <c r="S95" i="24" s="1"/>
  <c r="AC97" i="23"/>
  <c r="T95" i="24" s="1"/>
  <c r="AD97" i="23"/>
  <c r="U95" i="24" s="1"/>
  <c r="AE97" i="23"/>
  <c r="V95" i="24" s="1"/>
  <c r="W98" i="23"/>
  <c r="N96" i="24" s="1"/>
  <c r="X98" i="23"/>
  <c r="O96" i="24" s="1"/>
  <c r="Y98" i="23"/>
  <c r="P96" i="24" s="1"/>
  <c r="Z98" i="23"/>
  <c r="Q96" i="24" s="1"/>
  <c r="AA98" i="23"/>
  <c r="R96" i="24" s="1"/>
  <c r="AB98" i="23"/>
  <c r="S96" i="24" s="1"/>
  <c r="AC98" i="23"/>
  <c r="T96" i="24" s="1"/>
  <c r="AD98" i="23"/>
  <c r="U96" i="24" s="1"/>
  <c r="AE98" i="23"/>
  <c r="V96" i="24" s="1"/>
  <c r="W99" i="23"/>
  <c r="N97" i="24" s="1"/>
  <c r="X99" i="23"/>
  <c r="O97" i="24" s="1"/>
  <c r="Y99" i="23"/>
  <c r="P97" i="24" s="1"/>
  <c r="Z99" i="23"/>
  <c r="Q97" i="24" s="1"/>
  <c r="AA99" i="23"/>
  <c r="R97" i="24" s="1"/>
  <c r="AB99" i="23"/>
  <c r="S97" i="24" s="1"/>
  <c r="AC99" i="23"/>
  <c r="T97" i="24" s="1"/>
  <c r="AD99" i="23"/>
  <c r="U97" i="24" s="1"/>
  <c r="AE99" i="23"/>
  <c r="V97" i="24" s="1"/>
  <c r="W100" i="23"/>
  <c r="N98" i="24" s="1"/>
  <c r="X100" i="23"/>
  <c r="O98" i="24" s="1"/>
  <c r="Y100" i="23"/>
  <c r="P98" i="24" s="1"/>
  <c r="Z100" i="23"/>
  <c r="Q98" i="24" s="1"/>
  <c r="AA100" i="23"/>
  <c r="R98" i="24" s="1"/>
  <c r="AB100" i="23"/>
  <c r="S98" i="24" s="1"/>
  <c r="AC100" i="23"/>
  <c r="T98" i="24" s="1"/>
  <c r="AD100" i="23"/>
  <c r="U98" i="24" s="1"/>
  <c r="AE100" i="23"/>
  <c r="V98" i="24" s="1"/>
  <c r="W101" i="23"/>
  <c r="N99" i="24" s="1"/>
  <c r="X101" i="23"/>
  <c r="O99" i="24" s="1"/>
  <c r="Y101" i="23"/>
  <c r="P99" i="24" s="1"/>
  <c r="Z101" i="23"/>
  <c r="Q99" i="24" s="1"/>
  <c r="AA101" i="23"/>
  <c r="R99" i="24" s="1"/>
  <c r="AB101" i="23"/>
  <c r="S99" i="24" s="1"/>
  <c r="AC101" i="23"/>
  <c r="T99" i="24" s="1"/>
  <c r="AD101" i="23"/>
  <c r="U99" i="24" s="1"/>
  <c r="AE101" i="23"/>
  <c r="V99" i="24" s="1"/>
  <c r="W102" i="23"/>
  <c r="N100" i="24" s="1"/>
  <c r="X102" i="23"/>
  <c r="O100" i="24" s="1"/>
  <c r="Y102" i="23"/>
  <c r="P100" i="24" s="1"/>
  <c r="Z102" i="23"/>
  <c r="Q100" i="24" s="1"/>
  <c r="AA102" i="23"/>
  <c r="R100" i="24" s="1"/>
  <c r="AB102" i="23"/>
  <c r="S100" i="24" s="1"/>
  <c r="AC102" i="23"/>
  <c r="T100" i="24" s="1"/>
  <c r="AD102" i="23"/>
  <c r="U100" i="24" s="1"/>
  <c r="AE102" i="23"/>
  <c r="V100" i="24" s="1"/>
  <c r="W103" i="23"/>
  <c r="N101" i="24" s="1"/>
  <c r="X103" i="23"/>
  <c r="O101" i="24" s="1"/>
  <c r="Y103" i="23"/>
  <c r="P101" i="24" s="1"/>
  <c r="Z103" i="23"/>
  <c r="Q101" i="24" s="1"/>
  <c r="AA103" i="23"/>
  <c r="R101" i="24" s="1"/>
  <c r="AB103" i="23"/>
  <c r="S101" i="24" s="1"/>
  <c r="AC103" i="23"/>
  <c r="T101" i="24" s="1"/>
  <c r="AD103" i="23"/>
  <c r="U101" i="24" s="1"/>
  <c r="AE103" i="23"/>
  <c r="V101" i="24" s="1"/>
  <c r="W104" i="23"/>
  <c r="N102" i="24" s="1"/>
  <c r="X104" i="23"/>
  <c r="O102" i="24" s="1"/>
  <c r="Y104" i="23"/>
  <c r="P102" i="24" s="1"/>
  <c r="Z104" i="23"/>
  <c r="Q102" i="24" s="1"/>
  <c r="AA104" i="23"/>
  <c r="R102" i="24" s="1"/>
  <c r="AB104" i="23"/>
  <c r="S102" i="24" s="1"/>
  <c r="AC104" i="23"/>
  <c r="T102" i="24" s="1"/>
  <c r="AD104" i="23"/>
  <c r="U102" i="24" s="1"/>
  <c r="AE104" i="23"/>
  <c r="V102" i="24" s="1"/>
  <c r="W105" i="23"/>
  <c r="N103" i="24" s="1"/>
  <c r="X105" i="23"/>
  <c r="O103" i="24" s="1"/>
  <c r="Y105" i="23"/>
  <c r="P103" i="24" s="1"/>
  <c r="Z105" i="23"/>
  <c r="Q103" i="24" s="1"/>
  <c r="AA105" i="23"/>
  <c r="R103" i="24" s="1"/>
  <c r="AB105" i="23"/>
  <c r="S103" i="24" s="1"/>
  <c r="AC105" i="23"/>
  <c r="T103" i="24" s="1"/>
  <c r="AD105" i="23"/>
  <c r="U103" i="24" s="1"/>
  <c r="AE105" i="23"/>
  <c r="V103" i="24" s="1"/>
  <c r="W106" i="23"/>
  <c r="N104" i="24" s="1"/>
  <c r="X106" i="23"/>
  <c r="O104" i="24" s="1"/>
  <c r="Y106" i="23"/>
  <c r="P104" i="24" s="1"/>
  <c r="Z106" i="23"/>
  <c r="Q104" i="24" s="1"/>
  <c r="AA106" i="23"/>
  <c r="R104" i="24" s="1"/>
  <c r="AB106" i="23"/>
  <c r="S104" i="24" s="1"/>
  <c r="AC106" i="23"/>
  <c r="T104" i="24" s="1"/>
  <c r="AD106" i="23"/>
  <c r="U104" i="24" s="1"/>
  <c r="AE106" i="23"/>
  <c r="V104" i="24" s="1"/>
  <c r="W107" i="23"/>
  <c r="N105" i="24" s="1"/>
  <c r="X107" i="23"/>
  <c r="O105" i="24" s="1"/>
  <c r="Y107" i="23"/>
  <c r="P105" i="24" s="1"/>
  <c r="Z107" i="23"/>
  <c r="Q105" i="24" s="1"/>
  <c r="AA107" i="23"/>
  <c r="R105" i="24" s="1"/>
  <c r="AB107" i="23"/>
  <c r="S105" i="24" s="1"/>
  <c r="AC107" i="23"/>
  <c r="T105" i="24" s="1"/>
  <c r="AD107" i="23"/>
  <c r="U105" i="24" s="1"/>
  <c r="AE107" i="23"/>
  <c r="V105" i="24" s="1"/>
  <c r="W108" i="23"/>
  <c r="N106" i="24" s="1"/>
  <c r="X108" i="23"/>
  <c r="O106" i="24" s="1"/>
  <c r="Y108" i="23"/>
  <c r="P106" i="24" s="1"/>
  <c r="Z108" i="23"/>
  <c r="Q106" i="24" s="1"/>
  <c r="AA108" i="23"/>
  <c r="R106" i="24" s="1"/>
  <c r="AB108" i="23"/>
  <c r="S106" i="24" s="1"/>
  <c r="AC108" i="23"/>
  <c r="T106" i="24" s="1"/>
  <c r="AD108" i="23"/>
  <c r="U106" i="24" s="1"/>
  <c r="AE108" i="23"/>
  <c r="V106" i="24" s="1"/>
  <c r="W109" i="23"/>
  <c r="N107" i="24" s="1"/>
  <c r="X109" i="23"/>
  <c r="O107" i="24" s="1"/>
  <c r="Y109" i="23"/>
  <c r="P107" i="24" s="1"/>
  <c r="Z109" i="23"/>
  <c r="Q107" i="24" s="1"/>
  <c r="AA109" i="23"/>
  <c r="R107" i="24" s="1"/>
  <c r="AB109" i="23"/>
  <c r="S107" i="24" s="1"/>
  <c r="AC109" i="23"/>
  <c r="T107" i="24" s="1"/>
  <c r="AD109" i="23"/>
  <c r="U107" i="24" s="1"/>
  <c r="AE109" i="23"/>
  <c r="V107" i="24" s="1"/>
  <c r="W110" i="23"/>
  <c r="N108" i="24" s="1"/>
  <c r="X110" i="23"/>
  <c r="O108" i="24" s="1"/>
  <c r="Y110" i="23"/>
  <c r="P108" i="24" s="1"/>
  <c r="Z110" i="23"/>
  <c r="Q108" i="24" s="1"/>
  <c r="AA110" i="23"/>
  <c r="R108" i="24" s="1"/>
  <c r="AB110" i="23"/>
  <c r="S108" i="24" s="1"/>
  <c r="AC110" i="23"/>
  <c r="T108" i="24" s="1"/>
  <c r="AD110" i="23"/>
  <c r="U108" i="24" s="1"/>
  <c r="AE110" i="23"/>
  <c r="V108" i="24" s="1"/>
  <c r="W111" i="23"/>
  <c r="N109" i="24" s="1"/>
  <c r="X111" i="23"/>
  <c r="O109" i="24" s="1"/>
  <c r="Y111" i="23"/>
  <c r="P109" i="24" s="1"/>
  <c r="Z111" i="23"/>
  <c r="Q109" i="24" s="1"/>
  <c r="AA111" i="23"/>
  <c r="R109" i="24" s="1"/>
  <c r="AB111" i="23"/>
  <c r="S109" i="24" s="1"/>
  <c r="AC111" i="23"/>
  <c r="T109" i="24" s="1"/>
  <c r="AD111" i="23"/>
  <c r="U109" i="24" s="1"/>
  <c r="AE111" i="23"/>
  <c r="V109" i="24" s="1"/>
  <c r="W112" i="23"/>
  <c r="N110" i="24" s="1"/>
  <c r="X112" i="23"/>
  <c r="O110" i="24" s="1"/>
  <c r="Y112" i="23"/>
  <c r="P110" i="24" s="1"/>
  <c r="Z112" i="23"/>
  <c r="Q110" i="24" s="1"/>
  <c r="AA112" i="23"/>
  <c r="R110" i="24" s="1"/>
  <c r="AB112" i="23"/>
  <c r="S110" i="24" s="1"/>
  <c r="AC112" i="23"/>
  <c r="T110" i="24" s="1"/>
  <c r="AD112" i="23"/>
  <c r="U110" i="24" s="1"/>
  <c r="AE112" i="23"/>
  <c r="V110" i="24" s="1"/>
  <c r="W113" i="23"/>
  <c r="N111" i="24" s="1"/>
  <c r="X113" i="23"/>
  <c r="O111" i="24" s="1"/>
  <c r="Y113" i="23"/>
  <c r="P111" i="24" s="1"/>
  <c r="Z113" i="23"/>
  <c r="Q111" i="24" s="1"/>
  <c r="AA113" i="23"/>
  <c r="R111" i="24" s="1"/>
  <c r="AB113" i="23"/>
  <c r="S111" i="24" s="1"/>
  <c r="AC113" i="23"/>
  <c r="T111" i="24" s="1"/>
  <c r="AD113" i="23"/>
  <c r="U111" i="24" s="1"/>
  <c r="AE113" i="23"/>
  <c r="V111" i="24" s="1"/>
  <c r="W114" i="23"/>
  <c r="N112" i="24" s="1"/>
  <c r="X114" i="23"/>
  <c r="O112" i="24" s="1"/>
  <c r="Y114" i="23"/>
  <c r="P112" i="24" s="1"/>
  <c r="Z114" i="23"/>
  <c r="Q112" i="24" s="1"/>
  <c r="AA114" i="23"/>
  <c r="R112" i="24" s="1"/>
  <c r="AB114" i="23"/>
  <c r="S112" i="24" s="1"/>
  <c r="AC114" i="23"/>
  <c r="T112" i="24" s="1"/>
  <c r="AD114" i="23"/>
  <c r="U112" i="24" s="1"/>
  <c r="AE114" i="23"/>
  <c r="V112" i="24" s="1"/>
  <c r="W115" i="23"/>
  <c r="N113" i="24" s="1"/>
  <c r="X115" i="23"/>
  <c r="O113" i="24" s="1"/>
  <c r="Y115" i="23"/>
  <c r="P113" i="24" s="1"/>
  <c r="Z115" i="23"/>
  <c r="Q113" i="24" s="1"/>
  <c r="AA115" i="23"/>
  <c r="R113" i="24" s="1"/>
  <c r="AB115" i="23"/>
  <c r="S113" i="24" s="1"/>
  <c r="AC115" i="23"/>
  <c r="T113" i="24" s="1"/>
  <c r="AD115" i="23"/>
  <c r="U113" i="24" s="1"/>
  <c r="AE115" i="23"/>
  <c r="V113" i="24" s="1"/>
  <c r="W116" i="23"/>
  <c r="N114" i="24" s="1"/>
  <c r="X116" i="23"/>
  <c r="O114" i="24" s="1"/>
  <c r="Y116" i="23"/>
  <c r="P114" i="24" s="1"/>
  <c r="Z116" i="23"/>
  <c r="Q114" i="24" s="1"/>
  <c r="AA116" i="23"/>
  <c r="R114" i="24" s="1"/>
  <c r="AB116" i="23"/>
  <c r="S114" i="24" s="1"/>
  <c r="AC116" i="23"/>
  <c r="T114" i="24" s="1"/>
  <c r="AD116" i="23"/>
  <c r="U114" i="24" s="1"/>
  <c r="AE116" i="23"/>
  <c r="V114" i="24" s="1"/>
  <c r="W117" i="23"/>
  <c r="N115" i="24" s="1"/>
  <c r="X117" i="23"/>
  <c r="O115" i="24" s="1"/>
  <c r="Y117" i="23"/>
  <c r="P115" i="24" s="1"/>
  <c r="Z117" i="23"/>
  <c r="Q115" i="24" s="1"/>
  <c r="AA117" i="23"/>
  <c r="R115" i="24" s="1"/>
  <c r="AB117" i="23"/>
  <c r="S115" i="24" s="1"/>
  <c r="AC117" i="23"/>
  <c r="T115" i="24" s="1"/>
  <c r="AD117" i="23"/>
  <c r="U115" i="24" s="1"/>
  <c r="AE117" i="23"/>
  <c r="V115" i="24" s="1"/>
  <c r="W118" i="23"/>
  <c r="N116" i="24" s="1"/>
  <c r="X118" i="23"/>
  <c r="O116" i="24" s="1"/>
  <c r="Y118" i="23"/>
  <c r="P116" i="24" s="1"/>
  <c r="Z118" i="23"/>
  <c r="Q116" i="24" s="1"/>
  <c r="AA118" i="23"/>
  <c r="R116" i="24" s="1"/>
  <c r="AB118" i="23"/>
  <c r="S116" i="24" s="1"/>
  <c r="AC118" i="23"/>
  <c r="T116" i="24" s="1"/>
  <c r="AD118" i="23"/>
  <c r="U116" i="24" s="1"/>
  <c r="AE118" i="23"/>
  <c r="V116" i="24" s="1"/>
  <c r="W119" i="23"/>
  <c r="N117" i="24" s="1"/>
  <c r="X119" i="23"/>
  <c r="O117" i="24" s="1"/>
  <c r="Y119" i="23"/>
  <c r="P117" i="24" s="1"/>
  <c r="Z119" i="23"/>
  <c r="Q117" i="24" s="1"/>
  <c r="AA119" i="23"/>
  <c r="R117" i="24" s="1"/>
  <c r="AB119" i="23"/>
  <c r="S117" i="24" s="1"/>
  <c r="AC119" i="23"/>
  <c r="T117" i="24" s="1"/>
  <c r="AD119" i="23"/>
  <c r="U117" i="24" s="1"/>
  <c r="AE119" i="23"/>
  <c r="V117" i="24" s="1"/>
  <c r="W120" i="23"/>
  <c r="N118" i="24" s="1"/>
  <c r="X120" i="23"/>
  <c r="O118" i="24" s="1"/>
  <c r="Y120" i="23"/>
  <c r="P118" i="24" s="1"/>
  <c r="Z120" i="23"/>
  <c r="Q118" i="24" s="1"/>
  <c r="AA120" i="23"/>
  <c r="R118" i="24" s="1"/>
  <c r="AB120" i="23"/>
  <c r="S118" i="24" s="1"/>
  <c r="AC120" i="23"/>
  <c r="T118" i="24" s="1"/>
  <c r="AD120" i="23"/>
  <c r="U118" i="24" s="1"/>
  <c r="AE120" i="23"/>
  <c r="V118" i="24" s="1"/>
  <c r="W121" i="23"/>
  <c r="N119" i="24" s="1"/>
  <c r="X121" i="23"/>
  <c r="O119" i="24" s="1"/>
  <c r="Y121" i="23"/>
  <c r="P119" i="24" s="1"/>
  <c r="Z121" i="23"/>
  <c r="Q119" i="24" s="1"/>
  <c r="AA121" i="23"/>
  <c r="R119" i="24" s="1"/>
  <c r="AB121" i="23"/>
  <c r="S119" i="24" s="1"/>
  <c r="AC121" i="23"/>
  <c r="T119" i="24" s="1"/>
  <c r="AD121" i="23"/>
  <c r="U119" i="24" s="1"/>
  <c r="AE121" i="23"/>
  <c r="V119" i="24" s="1"/>
  <c r="W122" i="23"/>
  <c r="N120" i="24" s="1"/>
  <c r="X122" i="23"/>
  <c r="O120" i="24" s="1"/>
  <c r="Y122" i="23"/>
  <c r="P120" i="24" s="1"/>
  <c r="Z122" i="23"/>
  <c r="Q120" i="24" s="1"/>
  <c r="AA122" i="23"/>
  <c r="R120" i="24" s="1"/>
  <c r="AB122" i="23"/>
  <c r="S120" i="24" s="1"/>
  <c r="AC122" i="23"/>
  <c r="T120" i="24" s="1"/>
  <c r="AD122" i="23"/>
  <c r="U120" i="24" s="1"/>
  <c r="AE122" i="23"/>
  <c r="V120" i="24" s="1"/>
  <c r="W123" i="23"/>
  <c r="N121" i="24" s="1"/>
  <c r="X123" i="23"/>
  <c r="O121" i="24" s="1"/>
  <c r="Y123" i="23"/>
  <c r="P121" i="24" s="1"/>
  <c r="Z123" i="23"/>
  <c r="Q121" i="24" s="1"/>
  <c r="AA123" i="23"/>
  <c r="R121" i="24" s="1"/>
  <c r="AB123" i="23"/>
  <c r="S121" i="24" s="1"/>
  <c r="AC123" i="23"/>
  <c r="T121" i="24" s="1"/>
  <c r="AD123" i="23"/>
  <c r="U121" i="24" s="1"/>
  <c r="AE123" i="23"/>
  <c r="V121" i="24" s="1"/>
  <c r="W124" i="23"/>
  <c r="N122" i="24" s="1"/>
  <c r="X124" i="23"/>
  <c r="O122" i="24" s="1"/>
  <c r="Y124" i="23"/>
  <c r="P122" i="24" s="1"/>
  <c r="Z124" i="23"/>
  <c r="Q122" i="24" s="1"/>
  <c r="AA124" i="23"/>
  <c r="R122" i="24" s="1"/>
  <c r="AB124" i="23"/>
  <c r="S122" i="24" s="1"/>
  <c r="AC124" i="23"/>
  <c r="T122" i="24" s="1"/>
  <c r="AD124" i="23"/>
  <c r="U122" i="24" s="1"/>
  <c r="AE124" i="23"/>
  <c r="V122" i="24" s="1"/>
  <c r="W125" i="23"/>
  <c r="N123" i="24" s="1"/>
  <c r="X125" i="23"/>
  <c r="O123" i="24" s="1"/>
  <c r="Y125" i="23"/>
  <c r="P123" i="24" s="1"/>
  <c r="Z125" i="23"/>
  <c r="Q123" i="24" s="1"/>
  <c r="AA125" i="23"/>
  <c r="R123" i="24" s="1"/>
  <c r="AB125" i="23"/>
  <c r="S123" i="24" s="1"/>
  <c r="AC125" i="23"/>
  <c r="T123" i="24" s="1"/>
  <c r="AD125" i="23"/>
  <c r="U123" i="24" s="1"/>
  <c r="AE125" i="23"/>
  <c r="V123" i="24" s="1"/>
  <c r="W126" i="23"/>
  <c r="N124" i="24" s="1"/>
  <c r="X126" i="23"/>
  <c r="O124" i="24" s="1"/>
  <c r="Y126" i="23"/>
  <c r="P124" i="24" s="1"/>
  <c r="Z126" i="23"/>
  <c r="Q124" i="24" s="1"/>
  <c r="AA126" i="23"/>
  <c r="R124" i="24" s="1"/>
  <c r="AB126" i="23"/>
  <c r="S124" i="24" s="1"/>
  <c r="AC126" i="23"/>
  <c r="T124" i="24" s="1"/>
  <c r="AD126" i="23"/>
  <c r="U124" i="24" s="1"/>
  <c r="AE126" i="23"/>
  <c r="V124" i="24" s="1"/>
  <c r="W127" i="23"/>
  <c r="N125" i="24" s="1"/>
  <c r="X127" i="23"/>
  <c r="O125" i="24" s="1"/>
  <c r="Y127" i="23"/>
  <c r="P125" i="24" s="1"/>
  <c r="Z127" i="23"/>
  <c r="Q125" i="24" s="1"/>
  <c r="AA127" i="23"/>
  <c r="R125" i="24" s="1"/>
  <c r="AB127" i="23"/>
  <c r="S125" i="24" s="1"/>
  <c r="AC127" i="23"/>
  <c r="T125" i="24" s="1"/>
  <c r="AD127" i="23"/>
  <c r="U125" i="24" s="1"/>
  <c r="AE127" i="23"/>
  <c r="V125" i="24" s="1"/>
  <c r="W128" i="23"/>
  <c r="N126" i="24" s="1"/>
  <c r="X128" i="23"/>
  <c r="O126" i="24" s="1"/>
  <c r="Y128" i="23"/>
  <c r="P126" i="24" s="1"/>
  <c r="Z128" i="23"/>
  <c r="Q126" i="24" s="1"/>
  <c r="AA128" i="23"/>
  <c r="R126" i="24" s="1"/>
  <c r="AB128" i="23"/>
  <c r="S126" i="24" s="1"/>
  <c r="AC128" i="23"/>
  <c r="T126" i="24" s="1"/>
  <c r="AD128" i="23"/>
  <c r="U126" i="24" s="1"/>
  <c r="AE128" i="23"/>
  <c r="V126" i="24" s="1"/>
  <c r="W129" i="23"/>
  <c r="N127" i="24" s="1"/>
  <c r="X129" i="23"/>
  <c r="O127" i="24" s="1"/>
  <c r="Y129" i="23"/>
  <c r="P127" i="24" s="1"/>
  <c r="Z129" i="23"/>
  <c r="Q127" i="24" s="1"/>
  <c r="AA129" i="23"/>
  <c r="R127" i="24" s="1"/>
  <c r="AB129" i="23"/>
  <c r="AC129" i="23"/>
  <c r="T127" i="24" s="1"/>
  <c r="AD129" i="23"/>
  <c r="U127" i="24" s="1"/>
  <c r="AE129" i="23"/>
  <c r="V127" i="24" s="1"/>
  <c r="W130" i="23"/>
  <c r="N128" i="24" s="1"/>
  <c r="X130" i="23"/>
  <c r="O128" i="24" s="1"/>
  <c r="Y130" i="23"/>
  <c r="P128" i="24" s="1"/>
  <c r="Z130" i="23"/>
  <c r="Q128" i="24" s="1"/>
  <c r="AA130" i="23"/>
  <c r="R128" i="24" s="1"/>
  <c r="AB130" i="23"/>
  <c r="S128" i="24" s="1"/>
  <c r="AC130" i="23"/>
  <c r="T128" i="24" s="1"/>
  <c r="AD130" i="23"/>
  <c r="U128" i="24" s="1"/>
  <c r="AE130" i="23"/>
  <c r="V128" i="24" s="1"/>
  <c r="W131" i="23"/>
  <c r="N129" i="24" s="1"/>
  <c r="X131" i="23"/>
  <c r="O129" i="24" s="1"/>
  <c r="Y131" i="23"/>
  <c r="P129" i="24" s="1"/>
  <c r="Z131" i="23"/>
  <c r="Q129" i="24" s="1"/>
  <c r="AA131" i="23"/>
  <c r="R129" i="24" s="1"/>
  <c r="AB131" i="23"/>
  <c r="S129" i="24" s="1"/>
  <c r="AC131" i="23"/>
  <c r="T129" i="24" s="1"/>
  <c r="AD131" i="23"/>
  <c r="U129" i="24" s="1"/>
  <c r="AE131" i="23"/>
  <c r="V129" i="24" s="1"/>
  <c r="W132" i="23"/>
  <c r="N130" i="24" s="1"/>
  <c r="X132" i="23"/>
  <c r="O130" i="24" s="1"/>
  <c r="Y132" i="23"/>
  <c r="P130" i="24" s="1"/>
  <c r="Z132" i="23"/>
  <c r="Q130" i="24" s="1"/>
  <c r="AA132" i="23"/>
  <c r="R130" i="24" s="1"/>
  <c r="AB132" i="23"/>
  <c r="S130" i="24" s="1"/>
  <c r="AC132" i="23"/>
  <c r="T130" i="24" s="1"/>
  <c r="AD132" i="23"/>
  <c r="U130" i="24" s="1"/>
  <c r="AE132" i="23"/>
  <c r="V130" i="24" s="1"/>
  <c r="W133" i="23"/>
  <c r="N131" i="24" s="1"/>
  <c r="X133" i="23"/>
  <c r="O131" i="24" s="1"/>
  <c r="Y133" i="23"/>
  <c r="P131" i="24" s="1"/>
  <c r="Z133" i="23"/>
  <c r="Q131" i="24" s="1"/>
  <c r="AA133" i="23"/>
  <c r="R131" i="24" s="1"/>
  <c r="AB133" i="23"/>
  <c r="S131" i="24" s="1"/>
  <c r="AC133" i="23"/>
  <c r="T131" i="24" s="1"/>
  <c r="AD133" i="23"/>
  <c r="U131" i="24" s="1"/>
  <c r="AE133" i="23"/>
  <c r="V131" i="24" s="1"/>
  <c r="W134" i="23"/>
  <c r="N132" i="24" s="1"/>
  <c r="X134" i="23"/>
  <c r="O132" i="24" s="1"/>
  <c r="Y134" i="23"/>
  <c r="P132" i="24" s="1"/>
  <c r="Z134" i="23"/>
  <c r="Q132" i="24" s="1"/>
  <c r="AA134" i="23"/>
  <c r="R132" i="24" s="1"/>
  <c r="AB134" i="23"/>
  <c r="S132" i="24" s="1"/>
  <c r="AC134" i="23"/>
  <c r="T132" i="24" s="1"/>
  <c r="AD134" i="23"/>
  <c r="U132" i="24" s="1"/>
  <c r="AE134" i="23"/>
  <c r="V132" i="24" s="1"/>
  <c r="W135" i="23"/>
  <c r="N133" i="24" s="1"/>
  <c r="X135" i="23"/>
  <c r="O133" i="24" s="1"/>
  <c r="Y135" i="23"/>
  <c r="P133" i="24" s="1"/>
  <c r="Z135" i="23"/>
  <c r="Q133" i="24" s="1"/>
  <c r="AA135" i="23"/>
  <c r="R133" i="24" s="1"/>
  <c r="AB135" i="23"/>
  <c r="S133" i="24" s="1"/>
  <c r="AC135" i="23"/>
  <c r="T133" i="24" s="1"/>
  <c r="AD135" i="23"/>
  <c r="U133" i="24" s="1"/>
  <c r="AE135" i="23"/>
  <c r="V133" i="24" s="1"/>
  <c r="W136" i="23"/>
  <c r="N134" i="24" s="1"/>
  <c r="X136" i="23"/>
  <c r="O134" i="24" s="1"/>
  <c r="Y136" i="23"/>
  <c r="P134" i="24" s="1"/>
  <c r="Z136" i="23"/>
  <c r="Q134" i="24" s="1"/>
  <c r="AA136" i="23"/>
  <c r="R134" i="24" s="1"/>
  <c r="AB136" i="23"/>
  <c r="S134" i="24" s="1"/>
  <c r="AC136" i="23"/>
  <c r="T134" i="24" s="1"/>
  <c r="AD136" i="23"/>
  <c r="U134" i="24" s="1"/>
  <c r="AE136" i="23"/>
  <c r="V134" i="24" s="1"/>
  <c r="W137" i="23"/>
  <c r="N135" i="24" s="1"/>
  <c r="X137" i="23"/>
  <c r="O135" i="24" s="1"/>
  <c r="Y137" i="23"/>
  <c r="P135" i="24" s="1"/>
  <c r="Z137" i="23"/>
  <c r="Q135" i="24" s="1"/>
  <c r="AA137" i="23"/>
  <c r="R135" i="24" s="1"/>
  <c r="AB137" i="23"/>
  <c r="S135" i="24" s="1"/>
  <c r="AC137" i="23"/>
  <c r="T135" i="24" s="1"/>
  <c r="AD137" i="23"/>
  <c r="U135" i="24" s="1"/>
  <c r="AE137" i="23"/>
  <c r="V135" i="24" s="1"/>
  <c r="W138" i="23"/>
  <c r="N136" i="24" s="1"/>
  <c r="X138" i="23"/>
  <c r="O136" i="24" s="1"/>
  <c r="Y138" i="23"/>
  <c r="P136" i="24" s="1"/>
  <c r="Z138" i="23"/>
  <c r="Q136" i="24" s="1"/>
  <c r="AA138" i="23"/>
  <c r="R136" i="24" s="1"/>
  <c r="AB138" i="23"/>
  <c r="S136" i="24" s="1"/>
  <c r="AC138" i="23"/>
  <c r="T136" i="24" s="1"/>
  <c r="AD138" i="23"/>
  <c r="U136" i="24" s="1"/>
  <c r="AE138" i="23"/>
  <c r="V136" i="24" s="1"/>
  <c r="W139" i="23"/>
  <c r="N137" i="24" s="1"/>
  <c r="X139" i="23"/>
  <c r="O137" i="24" s="1"/>
  <c r="Y139" i="23"/>
  <c r="P137" i="24" s="1"/>
  <c r="Z139" i="23"/>
  <c r="Q137" i="24" s="1"/>
  <c r="AA139" i="23"/>
  <c r="R137" i="24" s="1"/>
  <c r="AB139" i="23"/>
  <c r="S137" i="24" s="1"/>
  <c r="AC139" i="23"/>
  <c r="T137" i="24" s="1"/>
  <c r="AD139" i="23"/>
  <c r="U137" i="24" s="1"/>
  <c r="AE139" i="23"/>
  <c r="V137" i="24" s="1"/>
  <c r="W140" i="23"/>
  <c r="N138" i="24" s="1"/>
  <c r="X140" i="23"/>
  <c r="O138" i="24" s="1"/>
  <c r="Y140" i="23"/>
  <c r="P138" i="24" s="1"/>
  <c r="Z140" i="23"/>
  <c r="Q138" i="24" s="1"/>
  <c r="AA140" i="23"/>
  <c r="R138" i="24" s="1"/>
  <c r="AB140" i="23"/>
  <c r="S138" i="24" s="1"/>
  <c r="AC140" i="23"/>
  <c r="T138" i="24" s="1"/>
  <c r="AD140" i="23"/>
  <c r="U138" i="24" s="1"/>
  <c r="AE140" i="23"/>
  <c r="V138" i="24" s="1"/>
  <c r="W141" i="23"/>
  <c r="N139" i="24" s="1"/>
  <c r="X141" i="23"/>
  <c r="O139" i="24" s="1"/>
  <c r="Y141" i="23"/>
  <c r="P139" i="24" s="1"/>
  <c r="Z141" i="23"/>
  <c r="Q139" i="24" s="1"/>
  <c r="AA141" i="23"/>
  <c r="AB141" i="23"/>
  <c r="S139" i="24" s="1"/>
  <c r="AC141" i="23"/>
  <c r="T139" i="24" s="1"/>
  <c r="AD141" i="23"/>
  <c r="U139" i="24" s="1"/>
  <c r="AE141" i="23"/>
  <c r="V139" i="24" s="1"/>
  <c r="W142" i="23"/>
  <c r="N140" i="24" s="1"/>
  <c r="X142" i="23"/>
  <c r="O140" i="24" s="1"/>
  <c r="Y142" i="23"/>
  <c r="P140" i="24" s="1"/>
  <c r="Z142" i="23"/>
  <c r="Q140" i="24" s="1"/>
  <c r="AA142" i="23"/>
  <c r="R140" i="24" s="1"/>
  <c r="AB142" i="23"/>
  <c r="S140" i="24" s="1"/>
  <c r="AC142" i="23"/>
  <c r="T140" i="24" s="1"/>
  <c r="AD142" i="23"/>
  <c r="U140" i="24" s="1"/>
  <c r="AE142" i="23"/>
  <c r="V140" i="24" s="1"/>
  <c r="W143" i="23"/>
  <c r="N141" i="24" s="1"/>
  <c r="X143" i="23"/>
  <c r="O141" i="24" s="1"/>
  <c r="Y143" i="23"/>
  <c r="P141" i="24" s="1"/>
  <c r="Z143" i="23"/>
  <c r="Q141" i="24" s="1"/>
  <c r="AA143" i="23"/>
  <c r="R141" i="24" s="1"/>
  <c r="AB143" i="23"/>
  <c r="S141" i="24" s="1"/>
  <c r="AC143" i="23"/>
  <c r="T141" i="24" s="1"/>
  <c r="AD143" i="23"/>
  <c r="U141" i="24" s="1"/>
  <c r="AE143" i="23"/>
  <c r="V141" i="24" s="1"/>
  <c r="W144" i="23"/>
  <c r="N142" i="24" s="1"/>
  <c r="X144" i="23"/>
  <c r="O142" i="24" s="1"/>
  <c r="Y144" i="23"/>
  <c r="P142" i="24" s="1"/>
  <c r="Z144" i="23"/>
  <c r="Q142" i="24" s="1"/>
  <c r="AA144" i="23"/>
  <c r="R142" i="24" s="1"/>
  <c r="AB144" i="23"/>
  <c r="S142" i="24" s="1"/>
  <c r="AC144" i="23"/>
  <c r="T142" i="24" s="1"/>
  <c r="AD144" i="23"/>
  <c r="U142" i="24" s="1"/>
  <c r="AE144" i="23"/>
  <c r="V142" i="24" s="1"/>
  <c r="W145" i="23"/>
  <c r="N143" i="24" s="1"/>
  <c r="X145" i="23"/>
  <c r="O143" i="24" s="1"/>
  <c r="Y145" i="23"/>
  <c r="P143" i="24" s="1"/>
  <c r="Z145" i="23"/>
  <c r="Q143" i="24" s="1"/>
  <c r="AA145" i="23"/>
  <c r="R143" i="24" s="1"/>
  <c r="AB145" i="23"/>
  <c r="S143" i="24" s="1"/>
  <c r="AC145" i="23"/>
  <c r="T143" i="24" s="1"/>
  <c r="AD145" i="23"/>
  <c r="U143" i="24" s="1"/>
  <c r="AE145" i="23"/>
  <c r="V143" i="24" s="1"/>
  <c r="W146" i="23"/>
  <c r="N144" i="24" s="1"/>
  <c r="X146" i="23"/>
  <c r="O144" i="24" s="1"/>
  <c r="Y146" i="23"/>
  <c r="P144" i="24" s="1"/>
  <c r="Z146" i="23"/>
  <c r="Q144" i="24" s="1"/>
  <c r="AA146" i="23"/>
  <c r="R144" i="24" s="1"/>
  <c r="AB146" i="23"/>
  <c r="S144" i="24" s="1"/>
  <c r="AC146" i="23"/>
  <c r="T144" i="24" s="1"/>
  <c r="AD146" i="23"/>
  <c r="U144" i="24" s="1"/>
  <c r="AE146" i="23"/>
  <c r="V144" i="24" s="1"/>
  <c r="W147" i="23"/>
  <c r="N145" i="24" s="1"/>
  <c r="X147" i="23"/>
  <c r="O145" i="24" s="1"/>
  <c r="Y147" i="23"/>
  <c r="P145" i="24" s="1"/>
  <c r="Z147" i="23"/>
  <c r="Q145" i="24" s="1"/>
  <c r="AA147" i="23"/>
  <c r="R145" i="24" s="1"/>
  <c r="AB147" i="23"/>
  <c r="S145" i="24" s="1"/>
  <c r="AC147" i="23"/>
  <c r="AD147" i="23"/>
  <c r="U145" i="24" s="1"/>
  <c r="AE147" i="23"/>
  <c r="V145" i="24" s="1"/>
  <c r="W148" i="23"/>
  <c r="N146" i="24" s="1"/>
  <c r="X148" i="23"/>
  <c r="O146" i="24" s="1"/>
  <c r="Y148" i="23"/>
  <c r="P146" i="24" s="1"/>
  <c r="Z148" i="23"/>
  <c r="Q146" i="24" s="1"/>
  <c r="AA148" i="23"/>
  <c r="R146" i="24" s="1"/>
  <c r="AB148" i="23"/>
  <c r="S146" i="24" s="1"/>
  <c r="AC148" i="23"/>
  <c r="T146" i="24" s="1"/>
  <c r="AD148" i="23"/>
  <c r="U146" i="24" s="1"/>
  <c r="AE148" i="23"/>
  <c r="V146" i="24" s="1"/>
  <c r="W149" i="23"/>
  <c r="N147" i="24" s="1"/>
  <c r="X149" i="23"/>
  <c r="O147" i="24" s="1"/>
  <c r="Y149" i="23"/>
  <c r="P147" i="24" s="1"/>
  <c r="Z149" i="23"/>
  <c r="Q147" i="24" s="1"/>
  <c r="AA149" i="23"/>
  <c r="R147" i="24" s="1"/>
  <c r="AB149" i="23"/>
  <c r="S147" i="24" s="1"/>
  <c r="AC149" i="23"/>
  <c r="T147" i="24" s="1"/>
  <c r="AD149" i="23"/>
  <c r="U147" i="24" s="1"/>
  <c r="AE149" i="23"/>
  <c r="V147" i="24" s="1"/>
  <c r="W150" i="23"/>
  <c r="N148" i="24" s="1"/>
  <c r="X150" i="23"/>
  <c r="O148" i="24" s="1"/>
  <c r="Y150" i="23"/>
  <c r="P148" i="24" s="1"/>
  <c r="Z150" i="23"/>
  <c r="Q148" i="24" s="1"/>
  <c r="AA150" i="23"/>
  <c r="R148" i="24" s="1"/>
  <c r="AB150" i="23"/>
  <c r="S148" i="24" s="1"/>
  <c r="AC150" i="23"/>
  <c r="T148" i="24" s="1"/>
  <c r="AD150" i="23"/>
  <c r="U148" i="24" s="1"/>
  <c r="AE150" i="23"/>
  <c r="V148" i="24" s="1"/>
  <c r="W151" i="23"/>
  <c r="N149" i="24" s="1"/>
  <c r="X151" i="23"/>
  <c r="O149" i="24" s="1"/>
  <c r="Y151" i="23"/>
  <c r="P149" i="24" s="1"/>
  <c r="Z151" i="23"/>
  <c r="Q149" i="24" s="1"/>
  <c r="AA151" i="23"/>
  <c r="R149" i="24" s="1"/>
  <c r="AB151" i="23"/>
  <c r="S149" i="24" s="1"/>
  <c r="AC151" i="23"/>
  <c r="T149" i="24" s="1"/>
  <c r="AD151" i="23"/>
  <c r="U149" i="24" s="1"/>
  <c r="AE151" i="23"/>
  <c r="V149" i="24" s="1"/>
  <c r="W152" i="23"/>
  <c r="N150" i="24" s="1"/>
  <c r="X152" i="23"/>
  <c r="O150" i="24" s="1"/>
  <c r="Y152" i="23"/>
  <c r="P150" i="24" s="1"/>
  <c r="Z152" i="23"/>
  <c r="Q150" i="24" s="1"/>
  <c r="AA152" i="23"/>
  <c r="R150" i="24" s="1"/>
  <c r="AB152" i="23"/>
  <c r="S150" i="24" s="1"/>
  <c r="AC152" i="23"/>
  <c r="T150" i="24" s="1"/>
  <c r="AD152" i="23"/>
  <c r="U150" i="24" s="1"/>
  <c r="AE152" i="23"/>
  <c r="V150" i="24" s="1"/>
  <c r="W153" i="23"/>
  <c r="N151" i="24" s="1"/>
  <c r="X153" i="23"/>
  <c r="O151" i="24" s="1"/>
  <c r="Y153" i="23"/>
  <c r="Z153" i="23"/>
  <c r="Q151" i="24" s="1"/>
  <c r="AA153" i="23"/>
  <c r="R151" i="24" s="1"/>
  <c r="AB153" i="23"/>
  <c r="S151" i="24" s="1"/>
  <c r="AC153" i="23"/>
  <c r="T151" i="24" s="1"/>
  <c r="AD153" i="23"/>
  <c r="U151" i="24" s="1"/>
  <c r="AE153" i="23"/>
  <c r="V151" i="24" s="1"/>
  <c r="W154" i="23"/>
  <c r="N152" i="24" s="1"/>
  <c r="X154" i="23"/>
  <c r="O152" i="24" s="1"/>
  <c r="Y154" i="23"/>
  <c r="P152" i="24" s="1"/>
  <c r="Z154" i="23"/>
  <c r="Q152" i="24" s="1"/>
  <c r="AA154" i="23"/>
  <c r="R152" i="24" s="1"/>
  <c r="AB154" i="23"/>
  <c r="S152" i="24" s="1"/>
  <c r="AC154" i="23"/>
  <c r="T152" i="24" s="1"/>
  <c r="AD154" i="23"/>
  <c r="U152" i="24" s="1"/>
  <c r="AE154" i="23"/>
  <c r="V152" i="24" s="1"/>
  <c r="W155" i="23"/>
  <c r="N153" i="24" s="1"/>
  <c r="X155" i="23"/>
  <c r="O153" i="24" s="1"/>
  <c r="Y155" i="23"/>
  <c r="P153" i="24" s="1"/>
  <c r="Z155" i="23"/>
  <c r="Q153" i="24" s="1"/>
  <c r="AA155" i="23"/>
  <c r="R153" i="24" s="1"/>
  <c r="AB155" i="23"/>
  <c r="S153" i="24" s="1"/>
  <c r="AC155" i="23"/>
  <c r="T153" i="24" s="1"/>
  <c r="AD155" i="23"/>
  <c r="U153" i="24" s="1"/>
  <c r="AE155" i="23"/>
  <c r="V153" i="24" s="1"/>
  <c r="W156" i="23"/>
  <c r="N154" i="24" s="1"/>
  <c r="X156" i="23"/>
  <c r="O154" i="24" s="1"/>
  <c r="Y156" i="23"/>
  <c r="P154" i="24" s="1"/>
  <c r="Z156" i="23"/>
  <c r="Q154" i="24" s="1"/>
  <c r="AA156" i="23"/>
  <c r="R154" i="24" s="1"/>
  <c r="AB156" i="23"/>
  <c r="S154" i="24" s="1"/>
  <c r="AC156" i="23"/>
  <c r="T154" i="24" s="1"/>
  <c r="AD156" i="23"/>
  <c r="U154" i="24" s="1"/>
  <c r="AE156" i="23"/>
  <c r="V154" i="24" s="1"/>
  <c r="W157" i="23"/>
  <c r="N155" i="24" s="1"/>
  <c r="X157" i="23"/>
  <c r="O155" i="24" s="1"/>
  <c r="Y157" i="23"/>
  <c r="P155" i="24" s="1"/>
  <c r="Z157" i="23"/>
  <c r="Q155" i="24" s="1"/>
  <c r="AA157" i="23"/>
  <c r="R155" i="24" s="1"/>
  <c r="AB157" i="23"/>
  <c r="S155" i="24" s="1"/>
  <c r="AC157" i="23"/>
  <c r="T155" i="24" s="1"/>
  <c r="AD157" i="23"/>
  <c r="U155" i="24" s="1"/>
  <c r="AE157" i="23"/>
  <c r="V155" i="24" s="1"/>
  <c r="W158" i="23"/>
  <c r="N156" i="24" s="1"/>
  <c r="X158" i="23"/>
  <c r="O156" i="24" s="1"/>
  <c r="Y158" i="23"/>
  <c r="P156" i="24" s="1"/>
  <c r="Z158" i="23"/>
  <c r="Q156" i="24" s="1"/>
  <c r="AA158" i="23"/>
  <c r="R156" i="24" s="1"/>
  <c r="AB158" i="23"/>
  <c r="S156" i="24" s="1"/>
  <c r="AC158" i="23"/>
  <c r="T156" i="24" s="1"/>
  <c r="AD158" i="23"/>
  <c r="U156" i="24" s="1"/>
  <c r="AE158" i="23"/>
  <c r="V156" i="24" s="1"/>
  <c r="W159" i="23"/>
  <c r="N157" i="24" s="1"/>
  <c r="X159" i="23"/>
  <c r="O157" i="24" s="1"/>
  <c r="Y159" i="23"/>
  <c r="P157" i="24" s="1"/>
  <c r="Z159" i="23"/>
  <c r="Q157" i="24" s="1"/>
  <c r="AA159" i="23"/>
  <c r="R157" i="24" s="1"/>
  <c r="AB159" i="23"/>
  <c r="AC159" i="23"/>
  <c r="T157" i="24" s="1"/>
  <c r="AD159" i="23"/>
  <c r="U157" i="24" s="1"/>
  <c r="AE159" i="23"/>
  <c r="V157" i="24" s="1"/>
  <c r="W160" i="23"/>
  <c r="N158" i="24" s="1"/>
  <c r="X160" i="23"/>
  <c r="O158" i="24" s="1"/>
  <c r="Y160" i="23"/>
  <c r="P158" i="24" s="1"/>
  <c r="Z160" i="23"/>
  <c r="Q158" i="24" s="1"/>
  <c r="AA160" i="23"/>
  <c r="R158" i="24" s="1"/>
  <c r="AB160" i="23"/>
  <c r="S158" i="24" s="1"/>
  <c r="AC160" i="23"/>
  <c r="T158" i="24" s="1"/>
  <c r="AD160" i="23"/>
  <c r="U158" i="24" s="1"/>
  <c r="AE160" i="23"/>
  <c r="V158" i="24" s="1"/>
  <c r="W161" i="23"/>
  <c r="N159" i="24" s="1"/>
  <c r="X161" i="23"/>
  <c r="O159" i="24" s="1"/>
  <c r="Y161" i="23"/>
  <c r="P159" i="24" s="1"/>
  <c r="Z161" i="23"/>
  <c r="Q159" i="24" s="1"/>
  <c r="AA161" i="23"/>
  <c r="R159" i="24" s="1"/>
  <c r="AB161" i="23"/>
  <c r="S159" i="24" s="1"/>
  <c r="AC161" i="23"/>
  <c r="T159" i="24" s="1"/>
  <c r="AD161" i="23"/>
  <c r="U159" i="24" s="1"/>
  <c r="AE161" i="23"/>
  <c r="V159" i="24" s="1"/>
  <c r="W162" i="23"/>
  <c r="N160" i="24" s="1"/>
  <c r="X162" i="23"/>
  <c r="O160" i="24" s="1"/>
  <c r="Y162" i="23"/>
  <c r="P160" i="24" s="1"/>
  <c r="Z162" i="23"/>
  <c r="Q160" i="24" s="1"/>
  <c r="AA162" i="23"/>
  <c r="R160" i="24" s="1"/>
  <c r="AB162" i="23"/>
  <c r="S160" i="24" s="1"/>
  <c r="AC162" i="23"/>
  <c r="T160" i="24" s="1"/>
  <c r="AD162" i="23"/>
  <c r="U160" i="24" s="1"/>
  <c r="AE162" i="23"/>
  <c r="V160" i="24" s="1"/>
  <c r="W163" i="23"/>
  <c r="N161" i="24" s="1"/>
  <c r="X163" i="23"/>
  <c r="O161" i="24" s="1"/>
  <c r="Y163" i="23"/>
  <c r="P161" i="24" s="1"/>
  <c r="Z163" i="23"/>
  <c r="Q161" i="24" s="1"/>
  <c r="AA163" i="23"/>
  <c r="R161" i="24" s="1"/>
  <c r="AB163" i="23"/>
  <c r="S161" i="24" s="1"/>
  <c r="AC163" i="23"/>
  <c r="T161" i="24" s="1"/>
  <c r="AD163" i="23"/>
  <c r="U161" i="24" s="1"/>
  <c r="AE163" i="23"/>
  <c r="V161" i="24" s="1"/>
  <c r="W164" i="23"/>
  <c r="N162" i="24" s="1"/>
  <c r="X164" i="23"/>
  <c r="O162" i="24" s="1"/>
  <c r="Y164" i="23"/>
  <c r="P162" i="24" s="1"/>
  <c r="Z164" i="23"/>
  <c r="Q162" i="24" s="1"/>
  <c r="AA164" i="23"/>
  <c r="R162" i="24" s="1"/>
  <c r="AB164" i="23"/>
  <c r="S162" i="24" s="1"/>
  <c r="AC164" i="23"/>
  <c r="T162" i="24" s="1"/>
  <c r="AD164" i="23"/>
  <c r="U162" i="24" s="1"/>
  <c r="AE164" i="23"/>
  <c r="V162" i="24" s="1"/>
  <c r="W165" i="23"/>
  <c r="N163" i="24" s="1"/>
  <c r="X165" i="23"/>
  <c r="O163" i="24" s="1"/>
  <c r="Y165" i="23"/>
  <c r="P163" i="24" s="1"/>
  <c r="Z165" i="23"/>
  <c r="Q163" i="24" s="1"/>
  <c r="AA165" i="23"/>
  <c r="R163" i="24" s="1"/>
  <c r="AB165" i="23"/>
  <c r="S163" i="24" s="1"/>
  <c r="AC165" i="23"/>
  <c r="T163" i="24" s="1"/>
  <c r="AD165" i="23"/>
  <c r="AE165" i="23"/>
  <c r="V163" i="24" s="1"/>
  <c r="W166" i="23"/>
  <c r="N164" i="24" s="1"/>
  <c r="X166" i="23"/>
  <c r="O164" i="24" s="1"/>
  <c r="Y166" i="23"/>
  <c r="P164" i="24" s="1"/>
  <c r="Z166" i="23"/>
  <c r="Q164" i="24" s="1"/>
  <c r="AA166" i="23"/>
  <c r="R164" i="24" s="1"/>
  <c r="AB166" i="23"/>
  <c r="S164" i="24" s="1"/>
  <c r="AC166" i="23"/>
  <c r="T164" i="24" s="1"/>
  <c r="AD166" i="23"/>
  <c r="U164" i="24" s="1"/>
  <c r="AE166" i="23"/>
  <c r="V164" i="24" s="1"/>
  <c r="W167" i="23"/>
  <c r="N165" i="24" s="1"/>
  <c r="X167" i="23"/>
  <c r="O165" i="24" s="1"/>
  <c r="Y167" i="23"/>
  <c r="P165" i="24" s="1"/>
  <c r="Z167" i="23"/>
  <c r="Q165" i="24" s="1"/>
  <c r="AA167" i="23"/>
  <c r="R165" i="24" s="1"/>
  <c r="AB167" i="23"/>
  <c r="S165" i="24" s="1"/>
  <c r="AC167" i="23"/>
  <c r="T165" i="24" s="1"/>
  <c r="AD167" i="23"/>
  <c r="U165" i="24" s="1"/>
  <c r="AE167" i="23"/>
  <c r="V165" i="24" s="1"/>
  <c r="W168" i="23"/>
  <c r="N166" i="24" s="1"/>
  <c r="X168" i="23"/>
  <c r="O166" i="24" s="1"/>
  <c r="Y168" i="23"/>
  <c r="P166" i="24" s="1"/>
  <c r="Z168" i="23"/>
  <c r="Q166" i="24" s="1"/>
  <c r="AA168" i="23"/>
  <c r="R166" i="24" s="1"/>
  <c r="AB168" i="23"/>
  <c r="S166" i="24" s="1"/>
  <c r="AC168" i="23"/>
  <c r="T166" i="24" s="1"/>
  <c r="AD168" i="23"/>
  <c r="U166" i="24" s="1"/>
  <c r="AE168" i="23"/>
  <c r="V166" i="24" s="1"/>
  <c r="W169" i="23"/>
  <c r="N167" i="24" s="1"/>
  <c r="X169" i="23"/>
  <c r="O167" i="24" s="1"/>
  <c r="Y169" i="23"/>
  <c r="P167" i="24" s="1"/>
  <c r="Z169" i="23"/>
  <c r="Q167" i="24" s="1"/>
  <c r="AA169" i="23"/>
  <c r="R167" i="24" s="1"/>
  <c r="AB169" i="23"/>
  <c r="S167" i="24" s="1"/>
  <c r="AC169" i="23"/>
  <c r="T167" i="24" s="1"/>
  <c r="AD169" i="23"/>
  <c r="U167" i="24" s="1"/>
  <c r="AE169" i="23"/>
  <c r="V167" i="24" s="1"/>
  <c r="W170" i="23"/>
  <c r="N168" i="24" s="1"/>
  <c r="X170" i="23"/>
  <c r="O168" i="24" s="1"/>
  <c r="Y170" i="23"/>
  <c r="P168" i="24" s="1"/>
  <c r="Z170" i="23"/>
  <c r="Q168" i="24" s="1"/>
  <c r="AA170" i="23"/>
  <c r="R168" i="24" s="1"/>
  <c r="AB170" i="23"/>
  <c r="S168" i="24" s="1"/>
  <c r="AC170" i="23"/>
  <c r="T168" i="24" s="1"/>
  <c r="AD170" i="23"/>
  <c r="U168" i="24" s="1"/>
  <c r="AE170" i="23"/>
  <c r="V168" i="24" s="1"/>
  <c r="W171" i="23"/>
  <c r="N169" i="24" s="1"/>
  <c r="X171" i="23"/>
  <c r="O169" i="24" s="1"/>
  <c r="Y171" i="23"/>
  <c r="P169" i="24" s="1"/>
  <c r="Z171" i="23"/>
  <c r="Q169" i="24" s="1"/>
  <c r="AA171" i="23"/>
  <c r="R169" i="24" s="1"/>
  <c r="AB171" i="23"/>
  <c r="S169" i="24" s="1"/>
  <c r="AC171" i="23"/>
  <c r="T169" i="24" s="1"/>
  <c r="AD171" i="23"/>
  <c r="U169" i="24" s="1"/>
  <c r="AE171" i="23"/>
  <c r="V169" i="24" s="1"/>
  <c r="W172" i="23"/>
  <c r="N170" i="24" s="1"/>
  <c r="X172" i="23"/>
  <c r="O170" i="24" s="1"/>
  <c r="Y172" i="23"/>
  <c r="P170" i="24" s="1"/>
  <c r="Z172" i="23"/>
  <c r="Q170" i="24" s="1"/>
  <c r="AA172" i="23"/>
  <c r="R170" i="24" s="1"/>
  <c r="AB172" i="23"/>
  <c r="S170" i="24" s="1"/>
  <c r="AC172" i="23"/>
  <c r="T170" i="24" s="1"/>
  <c r="AD172" i="23"/>
  <c r="U170" i="24" s="1"/>
  <c r="AE172" i="23"/>
  <c r="V170" i="24" s="1"/>
  <c r="W173" i="23"/>
  <c r="N171" i="24" s="1"/>
  <c r="X173" i="23"/>
  <c r="O171" i="24" s="1"/>
  <c r="Y173" i="23"/>
  <c r="P171" i="24" s="1"/>
  <c r="Z173" i="23"/>
  <c r="Q171" i="24" s="1"/>
  <c r="AA173" i="23"/>
  <c r="R171" i="24" s="1"/>
  <c r="AB173" i="23"/>
  <c r="S171" i="24" s="1"/>
  <c r="AC173" i="23"/>
  <c r="T171" i="24" s="1"/>
  <c r="AD173" i="23"/>
  <c r="AE173" i="23"/>
  <c r="V171" i="24" s="1"/>
  <c r="W174" i="23"/>
  <c r="N172" i="24" s="1"/>
  <c r="X174" i="23"/>
  <c r="O172" i="24" s="1"/>
  <c r="Y174" i="23"/>
  <c r="P172" i="24" s="1"/>
  <c r="Z174" i="23"/>
  <c r="Q172" i="24" s="1"/>
  <c r="AA174" i="23"/>
  <c r="R172" i="24" s="1"/>
  <c r="AB174" i="23"/>
  <c r="S172" i="24" s="1"/>
  <c r="AC174" i="23"/>
  <c r="T172" i="24" s="1"/>
  <c r="AD174" i="23"/>
  <c r="U172" i="24" s="1"/>
  <c r="AE174" i="23"/>
  <c r="V172" i="24" s="1"/>
  <c r="W175" i="23"/>
  <c r="N173" i="24" s="1"/>
  <c r="X175" i="23"/>
  <c r="O173" i="24" s="1"/>
  <c r="Y175" i="23"/>
  <c r="P173" i="24" s="1"/>
  <c r="Z175" i="23"/>
  <c r="Q173" i="24" s="1"/>
  <c r="AA175" i="23"/>
  <c r="R173" i="24" s="1"/>
  <c r="AB175" i="23"/>
  <c r="S173" i="24" s="1"/>
  <c r="AC175" i="23"/>
  <c r="T173" i="24" s="1"/>
  <c r="AD175" i="23"/>
  <c r="U173" i="24" s="1"/>
  <c r="AE175" i="23"/>
  <c r="V173" i="24" s="1"/>
  <c r="W176" i="23"/>
  <c r="N174" i="24" s="1"/>
  <c r="X176" i="23"/>
  <c r="O174" i="24" s="1"/>
  <c r="Y176" i="23"/>
  <c r="P174" i="24" s="1"/>
  <c r="Z176" i="23"/>
  <c r="Q174" i="24" s="1"/>
  <c r="AA176" i="23"/>
  <c r="R174" i="24" s="1"/>
  <c r="AB176" i="23"/>
  <c r="S174" i="24" s="1"/>
  <c r="AC176" i="23"/>
  <c r="T174" i="24" s="1"/>
  <c r="AD176" i="23"/>
  <c r="U174" i="24" s="1"/>
  <c r="AE176" i="23"/>
  <c r="V174" i="24" s="1"/>
  <c r="W177" i="23"/>
  <c r="N175" i="24" s="1"/>
  <c r="X177" i="23"/>
  <c r="O175" i="24" s="1"/>
  <c r="Y177" i="23"/>
  <c r="P175" i="24" s="1"/>
  <c r="Z177" i="23"/>
  <c r="Q175" i="24" s="1"/>
  <c r="AA177" i="23"/>
  <c r="R175" i="24" s="1"/>
  <c r="AB177" i="23"/>
  <c r="AC177" i="23"/>
  <c r="T175" i="24" s="1"/>
  <c r="AD177" i="23"/>
  <c r="U175" i="24" s="1"/>
  <c r="AE177" i="23"/>
  <c r="V175" i="24" s="1"/>
  <c r="W178" i="23"/>
  <c r="N176" i="24" s="1"/>
  <c r="X178" i="23"/>
  <c r="O176" i="24" s="1"/>
  <c r="Y178" i="23"/>
  <c r="P176" i="24" s="1"/>
  <c r="Z178" i="23"/>
  <c r="Q176" i="24" s="1"/>
  <c r="AA178" i="23"/>
  <c r="R176" i="24" s="1"/>
  <c r="AB178" i="23"/>
  <c r="S176" i="24" s="1"/>
  <c r="AC178" i="23"/>
  <c r="T176" i="24" s="1"/>
  <c r="AD178" i="23"/>
  <c r="U176" i="24" s="1"/>
  <c r="AE178" i="23"/>
  <c r="V176" i="24" s="1"/>
  <c r="W179" i="23"/>
  <c r="N177" i="24" s="1"/>
  <c r="X179" i="23"/>
  <c r="O177" i="24" s="1"/>
  <c r="Y179" i="23"/>
  <c r="P177" i="24" s="1"/>
  <c r="Z179" i="23"/>
  <c r="Q177" i="24" s="1"/>
  <c r="AA179" i="23"/>
  <c r="R177" i="24" s="1"/>
  <c r="AB179" i="23"/>
  <c r="S177" i="24" s="1"/>
  <c r="AC179" i="23"/>
  <c r="T177" i="24" s="1"/>
  <c r="AD179" i="23"/>
  <c r="U177" i="24" s="1"/>
  <c r="AE179" i="23"/>
  <c r="V177" i="24" s="1"/>
  <c r="W180" i="23"/>
  <c r="N178" i="24" s="1"/>
  <c r="X180" i="23"/>
  <c r="O178" i="24" s="1"/>
  <c r="Y180" i="23"/>
  <c r="P178" i="24" s="1"/>
  <c r="Z180" i="23"/>
  <c r="Q178" i="24" s="1"/>
  <c r="AA180" i="23"/>
  <c r="R178" i="24" s="1"/>
  <c r="AB180" i="23"/>
  <c r="S178" i="24" s="1"/>
  <c r="AC180" i="23"/>
  <c r="T178" i="24" s="1"/>
  <c r="AD180" i="23"/>
  <c r="U178" i="24" s="1"/>
  <c r="AE180" i="23"/>
  <c r="V178" i="24" s="1"/>
  <c r="W181" i="23"/>
  <c r="N179" i="24" s="1"/>
  <c r="X181" i="23"/>
  <c r="Y181" i="23"/>
  <c r="P179" i="24" s="1"/>
  <c r="Z181" i="23"/>
  <c r="Q179" i="24" s="1"/>
  <c r="AA181" i="23"/>
  <c r="R179" i="24" s="1"/>
  <c r="AB181" i="23"/>
  <c r="S179" i="24" s="1"/>
  <c r="AC181" i="23"/>
  <c r="T179" i="24" s="1"/>
  <c r="AD181" i="23"/>
  <c r="U179" i="24" s="1"/>
  <c r="AE181" i="23"/>
  <c r="V179" i="24" s="1"/>
  <c r="W182" i="23"/>
  <c r="N180" i="24" s="1"/>
  <c r="X182" i="23"/>
  <c r="O180" i="24" s="1"/>
  <c r="Y182" i="23"/>
  <c r="P180" i="24" s="1"/>
  <c r="Z182" i="23"/>
  <c r="Q180" i="24" s="1"/>
  <c r="AA182" i="23"/>
  <c r="R180" i="24" s="1"/>
  <c r="AB182" i="23"/>
  <c r="S180" i="24" s="1"/>
  <c r="AC182" i="23"/>
  <c r="T180" i="24" s="1"/>
  <c r="AD182" i="23"/>
  <c r="U180" i="24" s="1"/>
  <c r="AE182" i="23"/>
  <c r="V180" i="24" s="1"/>
  <c r="W183" i="23"/>
  <c r="N181" i="24" s="1"/>
  <c r="X183" i="23"/>
  <c r="O181" i="24" s="1"/>
  <c r="Y183" i="23"/>
  <c r="P181" i="24" s="1"/>
  <c r="Z183" i="23"/>
  <c r="Q181" i="24" s="1"/>
  <c r="AA183" i="23"/>
  <c r="R181" i="24" s="1"/>
  <c r="AB183" i="23"/>
  <c r="S181" i="24" s="1"/>
  <c r="AC183" i="23"/>
  <c r="T181" i="24" s="1"/>
  <c r="AD183" i="23"/>
  <c r="U181" i="24" s="1"/>
  <c r="AE183" i="23"/>
  <c r="V181" i="24" s="1"/>
  <c r="W184" i="23"/>
  <c r="N182" i="24" s="1"/>
  <c r="X184" i="23"/>
  <c r="O182" i="24" s="1"/>
  <c r="Y184" i="23"/>
  <c r="P182" i="24" s="1"/>
  <c r="Z184" i="23"/>
  <c r="Q182" i="24" s="1"/>
  <c r="AA184" i="23"/>
  <c r="R182" i="24" s="1"/>
  <c r="AB184" i="23"/>
  <c r="S182" i="24" s="1"/>
  <c r="AC184" i="23"/>
  <c r="T182" i="24" s="1"/>
  <c r="AD184" i="23"/>
  <c r="U182" i="24" s="1"/>
  <c r="AE184" i="23"/>
  <c r="V182" i="24" s="1"/>
  <c r="W185" i="23"/>
  <c r="X185" i="23"/>
  <c r="O183" i="24" s="1"/>
  <c r="Y185" i="23"/>
  <c r="P183" i="24" s="1"/>
  <c r="Z185" i="23"/>
  <c r="Q183" i="24" s="1"/>
  <c r="AA185" i="23"/>
  <c r="R183" i="24" s="1"/>
  <c r="AB185" i="23"/>
  <c r="S183" i="24" s="1"/>
  <c r="AC185" i="23"/>
  <c r="T183" i="24" s="1"/>
  <c r="AD185" i="23"/>
  <c r="U183" i="24" s="1"/>
  <c r="AE185" i="23"/>
  <c r="V183" i="24" s="1"/>
  <c r="W186" i="23"/>
  <c r="N184" i="24" s="1"/>
  <c r="X186" i="23"/>
  <c r="O184" i="24" s="1"/>
  <c r="Y186" i="23"/>
  <c r="P184" i="24" s="1"/>
  <c r="Z186" i="23"/>
  <c r="Q184" i="24" s="1"/>
  <c r="AA186" i="23"/>
  <c r="R184" i="24" s="1"/>
  <c r="AB186" i="23"/>
  <c r="S184" i="24" s="1"/>
  <c r="AC186" i="23"/>
  <c r="T184" i="24" s="1"/>
  <c r="AD186" i="23"/>
  <c r="U184" i="24" s="1"/>
  <c r="AE186" i="23"/>
  <c r="V184" i="24" s="1"/>
  <c r="W187" i="23"/>
  <c r="N185" i="24" s="1"/>
  <c r="X187" i="23"/>
  <c r="O185" i="24" s="1"/>
  <c r="Y187" i="23"/>
  <c r="P185" i="24" s="1"/>
  <c r="Z187" i="23"/>
  <c r="Q185" i="24" s="1"/>
  <c r="AA187" i="23"/>
  <c r="R185" i="24" s="1"/>
  <c r="AB187" i="23"/>
  <c r="S185" i="24" s="1"/>
  <c r="AC187" i="23"/>
  <c r="T185" i="24" s="1"/>
  <c r="AD187" i="23"/>
  <c r="U185" i="24" s="1"/>
  <c r="AE187" i="23"/>
  <c r="V185" i="24" s="1"/>
  <c r="W188" i="23"/>
  <c r="N186" i="24" s="1"/>
  <c r="X188" i="23"/>
  <c r="O186" i="24" s="1"/>
  <c r="Y188" i="23"/>
  <c r="P186" i="24" s="1"/>
  <c r="Z188" i="23"/>
  <c r="Q186" i="24" s="1"/>
  <c r="AA188" i="23"/>
  <c r="R186" i="24" s="1"/>
  <c r="AB188" i="23"/>
  <c r="S186" i="24" s="1"/>
  <c r="AC188" i="23"/>
  <c r="T186" i="24" s="1"/>
  <c r="AD188" i="23"/>
  <c r="U186" i="24" s="1"/>
  <c r="AE188" i="23"/>
  <c r="V186" i="24" s="1"/>
  <c r="W189" i="23"/>
  <c r="X189" i="23"/>
  <c r="O187" i="24" s="1"/>
  <c r="Y189" i="23"/>
  <c r="P187" i="24" s="1"/>
  <c r="Z189" i="23"/>
  <c r="Q187" i="24" s="1"/>
  <c r="AA189" i="23"/>
  <c r="R187" i="24" s="1"/>
  <c r="AB189" i="23"/>
  <c r="S187" i="24" s="1"/>
  <c r="AC189" i="23"/>
  <c r="T187" i="24" s="1"/>
  <c r="AD189" i="23"/>
  <c r="U187" i="24" s="1"/>
  <c r="AE189" i="23"/>
  <c r="V187" i="24" s="1"/>
  <c r="W190" i="23"/>
  <c r="N188" i="24" s="1"/>
  <c r="X190" i="23"/>
  <c r="O188" i="24" s="1"/>
  <c r="Y190" i="23"/>
  <c r="P188" i="24" s="1"/>
  <c r="Z190" i="23"/>
  <c r="Q188" i="24" s="1"/>
  <c r="AA190" i="23"/>
  <c r="R188" i="24" s="1"/>
  <c r="AB190" i="23"/>
  <c r="S188" i="24" s="1"/>
  <c r="AC190" i="23"/>
  <c r="T188" i="24" s="1"/>
  <c r="AD190" i="23"/>
  <c r="U188" i="24" s="1"/>
  <c r="AE190" i="23"/>
  <c r="V188" i="24" s="1"/>
  <c r="W191" i="23"/>
  <c r="N189" i="24" s="1"/>
  <c r="X191" i="23"/>
  <c r="O189" i="24" s="1"/>
  <c r="Y191" i="23"/>
  <c r="P189" i="24" s="1"/>
  <c r="Z191" i="23"/>
  <c r="Q189" i="24" s="1"/>
  <c r="AA191" i="23"/>
  <c r="R189" i="24" s="1"/>
  <c r="AB191" i="23"/>
  <c r="S189" i="24" s="1"/>
  <c r="AC191" i="23"/>
  <c r="T189" i="24" s="1"/>
  <c r="AD191" i="23"/>
  <c r="U189" i="24" s="1"/>
  <c r="AE191" i="23"/>
  <c r="V189" i="24" s="1"/>
  <c r="W192" i="23"/>
  <c r="N190" i="24" s="1"/>
  <c r="X192" i="23"/>
  <c r="O190" i="24" s="1"/>
  <c r="Y192" i="23"/>
  <c r="P190" i="24" s="1"/>
  <c r="Z192" i="23"/>
  <c r="Q190" i="24" s="1"/>
  <c r="AA192" i="23"/>
  <c r="R190" i="24" s="1"/>
  <c r="AB192" i="23"/>
  <c r="AC192" i="23"/>
  <c r="T190" i="24" s="1"/>
  <c r="AD192" i="23"/>
  <c r="U190" i="24" s="1"/>
  <c r="AE192" i="23"/>
  <c r="V190" i="24" s="1"/>
  <c r="W193" i="23"/>
  <c r="N191" i="24" s="1"/>
  <c r="X193" i="23"/>
  <c r="O191" i="24" s="1"/>
  <c r="Y193" i="23"/>
  <c r="P191" i="24" s="1"/>
  <c r="Z193" i="23"/>
  <c r="Q191" i="24" s="1"/>
  <c r="AA193" i="23"/>
  <c r="R191" i="24" s="1"/>
  <c r="AB193" i="23"/>
  <c r="S191" i="24" s="1"/>
  <c r="AC193" i="23"/>
  <c r="T191" i="24" s="1"/>
  <c r="AD193" i="23"/>
  <c r="U191" i="24" s="1"/>
  <c r="AE193" i="23"/>
  <c r="V191" i="24" s="1"/>
  <c r="W194" i="23"/>
  <c r="N192" i="24" s="1"/>
  <c r="X194" i="23"/>
  <c r="O192" i="24" s="1"/>
  <c r="Y194" i="23"/>
  <c r="P192" i="24" s="1"/>
  <c r="Z194" i="23"/>
  <c r="Q192" i="24" s="1"/>
  <c r="AA194" i="23"/>
  <c r="R192" i="24" s="1"/>
  <c r="AB194" i="23"/>
  <c r="S192" i="24" s="1"/>
  <c r="AC194" i="23"/>
  <c r="T192" i="24" s="1"/>
  <c r="AD194" i="23"/>
  <c r="U192" i="24" s="1"/>
  <c r="AE194" i="23"/>
  <c r="V192" i="24" s="1"/>
  <c r="W195" i="23"/>
  <c r="N193" i="24" s="1"/>
  <c r="X195" i="23"/>
  <c r="O193" i="24" s="1"/>
  <c r="Y195" i="23"/>
  <c r="P193" i="24" s="1"/>
  <c r="Z195" i="23"/>
  <c r="Q193" i="24" s="1"/>
  <c r="AA195" i="23"/>
  <c r="R193" i="24" s="1"/>
  <c r="AB195" i="23"/>
  <c r="S193" i="24" s="1"/>
  <c r="AC195" i="23"/>
  <c r="T193" i="24" s="1"/>
  <c r="AD195" i="23"/>
  <c r="U193" i="24" s="1"/>
  <c r="AE195" i="23"/>
  <c r="V193" i="24" s="1"/>
  <c r="W196" i="23"/>
  <c r="X196" i="23"/>
  <c r="O194" i="24" s="1"/>
  <c r="Y196" i="23"/>
  <c r="P194" i="24" s="1"/>
  <c r="Z196" i="23"/>
  <c r="Q194" i="24" s="1"/>
  <c r="AA196" i="23"/>
  <c r="R194" i="24" s="1"/>
  <c r="AB196" i="23"/>
  <c r="S194" i="24" s="1"/>
  <c r="AC196" i="23"/>
  <c r="T194" i="24" s="1"/>
  <c r="AD196" i="23"/>
  <c r="U194" i="24" s="1"/>
  <c r="AE196" i="23"/>
  <c r="V194" i="24" s="1"/>
  <c r="W197" i="23"/>
  <c r="N195" i="24" s="1"/>
  <c r="X197" i="23"/>
  <c r="O195" i="24" s="1"/>
  <c r="Y197" i="23"/>
  <c r="P195" i="24" s="1"/>
  <c r="Z197" i="23"/>
  <c r="Q195" i="24" s="1"/>
  <c r="AA197" i="23"/>
  <c r="R195" i="24" s="1"/>
  <c r="AB197" i="23"/>
  <c r="S195" i="24" s="1"/>
  <c r="AC197" i="23"/>
  <c r="T195" i="24" s="1"/>
  <c r="AD197" i="23"/>
  <c r="U195" i="24" s="1"/>
  <c r="AE197" i="23"/>
  <c r="V195" i="24" s="1"/>
  <c r="W198" i="23"/>
  <c r="N196" i="24" s="1"/>
  <c r="X198" i="23"/>
  <c r="O196" i="24" s="1"/>
  <c r="Y198" i="23"/>
  <c r="P196" i="24" s="1"/>
  <c r="Z198" i="23"/>
  <c r="Q196" i="24" s="1"/>
  <c r="AA198" i="23"/>
  <c r="R196" i="24" s="1"/>
  <c r="AB198" i="23"/>
  <c r="S196" i="24" s="1"/>
  <c r="AC198" i="23"/>
  <c r="T196" i="24" s="1"/>
  <c r="AD198" i="23"/>
  <c r="U196" i="24" s="1"/>
  <c r="AE198" i="23"/>
  <c r="V196" i="24" s="1"/>
  <c r="W199" i="23"/>
  <c r="N197" i="24" s="1"/>
  <c r="X199" i="23"/>
  <c r="O197" i="24" s="1"/>
  <c r="Y199" i="23"/>
  <c r="P197" i="24" s="1"/>
  <c r="Z199" i="23"/>
  <c r="Q197" i="24" s="1"/>
  <c r="AA199" i="23"/>
  <c r="R197" i="24" s="1"/>
  <c r="AB199" i="23"/>
  <c r="S197" i="24" s="1"/>
  <c r="AC199" i="23"/>
  <c r="T197" i="24" s="1"/>
  <c r="AD199" i="23"/>
  <c r="U197" i="24" s="1"/>
  <c r="AE199" i="23"/>
  <c r="V197" i="24" s="1"/>
  <c r="W200" i="23"/>
  <c r="N198" i="24" s="1"/>
  <c r="X200" i="23"/>
  <c r="O198" i="24" s="1"/>
  <c r="Y200" i="23"/>
  <c r="P198" i="24" s="1"/>
  <c r="Z200" i="23"/>
  <c r="Q198" i="24" s="1"/>
  <c r="AA200" i="23"/>
  <c r="R198" i="24" s="1"/>
  <c r="AB200" i="23"/>
  <c r="S198" i="24" s="1"/>
  <c r="AC200" i="23"/>
  <c r="AD200" i="23"/>
  <c r="U198" i="24" s="1"/>
  <c r="AE200" i="23"/>
  <c r="V198" i="24" s="1"/>
  <c r="W201" i="23"/>
  <c r="N199" i="24" s="1"/>
  <c r="X201" i="23"/>
  <c r="O199" i="24" s="1"/>
  <c r="Y201" i="23"/>
  <c r="P199" i="24" s="1"/>
  <c r="Z201" i="23"/>
  <c r="Q199" i="24" s="1"/>
  <c r="AA201" i="23"/>
  <c r="R199" i="24" s="1"/>
  <c r="AB201" i="23"/>
  <c r="S199" i="24" s="1"/>
  <c r="AC201" i="23"/>
  <c r="T199" i="24" s="1"/>
  <c r="AD201" i="23"/>
  <c r="U199" i="24" s="1"/>
  <c r="AE201" i="23"/>
  <c r="V199" i="24" s="1"/>
  <c r="W202" i="23"/>
  <c r="N200" i="24" s="1"/>
  <c r="X202" i="23"/>
  <c r="O200" i="24" s="1"/>
  <c r="Y202" i="23"/>
  <c r="P200" i="24" s="1"/>
  <c r="Z202" i="23"/>
  <c r="Q200" i="24" s="1"/>
  <c r="AA202" i="23"/>
  <c r="R200" i="24" s="1"/>
  <c r="AB202" i="23"/>
  <c r="S200" i="24" s="1"/>
  <c r="AC202" i="23"/>
  <c r="T200" i="24" s="1"/>
  <c r="AD202" i="23"/>
  <c r="U200" i="24" s="1"/>
  <c r="AE202" i="23"/>
  <c r="V200" i="24" s="1"/>
  <c r="W203" i="23"/>
  <c r="N201" i="24" s="1"/>
  <c r="X203" i="23"/>
  <c r="Y203" i="23"/>
  <c r="P201" i="24" s="1"/>
  <c r="Z203" i="23"/>
  <c r="Q201" i="24" s="1"/>
  <c r="AA203" i="23"/>
  <c r="R201" i="24" s="1"/>
  <c r="AB203" i="23"/>
  <c r="S201" i="24" s="1"/>
  <c r="AC203" i="23"/>
  <c r="T201" i="24" s="1"/>
  <c r="AD203" i="23"/>
  <c r="U201" i="24" s="1"/>
  <c r="AE203" i="23"/>
  <c r="V201" i="24" s="1"/>
  <c r="W204" i="23"/>
  <c r="N202" i="24" s="1"/>
  <c r="X204" i="23"/>
  <c r="O202" i="24" s="1"/>
  <c r="Y204" i="23"/>
  <c r="P202" i="24" s="1"/>
  <c r="Z204" i="23"/>
  <c r="Q202" i="24" s="1"/>
  <c r="AA204" i="23"/>
  <c r="R202" i="24" s="1"/>
  <c r="AB204" i="23"/>
  <c r="S202" i="24" s="1"/>
  <c r="AC204" i="23"/>
  <c r="T202" i="24" s="1"/>
  <c r="AD204" i="23"/>
  <c r="U202" i="24" s="1"/>
  <c r="AE204" i="23"/>
  <c r="V202" i="24" s="1"/>
  <c r="W205" i="23"/>
  <c r="N203" i="24" s="1"/>
  <c r="X205" i="23"/>
  <c r="O203" i="24" s="1"/>
  <c r="Y205" i="23"/>
  <c r="P203" i="24" s="1"/>
  <c r="Z205" i="23"/>
  <c r="Q203" i="24" s="1"/>
  <c r="AA205" i="23"/>
  <c r="R203" i="24" s="1"/>
  <c r="AB205" i="23"/>
  <c r="S203" i="24" s="1"/>
  <c r="AC205" i="23"/>
  <c r="T203" i="24" s="1"/>
  <c r="AD205" i="23"/>
  <c r="U203" i="24" s="1"/>
  <c r="AE205" i="23"/>
  <c r="V203" i="24" s="1"/>
  <c r="W206" i="23"/>
  <c r="N204" i="24" s="1"/>
  <c r="X206" i="23"/>
  <c r="O204" i="24" s="1"/>
  <c r="Y206" i="23"/>
  <c r="P204" i="24" s="1"/>
  <c r="Z206" i="23"/>
  <c r="Q204" i="24" s="1"/>
  <c r="AA206" i="23"/>
  <c r="R204" i="24" s="1"/>
  <c r="AB206" i="23"/>
  <c r="S204" i="24" s="1"/>
  <c r="AC206" i="23"/>
  <c r="T204" i="24" s="1"/>
  <c r="AD206" i="23"/>
  <c r="U204" i="24" s="1"/>
  <c r="AE206" i="23"/>
  <c r="V204" i="24" s="1"/>
  <c r="W207" i="23"/>
  <c r="N205" i="24" s="1"/>
  <c r="X207" i="23"/>
  <c r="O205" i="24" s="1"/>
  <c r="Y207" i="23"/>
  <c r="P205" i="24" s="1"/>
  <c r="Z207" i="23"/>
  <c r="Q205" i="24" s="1"/>
  <c r="AA207" i="23"/>
  <c r="R205" i="24" s="1"/>
  <c r="AB207" i="23"/>
  <c r="S205" i="24" s="1"/>
  <c r="AC207" i="23"/>
  <c r="T205" i="24" s="1"/>
  <c r="AD207" i="23"/>
  <c r="AE207" i="23"/>
  <c r="V205" i="24" s="1"/>
  <c r="W208" i="23"/>
  <c r="N206" i="24" s="1"/>
  <c r="X208" i="23"/>
  <c r="O206" i="24" s="1"/>
  <c r="Y208" i="23"/>
  <c r="P206" i="24" s="1"/>
  <c r="Z208" i="23"/>
  <c r="Q206" i="24" s="1"/>
  <c r="AA208" i="23"/>
  <c r="R206" i="24" s="1"/>
  <c r="AB208" i="23"/>
  <c r="S206" i="24" s="1"/>
  <c r="AC208" i="23"/>
  <c r="T206" i="24" s="1"/>
  <c r="AD208" i="23"/>
  <c r="U206" i="24" s="1"/>
  <c r="AE208" i="23"/>
  <c r="V206" i="24" s="1"/>
  <c r="W209" i="23"/>
  <c r="N207" i="24" s="1"/>
  <c r="X209" i="23"/>
  <c r="O207" i="24" s="1"/>
  <c r="Y209" i="23"/>
  <c r="P207" i="24" s="1"/>
  <c r="Z209" i="23"/>
  <c r="Q207" i="24" s="1"/>
  <c r="AA209" i="23"/>
  <c r="R207" i="24" s="1"/>
  <c r="AB209" i="23"/>
  <c r="S207" i="24" s="1"/>
  <c r="AC209" i="23"/>
  <c r="T207" i="24" s="1"/>
  <c r="AD209" i="23"/>
  <c r="U207" i="24" s="1"/>
  <c r="AE209" i="23"/>
  <c r="V207" i="24" s="1"/>
  <c r="W210" i="23"/>
  <c r="N208" i="24" s="1"/>
  <c r="X210" i="23"/>
  <c r="O208" i="24" s="1"/>
  <c r="Y210" i="23"/>
  <c r="P208" i="24" s="1"/>
  <c r="Z210" i="23"/>
  <c r="Q208" i="24" s="1"/>
  <c r="AA210" i="23"/>
  <c r="R208" i="24" s="1"/>
  <c r="AB210" i="23"/>
  <c r="S208" i="24" s="1"/>
  <c r="AC210" i="23"/>
  <c r="T208" i="24" s="1"/>
  <c r="AD210" i="23"/>
  <c r="U208" i="24" s="1"/>
  <c r="AE210" i="23"/>
  <c r="V208" i="24" s="1"/>
  <c r="W211" i="23"/>
  <c r="N209" i="24" s="1"/>
  <c r="X211" i="23"/>
  <c r="O209" i="24" s="1"/>
  <c r="Y211" i="23"/>
  <c r="P209" i="24" s="1"/>
  <c r="Z211" i="23"/>
  <c r="Q209" i="24" s="1"/>
  <c r="AA211" i="23"/>
  <c r="R209" i="24" s="1"/>
  <c r="AB211" i="23"/>
  <c r="S209" i="24" s="1"/>
  <c r="AC211" i="23"/>
  <c r="T209" i="24" s="1"/>
  <c r="AD211" i="23"/>
  <c r="U209" i="24" s="1"/>
  <c r="AE211" i="23"/>
  <c r="V209" i="24" s="1"/>
  <c r="W212" i="23"/>
  <c r="N210" i="24" s="1"/>
  <c r="X212" i="23"/>
  <c r="O210" i="24" s="1"/>
  <c r="Y212" i="23"/>
  <c r="P210" i="24" s="1"/>
  <c r="Z212" i="23"/>
  <c r="Q210" i="24" s="1"/>
  <c r="AA212" i="23"/>
  <c r="R210" i="24" s="1"/>
  <c r="AB212" i="23"/>
  <c r="S210" i="24" s="1"/>
  <c r="AC212" i="23"/>
  <c r="T210" i="24" s="1"/>
  <c r="AD212" i="23"/>
  <c r="U210" i="24" s="1"/>
  <c r="AE212" i="23"/>
  <c r="V210" i="24" s="1"/>
  <c r="W213" i="23"/>
  <c r="N211" i="24" s="1"/>
  <c r="X213" i="23"/>
  <c r="O211" i="24" s="1"/>
  <c r="Y213" i="23"/>
  <c r="P211" i="24" s="1"/>
  <c r="Z213" i="23"/>
  <c r="Q211" i="24" s="1"/>
  <c r="AA213" i="23"/>
  <c r="R211" i="24" s="1"/>
  <c r="AB213" i="23"/>
  <c r="S211" i="24" s="1"/>
  <c r="AC213" i="23"/>
  <c r="T211" i="24" s="1"/>
  <c r="AD213" i="23"/>
  <c r="U211" i="24" s="1"/>
  <c r="AE213" i="23"/>
  <c r="V211" i="24" s="1"/>
  <c r="W214" i="23"/>
  <c r="N212" i="24" s="1"/>
  <c r="X214" i="23"/>
  <c r="O212" i="24" s="1"/>
  <c r="Y214" i="23"/>
  <c r="P212" i="24" s="1"/>
  <c r="Z214" i="23"/>
  <c r="Q212" i="24" s="1"/>
  <c r="AA214" i="23"/>
  <c r="R212" i="24" s="1"/>
  <c r="AB214" i="23"/>
  <c r="S212" i="24" s="1"/>
  <c r="AC214" i="23"/>
  <c r="T212" i="24" s="1"/>
  <c r="AD214" i="23"/>
  <c r="U212" i="24" s="1"/>
  <c r="AE214" i="23"/>
  <c r="V212" i="24" s="1"/>
  <c r="W215" i="23"/>
  <c r="N213" i="24" s="1"/>
  <c r="X215" i="23"/>
  <c r="O213" i="24" s="1"/>
  <c r="Y215" i="23"/>
  <c r="P213" i="24" s="1"/>
  <c r="Z215" i="23"/>
  <c r="Q213" i="24" s="1"/>
  <c r="AA215" i="23"/>
  <c r="R213" i="24" s="1"/>
  <c r="AB215" i="23"/>
  <c r="S213" i="24" s="1"/>
  <c r="AC215" i="23"/>
  <c r="T213" i="24" s="1"/>
  <c r="AD215" i="23"/>
  <c r="U213" i="24" s="1"/>
  <c r="AE215" i="23"/>
  <c r="V213" i="24" s="1"/>
  <c r="W216" i="23"/>
  <c r="N214" i="24" s="1"/>
  <c r="X216" i="23"/>
  <c r="O214" i="24" s="1"/>
  <c r="Y216" i="23"/>
  <c r="P214" i="24" s="1"/>
  <c r="Z216" i="23"/>
  <c r="Q214" i="24" s="1"/>
  <c r="AA216" i="23"/>
  <c r="R214" i="24" s="1"/>
  <c r="AB216" i="23"/>
  <c r="S214" i="24" s="1"/>
  <c r="AC216" i="23"/>
  <c r="T214" i="24" s="1"/>
  <c r="AD216" i="23"/>
  <c r="U214" i="24" s="1"/>
  <c r="AE216" i="23"/>
  <c r="V214" i="24" s="1"/>
  <c r="W217" i="23"/>
  <c r="N215" i="24" s="1"/>
  <c r="X217" i="23"/>
  <c r="O215" i="24" s="1"/>
  <c r="Y217" i="23"/>
  <c r="P215" i="24" s="1"/>
  <c r="Z217" i="23"/>
  <c r="Q215" i="24" s="1"/>
  <c r="AA217" i="23"/>
  <c r="R215" i="24" s="1"/>
  <c r="AB217" i="23"/>
  <c r="S215" i="24" s="1"/>
  <c r="AC217" i="23"/>
  <c r="T215" i="24" s="1"/>
  <c r="AD217" i="23"/>
  <c r="U215" i="24" s="1"/>
  <c r="AE217" i="23"/>
  <c r="V215" i="24" s="1"/>
  <c r="W218" i="23"/>
  <c r="N216" i="24" s="1"/>
  <c r="X218" i="23"/>
  <c r="O216" i="24" s="1"/>
  <c r="Y218" i="23"/>
  <c r="P216" i="24" s="1"/>
  <c r="Z218" i="23"/>
  <c r="Q216" i="24" s="1"/>
  <c r="AA218" i="23"/>
  <c r="R216" i="24" s="1"/>
  <c r="AB218" i="23"/>
  <c r="S216" i="24" s="1"/>
  <c r="AC218" i="23"/>
  <c r="T216" i="24" s="1"/>
  <c r="AD218" i="23"/>
  <c r="U216" i="24" s="1"/>
  <c r="AE218" i="23"/>
  <c r="V216" i="24" s="1"/>
  <c r="W219" i="23"/>
  <c r="N217" i="24" s="1"/>
  <c r="X219" i="23"/>
  <c r="O217" i="24" s="1"/>
  <c r="Y219" i="23"/>
  <c r="P217" i="24" s="1"/>
  <c r="Z219" i="23"/>
  <c r="Q217" i="24" s="1"/>
  <c r="AA219" i="23"/>
  <c r="R217" i="24" s="1"/>
  <c r="AB219" i="23"/>
  <c r="S217" i="24" s="1"/>
  <c r="AC219" i="23"/>
  <c r="T217" i="24" s="1"/>
  <c r="AD219" i="23"/>
  <c r="U217" i="24" s="1"/>
  <c r="AE219" i="23"/>
  <c r="V217" i="24" s="1"/>
  <c r="W220" i="23"/>
  <c r="N218" i="24" s="1"/>
  <c r="X220" i="23"/>
  <c r="O218" i="24" s="1"/>
  <c r="Y220" i="23"/>
  <c r="P218" i="24" s="1"/>
  <c r="Z220" i="23"/>
  <c r="Q218" i="24" s="1"/>
  <c r="AA220" i="23"/>
  <c r="R218" i="24" s="1"/>
  <c r="AB220" i="23"/>
  <c r="S218" i="24" s="1"/>
  <c r="AC220" i="23"/>
  <c r="T218" i="24" s="1"/>
  <c r="AD220" i="23"/>
  <c r="U218" i="24" s="1"/>
  <c r="AE220" i="23"/>
  <c r="V218" i="24" s="1"/>
  <c r="W221" i="23"/>
  <c r="N219" i="24" s="1"/>
  <c r="X221" i="23"/>
  <c r="O219" i="24" s="1"/>
  <c r="Y221" i="23"/>
  <c r="P219" i="24" s="1"/>
  <c r="Z221" i="23"/>
  <c r="Q219" i="24" s="1"/>
  <c r="AA221" i="23"/>
  <c r="R219" i="24" s="1"/>
  <c r="AB221" i="23"/>
  <c r="S219" i="24" s="1"/>
  <c r="AC221" i="23"/>
  <c r="T219" i="24" s="1"/>
  <c r="AD221" i="23"/>
  <c r="U219" i="24" s="1"/>
  <c r="AE221" i="23"/>
  <c r="V219" i="24" s="1"/>
  <c r="W222" i="23"/>
  <c r="N220" i="24" s="1"/>
  <c r="X222" i="23"/>
  <c r="O220" i="24" s="1"/>
  <c r="Y222" i="23"/>
  <c r="P220" i="24" s="1"/>
  <c r="Z222" i="23"/>
  <c r="Q220" i="24" s="1"/>
  <c r="AA222" i="23"/>
  <c r="R220" i="24" s="1"/>
  <c r="AB222" i="23"/>
  <c r="S220" i="24" s="1"/>
  <c r="AC222" i="23"/>
  <c r="T220" i="24" s="1"/>
  <c r="AD222" i="23"/>
  <c r="U220" i="24" s="1"/>
  <c r="AE222" i="23"/>
  <c r="V220" i="24" s="1"/>
  <c r="X14" i="23"/>
  <c r="O12" i="24" s="1"/>
  <c r="Y14" i="23"/>
  <c r="P12" i="24" s="1"/>
  <c r="Z14" i="23"/>
  <c r="Q12" i="24" s="1"/>
  <c r="AA14" i="23"/>
  <c r="R12" i="24" s="1"/>
  <c r="AB14" i="23"/>
  <c r="S12" i="24" s="1"/>
  <c r="AC14" i="23"/>
  <c r="T12" i="24" s="1"/>
  <c r="AD14" i="23"/>
  <c r="U12" i="24" s="1"/>
  <c r="AE14" i="23"/>
  <c r="V12" i="24" s="1"/>
  <c r="W14" i="23"/>
  <c r="N12" i="24" s="1"/>
  <c r="V523" i="24" l="1"/>
  <c r="U523" i="24"/>
  <c r="T523" i="24"/>
  <c r="S523" i="24"/>
  <c r="R523" i="24"/>
  <c r="Q523" i="24"/>
  <c r="P523" i="24"/>
  <c r="O523" i="24"/>
  <c r="N523" i="24"/>
  <c r="M523" i="24"/>
  <c r="L523" i="24"/>
  <c r="K523" i="24"/>
  <c r="J523" i="24"/>
  <c r="I523" i="24"/>
  <c r="H523" i="24"/>
  <c r="G523" i="24"/>
  <c r="F523" i="24"/>
  <c r="E523" i="24"/>
  <c r="D523" i="24"/>
  <c r="C523" i="24"/>
  <c r="V522" i="24"/>
  <c r="U522" i="24"/>
  <c r="T522" i="24"/>
  <c r="S522" i="24"/>
  <c r="R522" i="24"/>
  <c r="Q522" i="24"/>
  <c r="P522" i="24"/>
  <c r="O522" i="24"/>
  <c r="N522" i="24"/>
  <c r="M522" i="24"/>
  <c r="L522" i="24"/>
  <c r="K522" i="24"/>
  <c r="J522" i="24"/>
  <c r="I522" i="24"/>
  <c r="H522" i="24"/>
  <c r="G522" i="24"/>
  <c r="F522" i="24"/>
  <c r="E522" i="24"/>
  <c r="D522" i="24"/>
  <c r="C522" i="24"/>
  <c r="V521" i="24"/>
  <c r="U521" i="24"/>
  <c r="T521" i="24"/>
  <c r="S521" i="24"/>
  <c r="R521" i="24"/>
  <c r="Q521" i="24"/>
  <c r="P521" i="24"/>
  <c r="O521" i="24"/>
  <c r="N521" i="24"/>
  <c r="M521" i="24"/>
  <c r="L521" i="24"/>
  <c r="K521" i="24"/>
  <c r="J521" i="24"/>
  <c r="I521" i="24"/>
  <c r="H521" i="24"/>
  <c r="G521" i="24"/>
  <c r="F521" i="24"/>
  <c r="E521" i="24"/>
  <c r="D521" i="24"/>
  <c r="C521" i="24"/>
  <c r="V520" i="24"/>
  <c r="U520" i="24"/>
  <c r="T520" i="24"/>
  <c r="S520" i="24"/>
  <c r="R520" i="24"/>
  <c r="Q520" i="24"/>
  <c r="P520" i="24"/>
  <c r="O520" i="24"/>
  <c r="N520" i="24"/>
  <c r="M520" i="24"/>
  <c r="L520" i="24"/>
  <c r="K520" i="24"/>
  <c r="J520" i="24"/>
  <c r="I520" i="24"/>
  <c r="H520" i="24"/>
  <c r="G520" i="24"/>
  <c r="F520" i="24"/>
  <c r="E520" i="24"/>
  <c r="D520" i="24"/>
  <c r="C520" i="24"/>
  <c r="V519" i="24"/>
  <c r="U519" i="24"/>
  <c r="T519" i="24"/>
  <c r="S519" i="24"/>
  <c r="R519" i="24"/>
  <c r="Q519" i="24"/>
  <c r="P519" i="24"/>
  <c r="O519" i="24"/>
  <c r="N519" i="24"/>
  <c r="M519" i="24"/>
  <c r="L519" i="24"/>
  <c r="K519" i="24"/>
  <c r="J519" i="24"/>
  <c r="I519" i="24"/>
  <c r="H519" i="24"/>
  <c r="G519" i="24"/>
  <c r="F519" i="24"/>
  <c r="E519" i="24"/>
  <c r="D519" i="24"/>
  <c r="C519" i="24"/>
  <c r="V518" i="24"/>
  <c r="U518" i="24"/>
  <c r="T518" i="24"/>
  <c r="S518" i="24"/>
  <c r="R518" i="24"/>
  <c r="Q518" i="24"/>
  <c r="P518" i="24"/>
  <c r="O518" i="24"/>
  <c r="N518" i="24"/>
  <c r="M518" i="24"/>
  <c r="L518" i="24"/>
  <c r="K518" i="24"/>
  <c r="J518" i="24"/>
  <c r="I518" i="24"/>
  <c r="H518" i="24"/>
  <c r="G518" i="24"/>
  <c r="F518" i="24"/>
  <c r="E518" i="24"/>
  <c r="D518" i="24"/>
  <c r="C518" i="24"/>
  <c r="V517" i="24"/>
  <c r="U517" i="24"/>
  <c r="T517" i="24"/>
  <c r="S517" i="24"/>
  <c r="R517" i="24"/>
  <c r="Q517" i="24"/>
  <c r="P517" i="24"/>
  <c r="O517" i="24"/>
  <c r="N517" i="24"/>
  <c r="M517" i="24"/>
  <c r="L517" i="24"/>
  <c r="K517" i="24"/>
  <c r="J517" i="24"/>
  <c r="I517" i="24"/>
  <c r="H517" i="24"/>
  <c r="G517" i="24"/>
  <c r="F517" i="24"/>
  <c r="E517" i="24"/>
  <c r="D517" i="24"/>
  <c r="C517" i="24"/>
  <c r="V516" i="24"/>
  <c r="U516" i="24"/>
  <c r="T516" i="24"/>
  <c r="S516" i="24"/>
  <c r="R516" i="24"/>
  <c r="Q516" i="24"/>
  <c r="P516" i="24"/>
  <c r="O516" i="24"/>
  <c r="N516" i="24"/>
  <c r="M516" i="24"/>
  <c r="L516" i="24"/>
  <c r="K516" i="24"/>
  <c r="J516" i="24"/>
  <c r="I516" i="24"/>
  <c r="H516" i="24"/>
  <c r="G516" i="24"/>
  <c r="F516" i="24"/>
  <c r="E516" i="24"/>
  <c r="D516" i="24"/>
  <c r="C516" i="24"/>
  <c r="V515" i="24"/>
  <c r="U515" i="24"/>
  <c r="T515" i="24"/>
  <c r="S515" i="24"/>
  <c r="R515" i="24"/>
  <c r="Q515" i="24"/>
  <c r="P515" i="24"/>
  <c r="O515" i="24"/>
  <c r="N515" i="24"/>
  <c r="M515" i="24"/>
  <c r="L515" i="24"/>
  <c r="K515" i="24"/>
  <c r="J515" i="24"/>
  <c r="I515" i="24"/>
  <c r="H515" i="24"/>
  <c r="G515" i="24"/>
  <c r="F515" i="24"/>
  <c r="E515" i="24"/>
  <c r="D515" i="24"/>
  <c r="C515" i="24"/>
  <c r="V514" i="24"/>
  <c r="U514" i="24"/>
  <c r="T514" i="24"/>
  <c r="S514" i="24"/>
  <c r="R514" i="24"/>
  <c r="Q514" i="24"/>
  <c r="P514" i="24"/>
  <c r="O514" i="24"/>
  <c r="N514" i="24"/>
  <c r="M514" i="24"/>
  <c r="L514" i="24"/>
  <c r="K514" i="24"/>
  <c r="J514" i="24"/>
  <c r="I514" i="24"/>
  <c r="H514" i="24"/>
  <c r="G514" i="24"/>
  <c r="F514" i="24"/>
  <c r="E514" i="24"/>
  <c r="D514" i="24"/>
  <c r="C514" i="24"/>
  <c r="V513" i="24"/>
  <c r="U513" i="24"/>
  <c r="T513" i="24"/>
  <c r="S513" i="24"/>
  <c r="R513" i="24"/>
  <c r="Q513" i="24"/>
  <c r="P513" i="24"/>
  <c r="O513" i="24"/>
  <c r="N513" i="24"/>
  <c r="M513" i="24"/>
  <c r="L513" i="24"/>
  <c r="K513" i="24"/>
  <c r="J513" i="24"/>
  <c r="I513" i="24"/>
  <c r="H513" i="24"/>
  <c r="G513" i="24"/>
  <c r="F513" i="24"/>
  <c r="E513" i="24"/>
  <c r="D513" i="24"/>
  <c r="C513" i="24"/>
  <c r="V512" i="24"/>
  <c r="U512" i="24"/>
  <c r="T512" i="24"/>
  <c r="S512" i="24"/>
  <c r="R512" i="24"/>
  <c r="Q512" i="24"/>
  <c r="P512" i="24"/>
  <c r="O512" i="24"/>
  <c r="N512" i="24"/>
  <c r="M512" i="24"/>
  <c r="L512" i="24"/>
  <c r="K512" i="24"/>
  <c r="J512" i="24"/>
  <c r="I512" i="24"/>
  <c r="H512" i="24"/>
  <c r="G512" i="24"/>
  <c r="F512" i="24"/>
  <c r="E512" i="24"/>
  <c r="D512" i="24"/>
  <c r="C512" i="24"/>
  <c r="V511" i="24"/>
  <c r="U511" i="24"/>
  <c r="T511" i="24"/>
  <c r="S511" i="24"/>
  <c r="R511" i="24"/>
  <c r="Q511" i="24"/>
  <c r="P511" i="24"/>
  <c r="O511" i="24"/>
  <c r="N511" i="24"/>
  <c r="M511" i="24"/>
  <c r="L511" i="24"/>
  <c r="K511" i="24"/>
  <c r="J511" i="24"/>
  <c r="I511" i="24"/>
  <c r="H511" i="24"/>
  <c r="G511" i="24"/>
  <c r="F511" i="24"/>
  <c r="E511" i="24"/>
  <c r="D511" i="24"/>
  <c r="C511" i="24"/>
  <c r="V510" i="24"/>
  <c r="U510" i="24"/>
  <c r="T510" i="24"/>
  <c r="S510" i="24"/>
  <c r="R510" i="24"/>
  <c r="Q510" i="24"/>
  <c r="P510" i="24"/>
  <c r="O510" i="24"/>
  <c r="N510" i="24"/>
  <c r="M510" i="24"/>
  <c r="L510" i="24"/>
  <c r="K510" i="24"/>
  <c r="J510" i="24"/>
  <c r="I510" i="24"/>
  <c r="H510" i="24"/>
  <c r="G510" i="24"/>
  <c r="F510" i="24"/>
  <c r="E510" i="24"/>
  <c r="D510" i="24"/>
  <c r="C510" i="24"/>
  <c r="V509" i="24"/>
  <c r="U509" i="24"/>
  <c r="T509" i="24"/>
  <c r="S509" i="24"/>
  <c r="R509" i="24"/>
  <c r="Q509" i="24"/>
  <c r="P509" i="24"/>
  <c r="O509" i="24"/>
  <c r="N509" i="24"/>
  <c r="M509" i="24"/>
  <c r="L509" i="24"/>
  <c r="K509" i="24"/>
  <c r="J509" i="24"/>
  <c r="I509" i="24"/>
  <c r="H509" i="24"/>
  <c r="G509" i="24"/>
  <c r="F509" i="24"/>
  <c r="E509" i="24"/>
  <c r="D509" i="24"/>
  <c r="C509" i="24"/>
  <c r="V508" i="24"/>
  <c r="U508" i="24"/>
  <c r="T508" i="24"/>
  <c r="S508" i="24"/>
  <c r="R508" i="24"/>
  <c r="Q508" i="24"/>
  <c r="P508" i="24"/>
  <c r="O508" i="24"/>
  <c r="N508" i="24"/>
  <c r="M508" i="24"/>
  <c r="L508" i="24"/>
  <c r="K508" i="24"/>
  <c r="J508" i="24"/>
  <c r="I508" i="24"/>
  <c r="H508" i="24"/>
  <c r="G508" i="24"/>
  <c r="F508" i="24"/>
  <c r="E508" i="24"/>
  <c r="D508" i="24"/>
  <c r="C508" i="24"/>
  <c r="V507" i="24"/>
  <c r="U507" i="24"/>
  <c r="T507" i="24"/>
  <c r="S507" i="24"/>
  <c r="R507" i="24"/>
  <c r="Q507" i="24"/>
  <c r="P507" i="24"/>
  <c r="O507" i="24"/>
  <c r="N507" i="24"/>
  <c r="M507" i="24"/>
  <c r="L507" i="24"/>
  <c r="K507" i="24"/>
  <c r="J507" i="24"/>
  <c r="I507" i="24"/>
  <c r="H507" i="24"/>
  <c r="G507" i="24"/>
  <c r="F507" i="24"/>
  <c r="E507" i="24"/>
  <c r="D507" i="24"/>
  <c r="C507" i="24"/>
  <c r="V506" i="24"/>
  <c r="U506" i="24"/>
  <c r="T506" i="24"/>
  <c r="S506" i="24"/>
  <c r="R506" i="24"/>
  <c r="Q506" i="24"/>
  <c r="P506" i="24"/>
  <c r="O506" i="24"/>
  <c r="N506" i="24"/>
  <c r="M506" i="24"/>
  <c r="L506" i="24"/>
  <c r="K506" i="24"/>
  <c r="J506" i="24"/>
  <c r="I506" i="24"/>
  <c r="H506" i="24"/>
  <c r="G506" i="24"/>
  <c r="F506" i="24"/>
  <c r="E506" i="24"/>
  <c r="D506" i="24"/>
  <c r="C506" i="24"/>
  <c r="V505" i="24"/>
  <c r="U505" i="24"/>
  <c r="T505" i="24"/>
  <c r="S505" i="24"/>
  <c r="R505" i="24"/>
  <c r="Q505" i="24"/>
  <c r="P505" i="24"/>
  <c r="O505" i="24"/>
  <c r="N505" i="24"/>
  <c r="M505" i="24"/>
  <c r="L505" i="24"/>
  <c r="K505" i="24"/>
  <c r="J505" i="24"/>
  <c r="I505" i="24"/>
  <c r="H505" i="24"/>
  <c r="G505" i="24"/>
  <c r="F505" i="24"/>
  <c r="E505" i="24"/>
  <c r="D505" i="24"/>
  <c r="C505" i="24"/>
  <c r="V504" i="24"/>
  <c r="U504" i="24"/>
  <c r="T504" i="24"/>
  <c r="S504" i="24"/>
  <c r="R504" i="24"/>
  <c r="Q504" i="24"/>
  <c r="P504" i="24"/>
  <c r="O504" i="24"/>
  <c r="N504" i="24"/>
  <c r="M504" i="24"/>
  <c r="L504" i="24"/>
  <c r="K504" i="24"/>
  <c r="J504" i="24"/>
  <c r="I504" i="24"/>
  <c r="H504" i="24"/>
  <c r="G504" i="24"/>
  <c r="F504" i="24"/>
  <c r="E504" i="24"/>
  <c r="D504" i="24"/>
  <c r="C504" i="24"/>
  <c r="V503" i="24"/>
  <c r="U503" i="24"/>
  <c r="T503" i="24"/>
  <c r="S503" i="24"/>
  <c r="R503" i="24"/>
  <c r="Q503" i="24"/>
  <c r="P503" i="24"/>
  <c r="O503" i="24"/>
  <c r="N503" i="24"/>
  <c r="M503" i="24"/>
  <c r="L503" i="24"/>
  <c r="K503" i="24"/>
  <c r="J503" i="24"/>
  <c r="I503" i="24"/>
  <c r="H503" i="24"/>
  <c r="G503" i="24"/>
  <c r="F503" i="24"/>
  <c r="E503" i="24"/>
  <c r="D503" i="24"/>
  <c r="C503" i="24"/>
  <c r="V502" i="24"/>
  <c r="U502" i="24"/>
  <c r="T502" i="24"/>
  <c r="S502" i="24"/>
  <c r="R502" i="24"/>
  <c r="Q502" i="24"/>
  <c r="P502" i="24"/>
  <c r="O502" i="24"/>
  <c r="N502" i="24"/>
  <c r="M502" i="24"/>
  <c r="L502" i="24"/>
  <c r="K502" i="24"/>
  <c r="J502" i="24"/>
  <c r="I502" i="24"/>
  <c r="H502" i="24"/>
  <c r="G502" i="24"/>
  <c r="F502" i="24"/>
  <c r="E502" i="24"/>
  <c r="D502" i="24"/>
  <c r="C502" i="24"/>
  <c r="V501" i="24"/>
  <c r="U501" i="24"/>
  <c r="T501" i="24"/>
  <c r="S501" i="24"/>
  <c r="R501" i="24"/>
  <c r="Q501" i="24"/>
  <c r="P501" i="24"/>
  <c r="O501" i="24"/>
  <c r="N501" i="24"/>
  <c r="M501" i="24"/>
  <c r="L501" i="24"/>
  <c r="K501" i="24"/>
  <c r="J501" i="24"/>
  <c r="I501" i="24"/>
  <c r="H501" i="24"/>
  <c r="G501" i="24"/>
  <c r="F501" i="24"/>
  <c r="E501" i="24"/>
  <c r="D501" i="24"/>
  <c r="C501" i="24"/>
  <c r="V500" i="24"/>
  <c r="U500" i="24"/>
  <c r="T500" i="24"/>
  <c r="S500" i="24"/>
  <c r="R500" i="24"/>
  <c r="Q500" i="24"/>
  <c r="P500" i="24"/>
  <c r="O500" i="24"/>
  <c r="N500" i="24"/>
  <c r="M500" i="24"/>
  <c r="L500" i="24"/>
  <c r="K500" i="24"/>
  <c r="J500" i="24"/>
  <c r="I500" i="24"/>
  <c r="H500" i="24"/>
  <c r="G500" i="24"/>
  <c r="F500" i="24"/>
  <c r="E500" i="24"/>
  <c r="D500" i="24"/>
  <c r="C500" i="24"/>
  <c r="V499" i="24"/>
  <c r="U499" i="24"/>
  <c r="T499" i="24"/>
  <c r="S499" i="24"/>
  <c r="R499" i="24"/>
  <c r="Q499" i="24"/>
  <c r="P499" i="24"/>
  <c r="O499" i="24"/>
  <c r="N499" i="24"/>
  <c r="M499" i="24"/>
  <c r="L499" i="24"/>
  <c r="K499" i="24"/>
  <c r="J499" i="24"/>
  <c r="I499" i="24"/>
  <c r="H499" i="24"/>
  <c r="G499" i="24"/>
  <c r="F499" i="24"/>
  <c r="E499" i="24"/>
  <c r="D499" i="24"/>
  <c r="C499" i="24"/>
  <c r="V498" i="24"/>
  <c r="U498" i="24"/>
  <c r="T498" i="24"/>
  <c r="S498" i="24"/>
  <c r="R498" i="24"/>
  <c r="Q498" i="24"/>
  <c r="P498" i="24"/>
  <c r="O498" i="24"/>
  <c r="N498" i="24"/>
  <c r="M498" i="24"/>
  <c r="L498" i="24"/>
  <c r="K498" i="24"/>
  <c r="J498" i="24"/>
  <c r="I498" i="24"/>
  <c r="H498" i="24"/>
  <c r="G498" i="24"/>
  <c r="F498" i="24"/>
  <c r="E498" i="24"/>
  <c r="D498" i="24"/>
  <c r="C498" i="24"/>
  <c r="V497" i="24"/>
  <c r="U497" i="24"/>
  <c r="T497" i="24"/>
  <c r="S497" i="24"/>
  <c r="R497" i="24"/>
  <c r="Q497" i="24"/>
  <c r="P497" i="24"/>
  <c r="O497" i="24"/>
  <c r="N497" i="24"/>
  <c r="M497" i="24"/>
  <c r="L497" i="24"/>
  <c r="K497" i="24"/>
  <c r="J497" i="24"/>
  <c r="I497" i="24"/>
  <c r="H497" i="24"/>
  <c r="G497" i="24"/>
  <c r="F497" i="24"/>
  <c r="E497" i="24"/>
  <c r="D497" i="24"/>
  <c r="C497" i="24"/>
  <c r="V496" i="24"/>
  <c r="U496" i="24"/>
  <c r="T496" i="24"/>
  <c r="S496" i="24"/>
  <c r="R496" i="24"/>
  <c r="Q496" i="24"/>
  <c r="P496" i="24"/>
  <c r="O496" i="24"/>
  <c r="N496" i="24"/>
  <c r="M496" i="24"/>
  <c r="L496" i="24"/>
  <c r="K496" i="24"/>
  <c r="J496" i="24"/>
  <c r="I496" i="24"/>
  <c r="H496" i="24"/>
  <c r="G496" i="24"/>
  <c r="F496" i="24"/>
  <c r="E496" i="24"/>
  <c r="D496" i="24"/>
  <c r="C496" i="24"/>
  <c r="V495" i="24"/>
  <c r="U495" i="24"/>
  <c r="T495" i="24"/>
  <c r="S495" i="24"/>
  <c r="R495" i="24"/>
  <c r="Q495" i="24"/>
  <c r="P495" i="24"/>
  <c r="O495" i="24"/>
  <c r="N495" i="24"/>
  <c r="M495" i="24"/>
  <c r="L495" i="24"/>
  <c r="K495" i="24"/>
  <c r="J495" i="24"/>
  <c r="I495" i="24"/>
  <c r="H495" i="24"/>
  <c r="G495" i="24"/>
  <c r="F495" i="24"/>
  <c r="E495" i="24"/>
  <c r="D495" i="24"/>
  <c r="C495" i="24"/>
  <c r="V494" i="24"/>
  <c r="U494" i="24"/>
  <c r="T494" i="24"/>
  <c r="S494" i="24"/>
  <c r="R494" i="24"/>
  <c r="Q494" i="24"/>
  <c r="P494" i="24"/>
  <c r="O494" i="24"/>
  <c r="N494" i="24"/>
  <c r="M494" i="24"/>
  <c r="L494" i="24"/>
  <c r="K494" i="24"/>
  <c r="J494" i="24"/>
  <c r="I494" i="24"/>
  <c r="H494" i="24"/>
  <c r="G494" i="24"/>
  <c r="F494" i="24"/>
  <c r="E494" i="24"/>
  <c r="D494" i="24"/>
  <c r="C494" i="24"/>
  <c r="V493" i="24"/>
  <c r="U493" i="24"/>
  <c r="T493" i="24"/>
  <c r="S493" i="24"/>
  <c r="R493" i="24"/>
  <c r="Q493" i="24"/>
  <c r="P493" i="24"/>
  <c r="O493" i="24"/>
  <c r="N493" i="24"/>
  <c r="M493" i="24"/>
  <c r="L493" i="24"/>
  <c r="K493" i="24"/>
  <c r="J493" i="24"/>
  <c r="I493" i="24"/>
  <c r="H493" i="24"/>
  <c r="G493" i="24"/>
  <c r="F493" i="24"/>
  <c r="E493" i="24"/>
  <c r="D493" i="24"/>
  <c r="C493" i="24"/>
  <c r="V492" i="24"/>
  <c r="U492" i="24"/>
  <c r="T492" i="24"/>
  <c r="S492" i="24"/>
  <c r="R492" i="24"/>
  <c r="Q492" i="24"/>
  <c r="P492" i="24"/>
  <c r="O492" i="24"/>
  <c r="N492" i="24"/>
  <c r="M492" i="24"/>
  <c r="L492" i="24"/>
  <c r="K492" i="24"/>
  <c r="J492" i="24"/>
  <c r="I492" i="24"/>
  <c r="H492" i="24"/>
  <c r="G492" i="24"/>
  <c r="F492" i="24"/>
  <c r="E492" i="24"/>
  <c r="D492" i="24"/>
  <c r="C492" i="24"/>
  <c r="V491" i="24"/>
  <c r="U491" i="24"/>
  <c r="T491" i="24"/>
  <c r="S491" i="24"/>
  <c r="R491" i="24"/>
  <c r="Q491" i="24"/>
  <c r="P491" i="24"/>
  <c r="O491" i="24"/>
  <c r="N491" i="24"/>
  <c r="M491" i="24"/>
  <c r="L491" i="24"/>
  <c r="K491" i="24"/>
  <c r="J491" i="24"/>
  <c r="I491" i="24"/>
  <c r="H491" i="24"/>
  <c r="G491" i="24"/>
  <c r="F491" i="24"/>
  <c r="E491" i="24"/>
  <c r="D491" i="24"/>
  <c r="C491" i="24"/>
  <c r="V490" i="24"/>
  <c r="U490" i="24"/>
  <c r="T490" i="24"/>
  <c r="S490" i="24"/>
  <c r="R490" i="24"/>
  <c r="Q490" i="24"/>
  <c r="P490" i="24"/>
  <c r="O490" i="24"/>
  <c r="N490" i="24"/>
  <c r="M490" i="24"/>
  <c r="L490" i="24"/>
  <c r="K490" i="24"/>
  <c r="J490" i="24"/>
  <c r="I490" i="24"/>
  <c r="H490" i="24"/>
  <c r="G490" i="24"/>
  <c r="F490" i="24"/>
  <c r="E490" i="24"/>
  <c r="D490" i="24"/>
  <c r="C490" i="24"/>
  <c r="V489" i="24"/>
  <c r="U489" i="24"/>
  <c r="T489" i="24"/>
  <c r="S489" i="24"/>
  <c r="R489" i="24"/>
  <c r="Q489" i="24"/>
  <c r="P489" i="24"/>
  <c r="O489" i="24"/>
  <c r="N489" i="24"/>
  <c r="M489" i="24"/>
  <c r="L489" i="24"/>
  <c r="K489" i="24"/>
  <c r="J489" i="24"/>
  <c r="I489" i="24"/>
  <c r="H489" i="24"/>
  <c r="G489" i="24"/>
  <c r="F489" i="24"/>
  <c r="E489" i="24"/>
  <c r="D489" i="24"/>
  <c r="C489" i="24"/>
  <c r="V488" i="24"/>
  <c r="U488" i="24"/>
  <c r="T488" i="24"/>
  <c r="S488" i="24"/>
  <c r="R488" i="24"/>
  <c r="Q488" i="24"/>
  <c r="P488" i="24"/>
  <c r="O488" i="24"/>
  <c r="N488" i="24"/>
  <c r="M488" i="24"/>
  <c r="L488" i="24"/>
  <c r="K488" i="24"/>
  <c r="J488" i="24"/>
  <c r="I488" i="24"/>
  <c r="H488" i="24"/>
  <c r="G488" i="24"/>
  <c r="F488" i="24"/>
  <c r="E488" i="24"/>
  <c r="D488" i="24"/>
  <c r="C488" i="24"/>
  <c r="V487" i="24"/>
  <c r="U487" i="24"/>
  <c r="T487" i="24"/>
  <c r="S487" i="24"/>
  <c r="R487" i="24"/>
  <c r="Q487" i="24"/>
  <c r="P487" i="24"/>
  <c r="O487" i="24"/>
  <c r="N487" i="24"/>
  <c r="M487" i="24"/>
  <c r="L487" i="24"/>
  <c r="K487" i="24"/>
  <c r="J487" i="24"/>
  <c r="I487" i="24"/>
  <c r="H487" i="24"/>
  <c r="G487" i="24"/>
  <c r="F487" i="24"/>
  <c r="E487" i="24"/>
  <c r="D487" i="24"/>
  <c r="C487" i="24"/>
  <c r="V486" i="24"/>
  <c r="U486" i="24"/>
  <c r="T486" i="24"/>
  <c r="S486" i="24"/>
  <c r="R486" i="24"/>
  <c r="Q486" i="24"/>
  <c r="P486" i="24"/>
  <c r="O486" i="24"/>
  <c r="N486" i="24"/>
  <c r="M486" i="24"/>
  <c r="L486" i="24"/>
  <c r="K486" i="24"/>
  <c r="J486" i="24"/>
  <c r="I486" i="24"/>
  <c r="H486" i="24"/>
  <c r="G486" i="24"/>
  <c r="F486" i="24"/>
  <c r="E486" i="24"/>
  <c r="D486" i="24"/>
  <c r="C486" i="24"/>
  <c r="V485" i="24"/>
  <c r="U485" i="24"/>
  <c r="T485" i="24"/>
  <c r="S485" i="24"/>
  <c r="R485" i="24"/>
  <c r="Q485" i="24"/>
  <c r="P485" i="24"/>
  <c r="O485" i="24"/>
  <c r="N485" i="24"/>
  <c r="M485" i="24"/>
  <c r="L485" i="24"/>
  <c r="K485" i="24"/>
  <c r="J485" i="24"/>
  <c r="I485" i="24"/>
  <c r="H485" i="24"/>
  <c r="G485" i="24"/>
  <c r="F485" i="24"/>
  <c r="E485" i="24"/>
  <c r="D485" i="24"/>
  <c r="C485" i="24"/>
  <c r="V484" i="24"/>
  <c r="U484" i="24"/>
  <c r="T484" i="24"/>
  <c r="S484" i="24"/>
  <c r="R484" i="24"/>
  <c r="Q484" i="24"/>
  <c r="P484" i="24"/>
  <c r="O484" i="24"/>
  <c r="N484" i="24"/>
  <c r="M484" i="24"/>
  <c r="L484" i="24"/>
  <c r="K484" i="24"/>
  <c r="J484" i="24"/>
  <c r="I484" i="24"/>
  <c r="H484" i="24"/>
  <c r="G484" i="24"/>
  <c r="F484" i="24"/>
  <c r="E484" i="24"/>
  <c r="D484" i="24"/>
  <c r="C484" i="24"/>
  <c r="V483" i="24"/>
  <c r="U483" i="24"/>
  <c r="T483" i="24"/>
  <c r="S483" i="24"/>
  <c r="R483" i="24"/>
  <c r="Q483" i="24"/>
  <c r="P483" i="24"/>
  <c r="O483" i="24"/>
  <c r="N483" i="24"/>
  <c r="M483" i="24"/>
  <c r="L483" i="24"/>
  <c r="K483" i="24"/>
  <c r="J483" i="24"/>
  <c r="I483" i="24"/>
  <c r="H483" i="24"/>
  <c r="G483" i="24"/>
  <c r="F483" i="24"/>
  <c r="E483" i="24"/>
  <c r="D483" i="24"/>
  <c r="C483" i="24"/>
  <c r="V482" i="24"/>
  <c r="U482" i="24"/>
  <c r="T482" i="24"/>
  <c r="S482" i="24"/>
  <c r="R482" i="24"/>
  <c r="Q482" i="24"/>
  <c r="P482" i="24"/>
  <c r="O482" i="24"/>
  <c r="N482" i="24"/>
  <c r="M482" i="24"/>
  <c r="L482" i="24"/>
  <c r="K482" i="24"/>
  <c r="J482" i="24"/>
  <c r="I482" i="24"/>
  <c r="H482" i="24"/>
  <c r="G482" i="24"/>
  <c r="F482" i="24"/>
  <c r="E482" i="24"/>
  <c r="D482" i="24"/>
  <c r="C482" i="24"/>
  <c r="V481" i="24"/>
  <c r="U481" i="24"/>
  <c r="T481" i="24"/>
  <c r="S481" i="24"/>
  <c r="R481" i="24"/>
  <c r="Q481" i="24"/>
  <c r="P481" i="24"/>
  <c r="O481" i="24"/>
  <c r="N481" i="24"/>
  <c r="M481" i="24"/>
  <c r="L481" i="24"/>
  <c r="K481" i="24"/>
  <c r="J481" i="24"/>
  <c r="I481" i="24"/>
  <c r="H481" i="24"/>
  <c r="G481" i="24"/>
  <c r="F481" i="24"/>
  <c r="E481" i="24"/>
  <c r="D481" i="24"/>
  <c r="C481" i="24"/>
  <c r="V480" i="24"/>
  <c r="U480" i="24"/>
  <c r="T480" i="24"/>
  <c r="S480" i="24"/>
  <c r="R480" i="24"/>
  <c r="Q480" i="24"/>
  <c r="P480" i="24"/>
  <c r="O480" i="24"/>
  <c r="N480" i="24"/>
  <c r="M480" i="24"/>
  <c r="L480" i="24"/>
  <c r="K480" i="24"/>
  <c r="J480" i="24"/>
  <c r="I480" i="24"/>
  <c r="H480" i="24"/>
  <c r="G480" i="24"/>
  <c r="F480" i="24"/>
  <c r="E480" i="24"/>
  <c r="D480" i="24"/>
  <c r="C480" i="24"/>
  <c r="V479" i="24"/>
  <c r="U479" i="24"/>
  <c r="T479" i="24"/>
  <c r="S479" i="24"/>
  <c r="R479" i="24"/>
  <c r="Q479" i="24"/>
  <c r="P479" i="24"/>
  <c r="O479" i="24"/>
  <c r="N479" i="24"/>
  <c r="M479" i="24"/>
  <c r="L479" i="24"/>
  <c r="K479" i="24"/>
  <c r="J479" i="24"/>
  <c r="I479" i="24"/>
  <c r="H479" i="24"/>
  <c r="G479" i="24"/>
  <c r="F479" i="24"/>
  <c r="E479" i="24"/>
  <c r="D479" i="24"/>
  <c r="C479" i="24"/>
  <c r="V478" i="24"/>
  <c r="U478" i="24"/>
  <c r="T478" i="24"/>
  <c r="S478" i="24"/>
  <c r="R478" i="24"/>
  <c r="Q478" i="24"/>
  <c r="P478" i="24"/>
  <c r="O478" i="24"/>
  <c r="N478" i="24"/>
  <c r="M478" i="24"/>
  <c r="L478" i="24"/>
  <c r="K478" i="24"/>
  <c r="J478" i="24"/>
  <c r="I478" i="24"/>
  <c r="H478" i="24"/>
  <c r="G478" i="24"/>
  <c r="F478" i="24"/>
  <c r="E478" i="24"/>
  <c r="D478" i="24"/>
  <c r="C478" i="24"/>
  <c r="V477" i="24"/>
  <c r="U477" i="24"/>
  <c r="T477" i="24"/>
  <c r="S477" i="24"/>
  <c r="R477" i="24"/>
  <c r="Q477" i="24"/>
  <c r="P477" i="24"/>
  <c r="O477" i="24"/>
  <c r="N477" i="24"/>
  <c r="M477" i="24"/>
  <c r="L477" i="24"/>
  <c r="K477" i="24"/>
  <c r="J477" i="24"/>
  <c r="I477" i="24"/>
  <c r="H477" i="24"/>
  <c r="G477" i="24"/>
  <c r="F477" i="24"/>
  <c r="E477" i="24"/>
  <c r="D477" i="24"/>
  <c r="C477" i="24"/>
  <c r="V476" i="24"/>
  <c r="U476" i="24"/>
  <c r="T476" i="24"/>
  <c r="S476" i="24"/>
  <c r="R476" i="24"/>
  <c r="Q476" i="24"/>
  <c r="P476" i="24"/>
  <c r="O476" i="24"/>
  <c r="N476" i="24"/>
  <c r="M476" i="24"/>
  <c r="L476" i="24"/>
  <c r="K476" i="24"/>
  <c r="J476" i="24"/>
  <c r="I476" i="24"/>
  <c r="H476" i="24"/>
  <c r="G476" i="24"/>
  <c r="F476" i="24"/>
  <c r="E476" i="24"/>
  <c r="D476" i="24"/>
  <c r="C476" i="24"/>
  <c r="V475" i="24"/>
  <c r="U475" i="24"/>
  <c r="T475" i="24"/>
  <c r="S475" i="24"/>
  <c r="R475" i="24"/>
  <c r="Q475" i="24"/>
  <c r="P475" i="24"/>
  <c r="O475" i="24"/>
  <c r="N475" i="24"/>
  <c r="M475" i="24"/>
  <c r="L475" i="24"/>
  <c r="K475" i="24"/>
  <c r="J475" i="24"/>
  <c r="I475" i="24"/>
  <c r="H475" i="24"/>
  <c r="G475" i="24"/>
  <c r="F475" i="24"/>
  <c r="E475" i="24"/>
  <c r="D475" i="24"/>
  <c r="C475" i="24"/>
  <c r="V474" i="24"/>
  <c r="U474" i="24"/>
  <c r="T474" i="24"/>
  <c r="S474" i="24"/>
  <c r="R474" i="24"/>
  <c r="Q474" i="24"/>
  <c r="P474" i="24"/>
  <c r="O474" i="24"/>
  <c r="N474" i="24"/>
  <c r="M474" i="24"/>
  <c r="L474" i="24"/>
  <c r="K474" i="24"/>
  <c r="J474" i="24"/>
  <c r="I474" i="24"/>
  <c r="H474" i="24"/>
  <c r="G474" i="24"/>
  <c r="F474" i="24"/>
  <c r="E474" i="24"/>
  <c r="D474" i="24"/>
  <c r="C474" i="24"/>
  <c r="V473" i="24"/>
  <c r="U473" i="24"/>
  <c r="T473" i="24"/>
  <c r="S473" i="24"/>
  <c r="R473" i="24"/>
  <c r="Q473" i="24"/>
  <c r="P473" i="24"/>
  <c r="O473" i="24"/>
  <c r="N473" i="24"/>
  <c r="M473" i="24"/>
  <c r="L473" i="24"/>
  <c r="K473" i="24"/>
  <c r="J473" i="24"/>
  <c r="I473" i="24"/>
  <c r="H473" i="24"/>
  <c r="G473" i="24"/>
  <c r="F473" i="24"/>
  <c r="E473" i="24"/>
  <c r="D473" i="24"/>
  <c r="C473" i="24"/>
  <c r="V472" i="24"/>
  <c r="U472" i="24"/>
  <c r="T472" i="24"/>
  <c r="S472" i="24"/>
  <c r="R472" i="24"/>
  <c r="Q472" i="24"/>
  <c r="P472" i="24"/>
  <c r="O472" i="24"/>
  <c r="N472" i="24"/>
  <c r="M472" i="24"/>
  <c r="L472" i="24"/>
  <c r="K472" i="24"/>
  <c r="J472" i="24"/>
  <c r="I472" i="24"/>
  <c r="H472" i="24"/>
  <c r="G472" i="24"/>
  <c r="F472" i="24"/>
  <c r="E472" i="24"/>
  <c r="D472" i="24"/>
  <c r="C472" i="24"/>
  <c r="V471" i="24"/>
  <c r="U471" i="24"/>
  <c r="T471" i="24"/>
  <c r="S471" i="24"/>
  <c r="R471" i="24"/>
  <c r="Q471" i="24"/>
  <c r="P471" i="24"/>
  <c r="O471" i="24"/>
  <c r="N471" i="24"/>
  <c r="M471" i="24"/>
  <c r="L471" i="24"/>
  <c r="K471" i="24"/>
  <c r="J471" i="24"/>
  <c r="I471" i="24"/>
  <c r="H471" i="24"/>
  <c r="G471" i="24"/>
  <c r="F471" i="24"/>
  <c r="E471" i="24"/>
  <c r="D471" i="24"/>
  <c r="C471" i="24"/>
  <c r="V470" i="24"/>
  <c r="U470" i="24"/>
  <c r="T470" i="24"/>
  <c r="S470" i="24"/>
  <c r="R470" i="24"/>
  <c r="Q470" i="24"/>
  <c r="P470" i="24"/>
  <c r="O470" i="24"/>
  <c r="N470" i="24"/>
  <c r="M470" i="24"/>
  <c r="L470" i="24"/>
  <c r="K470" i="24"/>
  <c r="J470" i="24"/>
  <c r="I470" i="24"/>
  <c r="H470" i="24"/>
  <c r="G470" i="24"/>
  <c r="F470" i="24"/>
  <c r="E470" i="24"/>
  <c r="D470" i="24"/>
  <c r="C470" i="24"/>
  <c r="V469" i="24"/>
  <c r="U469" i="24"/>
  <c r="T469" i="24"/>
  <c r="S469" i="24"/>
  <c r="R469" i="24"/>
  <c r="Q469" i="24"/>
  <c r="P469" i="24"/>
  <c r="O469" i="24"/>
  <c r="N469" i="24"/>
  <c r="M469" i="24"/>
  <c r="L469" i="24"/>
  <c r="K469" i="24"/>
  <c r="J469" i="24"/>
  <c r="I469" i="24"/>
  <c r="H469" i="24"/>
  <c r="G469" i="24"/>
  <c r="F469" i="24"/>
  <c r="E469" i="24"/>
  <c r="D469" i="24"/>
  <c r="C469" i="24"/>
  <c r="V468" i="24"/>
  <c r="U468" i="24"/>
  <c r="T468" i="24"/>
  <c r="S468" i="24"/>
  <c r="R468" i="24"/>
  <c r="Q468" i="24"/>
  <c r="P468" i="24"/>
  <c r="O468" i="24"/>
  <c r="N468" i="24"/>
  <c r="M468" i="24"/>
  <c r="L468" i="24"/>
  <c r="K468" i="24"/>
  <c r="J468" i="24"/>
  <c r="I468" i="24"/>
  <c r="H468" i="24"/>
  <c r="G468" i="24"/>
  <c r="F468" i="24"/>
  <c r="E468" i="24"/>
  <c r="D468" i="24"/>
  <c r="C468" i="24"/>
  <c r="V467" i="24"/>
  <c r="U467" i="24"/>
  <c r="T467" i="24"/>
  <c r="S467" i="24"/>
  <c r="R467" i="24"/>
  <c r="Q467" i="24"/>
  <c r="P467" i="24"/>
  <c r="O467" i="24"/>
  <c r="N467" i="24"/>
  <c r="M467" i="24"/>
  <c r="L467" i="24"/>
  <c r="K467" i="24"/>
  <c r="J467" i="24"/>
  <c r="I467" i="24"/>
  <c r="H467" i="24"/>
  <c r="G467" i="24"/>
  <c r="F467" i="24"/>
  <c r="E467" i="24"/>
  <c r="D467" i="24"/>
  <c r="C467" i="24"/>
  <c r="V466" i="24"/>
  <c r="U466" i="24"/>
  <c r="T466" i="24"/>
  <c r="S466" i="24"/>
  <c r="R466" i="24"/>
  <c r="Q466" i="24"/>
  <c r="P466" i="24"/>
  <c r="O466" i="24"/>
  <c r="N466" i="24"/>
  <c r="M466" i="24"/>
  <c r="L466" i="24"/>
  <c r="K466" i="24"/>
  <c r="J466" i="24"/>
  <c r="I466" i="24"/>
  <c r="H466" i="24"/>
  <c r="G466" i="24"/>
  <c r="F466" i="24"/>
  <c r="E466" i="24"/>
  <c r="D466" i="24"/>
  <c r="C466" i="24"/>
  <c r="V465" i="24"/>
  <c r="U465" i="24"/>
  <c r="T465" i="24"/>
  <c r="S465" i="24"/>
  <c r="R465" i="24"/>
  <c r="Q465" i="24"/>
  <c r="P465" i="24"/>
  <c r="O465" i="24"/>
  <c r="N465" i="24"/>
  <c r="M465" i="24"/>
  <c r="L465" i="24"/>
  <c r="K465" i="24"/>
  <c r="J465" i="24"/>
  <c r="I465" i="24"/>
  <c r="H465" i="24"/>
  <c r="G465" i="24"/>
  <c r="F465" i="24"/>
  <c r="E465" i="24"/>
  <c r="D465" i="24"/>
  <c r="C465" i="24"/>
  <c r="V464" i="24"/>
  <c r="U464" i="24"/>
  <c r="T464" i="24"/>
  <c r="S464" i="24"/>
  <c r="R464" i="24"/>
  <c r="Q464" i="24"/>
  <c r="P464" i="24"/>
  <c r="O464" i="24"/>
  <c r="N464" i="24"/>
  <c r="M464" i="24"/>
  <c r="L464" i="24"/>
  <c r="K464" i="24"/>
  <c r="J464" i="24"/>
  <c r="I464" i="24"/>
  <c r="H464" i="24"/>
  <c r="G464" i="24"/>
  <c r="F464" i="24"/>
  <c r="E464" i="24"/>
  <c r="D464" i="24"/>
  <c r="C464" i="24"/>
  <c r="V463" i="24"/>
  <c r="U463" i="24"/>
  <c r="T463" i="24"/>
  <c r="S463" i="24"/>
  <c r="R463" i="24"/>
  <c r="Q463" i="24"/>
  <c r="P463" i="24"/>
  <c r="O463" i="24"/>
  <c r="N463" i="24"/>
  <c r="M463" i="24"/>
  <c r="L463" i="24"/>
  <c r="K463" i="24"/>
  <c r="J463" i="24"/>
  <c r="I463" i="24"/>
  <c r="H463" i="24"/>
  <c r="G463" i="24"/>
  <c r="F463" i="24"/>
  <c r="E463" i="24"/>
  <c r="D463" i="24"/>
  <c r="C463" i="24"/>
  <c r="V462" i="24"/>
  <c r="U462" i="24"/>
  <c r="T462" i="24"/>
  <c r="S462" i="24"/>
  <c r="R462" i="24"/>
  <c r="Q462" i="24"/>
  <c r="P462" i="24"/>
  <c r="O462" i="24"/>
  <c r="N462" i="24"/>
  <c r="M462" i="24"/>
  <c r="L462" i="24"/>
  <c r="K462" i="24"/>
  <c r="J462" i="24"/>
  <c r="I462" i="24"/>
  <c r="H462" i="24"/>
  <c r="G462" i="24"/>
  <c r="F462" i="24"/>
  <c r="E462" i="24"/>
  <c r="D462" i="24"/>
  <c r="C462" i="24"/>
  <c r="V461" i="24"/>
  <c r="U461" i="24"/>
  <c r="T461" i="24"/>
  <c r="S461" i="24"/>
  <c r="R461" i="24"/>
  <c r="Q461" i="24"/>
  <c r="P461" i="24"/>
  <c r="O461" i="24"/>
  <c r="N461" i="24"/>
  <c r="M461" i="24"/>
  <c r="L461" i="24"/>
  <c r="K461" i="24"/>
  <c r="J461" i="24"/>
  <c r="I461" i="24"/>
  <c r="H461" i="24"/>
  <c r="G461" i="24"/>
  <c r="F461" i="24"/>
  <c r="E461" i="24"/>
  <c r="D461" i="24"/>
  <c r="C461" i="24"/>
  <c r="V460" i="24"/>
  <c r="U460" i="24"/>
  <c r="T460" i="24"/>
  <c r="S460" i="24"/>
  <c r="R460" i="24"/>
  <c r="Q460" i="24"/>
  <c r="P460" i="24"/>
  <c r="O460" i="24"/>
  <c r="N460" i="24"/>
  <c r="M460" i="24"/>
  <c r="L460" i="24"/>
  <c r="K460" i="24"/>
  <c r="J460" i="24"/>
  <c r="I460" i="24"/>
  <c r="H460" i="24"/>
  <c r="G460" i="24"/>
  <c r="F460" i="24"/>
  <c r="E460" i="24"/>
  <c r="D460" i="24"/>
  <c r="C460" i="24"/>
  <c r="V459" i="24"/>
  <c r="U459" i="24"/>
  <c r="T459" i="24"/>
  <c r="S459" i="24"/>
  <c r="R459" i="24"/>
  <c r="Q459" i="24"/>
  <c r="P459" i="24"/>
  <c r="O459" i="24"/>
  <c r="N459" i="24"/>
  <c r="M459" i="24"/>
  <c r="L459" i="24"/>
  <c r="K459" i="24"/>
  <c r="J459" i="24"/>
  <c r="I459" i="24"/>
  <c r="H459" i="24"/>
  <c r="G459" i="24"/>
  <c r="F459" i="24"/>
  <c r="E459" i="24"/>
  <c r="D459" i="24"/>
  <c r="C459" i="24"/>
  <c r="V458" i="24"/>
  <c r="U458" i="24"/>
  <c r="T458" i="24"/>
  <c r="S458" i="24"/>
  <c r="R458" i="24"/>
  <c r="Q458" i="24"/>
  <c r="P458" i="24"/>
  <c r="O458" i="24"/>
  <c r="N458" i="24"/>
  <c r="M458" i="24"/>
  <c r="L458" i="24"/>
  <c r="K458" i="24"/>
  <c r="J458" i="24"/>
  <c r="I458" i="24"/>
  <c r="H458" i="24"/>
  <c r="G458" i="24"/>
  <c r="F458" i="24"/>
  <c r="E458" i="24"/>
  <c r="D458" i="24"/>
  <c r="C458" i="24"/>
  <c r="V457" i="24"/>
  <c r="U457" i="24"/>
  <c r="T457" i="24"/>
  <c r="S457" i="24"/>
  <c r="R457" i="24"/>
  <c r="Q457" i="24"/>
  <c r="P457" i="24"/>
  <c r="O457" i="24"/>
  <c r="N457" i="24"/>
  <c r="M457" i="24"/>
  <c r="L457" i="24"/>
  <c r="K457" i="24"/>
  <c r="J457" i="24"/>
  <c r="I457" i="24"/>
  <c r="H457" i="24"/>
  <c r="G457" i="24"/>
  <c r="F457" i="24"/>
  <c r="E457" i="24"/>
  <c r="D457" i="24"/>
  <c r="C457" i="24"/>
  <c r="V456" i="24"/>
  <c r="U456" i="24"/>
  <c r="T456" i="24"/>
  <c r="S456" i="24"/>
  <c r="R456" i="24"/>
  <c r="Q456" i="24"/>
  <c r="P456" i="24"/>
  <c r="O456" i="24"/>
  <c r="N456" i="24"/>
  <c r="M456" i="24"/>
  <c r="L456" i="24"/>
  <c r="K456" i="24"/>
  <c r="J456" i="24"/>
  <c r="I456" i="24"/>
  <c r="H456" i="24"/>
  <c r="G456" i="24"/>
  <c r="F456" i="24"/>
  <c r="E456" i="24"/>
  <c r="D456" i="24"/>
  <c r="C456" i="24"/>
  <c r="V455" i="24"/>
  <c r="U455" i="24"/>
  <c r="T455" i="24"/>
  <c r="S455" i="24"/>
  <c r="R455" i="24"/>
  <c r="Q455" i="24"/>
  <c r="P455" i="24"/>
  <c r="O455" i="24"/>
  <c r="N455" i="24"/>
  <c r="M455" i="24"/>
  <c r="L455" i="24"/>
  <c r="K455" i="24"/>
  <c r="J455" i="24"/>
  <c r="I455" i="24"/>
  <c r="H455" i="24"/>
  <c r="G455" i="24"/>
  <c r="F455" i="24"/>
  <c r="E455" i="24"/>
  <c r="D455" i="24"/>
  <c r="C455" i="24"/>
  <c r="V454" i="24"/>
  <c r="U454" i="24"/>
  <c r="T454" i="24"/>
  <c r="S454" i="24"/>
  <c r="R454" i="24"/>
  <c r="Q454" i="24"/>
  <c r="P454" i="24"/>
  <c r="O454" i="24"/>
  <c r="N454" i="24"/>
  <c r="M454" i="24"/>
  <c r="L454" i="24"/>
  <c r="K454" i="24"/>
  <c r="J454" i="24"/>
  <c r="I454" i="24"/>
  <c r="H454" i="24"/>
  <c r="G454" i="24"/>
  <c r="F454" i="24"/>
  <c r="E454" i="24"/>
  <c r="D454" i="24"/>
  <c r="C454" i="24"/>
  <c r="V453" i="24"/>
  <c r="U453" i="24"/>
  <c r="T453" i="24"/>
  <c r="S453" i="24"/>
  <c r="R453" i="24"/>
  <c r="Q453" i="24"/>
  <c r="P453" i="24"/>
  <c r="O453" i="24"/>
  <c r="N453" i="24"/>
  <c r="M453" i="24"/>
  <c r="L453" i="24"/>
  <c r="K453" i="24"/>
  <c r="J453" i="24"/>
  <c r="I453" i="24"/>
  <c r="H453" i="24"/>
  <c r="G453" i="24"/>
  <c r="F453" i="24"/>
  <c r="E453" i="24"/>
  <c r="D453" i="24"/>
  <c r="C453" i="24"/>
  <c r="V452" i="24"/>
  <c r="U452" i="24"/>
  <c r="T452" i="24"/>
  <c r="S452" i="24"/>
  <c r="R452" i="24"/>
  <c r="Q452" i="24"/>
  <c r="P452" i="24"/>
  <c r="O452" i="24"/>
  <c r="N452" i="24"/>
  <c r="M452" i="24"/>
  <c r="L452" i="24"/>
  <c r="K452" i="24"/>
  <c r="J452" i="24"/>
  <c r="I452" i="24"/>
  <c r="H452" i="24"/>
  <c r="G452" i="24"/>
  <c r="F452" i="24"/>
  <c r="E452" i="24"/>
  <c r="D452" i="24"/>
  <c r="C452" i="24"/>
  <c r="V451" i="24"/>
  <c r="U451" i="24"/>
  <c r="T451" i="24"/>
  <c r="S451" i="24"/>
  <c r="R451" i="24"/>
  <c r="Q451" i="24"/>
  <c r="P451" i="24"/>
  <c r="O451" i="24"/>
  <c r="N451" i="24"/>
  <c r="M451" i="24"/>
  <c r="L451" i="24"/>
  <c r="K451" i="24"/>
  <c r="J451" i="24"/>
  <c r="I451" i="24"/>
  <c r="H451" i="24"/>
  <c r="G451" i="24"/>
  <c r="F451" i="24"/>
  <c r="E451" i="24"/>
  <c r="D451" i="24"/>
  <c r="C451" i="24"/>
  <c r="V450" i="24"/>
  <c r="U450" i="24"/>
  <c r="T450" i="24"/>
  <c r="S450" i="24"/>
  <c r="R450" i="24"/>
  <c r="Q450" i="24"/>
  <c r="P450" i="24"/>
  <c r="O450" i="24"/>
  <c r="N450" i="24"/>
  <c r="M450" i="24"/>
  <c r="L450" i="24"/>
  <c r="K450" i="24"/>
  <c r="J450" i="24"/>
  <c r="I450" i="24"/>
  <c r="H450" i="24"/>
  <c r="G450" i="24"/>
  <c r="F450" i="24"/>
  <c r="E450" i="24"/>
  <c r="D450" i="24"/>
  <c r="C450" i="24"/>
  <c r="V449" i="24"/>
  <c r="U449" i="24"/>
  <c r="T449" i="24"/>
  <c r="S449" i="24"/>
  <c r="R449" i="24"/>
  <c r="Q449" i="24"/>
  <c r="P449" i="24"/>
  <c r="O449" i="24"/>
  <c r="N449" i="24"/>
  <c r="M449" i="24"/>
  <c r="L449" i="24"/>
  <c r="K449" i="24"/>
  <c r="J449" i="24"/>
  <c r="I449" i="24"/>
  <c r="H449" i="24"/>
  <c r="G449" i="24"/>
  <c r="F449" i="24"/>
  <c r="E449" i="24"/>
  <c r="D449" i="24"/>
  <c r="C449" i="24"/>
  <c r="V448" i="24"/>
  <c r="U448" i="24"/>
  <c r="T448" i="24"/>
  <c r="S448" i="24"/>
  <c r="R448" i="24"/>
  <c r="Q448" i="24"/>
  <c r="P448" i="24"/>
  <c r="O448" i="24"/>
  <c r="N448" i="24"/>
  <c r="M448" i="24"/>
  <c r="L448" i="24"/>
  <c r="K448" i="24"/>
  <c r="J448" i="24"/>
  <c r="I448" i="24"/>
  <c r="H448" i="24"/>
  <c r="G448" i="24"/>
  <c r="F448" i="24"/>
  <c r="E448" i="24"/>
  <c r="D448" i="24"/>
  <c r="C448" i="24"/>
  <c r="V447" i="24"/>
  <c r="U447" i="24"/>
  <c r="T447" i="24"/>
  <c r="S447" i="24"/>
  <c r="R447" i="24"/>
  <c r="Q447" i="24"/>
  <c r="P447" i="24"/>
  <c r="O447" i="24"/>
  <c r="N447" i="24"/>
  <c r="M447" i="24"/>
  <c r="L447" i="24"/>
  <c r="K447" i="24"/>
  <c r="J447" i="24"/>
  <c r="I447" i="24"/>
  <c r="H447" i="24"/>
  <c r="G447" i="24"/>
  <c r="F447" i="24"/>
  <c r="E447" i="24"/>
  <c r="D447" i="24"/>
  <c r="C447" i="24"/>
  <c r="V446" i="24"/>
  <c r="U446" i="24"/>
  <c r="T446" i="24"/>
  <c r="S446" i="24"/>
  <c r="R446" i="24"/>
  <c r="Q446" i="24"/>
  <c r="P446" i="24"/>
  <c r="O446" i="24"/>
  <c r="N446" i="24"/>
  <c r="M446" i="24"/>
  <c r="L446" i="24"/>
  <c r="K446" i="24"/>
  <c r="J446" i="24"/>
  <c r="I446" i="24"/>
  <c r="H446" i="24"/>
  <c r="G446" i="24"/>
  <c r="F446" i="24"/>
  <c r="E446" i="24"/>
  <c r="D446" i="24"/>
  <c r="C446" i="24"/>
  <c r="V445" i="24"/>
  <c r="U445" i="24"/>
  <c r="T445" i="24"/>
  <c r="S445" i="24"/>
  <c r="R445" i="24"/>
  <c r="Q445" i="24"/>
  <c r="P445" i="24"/>
  <c r="O445" i="24"/>
  <c r="N445" i="24"/>
  <c r="M445" i="24"/>
  <c r="L445" i="24"/>
  <c r="K445" i="24"/>
  <c r="J445" i="24"/>
  <c r="I445" i="24"/>
  <c r="H445" i="24"/>
  <c r="G445" i="24"/>
  <c r="F445" i="24"/>
  <c r="E445" i="24"/>
  <c r="D445" i="24"/>
  <c r="C445" i="24"/>
  <c r="V444" i="24"/>
  <c r="U444" i="24"/>
  <c r="T444" i="24"/>
  <c r="S444" i="24"/>
  <c r="R444" i="24"/>
  <c r="Q444" i="24"/>
  <c r="P444" i="24"/>
  <c r="O444" i="24"/>
  <c r="N444" i="24"/>
  <c r="M444" i="24"/>
  <c r="L444" i="24"/>
  <c r="K444" i="24"/>
  <c r="J444" i="24"/>
  <c r="I444" i="24"/>
  <c r="H444" i="24"/>
  <c r="G444" i="24"/>
  <c r="F444" i="24"/>
  <c r="E444" i="24"/>
  <c r="D444" i="24"/>
  <c r="C444" i="24"/>
  <c r="V443" i="24"/>
  <c r="U443" i="24"/>
  <c r="T443" i="24"/>
  <c r="S443" i="24"/>
  <c r="R443" i="24"/>
  <c r="Q443" i="24"/>
  <c r="P443" i="24"/>
  <c r="O443" i="24"/>
  <c r="N443" i="24"/>
  <c r="M443" i="24"/>
  <c r="L443" i="24"/>
  <c r="K443" i="24"/>
  <c r="J443" i="24"/>
  <c r="I443" i="24"/>
  <c r="H443" i="24"/>
  <c r="G443" i="24"/>
  <c r="F443" i="24"/>
  <c r="E443" i="24"/>
  <c r="D443" i="24"/>
  <c r="C443" i="24"/>
  <c r="V442" i="24"/>
  <c r="U442" i="24"/>
  <c r="T442" i="24"/>
  <c r="S442" i="24"/>
  <c r="R442" i="24"/>
  <c r="Q442" i="24"/>
  <c r="P442" i="24"/>
  <c r="O442" i="24"/>
  <c r="N442" i="24"/>
  <c r="M442" i="24"/>
  <c r="L442" i="24"/>
  <c r="K442" i="24"/>
  <c r="J442" i="24"/>
  <c r="I442" i="24"/>
  <c r="H442" i="24"/>
  <c r="G442" i="24"/>
  <c r="F442" i="24"/>
  <c r="E442" i="24"/>
  <c r="D442" i="24"/>
  <c r="C442" i="24"/>
  <c r="V441" i="24"/>
  <c r="U441" i="24"/>
  <c r="T441" i="24"/>
  <c r="S441" i="24"/>
  <c r="R441" i="24"/>
  <c r="Q441" i="24"/>
  <c r="P441" i="24"/>
  <c r="O441" i="24"/>
  <c r="N441" i="24"/>
  <c r="M441" i="24"/>
  <c r="L441" i="24"/>
  <c r="K441" i="24"/>
  <c r="J441" i="24"/>
  <c r="I441" i="24"/>
  <c r="H441" i="24"/>
  <c r="G441" i="24"/>
  <c r="F441" i="24"/>
  <c r="E441" i="24"/>
  <c r="D441" i="24"/>
  <c r="C441" i="24"/>
  <c r="V440" i="24"/>
  <c r="U440" i="24"/>
  <c r="T440" i="24"/>
  <c r="S440" i="24"/>
  <c r="R440" i="24"/>
  <c r="Q440" i="24"/>
  <c r="P440" i="24"/>
  <c r="O440" i="24"/>
  <c r="N440" i="24"/>
  <c r="M440" i="24"/>
  <c r="L440" i="24"/>
  <c r="K440" i="24"/>
  <c r="J440" i="24"/>
  <c r="I440" i="24"/>
  <c r="H440" i="24"/>
  <c r="G440" i="24"/>
  <c r="F440" i="24"/>
  <c r="E440" i="24"/>
  <c r="D440" i="24"/>
  <c r="C440" i="24"/>
  <c r="V439" i="24"/>
  <c r="U439" i="24"/>
  <c r="T439" i="24"/>
  <c r="S439" i="24"/>
  <c r="R439" i="24"/>
  <c r="Q439" i="24"/>
  <c r="P439" i="24"/>
  <c r="O439" i="24"/>
  <c r="N439" i="24"/>
  <c r="M439" i="24"/>
  <c r="L439" i="24"/>
  <c r="K439" i="24"/>
  <c r="J439" i="24"/>
  <c r="I439" i="24"/>
  <c r="H439" i="24"/>
  <c r="G439" i="24"/>
  <c r="F439" i="24"/>
  <c r="E439" i="24"/>
  <c r="D439" i="24"/>
  <c r="C439" i="24"/>
  <c r="V438" i="24"/>
  <c r="U438" i="24"/>
  <c r="T438" i="24"/>
  <c r="S438" i="24"/>
  <c r="R438" i="24"/>
  <c r="Q438" i="24"/>
  <c r="P438" i="24"/>
  <c r="O438" i="24"/>
  <c r="N438" i="24"/>
  <c r="M438" i="24"/>
  <c r="L438" i="24"/>
  <c r="K438" i="24"/>
  <c r="J438" i="24"/>
  <c r="I438" i="24"/>
  <c r="H438" i="24"/>
  <c r="G438" i="24"/>
  <c r="F438" i="24"/>
  <c r="E438" i="24"/>
  <c r="D438" i="24"/>
  <c r="C438" i="24"/>
  <c r="V437" i="24"/>
  <c r="U437" i="24"/>
  <c r="T437" i="24"/>
  <c r="S437" i="24"/>
  <c r="R437" i="24"/>
  <c r="Q437" i="24"/>
  <c r="P437" i="24"/>
  <c r="O437" i="24"/>
  <c r="N437" i="24"/>
  <c r="M437" i="24"/>
  <c r="L437" i="24"/>
  <c r="K437" i="24"/>
  <c r="J437" i="24"/>
  <c r="I437" i="24"/>
  <c r="H437" i="24"/>
  <c r="G437" i="24"/>
  <c r="F437" i="24"/>
  <c r="E437" i="24"/>
  <c r="D437" i="24"/>
  <c r="C437" i="24"/>
  <c r="V436" i="24"/>
  <c r="U436" i="24"/>
  <c r="T436" i="24"/>
  <c r="S436" i="24"/>
  <c r="R436" i="24"/>
  <c r="Q436" i="24"/>
  <c r="P436" i="24"/>
  <c r="O436" i="24"/>
  <c r="N436" i="24"/>
  <c r="M436" i="24"/>
  <c r="L436" i="24"/>
  <c r="K436" i="24"/>
  <c r="J436" i="24"/>
  <c r="I436" i="24"/>
  <c r="H436" i="24"/>
  <c r="G436" i="24"/>
  <c r="F436" i="24"/>
  <c r="E436" i="24"/>
  <c r="D436" i="24"/>
  <c r="C436" i="24"/>
  <c r="V435" i="24"/>
  <c r="U435" i="24"/>
  <c r="T435" i="24"/>
  <c r="S435" i="24"/>
  <c r="R435" i="24"/>
  <c r="Q435" i="24"/>
  <c r="P435" i="24"/>
  <c r="O435" i="24"/>
  <c r="N435" i="24"/>
  <c r="M435" i="24"/>
  <c r="L435" i="24"/>
  <c r="K435" i="24"/>
  <c r="J435" i="24"/>
  <c r="I435" i="24"/>
  <c r="H435" i="24"/>
  <c r="G435" i="24"/>
  <c r="F435" i="24"/>
  <c r="E435" i="24"/>
  <c r="D435" i="24"/>
  <c r="C435" i="24"/>
  <c r="V434" i="24"/>
  <c r="U434" i="24"/>
  <c r="T434" i="24"/>
  <c r="S434" i="24"/>
  <c r="R434" i="24"/>
  <c r="Q434" i="24"/>
  <c r="P434" i="24"/>
  <c r="O434" i="24"/>
  <c r="N434" i="24"/>
  <c r="M434" i="24"/>
  <c r="L434" i="24"/>
  <c r="K434" i="24"/>
  <c r="J434" i="24"/>
  <c r="I434" i="24"/>
  <c r="H434" i="24"/>
  <c r="G434" i="24"/>
  <c r="F434" i="24"/>
  <c r="E434" i="24"/>
  <c r="D434" i="24"/>
  <c r="C434" i="24"/>
  <c r="V433" i="24"/>
  <c r="U433" i="24"/>
  <c r="T433" i="24"/>
  <c r="S433" i="24"/>
  <c r="R433" i="24"/>
  <c r="Q433" i="24"/>
  <c r="P433" i="24"/>
  <c r="O433" i="24"/>
  <c r="N433" i="24"/>
  <c r="M433" i="24"/>
  <c r="L433" i="24"/>
  <c r="K433" i="24"/>
  <c r="J433" i="24"/>
  <c r="I433" i="24"/>
  <c r="H433" i="24"/>
  <c r="G433" i="24"/>
  <c r="F433" i="24"/>
  <c r="E433" i="24"/>
  <c r="D433" i="24"/>
  <c r="C433" i="24"/>
  <c r="V432" i="24"/>
  <c r="U432" i="24"/>
  <c r="T432" i="24"/>
  <c r="S432" i="24"/>
  <c r="R432" i="24"/>
  <c r="Q432" i="24"/>
  <c r="P432" i="24"/>
  <c r="O432" i="24"/>
  <c r="N432" i="24"/>
  <c r="M432" i="24"/>
  <c r="L432" i="24"/>
  <c r="K432" i="24"/>
  <c r="J432" i="24"/>
  <c r="I432" i="24"/>
  <c r="H432" i="24"/>
  <c r="G432" i="24"/>
  <c r="F432" i="24"/>
  <c r="E432" i="24"/>
  <c r="D432" i="24"/>
  <c r="C432" i="24"/>
  <c r="V431" i="24"/>
  <c r="U431" i="24"/>
  <c r="T431" i="24"/>
  <c r="S431" i="24"/>
  <c r="R431" i="24"/>
  <c r="Q431" i="24"/>
  <c r="P431" i="24"/>
  <c r="O431" i="24"/>
  <c r="N431" i="24"/>
  <c r="M431" i="24"/>
  <c r="L431" i="24"/>
  <c r="K431" i="24"/>
  <c r="J431" i="24"/>
  <c r="I431" i="24"/>
  <c r="H431" i="24"/>
  <c r="G431" i="24"/>
  <c r="F431" i="24"/>
  <c r="E431" i="24"/>
  <c r="D431" i="24"/>
  <c r="C431" i="24"/>
  <c r="V430" i="24"/>
  <c r="U430" i="24"/>
  <c r="T430" i="24"/>
  <c r="S430" i="24"/>
  <c r="R430" i="24"/>
  <c r="Q430" i="24"/>
  <c r="P430" i="24"/>
  <c r="O430" i="24"/>
  <c r="N430" i="24"/>
  <c r="M430" i="24"/>
  <c r="L430" i="24"/>
  <c r="K430" i="24"/>
  <c r="J430" i="24"/>
  <c r="I430" i="24"/>
  <c r="H430" i="24"/>
  <c r="G430" i="24"/>
  <c r="F430" i="24"/>
  <c r="E430" i="24"/>
  <c r="D430" i="24"/>
  <c r="C430" i="24"/>
  <c r="V429" i="24"/>
  <c r="U429" i="24"/>
  <c r="T429" i="24"/>
  <c r="S429" i="24"/>
  <c r="R429" i="24"/>
  <c r="Q429" i="24"/>
  <c r="P429" i="24"/>
  <c r="O429" i="24"/>
  <c r="N429" i="24"/>
  <c r="M429" i="24"/>
  <c r="L429" i="24"/>
  <c r="K429" i="24"/>
  <c r="J429" i="24"/>
  <c r="I429" i="24"/>
  <c r="H429" i="24"/>
  <c r="G429" i="24"/>
  <c r="F429" i="24"/>
  <c r="E429" i="24"/>
  <c r="D429" i="24"/>
  <c r="C429" i="24"/>
  <c r="V428" i="24"/>
  <c r="U428" i="24"/>
  <c r="T428" i="24"/>
  <c r="S428" i="24"/>
  <c r="R428" i="24"/>
  <c r="Q428" i="24"/>
  <c r="P428" i="24"/>
  <c r="O428" i="24"/>
  <c r="N428" i="24"/>
  <c r="M428" i="24"/>
  <c r="L428" i="24"/>
  <c r="K428" i="24"/>
  <c r="J428" i="24"/>
  <c r="I428" i="24"/>
  <c r="H428" i="24"/>
  <c r="G428" i="24"/>
  <c r="F428" i="24"/>
  <c r="E428" i="24"/>
  <c r="D428" i="24"/>
  <c r="C428" i="24"/>
  <c r="V427" i="24"/>
  <c r="U427" i="24"/>
  <c r="T427" i="24"/>
  <c r="S427" i="24"/>
  <c r="R427" i="24"/>
  <c r="Q427" i="24"/>
  <c r="P427" i="24"/>
  <c r="O427" i="24"/>
  <c r="N427" i="24"/>
  <c r="M427" i="24"/>
  <c r="L427" i="24"/>
  <c r="K427" i="24"/>
  <c r="J427" i="24"/>
  <c r="I427" i="24"/>
  <c r="H427" i="24"/>
  <c r="G427" i="24"/>
  <c r="F427" i="24"/>
  <c r="E427" i="24"/>
  <c r="D427" i="24"/>
  <c r="C427" i="24"/>
  <c r="V426" i="24"/>
  <c r="U426" i="24"/>
  <c r="T426" i="24"/>
  <c r="S426" i="24"/>
  <c r="R426" i="24"/>
  <c r="Q426" i="24"/>
  <c r="P426" i="24"/>
  <c r="O426" i="24"/>
  <c r="N426" i="24"/>
  <c r="M426" i="24"/>
  <c r="L426" i="24"/>
  <c r="K426" i="24"/>
  <c r="J426" i="24"/>
  <c r="I426" i="24"/>
  <c r="H426" i="24"/>
  <c r="G426" i="24"/>
  <c r="F426" i="24"/>
  <c r="E426" i="24"/>
  <c r="D426" i="24"/>
  <c r="C426" i="24"/>
  <c r="V425" i="24"/>
  <c r="U425" i="24"/>
  <c r="T425" i="24"/>
  <c r="S425" i="24"/>
  <c r="R425" i="24"/>
  <c r="Q425" i="24"/>
  <c r="P425" i="24"/>
  <c r="O425" i="24"/>
  <c r="N425" i="24"/>
  <c r="M425" i="24"/>
  <c r="L425" i="24"/>
  <c r="K425" i="24"/>
  <c r="J425" i="24"/>
  <c r="I425" i="24"/>
  <c r="H425" i="24"/>
  <c r="G425" i="24"/>
  <c r="F425" i="24"/>
  <c r="E425" i="24"/>
  <c r="D425" i="24"/>
  <c r="C425" i="24"/>
  <c r="V424" i="24"/>
  <c r="U424" i="24"/>
  <c r="T424" i="24"/>
  <c r="S424" i="24"/>
  <c r="R424" i="24"/>
  <c r="Q424" i="24"/>
  <c r="P424" i="24"/>
  <c r="O424" i="24"/>
  <c r="N424" i="24"/>
  <c r="M424" i="24"/>
  <c r="L424" i="24"/>
  <c r="K424" i="24"/>
  <c r="J424" i="24"/>
  <c r="I424" i="24"/>
  <c r="H424" i="24"/>
  <c r="G424" i="24"/>
  <c r="F424" i="24"/>
  <c r="E424" i="24"/>
  <c r="D424" i="24"/>
  <c r="C424" i="24"/>
  <c r="V423" i="24"/>
  <c r="U423" i="24"/>
  <c r="T423" i="24"/>
  <c r="S423" i="24"/>
  <c r="R423" i="24"/>
  <c r="Q423" i="24"/>
  <c r="P423" i="24"/>
  <c r="O423" i="24"/>
  <c r="N423" i="24"/>
  <c r="M423" i="24"/>
  <c r="L423" i="24"/>
  <c r="K423" i="24"/>
  <c r="J423" i="24"/>
  <c r="I423" i="24"/>
  <c r="H423" i="24"/>
  <c r="G423" i="24"/>
  <c r="F423" i="24"/>
  <c r="E423" i="24"/>
  <c r="D423" i="24"/>
  <c r="C423" i="24"/>
  <c r="V422" i="24"/>
  <c r="U422" i="24"/>
  <c r="T422" i="24"/>
  <c r="S422" i="24"/>
  <c r="R422" i="24"/>
  <c r="Q422" i="24"/>
  <c r="P422" i="24"/>
  <c r="O422" i="24"/>
  <c r="N422" i="24"/>
  <c r="M422" i="24"/>
  <c r="L422" i="24"/>
  <c r="K422" i="24"/>
  <c r="J422" i="24"/>
  <c r="I422" i="24"/>
  <c r="H422" i="24"/>
  <c r="G422" i="24"/>
  <c r="F422" i="24"/>
  <c r="E422" i="24"/>
  <c r="D422" i="24"/>
  <c r="C422" i="24"/>
  <c r="V421" i="24"/>
  <c r="U421" i="24"/>
  <c r="T421" i="24"/>
  <c r="S421" i="24"/>
  <c r="R421" i="24"/>
  <c r="Q421" i="24"/>
  <c r="P421" i="24"/>
  <c r="O421" i="24"/>
  <c r="N421" i="24"/>
  <c r="M421" i="24"/>
  <c r="L421" i="24"/>
  <c r="K421" i="24"/>
  <c r="J421" i="24"/>
  <c r="I421" i="24"/>
  <c r="H421" i="24"/>
  <c r="G421" i="24"/>
  <c r="F421" i="24"/>
  <c r="E421" i="24"/>
  <c r="D421" i="24"/>
  <c r="C421" i="24"/>
  <c r="V420" i="24"/>
  <c r="U420" i="24"/>
  <c r="T420" i="24"/>
  <c r="S420" i="24"/>
  <c r="R420" i="24"/>
  <c r="Q420" i="24"/>
  <c r="P420" i="24"/>
  <c r="O420" i="24"/>
  <c r="N420" i="24"/>
  <c r="M420" i="24"/>
  <c r="L420" i="24"/>
  <c r="K420" i="24"/>
  <c r="J420" i="24"/>
  <c r="I420" i="24"/>
  <c r="H420" i="24"/>
  <c r="G420" i="24"/>
  <c r="F420" i="24"/>
  <c r="E420" i="24"/>
  <c r="D420" i="24"/>
  <c r="C420" i="24"/>
  <c r="V419" i="24"/>
  <c r="U419" i="24"/>
  <c r="T419" i="24"/>
  <c r="S419" i="24"/>
  <c r="R419" i="24"/>
  <c r="Q419" i="24"/>
  <c r="P419" i="24"/>
  <c r="O419" i="24"/>
  <c r="N419" i="24"/>
  <c r="M419" i="24"/>
  <c r="L419" i="24"/>
  <c r="K419" i="24"/>
  <c r="J419" i="24"/>
  <c r="I419" i="24"/>
  <c r="H419" i="24"/>
  <c r="G419" i="24"/>
  <c r="F419" i="24"/>
  <c r="E419" i="24"/>
  <c r="D419" i="24"/>
  <c r="C419" i="24"/>
  <c r="V418" i="24"/>
  <c r="U418" i="24"/>
  <c r="T418" i="24"/>
  <c r="S418" i="24"/>
  <c r="R418" i="24"/>
  <c r="Q418" i="24"/>
  <c r="P418" i="24"/>
  <c r="O418" i="24"/>
  <c r="N418" i="24"/>
  <c r="M418" i="24"/>
  <c r="L418" i="24"/>
  <c r="K418" i="24"/>
  <c r="J418" i="24"/>
  <c r="I418" i="24"/>
  <c r="H418" i="24"/>
  <c r="G418" i="24"/>
  <c r="F418" i="24"/>
  <c r="E418" i="24"/>
  <c r="D418" i="24"/>
  <c r="C418" i="24"/>
  <c r="V417" i="24"/>
  <c r="U417" i="24"/>
  <c r="T417" i="24"/>
  <c r="S417" i="24"/>
  <c r="R417" i="24"/>
  <c r="Q417" i="24"/>
  <c r="P417" i="24"/>
  <c r="O417" i="24"/>
  <c r="N417" i="24"/>
  <c r="M417" i="24"/>
  <c r="L417" i="24"/>
  <c r="K417" i="24"/>
  <c r="J417" i="24"/>
  <c r="I417" i="24"/>
  <c r="H417" i="24"/>
  <c r="G417" i="24"/>
  <c r="F417" i="24"/>
  <c r="E417" i="24"/>
  <c r="D417" i="24"/>
  <c r="C417" i="24"/>
  <c r="V416" i="24"/>
  <c r="U416" i="24"/>
  <c r="T416" i="24"/>
  <c r="S416" i="24"/>
  <c r="R416" i="24"/>
  <c r="Q416" i="24"/>
  <c r="P416" i="24"/>
  <c r="O416" i="24"/>
  <c r="N416" i="24"/>
  <c r="M416" i="24"/>
  <c r="L416" i="24"/>
  <c r="K416" i="24"/>
  <c r="J416" i="24"/>
  <c r="I416" i="24"/>
  <c r="H416" i="24"/>
  <c r="G416" i="24"/>
  <c r="F416" i="24"/>
  <c r="E416" i="24"/>
  <c r="D416" i="24"/>
  <c r="C416" i="24"/>
  <c r="V415" i="24"/>
  <c r="U415" i="24"/>
  <c r="T415" i="24"/>
  <c r="S415" i="24"/>
  <c r="R415" i="24"/>
  <c r="Q415" i="24"/>
  <c r="P415" i="24"/>
  <c r="O415" i="24"/>
  <c r="N415" i="24"/>
  <c r="M415" i="24"/>
  <c r="L415" i="24"/>
  <c r="K415" i="24"/>
  <c r="J415" i="24"/>
  <c r="I415" i="24"/>
  <c r="H415" i="24"/>
  <c r="G415" i="24"/>
  <c r="F415" i="24"/>
  <c r="E415" i="24"/>
  <c r="D415" i="24"/>
  <c r="C415" i="24"/>
  <c r="V414" i="24"/>
  <c r="U414" i="24"/>
  <c r="T414" i="24"/>
  <c r="S414" i="24"/>
  <c r="R414" i="24"/>
  <c r="Q414" i="24"/>
  <c r="P414" i="24"/>
  <c r="O414" i="24"/>
  <c r="N414" i="24"/>
  <c r="M414" i="24"/>
  <c r="L414" i="24"/>
  <c r="K414" i="24"/>
  <c r="J414" i="24"/>
  <c r="I414" i="24"/>
  <c r="H414" i="24"/>
  <c r="G414" i="24"/>
  <c r="F414" i="24"/>
  <c r="E414" i="24"/>
  <c r="D414" i="24"/>
  <c r="C414" i="24"/>
  <c r="V413" i="24"/>
  <c r="U413" i="24"/>
  <c r="T413" i="24"/>
  <c r="S413" i="24"/>
  <c r="R413" i="24"/>
  <c r="Q413" i="24"/>
  <c r="P413" i="24"/>
  <c r="O413" i="24"/>
  <c r="N413" i="24"/>
  <c r="M413" i="24"/>
  <c r="L413" i="24"/>
  <c r="K413" i="24"/>
  <c r="J413" i="24"/>
  <c r="I413" i="24"/>
  <c r="H413" i="24"/>
  <c r="G413" i="24"/>
  <c r="F413" i="24"/>
  <c r="E413" i="24"/>
  <c r="D413" i="24"/>
  <c r="C413" i="24"/>
  <c r="V412" i="24"/>
  <c r="U412" i="24"/>
  <c r="T412" i="24"/>
  <c r="S412" i="24"/>
  <c r="R412" i="24"/>
  <c r="Q412" i="24"/>
  <c r="P412" i="24"/>
  <c r="O412" i="24"/>
  <c r="N412" i="24"/>
  <c r="M412" i="24"/>
  <c r="L412" i="24"/>
  <c r="K412" i="24"/>
  <c r="J412" i="24"/>
  <c r="I412" i="24"/>
  <c r="H412" i="24"/>
  <c r="G412" i="24"/>
  <c r="F412" i="24"/>
  <c r="E412" i="24"/>
  <c r="D412" i="24"/>
  <c r="C412" i="24"/>
  <c r="V411" i="24"/>
  <c r="U411" i="24"/>
  <c r="T411" i="24"/>
  <c r="S411" i="24"/>
  <c r="R411" i="24"/>
  <c r="Q411" i="24"/>
  <c r="P411" i="24"/>
  <c r="O411" i="24"/>
  <c r="N411" i="24"/>
  <c r="M411" i="24"/>
  <c r="L411" i="24"/>
  <c r="K411" i="24"/>
  <c r="J411" i="24"/>
  <c r="I411" i="24"/>
  <c r="H411" i="24"/>
  <c r="G411" i="24"/>
  <c r="F411" i="24"/>
  <c r="E411" i="24"/>
  <c r="D411" i="24"/>
  <c r="C411" i="24"/>
  <c r="V410" i="24"/>
  <c r="U410" i="24"/>
  <c r="T410" i="24"/>
  <c r="S410" i="24"/>
  <c r="R410" i="24"/>
  <c r="Q410" i="24"/>
  <c r="P410" i="24"/>
  <c r="O410" i="24"/>
  <c r="N410" i="24"/>
  <c r="M410" i="24"/>
  <c r="L410" i="24"/>
  <c r="K410" i="24"/>
  <c r="J410" i="24"/>
  <c r="I410" i="24"/>
  <c r="H410" i="24"/>
  <c r="G410" i="24"/>
  <c r="F410" i="24"/>
  <c r="E410" i="24"/>
  <c r="D410" i="24"/>
  <c r="C410" i="24"/>
  <c r="V409" i="24"/>
  <c r="U409" i="24"/>
  <c r="T409" i="24"/>
  <c r="S409" i="24"/>
  <c r="R409" i="24"/>
  <c r="Q409" i="24"/>
  <c r="P409" i="24"/>
  <c r="O409" i="24"/>
  <c r="N409" i="24"/>
  <c r="M409" i="24"/>
  <c r="L409" i="24"/>
  <c r="K409" i="24"/>
  <c r="J409" i="24"/>
  <c r="I409" i="24"/>
  <c r="H409" i="24"/>
  <c r="G409" i="24"/>
  <c r="F409" i="24"/>
  <c r="E409" i="24"/>
  <c r="D409" i="24"/>
  <c r="C409" i="24"/>
  <c r="V408" i="24"/>
  <c r="U408" i="24"/>
  <c r="T408" i="24"/>
  <c r="S408" i="24"/>
  <c r="R408" i="24"/>
  <c r="Q408" i="24"/>
  <c r="P408" i="24"/>
  <c r="O408" i="24"/>
  <c r="N408" i="24"/>
  <c r="M408" i="24"/>
  <c r="L408" i="24"/>
  <c r="K408" i="24"/>
  <c r="J408" i="24"/>
  <c r="I408" i="24"/>
  <c r="H408" i="24"/>
  <c r="G408" i="24"/>
  <c r="F408" i="24"/>
  <c r="E408" i="24"/>
  <c r="D408" i="24"/>
  <c r="C408" i="24"/>
  <c r="V407" i="24"/>
  <c r="U407" i="24"/>
  <c r="T407" i="24"/>
  <c r="S407" i="24"/>
  <c r="R407" i="24"/>
  <c r="Q407" i="24"/>
  <c r="P407" i="24"/>
  <c r="O407" i="24"/>
  <c r="N407" i="24"/>
  <c r="M407" i="24"/>
  <c r="L407" i="24"/>
  <c r="K407" i="24"/>
  <c r="J407" i="24"/>
  <c r="I407" i="24"/>
  <c r="H407" i="24"/>
  <c r="G407" i="24"/>
  <c r="F407" i="24"/>
  <c r="E407" i="24"/>
  <c r="D407" i="24"/>
  <c r="C407" i="24"/>
  <c r="V406" i="24"/>
  <c r="U406" i="24"/>
  <c r="T406" i="24"/>
  <c r="S406" i="24"/>
  <c r="R406" i="24"/>
  <c r="Q406" i="24"/>
  <c r="P406" i="24"/>
  <c r="O406" i="24"/>
  <c r="N406" i="24"/>
  <c r="M406" i="24"/>
  <c r="L406" i="24"/>
  <c r="K406" i="24"/>
  <c r="J406" i="24"/>
  <c r="I406" i="24"/>
  <c r="H406" i="24"/>
  <c r="G406" i="24"/>
  <c r="F406" i="24"/>
  <c r="E406" i="24"/>
  <c r="D406" i="24"/>
  <c r="C406" i="24"/>
  <c r="V405" i="24"/>
  <c r="U405" i="24"/>
  <c r="T405" i="24"/>
  <c r="S405" i="24"/>
  <c r="R405" i="24"/>
  <c r="Q405" i="24"/>
  <c r="P405" i="24"/>
  <c r="O405" i="24"/>
  <c r="N405" i="24"/>
  <c r="M405" i="24"/>
  <c r="L405" i="24"/>
  <c r="K405" i="24"/>
  <c r="J405" i="24"/>
  <c r="I405" i="24"/>
  <c r="H405" i="24"/>
  <c r="G405" i="24"/>
  <c r="F405" i="24"/>
  <c r="E405" i="24"/>
  <c r="D405" i="24"/>
  <c r="C405" i="24"/>
  <c r="V404" i="24"/>
  <c r="U404" i="24"/>
  <c r="T404" i="24"/>
  <c r="S404" i="24"/>
  <c r="R404" i="24"/>
  <c r="Q404" i="24"/>
  <c r="P404" i="24"/>
  <c r="O404" i="24"/>
  <c r="N404" i="24"/>
  <c r="M404" i="24"/>
  <c r="L404" i="24"/>
  <c r="K404" i="24"/>
  <c r="J404" i="24"/>
  <c r="I404" i="24"/>
  <c r="H404" i="24"/>
  <c r="G404" i="24"/>
  <c r="F404" i="24"/>
  <c r="E404" i="24"/>
  <c r="D404" i="24"/>
  <c r="C404" i="24"/>
  <c r="V403" i="24"/>
  <c r="U403" i="24"/>
  <c r="T403" i="24"/>
  <c r="S403" i="24"/>
  <c r="R403" i="24"/>
  <c r="Q403" i="24"/>
  <c r="P403" i="24"/>
  <c r="O403" i="24"/>
  <c r="N403" i="24"/>
  <c r="M403" i="24"/>
  <c r="L403" i="24"/>
  <c r="K403" i="24"/>
  <c r="J403" i="24"/>
  <c r="I403" i="24"/>
  <c r="H403" i="24"/>
  <c r="G403" i="24"/>
  <c r="F403" i="24"/>
  <c r="E403" i="24"/>
  <c r="D403" i="24"/>
  <c r="C403" i="24"/>
  <c r="V402" i="24"/>
  <c r="U402" i="24"/>
  <c r="T402" i="24"/>
  <c r="S402" i="24"/>
  <c r="R402" i="24"/>
  <c r="Q402" i="24"/>
  <c r="P402" i="24"/>
  <c r="O402" i="24"/>
  <c r="N402" i="24"/>
  <c r="M402" i="24"/>
  <c r="L402" i="24"/>
  <c r="K402" i="24"/>
  <c r="J402" i="24"/>
  <c r="I402" i="24"/>
  <c r="H402" i="24"/>
  <c r="G402" i="24"/>
  <c r="F402" i="24"/>
  <c r="E402" i="24"/>
  <c r="D402" i="24"/>
  <c r="C402" i="24"/>
  <c r="V401" i="24"/>
  <c r="U401" i="24"/>
  <c r="T401" i="24"/>
  <c r="S401" i="24"/>
  <c r="R401" i="24"/>
  <c r="Q401" i="24"/>
  <c r="P401" i="24"/>
  <c r="O401" i="24"/>
  <c r="N401" i="24"/>
  <c r="M401" i="24"/>
  <c r="L401" i="24"/>
  <c r="K401" i="24"/>
  <c r="J401" i="24"/>
  <c r="I401" i="24"/>
  <c r="H401" i="24"/>
  <c r="G401" i="24"/>
  <c r="F401" i="24"/>
  <c r="E401" i="24"/>
  <c r="D401" i="24"/>
  <c r="C401" i="24"/>
  <c r="V400" i="24"/>
  <c r="U400" i="24"/>
  <c r="T400" i="24"/>
  <c r="S400" i="24"/>
  <c r="R400" i="24"/>
  <c r="Q400" i="24"/>
  <c r="P400" i="24"/>
  <c r="O400" i="24"/>
  <c r="N400" i="24"/>
  <c r="M400" i="24"/>
  <c r="L400" i="24"/>
  <c r="K400" i="24"/>
  <c r="J400" i="24"/>
  <c r="I400" i="24"/>
  <c r="H400" i="24"/>
  <c r="G400" i="24"/>
  <c r="F400" i="24"/>
  <c r="E400" i="24"/>
  <c r="D400" i="24"/>
  <c r="C400" i="24"/>
  <c r="V399" i="24"/>
  <c r="U399" i="24"/>
  <c r="T399" i="24"/>
  <c r="S399" i="24"/>
  <c r="R399" i="24"/>
  <c r="Q399" i="24"/>
  <c r="P399" i="24"/>
  <c r="O399" i="24"/>
  <c r="N399" i="24"/>
  <c r="M399" i="24"/>
  <c r="L399" i="24"/>
  <c r="K399" i="24"/>
  <c r="J399" i="24"/>
  <c r="I399" i="24"/>
  <c r="H399" i="24"/>
  <c r="G399" i="24"/>
  <c r="F399" i="24"/>
  <c r="E399" i="24"/>
  <c r="D399" i="24"/>
  <c r="C399" i="24"/>
  <c r="V398" i="24"/>
  <c r="U398" i="24"/>
  <c r="T398" i="24"/>
  <c r="S398" i="24"/>
  <c r="R398" i="24"/>
  <c r="Q398" i="24"/>
  <c r="P398" i="24"/>
  <c r="O398" i="24"/>
  <c r="N398" i="24"/>
  <c r="M398" i="24"/>
  <c r="L398" i="24"/>
  <c r="K398" i="24"/>
  <c r="J398" i="24"/>
  <c r="I398" i="24"/>
  <c r="H398" i="24"/>
  <c r="G398" i="24"/>
  <c r="F398" i="24"/>
  <c r="E398" i="24"/>
  <c r="D398" i="24"/>
  <c r="C398" i="24"/>
  <c r="V397" i="24"/>
  <c r="U397" i="24"/>
  <c r="T397" i="24"/>
  <c r="S397" i="24"/>
  <c r="R397" i="24"/>
  <c r="Q397" i="24"/>
  <c r="P397" i="24"/>
  <c r="O397" i="24"/>
  <c r="N397" i="24"/>
  <c r="M397" i="24"/>
  <c r="L397" i="24"/>
  <c r="K397" i="24"/>
  <c r="J397" i="24"/>
  <c r="I397" i="24"/>
  <c r="H397" i="24"/>
  <c r="G397" i="24"/>
  <c r="F397" i="24"/>
  <c r="E397" i="24"/>
  <c r="D397" i="24"/>
  <c r="C397" i="24"/>
  <c r="V396" i="24"/>
  <c r="U396" i="24"/>
  <c r="T396" i="24"/>
  <c r="S396" i="24"/>
  <c r="R396" i="24"/>
  <c r="Q396" i="24"/>
  <c r="P396" i="24"/>
  <c r="O396" i="24"/>
  <c r="N396" i="24"/>
  <c r="M396" i="24"/>
  <c r="L396" i="24"/>
  <c r="K396" i="24"/>
  <c r="J396" i="24"/>
  <c r="I396" i="24"/>
  <c r="H396" i="24"/>
  <c r="G396" i="24"/>
  <c r="F396" i="24"/>
  <c r="E396" i="24"/>
  <c r="D396" i="24"/>
  <c r="C396" i="24"/>
  <c r="V395" i="24"/>
  <c r="U395" i="24"/>
  <c r="T395" i="24"/>
  <c r="S395" i="24"/>
  <c r="R395" i="24"/>
  <c r="Q395" i="24"/>
  <c r="P395" i="24"/>
  <c r="O395" i="24"/>
  <c r="N395" i="24"/>
  <c r="M395" i="24"/>
  <c r="L395" i="24"/>
  <c r="K395" i="24"/>
  <c r="J395" i="24"/>
  <c r="I395" i="24"/>
  <c r="H395" i="24"/>
  <c r="G395" i="24"/>
  <c r="F395" i="24"/>
  <c r="E395" i="24"/>
  <c r="D395" i="24"/>
  <c r="C395" i="24"/>
  <c r="V394" i="24"/>
  <c r="U394" i="24"/>
  <c r="T394" i="24"/>
  <c r="S394" i="24"/>
  <c r="R394" i="24"/>
  <c r="Q394" i="24"/>
  <c r="P394" i="24"/>
  <c r="O394" i="24"/>
  <c r="N394" i="24"/>
  <c r="M394" i="24"/>
  <c r="L394" i="24"/>
  <c r="K394" i="24"/>
  <c r="J394" i="24"/>
  <c r="I394" i="24"/>
  <c r="H394" i="24"/>
  <c r="G394" i="24"/>
  <c r="F394" i="24"/>
  <c r="E394" i="24"/>
  <c r="D394" i="24"/>
  <c r="C394" i="24"/>
  <c r="V393" i="24"/>
  <c r="U393" i="24"/>
  <c r="T393" i="24"/>
  <c r="S393" i="24"/>
  <c r="R393" i="24"/>
  <c r="Q393" i="24"/>
  <c r="P393" i="24"/>
  <c r="O393" i="24"/>
  <c r="N393" i="24"/>
  <c r="M393" i="24"/>
  <c r="L393" i="24"/>
  <c r="K393" i="24"/>
  <c r="J393" i="24"/>
  <c r="I393" i="24"/>
  <c r="H393" i="24"/>
  <c r="G393" i="24"/>
  <c r="F393" i="24"/>
  <c r="E393" i="24"/>
  <c r="D393" i="24"/>
  <c r="C393" i="24"/>
  <c r="V392" i="24"/>
  <c r="U392" i="24"/>
  <c r="T392" i="24"/>
  <c r="S392" i="24"/>
  <c r="R392" i="24"/>
  <c r="Q392" i="24"/>
  <c r="P392" i="24"/>
  <c r="O392" i="24"/>
  <c r="N392" i="24"/>
  <c r="M392" i="24"/>
  <c r="L392" i="24"/>
  <c r="K392" i="24"/>
  <c r="J392" i="24"/>
  <c r="I392" i="24"/>
  <c r="H392" i="24"/>
  <c r="G392" i="24"/>
  <c r="F392" i="24"/>
  <c r="E392" i="24"/>
  <c r="D392" i="24"/>
  <c r="C392" i="24"/>
  <c r="V391" i="24"/>
  <c r="U391" i="24"/>
  <c r="T391" i="24"/>
  <c r="S391" i="24"/>
  <c r="R391" i="24"/>
  <c r="Q391" i="24"/>
  <c r="P391" i="24"/>
  <c r="O391" i="24"/>
  <c r="N391" i="24"/>
  <c r="M391" i="24"/>
  <c r="L391" i="24"/>
  <c r="K391" i="24"/>
  <c r="J391" i="24"/>
  <c r="I391" i="24"/>
  <c r="H391" i="24"/>
  <c r="G391" i="24"/>
  <c r="F391" i="24"/>
  <c r="E391" i="24"/>
  <c r="D391" i="24"/>
  <c r="C391" i="24"/>
  <c r="V390" i="24"/>
  <c r="U390" i="24"/>
  <c r="T390" i="24"/>
  <c r="S390" i="24"/>
  <c r="R390" i="24"/>
  <c r="Q390" i="24"/>
  <c r="P390" i="24"/>
  <c r="O390" i="24"/>
  <c r="N390" i="24"/>
  <c r="M390" i="24"/>
  <c r="L390" i="24"/>
  <c r="K390" i="24"/>
  <c r="J390" i="24"/>
  <c r="I390" i="24"/>
  <c r="H390" i="24"/>
  <c r="G390" i="24"/>
  <c r="F390" i="24"/>
  <c r="E390" i="24"/>
  <c r="D390" i="24"/>
  <c r="C390" i="24"/>
  <c r="V389" i="24"/>
  <c r="U389" i="24"/>
  <c r="T389" i="24"/>
  <c r="S389" i="24"/>
  <c r="R389" i="24"/>
  <c r="Q389" i="24"/>
  <c r="P389" i="24"/>
  <c r="O389" i="24"/>
  <c r="N389" i="24"/>
  <c r="M389" i="24"/>
  <c r="L389" i="24"/>
  <c r="K389" i="24"/>
  <c r="J389" i="24"/>
  <c r="I389" i="24"/>
  <c r="H389" i="24"/>
  <c r="G389" i="24"/>
  <c r="F389" i="24"/>
  <c r="E389" i="24"/>
  <c r="D389" i="24"/>
  <c r="C389" i="24"/>
  <c r="V388" i="24"/>
  <c r="U388" i="24"/>
  <c r="T388" i="24"/>
  <c r="S388" i="24"/>
  <c r="R388" i="24"/>
  <c r="Q388" i="24"/>
  <c r="P388" i="24"/>
  <c r="O388" i="24"/>
  <c r="N388" i="24"/>
  <c r="M388" i="24"/>
  <c r="L388" i="24"/>
  <c r="K388" i="24"/>
  <c r="J388" i="24"/>
  <c r="I388" i="24"/>
  <c r="H388" i="24"/>
  <c r="G388" i="24"/>
  <c r="F388" i="24"/>
  <c r="E388" i="24"/>
  <c r="D388" i="24"/>
  <c r="C388" i="24"/>
  <c r="V387" i="24"/>
  <c r="U387" i="24"/>
  <c r="T387" i="24"/>
  <c r="S387" i="24"/>
  <c r="R387" i="24"/>
  <c r="Q387" i="24"/>
  <c r="P387" i="24"/>
  <c r="O387" i="24"/>
  <c r="N387" i="24"/>
  <c r="M387" i="24"/>
  <c r="L387" i="24"/>
  <c r="K387" i="24"/>
  <c r="J387" i="24"/>
  <c r="I387" i="24"/>
  <c r="H387" i="24"/>
  <c r="G387" i="24"/>
  <c r="F387" i="24"/>
  <c r="E387" i="24"/>
  <c r="D387" i="24"/>
  <c r="C387" i="24"/>
  <c r="V386" i="24"/>
  <c r="U386" i="24"/>
  <c r="T386" i="24"/>
  <c r="S386" i="24"/>
  <c r="R386" i="24"/>
  <c r="Q386" i="24"/>
  <c r="P386" i="24"/>
  <c r="O386" i="24"/>
  <c r="N386" i="24"/>
  <c r="M386" i="24"/>
  <c r="L386" i="24"/>
  <c r="K386" i="24"/>
  <c r="J386" i="24"/>
  <c r="I386" i="24"/>
  <c r="H386" i="24"/>
  <c r="G386" i="24"/>
  <c r="F386" i="24"/>
  <c r="E386" i="24"/>
  <c r="D386" i="24"/>
  <c r="C386" i="24"/>
  <c r="V385" i="24"/>
  <c r="U385" i="24"/>
  <c r="T385" i="24"/>
  <c r="S385" i="24"/>
  <c r="R385" i="24"/>
  <c r="Q385" i="24"/>
  <c r="P385" i="24"/>
  <c r="O385" i="24"/>
  <c r="N385" i="24"/>
  <c r="M385" i="24"/>
  <c r="L385" i="24"/>
  <c r="K385" i="24"/>
  <c r="J385" i="24"/>
  <c r="I385" i="24"/>
  <c r="H385" i="24"/>
  <c r="G385" i="24"/>
  <c r="F385" i="24"/>
  <c r="E385" i="24"/>
  <c r="D385" i="24"/>
  <c r="C385" i="24"/>
  <c r="V384" i="24"/>
  <c r="U384" i="24"/>
  <c r="T384" i="24"/>
  <c r="S384" i="24"/>
  <c r="R384" i="24"/>
  <c r="Q384" i="24"/>
  <c r="P384" i="24"/>
  <c r="O384" i="24"/>
  <c r="N384" i="24"/>
  <c r="M384" i="24"/>
  <c r="L384" i="24"/>
  <c r="K384" i="24"/>
  <c r="J384" i="24"/>
  <c r="I384" i="24"/>
  <c r="H384" i="24"/>
  <c r="G384" i="24"/>
  <c r="F384" i="24"/>
  <c r="E384" i="24"/>
  <c r="D384" i="24"/>
  <c r="C384" i="24"/>
  <c r="V383" i="24"/>
  <c r="U383" i="24"/>
  <c r="T383" i="24"/>
  <c r="S383" i="24"/>
  <c r="R383" i="24"/>
  <c r="Q383" i="24"/>
  <c r="P383" i="24"/>
  <c r="O383" i="24"/>
  <c r="N383" i="24"/>
  <c r="M383" i="24"/>
  <c r="L383" i="24"/>
  <c r="K383" i="24"/>
  <c r="J383" i="24"/>
  <c r="I383" i="24"/>
  <c r="H383" i="24"/>
  <c r="G383" i="24"/>
  <c r="F383" i="24"/>
  <c r="E383" i="24"/>
  <c r="D383" i="24"/>
  <c r="C383" i="24"/>
  <c r="V382" i="24"/>
  <c r="U382" i="24"/>
  <c r="T382" i="24"/>
  <c r="S382" i="24"/>
  <c r="R382" i="24"/>
  <c r="Q382" i="24"/>
  <c r="P382" i="24"/>
  <c r="O382" i="24"/>
  <c r="N382" i="24"/>
  <c r="M382" i="24"/>
  <c r="L382" i="24"/>
  <c r="K382" i="24"/>
  <c r="J382" i="24"/>
  <c r="I382" i="24"/>
  <c r="H382" i="24"/>
  <c r="G382" i="24"/>
  <c r="F382" i="24"/>
  <c r="E382" i="24"/>
  <c r="D382" i="24"/>
  <c r="C382" i="24"/>
  <c r="V381" i="24"/>
  <c r="U381" i="24"/>
  <c r="T381" i="24"/>
  <c r="S381" i="24"/>
  <c r="R381" i="24"/>
  <c r="Q381" i="24"/>
  <c r="P381" i="24"/>
  <c r="O381" i="24"/>
  <c r="N381" i="24"/>
  <c r="M381" i="24"/>
  <c r="L381" i="24"/>
  <c r="K381" i="24"/>
  <c r="J381" i="24"/>
  <c r="I381" i="24"/>
  <c r="H381" i="24"/>
  <c r="G381" i="24"/>
  <c r="F381" i="24"/>
  <c r="E381" i="24"/>
  <c r="D381" i="24"/>
  <c r="C381" i="24"/>
  <c r="V380" i="24"/>
  <c r="U380" i="24"/>
  <c r="T380" i="24"/>
  <c r="S380" i="24"/>
  <c r="R380" i="24"/>
  <c r="Q380" i="24"/>
  <c r="P380" i="24"/>
  <c r="O380" i="24"/>
  <c r="N380" i="24"/>
  <c r="M380" i="24"/>
  <c r="L380" i="24"/>
  <c r="K380" i="24"/>
  <c r="J380" i="24"/>
  <c r="I380" i="24"/>
  <c r="H380" i="24"/>
  <c r="G380" i="24"/>
  <c r="F380" i="24"/>
  <c r="E380" i="24"/>
  <c r="D380" i="24"/>
  <c r="C380" i="24"/>
  <c r="V379" i="24"/>
  <c r="U379" i="24"/>
  <c r="T379" i="24"/>
  <c r="S379" i="24"/>
  <c r="R379" i="24"/>
  <c r="Q379" i="24"/>
  <c r="P379" i="24"/>
  <c r="O379" i="24"/>
  <c r="N379" i="24"/>
  <c r="M379" i="24"/>
  <c r="L379" i="24"/>
  <c r="K379" i="24"/>
  <c r="J379" i="24"/>
  <c r="I379" i="24"/>
  <c r="H379" i="24"/>
  <c r="G379" i="24"/>
  <c r="F379" i="24"/>
  <c r="E379" i="24"/>
  <c r="D379" i="24"/>
  <c r="C379" i="24"/>
  <c r="V378" i="24"/>
  <c r="U378" i="24"/>
  <c r="T378" i="24"/>
  <c r="S378" i="24"/>
  <c r="R378" i="24"/>
  <c r="Q378" i="24"/>
  <c r="P378" i="24"/>
  <c r="O378" i="24"/>
  <c r="N378" i="24"/>
  <c r="M378" i="24"/>
  <c r="L378" i="24"/>
  <c r="K378" i="24"/>
  <c r="J378" i="24"/>
  <c r="I378" i="24"/>
  <c r="H378" i="24"/>
  <c r="G378" i="24"/>
  <c r="F378" i="24"/>
  <c r="E378" i="24"/>
  <c r="D378" i="24"/>
  <c r="C378" i="24"/>
  <c r="V377" i="24"/>
  <c r="U377" i="24"/>
  <c r="T377" i="24"/>
  <c r="S377" i="24"/>
  <c r="R377" i="24"/>
  <c r="Q377" i="24"/>
  <c r="P377" i="24"/>
  <c r="O377" i="24"/>
  <c r="N377" i="24"/>
  <c r="M377" i="24"/>
  <c r="L377" i="24"/>
  <c r="K377" i="24"/>
  <c r="J377" i="24"/>
  <c r="I377" i="24"/>
  <c r="H377" i="24"/>
  <c r="G377" i="24"/>
  <c r="F377" i="24"/>
  <c r="E377" i="24"/>
  <c r="D377" i="24"/>
  <c r="C377" i="24"/>
  <c r="V376" i="24"/>
  <c r="U376" i="24"/>
  <c r="T376" i="24"/>
  <c r="S376" i="24"/>
  <c r="R376" i="24"/>
  <c r="Q376" i="24"/>
  <c r="P376" i="24"/>
  <c r="O376" i="24"/>
  <c r="N376" i="24"/>
  <c r="M376" i="24"/>
  <c r="L376" i="24"/>
  <c r="K376" i="24"/>
  <c r="J376" i="24"/>
  <c r="I376" i="24"/>
  <c r="H376" i="24"/>
  <c r="G376" i="24"/>
  <c r="F376" i="24"/>
  <c r="E376" i="24"/>
  <c r="D376" i="24"/>
  <c r="C376" i="24"/>
  <c r="V375" i="24"/>
  <c r="U375" i="24"/>
  <c r="T375" i="24"/>
  <c r="S375" i="24"/>
  <c r="R375" i="24"/>
  <c r="Q375" i="24"/>
  <c r="P375" i="24"/>
  <c r="O375" i="24"/>
  <c r="N375" i="24"/>
  <c r="M375" i="24"/>
  <c r="L375" i="24"/>
  <c r="K375" i="24"/>
  <c r="J375" i="24"/>
  <c r="I375" i="24"/>
  <c r="H375" i="24"/>
  <c r="G375" i="24"/>
  <c r="F375" i="24"/>
  <c r="E375" i="24"/>
  <c r="D375" i="24"/>
  <c r="C375" i="24"/>
  <c r="V374" i="24"/>
  <c r="U374" i="24"/>
  <c r="T374" i="24"/>
  <c r="S374" i="24"/>
  <c r="R374" i="24"/>
  <c r="Q374" i="24"/>
  <c r="P374" i="24"/>
  <c r="O374" i="24"/>
  <c r="N374" i="24"/>
  <c r="M374" i="24"/>
  <c r="L374" i="24"/>
  <c r="K374" i="24"/>
  <c r="J374" i="24"/>
  <c r="I374" i="24"/>
  <c r="H374" i="24"/>
  <c r="G374" i="24"/>
  <c r="F374" i="24"/>
  <c r="E374" i="24"/>
  <c r="D374" i="24"/>
  <c r="C374" i="24"/>
  <c r="V373" i="24"/>
  <c r="U373" i="24"/>
  <c r="T373" i="24"/>
  <c r="S373" i="24"/>
  <c r="R373" i="24"/>
  <c r="Q373" i="24"/>
  <c r="P373" i="24"/>
  <c r="O373" i="24"/>
  <c r="N373" i="24"/>
  <c r="M373" i="24"/>
  <c r="L373" i="24"/>
  <c r="K373" i="24"/>
  <c r="J373" i="24"/>
  <c r="I373" i="24"/>
  <c r="H373" i="24"/>
  <c r="G373" i="24"/>
  <c r="F373" i="24"/>
  <c r="E373" i="24"/>
  <c r="D373" i="24"/>
  <c r="C373" i="24"/>
  <c r="V372" i="24"/>
  <c r="U372" i="24"/>
  <c r="T372" i="24"/>
  <c r="S372" i="24"/>
  <c r="R372" i="24"/>
  <c r="Q372" i="24"/>
  <c r="P372" i="24"/>
  <c r="O372" i="24"/>
  <c r="N372" i="24"/>
  <c r="M372" i="24"/>
  <c r="L372" i="24"/>
  <c r="K372" i="24"/>
  <c r="J372" i="24"/>
  <c r="I372" i="24"/>
  <c r="H372" i="24"/>
  <c r="G372" i="24"/>
  <c r="F372" i="24"/>
  <c r="E372" i="24"/>
  <c r="D372" i="24"/>
  <c r="C372" i="24"/>
  <c r="V371" i="24"/>
  <c r="U371" i="24"/>
  <c r="T371" i="24"/>
  <c r="S371" i="24"/>
  <c r="R371" i="24"/>
  <c r="Q371" i="24"/>
  <c r="P371" i="24"/>
  <c r="O371" i="24"/>
  <c r="N371" i="24"/>
  <c r="M371" i="24"/>
  <c r="L371" i="24"/>
  <c r="K371" i="24"/>
  <c r="J371" i="24"/>
  <c r="I371" i="24"/>
  <c r="H371" i="24"/>
  <c r="G371" i="24"/>
  <c r="F371" i="24"/>
  <c r="E371" i="24"/>
  <c r="D371" i="24"/>
  <c r="C371" i="24"/>
  <c r="V370" i="24"/>
  <c r="U370" i="24"/>
  <c r="T370" i="24"/>
  <c r="S370" i="24"/>
  <c r="R370" i="24"/>
  <c r="Q370" i="24"/>
  <c r="P370" i="24"/>
  <c r="O370" i="24"/>
  <c r="N370" i="24"/>
  <c r="M370" i="24"/>
  <c r="L370" i="24"/>
  <c r="K370" i="24"/>
  <c r="J370" i="24"/>
  <c r="I370" i="24"/>
  <c r="H370" i="24"/>
  <c r="G370" i="24"/>
  <c r="F370" i="24"/>
  <c r="E370" i="24"/>
  <c r="D370" i="24"/>
  <c r="C370" i="24"/>
  <c r="V369" i="24"/>
  <c r="U369" i="24"/>
  <c r="T369" i="24"/>
  <c r="S369" i="24"/>
  <c r="R369" i="24"/>
  <c r="Q369" i="24"/>
  <c r="P369" i="24"/>
  <c r="O369" i="24"/>
  <c r="N369" i="24"/>
  <c r="M369" i="24"/>
  <c r="L369" i="24"/>
  <c r="K369" i="24"/>
  <c r="J369" i="24"/>
  <c r="I369" i="24"/>
  <c r="H369" i="24"/>
  <c r="G369" i="24"/>
  <c r="F369" i="24"/>
  <c r="E369" i="24"/>
  <c r="D369" i="24"/>
  <c r="C369" i="24"/>
  <c r="L368" i="24"/>
  <c r="K368" i="24"/>
  <c r="J368" i="24"/>
  <c r="I368" i="24"/>
  <c r="H368" i="24"/>
  <c r="G368" i="24"/>
  <c r="F368" i="24"/>
  <c r="E368" i="24"/>
  <c r="D368" i="24"/>
  <c r="C368" i="24"/>
  <c r="L367" i="24"/>
  <c r="K367" i="24"/>
  <c r="J367" i="24"/>
  <c r="I367" i="24"/>
  <c r="H367" i="24"/>
  <c r="G367" i="24"/>
  <c r="F367" i="24"/>
  <c r="E367" i="24"/>
  <c r="D367" i="24"/>
  <c r="C367" i="24"/>
  <c r="L366" i="24"/>
  <c r="K366" i="24"/>
  <c r="J366" i="24"/>
  <c r="I366" i="24"/>
  <c r="H366" i="24"/>
  <c r="G366" i="24"/>
  <c r="F366" i="24"/>
  <c r="E366" i="24"/>
  <c r="D366" i="24"/>
  <c r="C366" i="24"/>
  <c r="L365" i="24"/>
  <c r="K365" i="24"/>
  <c r="J365" i="24"/>
  <c r="I365" i="24"/>
  <c r="H365" i="24"/>
  <c r="G365" i="24"/>
  <c r="F365" i="24"/>
  <c r="E365" i="24"/>
  <c r="D365" i="24"/>
  <c r="C365" i="24"/>
  <c r="L364" i="24"/>
  <c r="K364" i="24"/>
  <c r="J364" i="24"/>
  <c r="I364" i="24"/>
  <c r="H364" i="24"/>
  <c r="G364" i="24"/>
  <c r="F364" i="24"/>
  <c r="E364" i="24"/>
  <c r="D364" i="24"/>
  <c r="C364" i="24"/>
  <c r="L363" i="24"/>
  <c r="K363" i="24"/>
  <c r="J363" i="24"/>
  <c r="I363" i="24"/>
  <c r="H363" i="24"/>
  <c r="G363" i="24"/>
  <c r="F363" i="24"/>
  <c r="E363" i="24"/>
  <c r="D363" i="24"/>
  <c r="C363" i="24"/>
  <c r="L362" i="24"/>
  <c r="K362" i="24"/>
  <c r="J362" i="24"/>
  <c r="I362" i="24"/>
  <c r="H362" i="24"/>
  <c r="G362" i="24"/>
  <c r="F362" i="24"/>
  <c r="E362" i="24"/>
  <c r="D362" i="24"/>
  <c r="C362" i="24"/>
  <c r="L361" i="24"/>
  <c r="K361" i="24"/>
  <c r="J361" i="24"/>
  <c r="I361" i="24"/>
  <c r="H361" i="24"/>
  <c r="G361" i="24"/>
  <c r="F361" i="24"/>
  <c r="E361" i="24"/>
  <c r="D361" i="24"/>
  <c r="C361" i="24"/>
  <c r="L360" i="24"/>
  <c r="K360" i="24"/>
  <c r="J360" i="24"/>
  <c r="I360" i="24"/>
  <c r="H360" i="24"/>
  <c r="G360" i="24"/>
  <c r="F360" i="24"/>
  <c r="E360" i="24"/>
  <c r="D360" i="24"/>
  <c r="C360" i="24"/>
  <c r="L359" i="24"/>
  <c r="K359" i="24"/>
  <c r="J359" i="24"/>
  <c r="I359" i="24"/>
  <c r="H359" i="24"/>
  <c r="G359" i="24"/>
  <c r="F359" i="24"/>
  <c r="E359" i="24"/>
  <c r="D359" i="24"/>
  <c r="C359" i="24"/>
  <c r="L358" i="24"/>
  <c r="K358" i="24"/>
  <c r="J358" i="24"/>
  <c r="I358" i="24"/>
  <c r="H358" i="24"/>
  <c r="G358" i="24"/>
  <c r="F358" i="24"/>
  <c r="E358" i="24"/>
  <c r="D358" i="24"/>
  <c r="C358" i="24"/>
  <c r="V357" i="24"/>
  <c r="U357" i="24"/>
  <c r="T357" i="24"/>
  <c r="S357" i="24"/>
  <c r="R357" i="24"/>
  <c r="Q357" i="24"/>
  <c r="P357" i="24"/>
  <c r="O357" i="24"/>
  <c r="N357" i="24"/>
  <c r="M357" i="24"/>
  <c r="L357" i="24"/>
  <c r="K357" i="24"/>
  <c r="J357" i="24"/>
  <c r="I357" i="24"/>
  <c r="H357" i="24"/>
  <c r="G357" i="24"/>
  <c r="F357" i="24"/>
  <c r="E357" i="24"/>
  <c r="D357" i="24"/>
  <c r="C357" i="24"/>
  <c r="V356" i="24"/>
  <c r="U356" i="24"/>
  <c r="T356" i="24"/>
  <c r="S356" i="24"/>
  <c r="R356" i="24"/>
  <c r="Q356" i="24"/>
  <c r="P356" i="24"/>
  <c r="O356" i="24"/>
  <c r="N356" i="24"/>
  <c r="M356" i="24"/>
  <c r="L356" i="24"/>
  <c r="K356" i="24"/>
  <c r="J356" i="24"/>
  <c r="I356" i="24"/>
  <c r="H356" i="24"/>
  <c r="G356" i="24"/>
  <c r="F356" i="24"/>
  <c r="E356" i="24"/>
  <c r="D356" i="24"/>
  <c r="C356" i="24"/>
  <c r="V355" i="24"/>
  <c r="U355" i="24"/>
  <c r="T355" i="24"/>
  <c r="S355" i="24"/>
  <c r="R355" i="24"/>
  <c r="Q355" i="24"/>
  <c r="P355" i="24"/>
  <c r="O355" i="24"/>
  <c r="N355" i="24"/>
  <c r="M355" i="24"/>
  <c r="L355" i="24"/>
  <c r="K355" i="24"/>
  <c r="J355" i="24"/>
  <c r="I355" i="24"/>
  <c r="H355" i="24"/>
  <c r="G355" i="24"/>
  <c r="F355" i="24"/>
  <c r="E355" i="24"/>
  <c r="D355" i="24"/>
  <c r="C355" i="24"/>
  <c r="L354" i="24"/>
  <c r="K354" i="24"/>
  <c r="J354" i="24"/>
  <c r="I354" i="24"/>
  <c r="H354" i="24"/>
  <c r="G354" i="24"/>
  <c r="F354" i="24"/>
  <c r="E354" i="24"/>
  <c r="D354" i="24"/>
  <c r="C354" i="24"/>
  <c r="L353" i="24"/>
  <c r="K353" i="24"/>
  <c r="J353" i="24"/>
  <c r="I353" i="24"/>
  <c r="H353" i="24"/>
  <c r="G353" i="24"/>
  <c r="F353" i="24"/>
  <c r="E353" i="24"/>
  <c r="D353" i="24"/>
  <c r="C353" i="24"/>
  <c r="L352" i="24"/>
  <c r="K352" i="24"/>
  <c r="J352" i="24"/>
  <c r="I352" i="24"/>
  <c r="H352" i="24"/>
  <c r="G352" i="24"/>
  <c r="F352" i="24"/>
  <c r="E352" i="24"/>
  <c r="D352" i="24"/>
  <c r="C352" i="24"/>
  <c r="L351" i="24"/>
  <c r="K351" i="24"/>
  <c r="J351" i="24"/>
  <c r="I351" i="24"/>
  <c r="H351" i="24"/>
  <c r="G351" i="24"/>
  <c r="F351" i="24"/>
  <c r="E351" i="24"/>
  <c r="D351" i="24"/>
  <c r="C351" i="24"/>
  <c r="L350" i="24"/>
  <c r="K350" i="24"/>
  <c r="J350" i="24"/>
  <c r="I350" i="24"/>
  <c r="H350" i="24"/>
  <c r="G350" i="24"/>
  <c r="F350" i="24"/>
  <c r="E350" i="24"/>
  <c r="D350" i="24"/>
  <c r="C350" i="24"/>
  <c r="L349" i="24"/>
  <c r="K349" i="24"/>
  <c r="J349" i="24"/>
  <c r="I349" i="24"/>
  <c r="H349" i="24"/>
  <c r="G349" i="24"/>
  <c r="F349" i="24"/>
  <c r="E349" i="24"/>
  <c r="D349" i="24"/>
  <c r="C349" i="24"/>
  <c r="L348" i="24"/>
  <c r="K348" i="24"/>
  <c r="J348" i="24"/>
  <c r="I348" i="24"/>
  <c r="H348" i="24"/>
  <c r="G348" i="24"/>
  <c r="F348" i="24"/>
  <c r="E348" i="24"/>
  <c r="D348" i="24"/>
  <c r="C348" i="24"/>
  <c r="L347" i="24"/>
  <c r="K347" i="24"/>
  <c r="J347" i="24"/>
  <c r="I347" i="24"/>
  <c r="H347" i="24"/>
  <c r="G347" i="24"/>
  <c r="F347" i="24"/>
  <c r="E347" i="24"/>
  <c r="D347" i="24"/>
  <c r="C347" i="24"/>
  <c r="V346" i="24"/>
  <c r="U346" i="24"/>
  <c r="T346" i="24"/>
  <c r="S346" i="24"/>
  <c r="R346" i="24"/>
  <c r="Q346" i="24"/>
  <c r="P346" i="24"/>
  <c r="O346" i="24"/>
  <c r="N346" i="24"/>
  <c r="M346" i="24"/>
  <c r="L346" i="24"/>
  <c r="K346" i="24"/>
  <c r="J346" i="24"/>
  <c r="I346" i="24"/>
  <c r="H346" i="24"/>
  <c r="G346" i="24"/>
  <c r="F346" i="24"/>
  <c r="E346" i="24"/>
  <c r="D346" i="24"/>
  <c r="C346" i="24"/>
  <c r="V345" i="24"/>
  <c r="U345" i="24"/>
  <c r="T345" i="24"/>
  <c r="S345" i="24"/>
  <c r="R345" i="24"/>
  <c r="Q345" i="24"/>
  <c r="P345" i="24"/>
  <c r="O345" i="24"/>
  <c r="N345" i="24"/>
  <c r="M345" i="24"/>
  <c r="L345" i="24"/>
  <c r="K345" i="24"/>
  <c r="J345" i="24"/>
  <c r="I345" i="24"/>
  <c r="H345" i="24"/>
  <c r="G345" i="24"/>
  <c r="F345" i="24"/>
  <c r="E345" i="24"/>
  <c r="D345" i="24"/>
  <c r="C345" i="24"/>
  <c r="V344" i="24"/>
  <c r="U344" i="24"/>
  <c r="T344" i="24"/>
  <c r="S344" i="24"/>
  <c r="R344" i="24"/>
  <c r="Q344" i="24"/>
  <c r="P344" i="24"/>
  <c r="O344" i="24"/>
  <c r="N344" i="24"/>
  <c r="M344" i="24"/>
  <c r="L344" i="24"/>
  <c r="K344" i="24"/>
  <c r="J344" i="24"/>
  <c r="I344" i="24"/>
  <c r="H344" i="24"/>
  <c r="G344" i="24"/>
  <c r="F344" i="24"/>
  <c r="E344" i="24"/>
  <c r="D344" i="24"/>
  <c r="C344" i="24"/>
  <c r="V343" i="24"/>
  <c r="U343" i="24"/>
  <c r="T343" i="24"/>
  <c r="S343" i="24"/>
  <c r="R343" i="24"/>
  <c r="Q343" i="24"/>
  <c r="P343" i="24"/>
  <c r="O343" i="24"/>
  <c r="N343" i="24"/>
  <c r="M343" i="24"/>
  <c r="L343" i="24"/>
  <c r="K343" i="24"/>
  <c r="J343" i="24"/>
  <c r="I343" i="24"/>
  <c r="H343" i="24"/>
  <c r="G343" i="24"/>
  <c r="F343" i="24"/>
  <c r="E343" i="24"/>
  <c r="D343" i="24"/>
  <c r="C343" i="24"/>
  <c r="V342" i="24"/>
  <c r="U342" i="24"/>
  <c r="T342" i="24"/>
  <c r="S342" i="24"/>
  <c r="R342" i="24"/>
  <c r="Q342" i="24"/>
  <c r="P342" i="24"/>
  <c r="O342" i="24"/>
  <c r="N342" i="24"/>
  <c r="M342" i="24"/>
  <c r="L342" i="24"/>
  <c r="K342" i="24"/>
  <c r="J342" i="24"/>
  <c r="I342" i="24"/>
  <c r="H342" i="24"/>
  <c r="G342" i="24"/>
  <c r="F342" i="24"/>
  <c r="E342" i="24"/>
  <c r="D342" i="24"/>
  <c r="C342" i="24"/>
  <c r="V341" i="24"/>
  <c r="U341" i="24"/>
  <c r="T341" i="24"/>
  <c r="S341" i="24"/>
  <c r="R341" i="24"/>
  <c r="Q341" i="24"/>
  <c r="P341" i="24"/>
  <c r="O341" i="24"/>
  <c r="N341" i="24"/>
  <c r="M341" i="24"/>
  <c r="L341" i="24"/>
  <c r="K341" i="24"/>
  <c r="J341" i="24"/>
  <c r="I341" i="24"/>
  <c r="H341" i="24"/>
  <c r="G341" i="24"/>
  <c r="F341" i="24"/>
  <c r="E341" i="24"/>
  <c r="D341" i="24"/>
  <c r="C341" i="24"/>
  <c r="V340" i="24"/>
  <c r="U340" i="24"/>
  <c r="T340" i="24"/>
  <c r="S340" i="24"/>
  <c r="R340" i="24"/>
  <c r="Q340" i="24"/>
  <c r="P340" i="24"/>
  <c r="O340" i="24"/>
  <c r="N340" i="24"/>
  <c r="M340" i="24"/>
  <c r="L340" i="24"/>
  <c r="K340" i="24"/>
  <c r="J340" i="24"/>
  <c r="I340" i="24"/>
  <c r="H340" i="24"/>
  <c r="G340" i="24"/>
  <c r="F340" i="24"/>
  <c r="E340" i="24"/>
  <c r="D340" i="24"/>
  <c r="C340" i="24"/>
  <c r="V339" i="24"/>
  <c r="U339" i="24"/>
  <c r="T339" i="24"/>
  <c r="S339" i="24"/>
  <c r="R339" i="24"/>
  <c r="Q339" i="24"/>
  <c r="P339" i="24"/>
  <c r="O339" i="24"/>
  <c r="N339" i="24"/>
  <c r="M339" i="24"/>
  <c r="L339" i="24"/>
  <c r="K339" i="24"/>
  <c r="J339" i="24"/>
  <c r="I339" i="24"/>
  <c r="H339" i="24"/>
  <c r="G339" i="24"/>
  <c r="F339" i="24"/>
  <c r="E339" i="24"/>
  <c r="D339" i="24"/>
  <c r="C339" i="24"/>
  <c r="V338" i="24"/>
  <c r="U338" i="24"/>
  <c r="T338" i="24"/>
  <c r="S338" i="24"/>
  <c r="R338" i="24"/>
  <c r="Q338" i="24"/>
  <c r="P338" i="24"/>
  <c r="O338" i="24"/>
  <c r="N338" i="24"/>
  <c r="M338" i="24"/>
  <c r="L338" i="24"/>
  <c r="K338" i="24"/>
  <c r="J338" i="24"/>
  <c r="I338" i="24"/>
  <c r="H338" i="24"/>
  <c r="G338" i="24"/>
  <c r="F338" i="24"/>
  <c r="E338" i="24"/>
  <c r="D338" i="24"/>
  <c r="C338" i="24"/>
  <c r="V337" i="24"/>
  <c r="U337" i="24"/>
  <c r="T337" i="24"/>
  <c r="S337" i="24"/>
  <c r="R337" i="24"/>
  <c r="Q337" i="24"/>
  <c r="P337" i="24"/>
  <c r="O337" i="24"/>
  <c r="N337" i="24"/>
  <c r="M337" i="24"/>
  <c r="L337" i="24"/>
  <c r="K337" i="24"/>
  <c r="J337" i="24"/>
  <c r="I337" i="24"/>
  <c r="H337" i="24"/>
  <c r="G337" i="24"/>
  <c r="F337" i="24"/>
  <c r="E337" i="24"/>
  <c r="D337" i="24"/>
  <c r="C337" i="24"/>
  <c r="V336" i="24"/>
  <c r="U336" i="24"/>
  <c r="T336" i="24"/>
  <c r="S336" i="24"/>
  <c r="R336" i="24"/>
  <c r="Q336" i="24"/>
  <c r="P336" i="24"/>
  <c r="O336" i="24"/>
  <c r="N336" i="24"/>
  <c r="M336" i="24"/>
  <c r="L336" i="24"/>
  <c r="K336" i="24"/>
  <c r="J336" i="24"/>
  <c r="I336" i="24"/>
  <c r="H336" i="24"/>
  <c r="G336" i="24"/>
  <c r="F336" i="24"/>
  <c r="E336" i="24"/>
  <c r="D336" i="24"/>
  <c r="C336" i="24"/>
  <c r="V335" i="24"/>
  <c r="U335" i="24"/>
  <c r="T335" i="24"/>
  <c r="S335" i="24"/>
  <c r="R335" i="24"/>
  <c r="Q335" i="24"/>
  <c r="P335" i="24"/>
  <c r="O335" i="24"/>
  <c r="N335" i="24"/>
  <c r="M335" i="24"/>
  <c r="L335" i="24"/>
  <c r="K335" i="24"/>
  <c r="J335" i="24"/>
  <c r="I335" i="24"/>
  <c r="H335" i="24"/>
  <c r="G335" i="24"/>
  <c r="F335" i="24"/>
  <c r="E335" i="24"/>
  <c r="D335" i="24"/>
  <c r="C335" i="24"/>
  <c r="V334" i="24"/>
  <c r="U334" i="24"/>
  <c r="T334" i="24"/>
  <c r="S334" i="24"/>
  <c r="R334" i="24"/>
  <c r="Q334" i="24"/>
  <c r="P334" i="24"/>
  <c r="O334" i="24"/>
  <c r="N334" i="24"/>
  <c r="M334" i="24"/>
  <c r="L334" i="24"/>
  <c r="K334" i="24"/>
  <c r="J334" i="24"/>
  <c r="I334" i="24"/>
  <c r="H334" i="24"/>
  <c r="G334" i="24"/>
  <c r="F334" i="24"/>
  <c r="E334" i="24"/>
  <c r="D334" i="24"/>
  <c r="C334" i="24"/>
  <c r="V333" i="24"/>
  <c r="U333" i="24"/>
  <c r="T333" i="24"/>
  <c r="S333" i="24"/>
  <c r="R333" i="24"/>
  <c r="Q333" i="24"/>
  <c r="P333" i="24"/>
  <c r="O333" i="24"/>
  <c r="N333" i="24"/>
  <c r="M333" i="24"/>
  <c r="L333" i="24"/>
  <c r="K333" i="24"/>
  <c r="J333" i="24"/>
  <c r="I333" i="24"/>
  <c r="H333" i="24"/>
  <c r="G333" i="24"/>
  <c r="F333" i="24"/>
  <c r="E333" i="24"/>
  <c r="D333" i="24"/>
  <c r="C333" i="24"/>
  <c r="V332" i="24"/>
  <c r="U332" i="24"/>
  <c r="T332" i="24"/>
  <c r="S332" i="24"/>
  <c r="R332" i="24"/>
  <c r="Q332" i="24"/>
  <c r="P332" i="24"/>
  <c r="O332" i="24"/>
  <c r="N332" i="24"/>
  <c r="M332" i="24"/>
  <c r="L332" i="24"/>
  <c r="K332" i="24"/>
  <c r="J332" i="24"/>
  <c r="I332" i="24"/>
  <c r="H332" i="24"/>
  <c r="G332" i="24"/>
  <c r="F332" i="24"/>
  <c r="E332" i="24"/>
  <c r="D332" i="24"/>
  <c r="C332" i="24"/>
  <c r="V331" i="24"/>
  <c r="U331" i="24"/>
  <c r="T331" i="24"/>
  <c r="S331" i="24"/>
  <c r="R331" i="24"/>
  <c r="Q331" i="24"/>
  <c r="P331" i="24"/>
  <c r="O331" i="24"/>
  <c r="N331" i="24"/>
  <c r="M331" i="24"/>
  <c r="L331" i="24"/>
  <c r="K331" i="24"/>
  <c r="J331" i="24"/>
  <c r="I331" i="24"/>
  <c r="H331" i="24"/>
  <c r="G331" i="24"/>
  <c r="F331" i="24"/>
  <c r="E331" i="24"/>
  <c r="D331" i="24"/>
  <c r="C331" i="24"/>
  <c r="V330" i="24"/>
  <c r="U330" i="24"/>
  <c r="T330" i="24"/>
  <c r="S330" i="24"/>
  <c r="R330" i="24"/>
  <c r="Q330" i="24"/>
  <c r="P330" i="24"/>
  <c r="O330" i="24"/>
  <c r="N330" i="24"/>
  <c r="M330" i="24"/>
  <c r="L330" i="24"/>
  <c r="K330" i="24"/>
  <c r="J330" i="24"/>
  <c r="I330" i="24"/>
  <c r="H330" i="24"/>
  <c r="G330" i="24"/>
  <c r="F330" i="24"/>
  <c r="E330" i="24"/>
  <c r="D330" i="24"/>
  <c r="C330" i="24"/>
  <c r="V329" i="24"/>
  <c r="U329" i="24"/>
  <c r="T329" i="24"/>
  <c r="S329" i="24"/>
  <c r="R329" i="24"/>
  <c r="Q329" i="24"/>
  <c r="P329" i="24"/>
  <c r="O329" i="24"/>
  <c r="N329" i="24"/>
  <c r="M329" i="24"/>
  <c r="L329" i="24"/>
  <c r="K329" i="24"/>
  <c r="J329" i="24"/>
  <c r="I329" i="24"/>
  <c r="H329" i="24"/>
  <c r="G329" i="24"/>
  <c r="F329" i="24"/>
  <c r="E329" i="24"/>
  <c r="D329" i="24"/>
  <c r="C329" i="24"/>
  <c r="M328" i="24"/>
  <c r="L328" i="24"/>
  <c r="K328" i="24"/>
  <c r="J328" i="24"/>
  <c r="I328" i="24"/>
  <c r="H328" i="24"/>
  <c r="G328" i="24"/>
  <c r="F328" i="24"/>
  <c r="E328" i="24"/>
  <c r="D328" i="24"/>
  <c r="C328" i="24"/>
  <c r="M327" i="24"/>
  <c r="L327" i="24"/>
  <c r="K327" i="24"/>
  <c r="J327" i="24"/>
  <c r="I327" i="24"/>
  <c r="H327" i="24"/>
  <c r="G327" i="24"/>
  <c r="F327" i="24"/>
  <c r="E327" i="24"/>
  <c r="D327" i="24"/>
  <c r="C327" i="24"/>
  <c r="M326" i="24"/>
  <c r="L326" i="24"/>
  <c r="K326" i="24"/>
  <c r="J326" i="24"/>
  <c r="I326" i="24"/>
  <c r="H326" i="24"/>
  <c r="G326" i="24"/>
  <c r="F326" i="24"/>
  <c r="E326" i="24"/>
  <c r="D326" i="24"/>
  <c r="C326" i="24"/>
  <c r="M325" i="24"/>
  <c r="L325" i="24"/>
  <c r="K325" i="24"/>
  <c r="J325" i="24"/>
  <c r="I325" i="24"/>
  <c r="H325" i="24"/>
  <c r="G325" i="24"/>
  <c r="F325" i="24"/>
  <c r="E325" i="24"/>
  <c r="D325" i="24"/>
  <c r="C325" i="24"/>
  <c r="M324" i="24"/>
  <c r="L324" i="24"/>
  <c r="K324" i="24"/>
  <c r="J324" i="24"/>
  <c r="I324" i="24"/>
  <c r="H324" i="24"/>
  <c r="G324" i="24"/>
  <c r="F324" i="24"/>
  <c r="E324" i="24"/>
  <c r="D324" i="24"/>
  <c r="C324" i="24"/>
  <c r="M323" i="24"/>
  <c r="L323" i="24"/>
  <c r="K323" i="24"/>
  <c r="J323" i="24"/>
  <c r="I323" i="24"/>
  <c r="H323" i="24"/>
  <c r="G323" i="24"/>
  <c r="F323" i="24"/>
  <c r="E323" i="24"/>
  <c r="D323" i="24"/>
  <c r="C323" i="24"/>
  <c r="M322" i="24"/>
  <c r="L322" i="24"/>
  <c r="K322" i="24"/>
  <c r="J322" i="24"/>
  <c r="I322" i="24"/>
  <c r="H322" i="24"/>
  <c r="G322" i="24"/>
  <c r="F322" i="24"/>
  <c r="E322" i="24"/>
  <c r="D322" i="24"/>
  <c r="C322" i="24"/>
  <c r="M321" i="24"/>
  <c r="L321" i="24"/>
  <c r="K321" i="24"/>
  <c r="J321" i="24"/>
  <c r="I321" i="24"/>
  <c r="H321" i="24"/>
  <c r="G321" i="24"/>
  <c r="F321" i="24"/>
  <c r="E321" i="24"/>
  <c r="D321" i="24"/>
  <c r="C321" i="24"/>
  <c r="M320" i="24"/>
  <c r="L320" i="24"/>
  <c r="K320" i="24"/>
  <c r="J320" i="24"/>
  <c r="I320" i="24"/>
  <c r="H320" i="24"/>
  <c r="G320" i="24"/>
  <c r="F320" i="24"/>
  <c r="E320" i="24"/>
  <c r="D320" i="24"/>
  <c r="C320" i="24"/>
  <c r="M319" i="24"/>
  <c r="L319" i="24"/>
  <c r="K319" i="24"/>
  <c r="J319" i="24"/>
  <c r="I319" i="24"/>
  <c r="H319" i="24"/>
  <c r="G319" i="24"/>
  <c r="F319" i="24"/>
  <c r="E319" i="24"/>
  <c r="D319" i="24"/>
  <c r="C319" i="24"/>
  <c r="M318" i="24"/>
  <c r="L318" i="24"/>
  <c r="K318" i="24"/>
  <c r="J318" i="24"/>
  <c r="I318" i="24"/>
  <c r="H318" i="24"/>
  <c r="G318" i="24"/>
  <c r="F318" i="24"/>
  <c r="E318" i="24"/>
  <c r="D318" i="24"/>
  <c r="C318" i="24"/>
  <c r="M317" i="24"/>
  <c r="L317" i="24"/>
  <c r="K317" i="24"/>
  <c r="J317" i="24"/>
  <c r="I317" i="24"/>
  <c r="H317" i="24"/>
  <c r="G317" i="24"/>
  <c r="F317" i="24"/>
  <c r="E317" i="24"/>
  <c r="D317" i="24"/>
  <c r="C317" i="24"/>
  <c r="M316" i="24"/>
  <c r="L316" i="24"/>
  <c r="K316" i="24"/>
  <c r="J316" i="24"/>
  <c r="I316" i="24"/>
  <c r="H316" i="24"/>
  <c r="G316" i="24"/>
  <c r="F316" i="24"/>
  <c r="E316" i="24"/>
  <c r="D316" i="24"/>
  <c r="C316" i="24"/>
  <c r="M315" i="24"/>
  <c r="L315" i="24"/>
  <c r="K315" i="24"/>
  <c r="J315" i="24"/>
  <c r="I315" i="24"/>
  <c r="H315" i="24"/>
  <c r="G315" i="24"/>
  <c r="F315" i="24"/>
  <c r="E315" i="24"/>
  <c r="D315" i="24"/>
  <c r="C315" i="24"/>
  <c r="M314" i="24"/>
  <c r="L314" i="24"/>
  <c r="K314" i="24"/>
  <c r="J314" i="24"/>
  <c r="I314" i="24"/>
  <c r="H314" i="24"/>
  <c r="G314" i="24"/>
  <c r="F314" i="24"/>
  <c r="E314" i="24"/>
  <c r="D314" i="24"/>
  <c r="C314" i="24"/>
  <c r="M313" i="24"/>
  <c r="L313" i="24"/>
  <c r="K313" i="24"/>
  <c r="J313" i="24"/>
  <c r="I313" i="24"/>
  <c r="H313" i="24"/>
  <c r="G313" i="24"/>
  <c r="F313" i="24"/>
  <c r="E313" i="24"/>
  <c r="D313" i="24"/>
  <c r="C313" i="24"/>
  <c r="M312" i="24"/>
  <c r="L312" i="24"/>
  <c r="K312" i="24"/>
  <c r="J312" i="24"/>
  <c r="I312" i="24"/>
  <c r="H312" i="24"/>
  <c r="G312" i="24"/>
  <c r="F312" i="24"/>
  <c r="E312" i="24"/>
  <c r="D312" i="24"/>
  <c r="C312" i="24"/>
  <c r="M311" i="24"/>
  <c r="L311" i="24"/>
  <c r="K311" i="24"/>
  <c r="J311" i="24"/>
  <c r="I311" i="24"/>
  <c r="H311" i="24"/>
  <c r="G311" i="24"/>
  <c r="F311" i="24"/>
  <c r="E311" i="24"/>
  <c r="D311" i="24"/>
  <c r="C311" i="24"/>
  <c r="M310" i="24"/>
  <c r="L310" i="24"/>
  <c r="K310" i="24"/>
  <c r="J310" i="24"/>
  <c r="I310" i="24"/>
  <c r="H310" i="24"/>
  <c r="G310" i="24"/>
  <c r="F310" i="24"/>
  <c r="E310" i="24"/>
  <c r="D310" i="24"/>
  <c r="C310" i="24"/>
  <c r="M309" i="24"/>
  <c r="L309" i="24"/>
  <c r="K309" i="24"/>
  <c r="J309" i="24"/>
  <c r="I309" i="24"/>
  <c r="H309" i="24"/>
  <c r="G309" i="24"/>
  <c r="F309" i="24"/>
  <c r="E309" i="24"/>
  <c r="D309" i="24"/>
  <c r="C309" i="24"/>
  <c r="M308" i="24"/>
  <c r="L308" i="24"/>
  <c r="K308" i="24"/>
  <c r="J308" i="24"/>
  <c r="I308" i="24"/>
  <c r="H308" i="24"/>
  <c r="G308" i="24"/>
  <c r="F308" i="24"/>
  <c r="E308" i="24"/>
  <c r="D308" i="24"/>
  <c r="C308" i="24"/>
  <c r="M307" i="24"/>
  <c r="L307" i="24"/>
  <c r="K307" i="24"/>
  <c r="J307" i="24"/>
  <c r="I307" i="24"/>
  <c r="H307" i="24"/>
  <c r="G307" i="24"/>
  <c r="F307" i="24"/>
  <c r="E307" i="24"/>
  <c r="D307" i="24"/>
  <c r="C307" i="24"/>
  <c r="M306" i="24"/>
  <c r="L306" i="24"/>
  <c r="K306" i="24"/>
  <c r="J306" i="24"/>
  <c r="I306" i="24"/>
  <c r="H306" i="24"/>
  <c r="G306" i="24"/>
  <c r="F306" i="24"/>
  <c r="E306" i="24"/>
  <c r="D306" i="24"/>
  <c r="C306" i="24"/>
  <c r="M305" i="24"/>
  <c r="L305" i="24"/>
  <c r="K305" i="24"/>
  <c r="J305" i="24"/>
  <c r="I305" i="24"/>
  <c r="H305" i="24"/>
  <c r="G305" i="24"/>
  <c r="F305" i="24"/>
  <c r="E305" i="24"/>
  <c r="D305" i="24"/>
  <c r="C305" i="24"/>
  <c r="M304" i="24"/>
  <c r="L304" i="24"/>
  <c r="K304" i="24"/>
  <c r="J304" i="24"/>
  <c r="I304" i="24"/>
  <c r="H304" i="24"/>
  <c r="G304" i="24"/>
  <c r="F304" i="24"/>
  <c r="E304" i="24"/>
  <c r="D304" i="24"/>
  <c r="C304" i="24"/>
  <c r="M303" i="24"/>
  <c r="L303" i="24"/>
  <c r="K303" i="24"/>
  <c r="J303" i="24"/>
  <c r="I303" i="24"/>
  <c r="H303" i="24"/>
  <c r="G303" i="24"/>
  <c r="F303" i="24"/>
  <c r="E303" i="24"/>
  <c r="D303" i="24"/>
  <c r="C303" i="24"/>
  <c r="M302" i="24"/>
  <c r="L302" i="24"/>
  <c r="K302" i="24"/>
  <c r="J302" i="24"/>
  <c r="I302" i="24"/>
  <c r="H302" i="24"/>
  <c r="G302" i="24"/>
  <c r="F302" i="24"/>
  <c r="E302" i="24"/>
  <c r="D302" i="24"/>
  <c r="C302" i="24"/>
  <c r="M301" i="24"/>
  <c r="L301" i="24"/>
  <c r="K301" i="24"/>
  <c r="J301" i="24"/>
  <c r="I301" i="24"/>
  <c r="H301" i="24"/>
  <c r="G301" i="24"/>
  <c r="F301" i="24"/>
  <c r="E301" i="24"/>
  <c r="D301" i="24"/>
  <c r="C301" i="24"/>
  <c r="M300" i="24"/>
  <c r="L300" i="24"/>
  <c r="K300" i="24"/>
  <c r="J300" i="24"/>
  <c r="I300" i="24"/>
  <c r="H300" i="24"/>
  <c r="G300" i="24"/>
  <c r="F300" i="24"/>
  <c r="E300" i="24"/>
  <c r="D300" i="24"/>
  <c r="C300" i="24"/>
  <c r="M299" i="24"/>
  <c r="L299" i="24"/>
  <c r="K299" i="24"/>
  <c r="J299" i="24"/>
  <c r="I299" i="24"/>
  <c r="H299" i="24"/>
  <c r="G299" i="24"/>
  <c r="F299" i="24"/>
  <c r="E299" i="24"/>
  <c r="D299" i="24"/>
  <c r="C299" i="24"/>
  <c r="M298" i="24"/>
  <c r="L298" i="24"/>
  <c r="K298" i="24"/>
  <c r="J298" i="24"/>
  <c r="I298" i="24"/>
  <c r="H298" i="24"/>
  <c r="G298" i="24"/>
  <c r="F298" i="24"/>
  <c r="E298" i="24"/>
  <c r="D298" i="24"/>
  <c r="C298" i="24"/>
  <c r="M297" i="24"/>
  <c r="L297" i="24"/>
  <c r="K297" i="24"/>
  <c r="J297" i="24"/>
  <c r="I297" i="24"/>
  <c r="H297" i="24"/>
  <c r="G297" i="24"/>
  <c r="F297" i="24"/>
  <c r="E297" i="24"/>
  <c r="D297" i="24"/>
  <c r="C297" i="24"/>
  <c r="M296" i="24"/>
  <c r="L296" i="24"/>
  <c r="K296" i="24"/>
  <c r="J296" i="24"/>
  <c r="I296" i="24"/>
  <c r="H296" i="24"/>
  <c r="G296" i="24"/>
  <c r="F296" i="24"/>
  <c r="E296" i="24"/>
  <c r="D296" i="24"/>
  <c r="C296" i="24"/>
  <c r="M295" i="24"/>
  <c r="L295" i="24"/>
  <c r="K295" i="24"/>
  <c r="J295" i="24"/>
  <c r="I295" i="24"/>
  <c r="H295" i="24"/>
  <c r="G295" i="24"/>
  <c r="F295" i="24"/>
  <c r="E295" i="24"/>
  <c r="D295" i="24"/>
  <c r="C295" i="24"/>
  <c r="M294" i="24"/>
  <c r="L294" i="24"/>
  <c r="K294" i="24"/>
  <c r="J294" i="24"/>
  <c r="I294" i="24"/>
  <c r="H294" i="24"/>
  <c r="G294" i="24"/>
  <c r="F294" i="24"/>
  <c r="E294" i="24"/>
  <c r="D294" i="24"/>
  <c r="C294" i="24"/>
  <c r="M293" i="24"/>
  <c r="L293" i="24"/>
  <c r="K293" i="24"/>
  <c r="J293" i="24"/>
  <c r="I293" i="24"/>
  <c r="H293" i="24"/>
  <c r="G293" i="24"/>
  <c r="F293" i="24"/>
  <c r="E293" i="24"/>
  <c r="D293" i="24"/>
  <c r="C293" i="24"/>
  <c r="M292" i="24"/>
  <c r="L292" i="24"/>
  <c r="K292" i="24"/>
  <c r="J292" i="24"/>
  <c r="I292" i="24"/>
  <c r="H292" i="24"/>
  <c r="G292" i="24"/>
  <c r="F292" i="24"/>
  <c r="E292" i="24"/>
  <c r="D292" i="24"/>
  <c r="C292" i="24"/>
  <c r="M291" i="24"/>
  <c r="L291" i="24"/>
  <c r="K291" i="24"/>
  <c r="J291" i="24"/>
  <c r="I291" i="24"/>
  <c r="H291" i="24"/>
  <c r="G291" i="24"/>
  <c r="F291" i="24"/>
  <c r="E291" i="24"/>
  <c r="D291" i="24"/>
  <c r="C291" i="24"/>
  <c r="M290" i="24"/>
  <c r="L290" i="24"/>
  <c r="K290" i="24"/>
  <c r="J290" i="24"/>
  <c r="I290" i="24"/>
  <c r="H290" i="24"/>
  <c r="G290" i="24"/>
  <c r="F290" i="24"/>
  <c r="E290" i="24"/>
  <c r="D290" i="24"/>
  <c r="C290" i="24"/>
  <c r="M289" i="24"/>
  <c r="L289" i="24"/>
  <c r="K289" i="24"/>
  <c r="J289" i="24"/>
  <c r="I289" i="24"/>
  <c r="H289" i="24"/>
  <c r="G289" i="24"/>
  <c r="F289" i="24"/>
  <c r="E289" i="24"/>
  <c r="D289" i="24"/>
  <c r="C289" i="24"/>
  <c r="M288" i="24"/>
  <c r="L288" i="24"/>
  <c r="K288" i="24"/>
  <c r="J288" i="24"/>
  <c r="I288" i="24"/>
  <c r="H288" i="24"/>
  <c r="G288" i="24"/>
  <c r="F288" i="24"/>
  <c r="E288" i="24"/>
  <c r="D288" i="24"/>
  <c r="C288" i="24"/>
  <c r="M287" i="24"/>
  <c r="L287" i="24"/>
  <c r="K287" i="24"/>
  <c r="J287" i="24"/>
  <c r="I287" i="24"/>
  <c r="H287" i="24"/>
  <c r="G287" i="24"/>
  <c r="F287" i="24"/>
  <c r="E287" i="24"/>
  <c r="D287" i="24"/>
  <c r="C287" i="24"/>
  <c r="M286" i="24"/>
  <c r="L286" i="24"/>
  <c r="K286" i="24"/>
  <c r="J286" i="24"/>
  <c r="I286" i="24"/>
  <c r="H286" i="24"/>
  <c r="G286" i="24"/>
  <c r="F286" i="24"/>
  <c r="E286" i="24"/>
  <c r="D286" i="24"/>
  <c r="C286" i="24"/>
  <c r="M285" i="24"/>
  <c r="L285" i="24"/>
  <c r="K285" i="24"/>
  <c r="J285" i="24"/>
  <c r="I285" i="24"/>
  <c r="H285" i="24"/>
  <c r="G285" i="24"/>
  <c r="F285" i="24"/>
  <c r="E285" i="24"/>
  <c r="D285" i="24"/>
  <c r="C285" i="24"/>
  <c r="M284" i="24"/>
  <c r="L284" i="24"/>
  <c r="K284" i="24"/>
  <c r="J284" i="24"/>
  <c r="I284" i="24"/>
  <c r="H284" i="24"/>
  <c r="G284" i="24"/>
  <c r="F284" i="24"/>
  <c r="E284" i="24"/>
  <c r="D284" i="24"/>
  <c r="C284" i="24"/>
  <c r="M283" i="24"/>
  <c r="L283" i="24"/>
  <c r="K283" i="24"/>
  <c r="J283" i="24"/>
  <c r="I283" i="24"/>
  <c r="H283" i="24"/>
  <c r="G283" i="24"/>
  <c r="F283" i="24"/>
  <c r="E283" i="24"/>
  <c r="D283" i="24"/>
  <c r="C283" i="24"/>
  <c r="M282" i="24"/>
  <c r="L282" i="24"/>
  <c r="K282" i="24"/>
  <c r="J282" i="24"/>
  <c r="I282" i="24"/>
  <c r="H282" i="24"/>
  <c r="G282" i="24"/>
  <c r="F282" i="24"/>
  <c r="E282" i="24"/>
  <c r="D282" i="24"/>
  <c r="C282" i="24"/>
  <c r="M281" i="24"/>
  <c r="L281" i="24"/>
  <c r="K281" i="24"/>
  <c r="J281" i="24"/>
  <c r="I281" i="24"/>
  <c r="H281" i="24"/>
  <c r="G281" i="24"/>
  <c r="F281" i="24"/>
  <c r="E281" i="24"/>
  <c r="D281" i="24"/>
  <c r="C281" i="24"/>
  <c r="M280" i="24"/>
  <c r="L280" i="24"/>
  <c r="K280" i="24"/>
  <c r="J280" i="24"/>
  <c r="I280" i="24"/>
  <c r="H280" i="24"/>
  <c r="G280" i="24"/>
  <c r="F280" i="24"/>
  <c r="E280" i="24"/>
  <c r="D280" i="24"/>
  <c r="C280" i="24"/>
  <c r="M279" i="24"/>
  <c r="L279" i="24"/>
  <c r="K279" i="24"/>
  <c r="J279" i="24"/>
  <c r="I279" i="24"/>
  <c r="H279" i="24"/>
  <c r="G279" i="24"/>
  <c r="F279" i="24"/>
  <c r="E279" i="24"/>
  <c r="D279" i="24"/>
  <c r="C279" i="24"/>
  <c r="M278" i="24"/>
  <c r="L278" i="24"/>
  <c r="K278" i="24"/>
  <c r="J278" i="24"/>
  <c r="I278" i="24"/>
  <c r="H278" i="24"/>
  <c r="G278" i="24"/>
  <c r="F278" i="24"/>
  <c r="E278" i="24"/>
  <c r="D278" i="24"/>
  <c r="C278" i="24"/>
  <c r="M277" i="24"/>
  <c r="L277" i="24"/>
  <c r="K277" i="24"/>
  <c r="J277" i="24"/>
  <c r="I277" i="24"/>
  <c r="H277" i="24"/>
  <c r="G277" i="24"/>
  <c r="F277" i="24"/>
  <c r="E277" i="24"/>
  <c r="D277" i="24"/>
  <c r="C277" i="24"/>
  <c r="M276" i="24"/>
  <c r="L276" i="24"/>
  <c r="K276" i="24"/>
  <c r="J276" i="24"/>
  <c r="I276" i="24"/>
  <c r="H276" i="24"/>
  <c r="G276" i="24"/>
  <c r="F276" i="24"/>
  <c r="E276" i="24"/>
  <c r="D276" i="24"/>
  <c r="C276" i="24"/>
  <c r="M275" i="24"/>
  <c r="L275" i="24"/>
  <c r="K275" i="24"/>
  <c r="J275" i="24"/>
  <c r="I275" i="24"/>
  <c r="H275" i="24"/>
  <c r="G275" i="24"/>
  <c r="F275" i="24"/>
  <c r="E275" i="24"/>
  <c r="D275" i="24"/>
  <c r="C275" i="24"/>
  <c r="M274" i="24"/>
  <c r="L274" i="24"/>
  <c r="K274" i="24"/>
  <c r="J274" i="24"/>
  <c r="I274" i="24"/>
  <c r="H274" i="24"/>
  <c r="G274" i="24"/>
  <c r="F274" i="24"/>
  <c r="E274" i="24"/>
  <c r="D274" i="24"/>
  <c r="C274" i="24"/>
  <c r="M273" i="24"/>
  <c r="L273" i="24"/>
  <c r="K273" i="24"/>
  <c r="J273" i="24"/>
  <c r="I273" i="24"/>
  <c r="H273" i="24"/>
  <c r="G273" i="24"/>
  <c r="F273" i="24"/>
  <c r="E273" i="24"/>
  <c r="D273" i="24"/>
  <c r="C273" i="24"/>
  <c r="M272" i="24"/>
  <c r="L272" i="24"/>
  <c r="K272" i="24"/>
  <c r="J272" i="24"/>
  <c r="I272" i="24"/>
  <c r="H272" i="24"/>
  <c r="G272" i="24"/>
  <c r="F272" i="24"/>
  <c r="E272" i="24"/>
  <c r="D272" i="24"/>
  <c r="C272" i="24"/>
  <c r="M271" i="24"/>
  <c r="L271" i="24"/>
  <c r="K271" i="24"/>
  <c r="J271" i="24"/>
  <c r="I271" i="24"/>
  <c r="H271" i="24"/>
  <c r="G271" i="24"/>
  <c r="F271" i="24"/>
  <c r="E271" i="24"/>
  <c r="D271" i="24"/>
  <c r="C271" i="24"/>
  <c r="M270" i="24"/>
  <c r="L270" i="24"/>
  <c r="K270" i="24"/>
  <c r="J270" i="24"/>
  <c r="I270" i="24"/>
  <c r="H270" i="24"/>
  <c r="G270" i="24"/>
  <c r="F270" i="24"/>
  <c r="E270" i="24"/>
  <c r="D270" i="24"/>
  <c r="C270" i="24"/>
  <c r="M269" i="24"/>
  <c r="L269" i="24"/>
  <c r="K269" i="24"/>
  <c r="J269" i="24"/>
  <c r="I269" i="24"/>
  <c r="H269" i="24"/>
  <c r="G269" i="24"/>
  <c r="F269" i="24"/>
  <c r="E269" i="24"/>
  <c r="D269" i="24"/>
  <c r="C269" i="24"/>
  <c r="M268" i="24"/>
  <c r="L268" i="24"/>
  <c r="K268" i="24"/>
  <c r="J268" i="24"/>
  <c r="I268" i="24"/>
  <c r="H268" i="24"/>
  <c r="G268" i="24"/>
  <c r="F268" i="24"/>
  <c r="E268" i="24"/>
  <c r="D268" i="24"/>
  <c r="C268" i="24"/>
  <c r="M267" i="24"/>
  <c r="L267" i="24"/>
  <c r="K267" i="24"/>
  <c r="J267" i="24"/>
  <c r="I267" i="24"/>
  <c r="H267" i="24"/>
  <c r="G267" i="24"/>
  <c r="F267" i="24"/>
  <c r="E267" i="24"/>
  <c r="D267" i="24"/>
  <c r="C267" i="24"/>
  <c r="M266" i="24"/>
  <c r="L266" i="24"/>
  <c r="K266" i="24"/>
  <c r="J266" i="24"/>
  <c r="I266" i="24"/>
  <c r="H266" i="24"/>
  <c r="G266" i="24"/>
  <c r="F266" i="24"/>
  <c r="E266" i="24"/>
  <c r="D266" i="24"/>
  <c r="C266" i="24"/>
  <c r="M265" i="24"/>
  <c r="L265" i="24"/>
  <c r="K265" i="24"/>
  <c r="J265" i="24"/>
  <c r="I265" i="24"/>
  <c r="H265" i="24"/>
  <c r="G265" i="24"/>
  <c r="F265" i="24"/>
  <c r="E265" i="24"/>
  <c r="D265" i="24"/>
  <c r="C265" i="24"/>
  <c r="M264" i="24"/>
  <c r="L264" i="24"/>
  <c r="K264" i="24"/>
  <c r="J264" i="24"/>
  <c r="I264" i="24"/>
  <c r="H264" i="24"/>
  <c r="G264" i="24"/>
  <c r="F264" i="24"/>
  <c r="E264" i="24"/>
  <c r="D264" i="24"/>
  <c r="C264" i="24"/>
  <c r="M263" i="24"/>
  <c r="L263" i="24"/>
  <c r="K263" i="24"/>
  <c r="J263" i="24"/>
  <c r="I263" i="24"/>
  <c r="H263" i="24"/>
  <c r="G263" i="24"/>
  <c r="F263" i="24"/>
  <c r="E263" i="24"/>
  <c r="D263" i="24"/>
  <c r="C263" i="24"/>
  <c r="M262" i="24"/>
  <c r="L262" i="24"/>
  <c r="K262" i="24"/>
  <c r="J262" i="24"/>
  <c r="I262" i="24"/>
  <c r="H262" i="24"/>
  <c r="G262" i="24"/>
  <c r="F262" i="24"/>
  <c r="E262" i="24"/>
  <c r="D262" i="24"/>
  <c r="C262" i="24"/>
  <c r="M261" i="24"/>
  <c r="L261" i="24"/>
  <c r="K261" i="24"/>
  <c r="J261" i="24"/>
  <c r="I261" i="24"/>
  <c r="H261" i="24"/>
  <c r="G261" i="24"/>
  <c r="F261" i="24"/>
  <c r="E261" i="24"/>
  <c r="D261" i="24"/>
  <c r="C261" i="24"/>
  <c r="M260" i="24"/>
  <c r="L260" i="24"/>
  <c r="K260" i="24"/>
  <c r="J260" i="24"/>
  <c r="I260" i="24"/>
  <c r="H260" i="24"/>
  <c r="G260" i="24"/>
  <c r="F260" i="24"/>
  <c r="E260" i="24"/>
  <c r="D260" i="24"/>
  <c r="C260" i="24"/>
  <c r="M259" i="24"/>
  <c r="L259" i="24"/>
  <c r="K259" i="24"/>
  <c r="J259" i="24"/>
  <c r="I259" i="24"/>
  <c r="H259" i="24"/>
  <c r="G259" i="24"/>
  <c r="F259" i="24"/>
  <c r="E259" i="24"/>
  <c r="D259" i="24"/>
  <c r="C259" i="24"/>
  <c r="M258" i="24"/>
  <c r="L258" i="24"/>
  <c r="K258" i="24"/>
  <c r="J258" i="24"/>
  <c r="I258" i="24"/>
  <c r="H258" i="24"/>
  <c r="G258" i="24"/>
  <c r="F258" i="24"/>
  <c r="E258" i="24"/>
  <c r="D258" i="24"/>
  <c r="C258" i="24"/>
  <c r="V11" i="24" l="1"/>
  <c r="U11" i="24"/>
  <c r="T11" i="24"/>
  <c r="S11" i="24"/>
  <c r="R11" i="24"/>
  <c r="Q11" i="24"/>
  <c r="P11" i="24"/>
  <c r="O11" i="24"/>
  <c r="N11" i="24"/>
  <c r="V10" i="24"/>
  <c r="U10" i="24"/>
  <c r="T10" i="24"/>
  <c r="S10" i="24"/>
  <c r="R10" i="24"/>
  <c r="Q10" i="24"/>
  <c r="P10" i="24"/>
  <c r="O10" i="24"/>
  <c r="N10" i="24"/>
  <c r="V9" i="24"/>
  <c r="U9" i="24"/>
  <c r="T9" i="24"/>
  <c r="S9" i="24"/>
  <c r="R9" i="24"/>
  <c r="Q9" i="24"/>
  <c r="P9" i="24"/>
  <c r="O9" i="24"/>
  <c r="N9" i="24"/>
  <c r="V8" i="24"/>
  <c r="U8" i="24"/>
  <c r="T8" i="24"/>
  <c r="S8" i="24"/>
  <c r="R8" i="24"/>
  <c r="Q8" i="24"/>
  <c r="P8" i="24"/>
  <c r="O8" i="24"/>
  <c r="N8" i="24"/>
  <c r="V7" i="24"/>
  <c r="U7" i="24"/>
  <c r="T7" i="24"/>
  <c r="S7" i="24"/>
  <c r="R7" i="24"/>
  <c r="Q7" i="24"/>
  <c r="P7" i="24"/>
  <c r="O7" i="24"/>
  <c r="N7" i="24"/>
  <c r="V6" i="24"/>
  <c r="U6" i="24"/>
  <c r="T6" i="24"/>
  <c r="S6" i="24"/>
  <c r="R6" i="24"/>
  <c r="Q6" i="24"/>
  <c r="P6" i="24"/>
  <c r="O6" i="24"/>
  <c r="N6" i="24"/>
  <c r="V5" i="24"/>
  <c r="U5" i="24"/>
  <c r="T5" i="24"/>
  <c r="S5" i="24"/>
  <c r="R5" i="24"/>
  <c r="Q5" i="24"/>
  <c r="P5" i="24"/>
  <c r="O5" i="24"/>
  <c r="N5" i="24"/>
  <c r="V4" i="24"/>
  <c r="U4" i="24"/>
  <c r="T4" i="24"/>
  <c r="S4" i="24"/>
  <c r="R4" i="24"/>
  <c r="Q4" i="24"/>
  <c r="P4" i="24"/>
  <c r="O4" i="24"/>
  <c r="N4" i="24"/>
  <c r="V3" i="24"/>
  <c r="U3" i="24"/>
  <c r="T3" i="24"/>
  <c r="S3" i="24"/>
  <c r="R3" i="24"/>
  <c r="Q3" i="24"/>
  <c r="P3" i="24"/>
  <c r="O3" i="24"/>
  <c r="N3" i="24"/>
  <c r="M3" i="24"/>
  <c r="M257" i="24" l="1"/>
  <c r="M256" i="24"/>
  <c r="M255" i="24"/>
  <c r="M254" i="24"/>
  <c r="M253" i="24"/>
  <c r="M252" i="24"/>
  <c r="M251" i="24"/>
  <c r="M250" i="24"/>
  <c r="M249" i="24"/>
  <c r="M248" i="24"/>
  <c r="M247" i="24"/>
  <c r="M246" i="24"/>
  <c r="M245" i="24"/>
  <c r="M244" i="24"/>
  <c r="M243" i="24"/>
  <c r="M242" i="24"/>
  <c r="M241" i="24"/>
  <c r="M240" i="24"/>
  <c r="M239" i="24"/>
  <c r="M238" i="24"/>
  <c r="M237" i="24"/>
  <c r="M236" i="24"/>
  <c r="M235" i="24"/>
  <c r="M234" i="24"/>
  <c r="M233" i="24"/>
  <c r="M232" i="24"/>
  <c r="M231" i="24"/>
  <c r="M230" i="24"/>
  <c r="M229" i="24"/>
  <c r="M228" i="24"/>
  <c r="M227" i="24"/>
  <c r="M226" i="24"/>
  <c r="M225" i="24"/>
  <c r="M224" i="24"/>
  <c r="M223" i="24"/>
  <c r="M222" i="24"/>
  <c r="M221" i="24"/>
  <c r="M220" i="24"/>
  <c r="M219" i="24"/>
  <c r="M218" i="24"/>
  <c r="M217" i="24"/>
  <c r="M216" i="24"/>
  <c r="M215" i="24"/>
  <c r="M214" i="24"/>
  <c r="M213" i="24"/>
  <c r="M212" i="24"/>
  <c r="M211" i="24"/>
  <c r="M210" i="24"/>
  <c r="M209" i="24"/>
  <c r="M208" i="24"/>
  <c r="M207" i="24"/>
  <c r="M206" i="24"/>
  <c r="M205" i="24"/>
  <c r="M204" i="24"/>
  <c r="M203" i="24"/>
  <c r="M202" i="24"/>
  <c r="M201" i="24"/>
  <c r="M200" i="24"/>
  <c r="M199" i="24"/>
  <c r="M198" i="24"/>
  <c r="M197" i="24"/>
  <c r="M196" i="24"/>
  <c r="M195" i="24"/>
  <c r="M194" i="24"/>
  <c r="M193" i="24"/>
  <c r="M192" i="24"/>
  <c r="M191" i="24"/>
  <c r="M190" i="24"/>
  <c r="M189" i="24"/>
  <c r="M188" i="24"/>
  <c r="M187" i="24"/>
  <c r="M186" i="24"/>
  <c r="M185" i="24"/>
  <c r="M184" i="24"/>
  <c r="M183" i="24"/>
  <c r="M182" i="24"/>
  <c r="M181" i="24"/>
  <c r="M180" i="24"/>
  <c r="M179" i="24"/>
  <c r="M178" i="24"/>
  <c r="M177" i="24"/>
  <c r="M176" i="24"/>
  <c r="M175" i="24"/>
  <c r="M174" i="24"/>
  <c r="M173" i="24"/>
  <c r="M172" i="24"/>
  <c r="M171" i="24"/>
  <c r="M170" i="24"/>
  <c r="M169" i="24"/>
  <c r="M168" i="24"/>
  <c r="M167" i="24"/>
  <c r="M166" i="24"/>
  <c r="M165" i="24"/>
  <c r="M164" i="24"/>
  <c r="M163" i="24"/>
  <c r="M162" i="24"/>
  <c r="M161" i="24"/>
  <c r="M160" i="24"/>
  <c r="M159" i="24"/>
  <c r="M158" i="24"/>
  <c r="M157" i="24"/>
  <c r="M156" i="24"/>
  <c r="M155" i="24"/>
  <c r="M154" i="24"/>
  <c r="M153" i="24"/>
  <c r="M152" i="24"/>
  <c r="M151" i="24"/>
  <c r="M150" i="24"/>
  <c r="M149" i="24"/>
  <c r="M148" i="24"/>
  <c r="M147" i="24"/>
  <c r="M146" i="24"/>
  <c r="M145" i="24"/>
  <c r="M144" i="24"/>
  <c r="M143" i="24"/>
  <c r="M142" i="24"/>
  <c r="M141" i="24"/>
  <c r="M140" i="24"/>
  <c r="M139" i="24"/>
  <c r="M138" i="24"/>
  <c r="M137" i="24"/>
  <c r="M136" i="24"/>
  <c r="M135" i="24"/>
  <c r="M134" i="24"/>
  <c r="M133" i="24"/>
  <c r="M132" i="24"/>
  <c r="M131" i="24"/>
  <c r="M130" i="24"/>
  <c r="M129" i="24"/>
  <c r="M128" i="24"/>
  <c r="M127" i="24"/>
  <c r="M126" i="24"/>
  <c r="M125" i="24"/>
  <c r="M124" i="24"/>
  <c r="M123" i="24"/>
  <c r="M122" i="24"/>
  <c r="M121" i="24"/>
  <c r="M120" i="24"/>
  <c r="M119" i="24"/>
  <c r="M118" i="24"/>
  <c r="M117" i="24"/>
  <c r="M116" i="24"/>
  <c r="M115" i="24"/>
  <c r="M114" i="24"/>
  <c r="M113" i="24"/>
  <c r="M112" i="24"/>
  <c r="M111" i="24"/>
  <c r="M110" i="24"/>
  <c r="M109" i="24"/>
  <c r="M108" i="24"/>
  <c r="M107" i="24"/>
  <c r="M106" i="24"/>
  <c r="M105" i="24"/>
  <c r="M104" i="24"/>
  <c r="M103" i="24"/>
  <c r="M102" i="24"/>
  <c r="M101" i="24"/>
  <c r="M100" i="24"/>
  <c r="M99" i="24"/>
  <c r="M98" i="24"/>
  <c r="M97" i="24"/>
  <c r="M96" i="24"/>
  <c r="M95" i="24"/>
  <c r="M94" i="24"/>
  <c r="M93" i="24"/>
  <c r="M92" i="24"/>
  <c r="M91" i="24"/>
  <c r="M90" i="24"/>
  <c r="M89" i="24"/>
  <c r="M88" i="24"/>
  <c r="M87" i="24"/>
  <c r="M86" i="24"/>
  <c r="M85" i="24"/>
  <c r="M84" i="24"/>
  <c r="M83" i="24"/>
  <c r="M82" i="24"/>
  <c r="M81" i="24"/>
  <c r="M80" i="24"/>
  <c r="M79" i="24"/>
  <c r="M78" i="24"/>
  <c r="M77" i="24"/>
  <c r="M76" i="24"/>
  <c r="M75" i="24"/>
  <c r="M74" i="24"/>
  <c r="M73" i="24"/>
  <c r="M72" i="24"/>
  <c r="M71" i="24"/>
  <c r="M70" i="24"/>
  <c r="M69" i="24"/>
  <c r="M68" i="24"/>
  <c r="M67" i="24"/>
  <c r="M66" i="24"/>
  <c r="M65" i="24"/>
  <c r="M64" i="24"/>
  <c r="M63" i="24"/>
  <c r="M62" i="24"/>
  <c r="M61" i="24"/>
  <c r="M60" i="24"/>
  <c r="M59" i="24"/>
  <c r="M58" i="24"/>
  <c r="M57" i="24"/>
  <c r="M56" i="24"/>
  <c r="M55" i="24"/>
  <c r="M54" i="24"/>
  <c r="M53" i="24"/>
  <c r="M52" i="24"/>
  <c r="M51" i="24"/>
  <c r="M50" i="24"/>
  <c r="M49" i="24"/>
  <c r="M48" i="24"/>
  <c r="M47" i="24"/>
  <c r="M46" i="24"/>
  <c r="M45" i="24"/>
  <c r="M44" i="24"/>
  <c r="M43" i="24"/>
  <c r="M42" i="24"/>
  <c r="M41" i="24"/>
  <c r="M40" i="24"/>
  <c r="M39" i="24"/>
  <c r="M38" i="24"/>
  <c r="M37" i="24"/>
  <c r="M36" i="24"/>
  <c r="M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1" i="24"/>
  <c r="M10" i="24"/>
  <c r="M9" i="24"/>
  <c r="M8" i="24"/>
  <c r="M7" i="24"/>
  <c r="M6" i="24"/>
  <c r="M5" i="24"/>
  <c r="M4" i="24"/>
  <c r="D4" i="24" l="1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C4" i="24" l="1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L257" i="24"/>
  <c r="K257" i="24"/>
  <c r="J257" i="24"/>
  <c r="I257" i="24"/>
  <c r="H257" i="24"/>
  <c r="G257" i="24"/>
  <c r="F257" i="24"/>
  <c r="E257" i="24"/>
  <c r="L256" i="24"/>
  <c r="K256" i="24"/>
  <c r="J256" i="24"/>
  <c r="I256" i="24"/>
  <c r="H256" i="24"/>
  <c r="G256" i="24"/>
  <c r="F256" i="24"/>
  <c r="E256" i="24"/>
  <c r="L255" i="24"/>
  <c r="K255" i="24"/>
  <c r="J255" i="24"/>
  <c r="I255" i="24"/>
  <c r="H255" i="24"/>
  <c r="G255" i="24"/>
  <c r="F255" i="24"/>
  <c r="E255" i="24"/>
  <c r="L254" i="24"/>
  <c r="K254" i="24"/>
  <c r="J254" i="24"/>
  <c r="I254" i="24"/>
  <c r="H254" i="24"/>
  <c r="G254" i="24"/>
  <c r="F254" i="24"/>
  <c r="E254" i="24"/>
  <c r="L253" i="24"/>
  <c r="K253" i="24"/>
  <c r="J253" i="24"/>
  <c r="I253" i="24"/>
  <c r="H253" i="24"/>
  <c r="G253" i="24"/>
  <c r="F253" i="24"/>
  <c r="E253" i="24"/>
  <c r="L252" i="24"/>
  <c r="K252" i="24"/>
  <c r="J252" i="24"/>
  <c r="I252" i="24"/>
  <c r="H252" i="24"/>
  <c r="G252" i="24"/>
  <c r="F252" i="24"/>
  <c r="E252" i="24"/>
  <c r="L251" i="24"/>
  <c r="K251" i="24"/>
  <c r="J251" i="24"/>
  <c r="I251" i="24"/>
  <c r="H251" i="24"/>
  <c r="G251" i="24"/>
  <c r="F251" i="24"/>
  <c r="E251" i="24"/>
  <c r="L250" i="24"/>
  <c r="K250" i="24"/>
  <c r="J250" i="24"/>
  <c r="I250" i="24"/>
  <c r="H250" i="24"/>
  <c r="G250" i="24"/>
  <c r="F250" i="24"/>
  <c r="E250" i="24"/>
  <c r="L249" i="24"/>
  <c r="K249" i="24"/>
  <c r="J249" i="24"/>
  <c r="I249" i="24"/>
  <c r="H249" i="24"/>
  <c r="G249" i="24"/>
  <c r="F249" i="24"/>
  <c r="E249" i="24"/>
  <c r="L248" i="24"/>
  <c r="K248" i="24"/>
  <c r="J248" i="24"/>
  <c r="I248" i="24"/>
  <c r="H248" i="24"/>
  <c r="G248" i="24"/>
  <c r="F248" i="24"/>
  <c r="E248" i="24"/>
  <c r="L247" i="24"/>
  <c r="K247" i="24"/>
  <c r="J247" i="24"/>
  <c r="I247" i="24"/>
  <c r="H247" i="24"/>
  <c r="G247" i="24"/>
  <c r="F247" i="24"/>
  <c r="E247" i="24"/>
  <c r="L246" i="24"/>
  <c r="K246" i="24"/>
  <c r="J246" i="24"/>
  <c r="I246" i="24"/>
  <c r="H246" i="24"/>
  <c r="G246" i="24"/>
  <c r="F246" i="24"/>
  <c r="E246" i="24"/>
  <c r="L245" i="24"/>
  <c r="K245" i="24"/>
  <c r="J245" i="24"/>
  <c r="I245" i="24"/>
  <c r="H245" i="24"/>
  <c r="G245" i="24"/>
  <c r="F245" i="24"/>
  <c r="E245" i="24"/>
  <c r="L244" i="24"/>
  <c r="K244" i="24"/>
  <c r="J244" i="24"/>
  <c r="I244" i="24"/>
  <c r="H244" i="24"/>
  <c r="G244" i="24"/>
  <c r="F244" i="24"/>
  <c r="E244" i="24"/>
  <c r="L243" i="24"/>
  <c r="K243" i="24"/>
  <c r="J243" i="24"/>
  <c r="I243" i="24"/>
  <c r="H243" i="24"/>
  <c r="G243" i="24"/>
  <c r="F243" i="24"/>
  <c r="E243" i="24"/>
  <c r="L242" i="24"/>
  <c r="K242" i="24"/>
  <c r="J242" i="24"/>
  <c r="I242" i="24"/>
  <c r="H242" i="24"/>
  <c r="G242" i="24"/>
  <c r="F242" i="24"/>
  <c r="E242" i="24"/>
  <c r="L241" i="24"/>
  <c r="K241" i="24"/>
  <c r="J241" i="24"/>
  <c r="I241" i="24"/>
  <c r="H241" i="24"/>
  <c r="G241" i="24"/>
  <c r="F241" i="24"/>
  <c r="E241" i="24"/>
  <c r="L240" i="24"/>
  <c r="K240" i="24"/>
  <c r="J240" i="24"/>
  <c r="I240" i="24"/>
  <c r="H240" i="24"/>
  <c r="G240" i="24"/>
  <c r="F240" i="24"/>
  <c r="E240" i="24"/>
  <c r="L239" i="24"/>
  <c r="K239" i="24"/>
  <c r="J239" i="24"/>
  <c r="I239" i="24"/>
  <c r="H239" i="24"/>
  <c r="G239" i="24"/>
  <c r="F239" i="24"/>
  <c r="E239" i="24"/>
  <c r="L238" i="24"/>
  <c r="K238" i="24"/>
  <c r="J238" i="24"/>
  <c r="I238" i="24"/>
  <c r="H238" i="24"/>
  <c r="G238" i="24"/>
  <c r="F238" i="24"/>
  <c r="E238" i="24"/>
  <c r="L237" i="24"/>
  <c r="K237" i="24"/>
  <c r="J237" i="24"/>
  <c r="I237" i="24"/>
  <c r="H237" i="24"/>
  <c r="G237" i="24"/>
  <c r="F237" i="24"/>
  <c r="E237" i="24"/>
  <c r="L236" i="24"/>
  <c r="K236" i="24"/>
  <c r="J236" i="24"/>
  <c r="I236" i="24"/>
  <c r="H236" i="24"/>
  <c r="G236" i="24"/>
  <c r="F236" i="24"/>
  <c r="E236" i="24"/>
  <c r="L235" i="24"/>
  <c r="K235" i="24"/>
  <c r="J235" i="24"/>
  <c r="I235" i="24"/>
  <c r="H235" i="24"/>
  <c r="G235" i="24"/>
  <c r="F235" i="24"/>
  <c r="E235" i="24"/>
  <c r="L234" i="24"/>
  <c r="K234" i="24"/>
  <c r="J234" i="24"/>
  <c r="I234" i="24"/>
  <c r="H234" i="24"/>
  <c r="G234" i="24"/>
  <c r="F234" i="24"/>
  <c r="E234" i="24"/>
  <c r="L233" i="24"/>
  <c r="K233" i="24"/>
  <c r="J233" i="24"/>
  <c r="I233" i="24"/>
  <c r="H233" i="24"/>
  <c r="G233" i="24"/>
  <c r="F233" i="24"/>
  <c r="E233" i="24"/>
  <c r="L232" i="24"/>
  <c r="K232" i="24"/>
  <c r="J232" i="24"/>
  <c r="I232" i="24"/>
  <c r="H232" i="24"/>
  <c r="G232" i="24"/>
  <c r="F232" i="24"/>
  <c r="E232" i="24"/>
  <c r="L231" i="24"/>
  <c r="K231" i="24"/>
  <c r="J231" i="24"/>
  <c r="I231" i="24"/>
  <c r="H231" i="24"/>
  <c r="G231" i="24"/>
  <c r="F231" i="24"/>
  <c r="E231" i="24"/>
  <c r="L230" i="24"/>
  <c r="K230" i="24"/>
  <c r="J230" i="24"/>
  <c r="I230" i="24"/>
  <c r="H230" i="24"/>
  <c r="G230" i="24"/>
  <c r="F230" i="24"/>
  <c r="E230" i="24"/>
  <c r="L229" i="24"/>
  <c r="K229" i="24"/>
  <c r="J229" i="24"/>
  <c r="I229" i="24"/>
  <c r="H229" i="24"/>
  <c r="G229" i="24"/>
  <c r="F229" i="24"/>
  <c r="E229" i="24"/>
  <c r="L228" i="24"/>
  <c r="K228" i="24"/>
  <c r="J228" i="24"/>
  <c r="I228" i="24"/>
  <c r="H228" i="24"/>
  <c r="G228" i="24"/>
  <c r="F228" i="24"/>
  <c r="E228" i="24"/>
  <c r="L227" i="24"/>
  <c r="K227" i="24"/>
  <c r="J227" i="24"/>
  <c r="I227" i="24"/>
  <c r="H227" i="24"/>
  <c r="G227" i="24"/>
  <c r="F227" i="24"/>
  <c r="E227" i="24"/>
  <c r="L226" i="24"/>
  <c r="K226" i="24"/>
  <c r="J226" i="24"/>
  <c r="I226" i="24"/>
  <c r="H226" i="24"/>
  <c r="G226" i="24"/>
  <c r="F226" i="24"/>
  <c r="E226" i="24"/>
  <c r="L225" i="24"/>
  <c r="K225" i="24"/>
  <c r="J225" i="24"/>
  <c r="I225" i="24"/>
  <c r="H225" i="24"/>
  <c r="G225" i="24"/>
  <c r="F225" i="24"/>
  <c r="E225" i="24"/>
  <c r="L224" i="24"/>
  <c r="K224" i="24"/>
  <c r="J224" i="24"/>
  <c r="I224" i="24"/>
  <c r="H224" i="24"/>
  <c r="G224" i="24"/>
  <c r="F224" i="24"/>
  <c r="E224" i="24"/>
  <c r="L223" i="24"/>
  <c r="K223" i="24"/>
  <c r="J223" i="24"/>
  <c r="I223" i="24"/>
  <c r="H223" i="24"/>
  <c r="G223" i="24"/>
  <c r="F223" i="24"/>
  <c r="E223" i="24"/>
  <c r="L222" i="24"/>
  <c r="K222" i="24"/>
  <c r="J222" i="24"/>
  <c r="I222" i="24"/>
  <c r="H222" i="24"/>
  <c r="G222" i="24"/>
  <c r="F222" i="24"/>
  <c r="E222" i="24"/>
  <c r="L221" i="24"/>
  <c r="K221" i="24"/>
  <c r="J221" i="24"/>
  <c r="I221" i="24"/>
  <c r="H221" i="24"/>
  <c r="G221" i="24"/>
  <c r="F221" i="24"/>
  <c r="E221" i="24"/>
  <c r="L220" i="24"/>
  <c r="K220" i="24"/>
  <c r="J220" i="24"/>
  <c r="I220" i="24"/>
  <c r="H220" i="24"/>
  <c r="G220" i="24"/>
  <c r="F220" i="24"/>
  <c r="E220" i="24"/>
  <c r="L219" i="24"/>
  <c r="K219" i="24"/>
  <c r="J219" i="24"/>
  <c r="I219" i="24"/>
  <c r="H219" i="24"/>
  <c r="G219" i="24"/>
  <c r="F219" i="24"/>
  <c r="E219" i="24"/>
  <c r="L218" i="24"/>
  <c r="K218" i="24"/>
  <c r="J218" i="24"/>
  <c r="I218" i="24"/>
  <c r="H218" i="24"/>
  <c r="G218" i="24"/>
  <c r="F218" i="24"/>
  <c r="E218" i="24"/>
  <c r="L217" i="24"/>
  <c r="K217" i="24"/>
  <c r="J217" i="24"/>
  <c r="I217" i="24"/>
  <c r="H217" i="24"/>
  <c r="G217" i="24"/>
  <c r="F217" i="24"/>
  <c r="E217" i="24"/>
  <c r="L216" i="24"/>
  <c r="K216" i="24"/>
  <c r="J216" i="24"/>
  <c r="I216" i="24"/>
  <c r="H216" i="24"/>
  <c r="G216" i="24"/>
  <c r="F216" i="24"/>
  <c r="E216" i="24"/>
  <c r="L215" i="24"/>
  <c r="K215" i="24"/>
  <c r="J215" i="24"/>
  <c r="I215" i="24"/>
  <c r="H215" i="24"/>
  <c r="G215" i="24"/>
  <c r="F215" i="24"/>
  <c r="E215" i="24"/>
  <c r="L214" i="24"/>
  <c r="K214" i="24"/>
  <c r="J214" i="24"/>
  <c r="I214" i="24"/>
  <c r="H214" i="24"/>
  <c r="G214" i="24"/>
  <c r="F214" i="24"/>
  <c r="E214" i="24"/>
  <c r="L213" i="24"/>
  <c r="K213" i="24"/>
  <c r="J213" i="24"/>
  <c r="I213" i="24"/>
  <c r="H213" i="24"/>
  <c r="G213" i="24"/>
  <c r="F213" i="24"/>
  <c r="E213" i="24"/>
  <c r="L212" i="24"/>
  <c r="K212" i="24"/>
  <c r="J212" i="24"/>
  <c r="I212" i="24"/>
  <c r="H212" i="24"/>
  <c r="G212" i="24"/>
  <c r="F212" i="24"/>
  <c r="E212" i="24"/>
  <c r="L211" i="24"/>
  <c r="K211" i="24"/>
  <c r="J211" i="24"/>
  <c r="I211" i="24"/>
  <c r="H211" i="24"/>
  <c r="G211" i="24"/>
  <c r="F211" i="24"/>
  <c r="E211" i="24"/>
  <c r="L210" i="24"/>
  <c r="K210" i="24"/>
  <c r="J210" i="24"/>
  <c r="I210" i="24"/>
  <c r="H210" i="24"/>
  <c r="G210" i="24"/>
  <c r="F210" i="24"/>
  <c r="E210" i="24"/>
  <c r="L209" i="24"/>
  <c r="K209" i="24"/>
  <c r="J209" i="24"/>
  <c r="I209" i="24"/>
  <c r="H209" i="24"/>
  <c r="G209" i="24"/>
  <c r="F209" i="24"/>
  <c r="E209" i="24"/>
  <c r="L208" i="24"/>
  <c r="K208" i="24"/>
  <c r="J208" i="24"/>
  <c r="I208" i="24"/>
  <c r="H208" i="24"/>
  <c r="G208" i="24"/>
  <c r="F208" i="24"/>
  <c r="E208" i="24"/>
  <c r="L207" i="24"/>
  <c r="K207" i="24"/>
  <c r="J207" i="24"/>
  <c r="I207" i="24"/>
  <c r="H207" i="24"/>
  <c r="G207" i="24"/>
  <c r="F207" i="24"/>
  <c r="E207" i="24"/>
  <c r="L206" i="24"/>
  <c r="K206" i="24"/>
  <c r="J206" i="24"/>
  <c r="I206" i="24"/>
  <c r="H206" i="24"/>
  <c r="G206" i="24"/>
  <c r="F206" i="24"/>
  <c r="E206" i="24"/>
  <c r="L205" i="24"/>
  <c r="K205" i="24"/>
  <c r="J205" i="24"/>
  <c r="I205" i="24"/>
  <c r="H205" i="24"/>
  <c r="G205" i="24"/>
  <c r="F205" i="24"/>
  <c r="E205" i="24"/>
  <c r="L204" i="24"/>
  <c r="K204" i="24"/>
  <c r="J204" i="24"/>
  <c r="I204" i="24"/>
  <c r="H204" i="24"/>
  <c r="G204" i="24"/>
  <c r="F204" i="24"/>
  <c r="E204" i="24"/>
  <c r="L203" i="24"/>
  <c r="K203" i="24"/>
  <c r="J203" i="24"/>
  <c r="I203" i="24"/>
  <c r="H203" i="24"/>
  <c r="G203" i="24"/>
  <c r="F203" i="24"/>
  <c r="E203" i="24"/>
  <c r="L202" i="24"/>
  <c r="K202" i="24"/>
  <c r="J202" i="24"/>
  <c r="I202" i="24"/>
  <c r="H202" i="24"/>
  <c r="G202" i="24"/>
  <c r="F202" i="24"/>
  <c r="E202" i="24"/>
  <c r="L201" i="24"/>
  <c r="K201" i="24"/>
  <c r="J201" i="24"/>
  <c r="I201" i="24"/>
  <c r="H201" i="24"/>
  <c r="G201" i="24"/>
  <c r="F201" i="24"/>
  <c r="E201" i="24"/>
  <c r="L200" i="24"/>
  <c r="K200" i="24"/>
  <c r="J200" i="24"/>
  <c r="I200" i="24"/>
  <c r="H200" i="24"/>
  <c r="G200" i="24"/>
  <c r="F200" i="24"/>
  <c r="E200" i="24"/>
  <c r="L199" i="24"/>
  <c r="K199" i="24"/>
  <c r="J199" i="24"/>
  <c r="I199" i="24"/>
  <c r="H199" i="24"/>
  <c r="G199" i="24"/>
  <c r="F199" i="24"/>
  <c r="E199" i="24"/>
  <c r="L198" i="24"/>
  <c r="K198" i="24"/>
  <c r="J198" i="24"/>
  <c r="I198" i="24"/>
  <c r="H198" i="24"/>
  <c r="G198" i="24"/>
  <c r="F198" i="24"/>
  <c r="E198" i="24"/>
  <c r="L197" i="24"/>
  <c r="K197" i="24"/>
  <c r="J197" i="24"/>
  <c r="I197" i="24"/>
  <c r="H197" i="24"/>
  <c r="G197" i="24"/>
  <c r="F197" i="24"/>
  <c r="E197" i="24"/>
  <c r="L196" i="24"/>
  <c r="K196" i="24"/>
  <c r="J196" i="24"/>
  <c r="I196" i="24"/>
  <c r="H196" i="24"/>
  <c r="G196" i="24"/>
  <c r="F196" i="24"/>
  <c r="E196" i="24"/>
  <c r="L195" i="24"/>
  <c r="K195" i="24"/>
  <c r="J195" i="24"/>
  <c r="I195" i="24"/>
  <c r="H195" i="24"/>
  <c r="G195" i="24"/>
  <c r="F195" i="24"/>
  <c r="E195" i="24"/>
  <c r="L194" i="24"/>
  <c r="K194" i="24"/>
  <c r="J194" i="24"/>
  <c r="I194" i="24"/>
  <c r="H194" i="24"/>
  <c r="G194" i="24"/>
  <c r="F194" i="24"/>
  <c r="E194" i="24"/>
  <c r="L193" i="24"/>
  <c r="K193" i="24"/>
  <c r="J193" i="24"/>
  <c r="I193" i="24"/>
  <c r="H193" i="24"/>
  <c r="G193" i="24"/>
  <c r="F193" i="24"/>
  <c r="E193" i="24"/>
  <c r="L192" i="24"/>
  <c r="K192" i="24"/>
  <c r="J192" i="24"/>
  <c r="I192" i="24"/>
  <c r="H192" i="24"/>
  <c r="G192" i="24"/>
  <c r="F192" i="24"/>
  <c r="E192" i="24"/>
  <c r="L191" i="24"/>
  <c r="K191" i="24"/>
  <c r="J191" i="24"/>
  <c r="I191" i="24"/>
  <c r="H191" i="24"/>
  <c r="G191" i="24"/>
  <c r="F191" i="24"/>
  <c r="E191" i="24"/>
  <c r="L190" i="24"/>
  <c r="K190" i="24"/>
  <c r="J190" i="24"/>
  <c r="I190" i="24"/>
  <c r="H190" i="24"/>
  <c r="G190" i="24"/>
  <c r="F190" i="24"/>
  <c r="E190" i="24"/>
  <c r="L189" i="24"/>
  <c r="K189" i="24"/>
  <c r="J189" i="24"/>
  <c r="I189" i="24"/>
  <c r="H189" i="24"/>
  <c r="G189" i="24"/>
  <c r="F189" i="24"/>
  <c r="E189" i="24"/>
  <c r="L188" i="24"/>
  <c r="K188" i="24"/>
  <c r="J188" i="24"/>
  <c r="I188" i="24"/>
  <c r="H188" i="24"/>
  <c r="G188" i="24"/>
  <c r="F188" i="24"/>
  <c r="E188" i="24"/>
  <c r="L187" i="24"/>
  <c r="K187" i="24"/>
  <c r="J187" i="24"/>
  <c r="I187" i="24"/>
  <c r="H187" i="24"/>
  <c r="G187" i="24"/>
  <c r="F187" i="24"/>
  <c r="E187" i="24"/>
  <c r="L186" i="24"/>
  <c r="K186" i="24"/>
  <c r="J186" i="24"/>
  <c r="I186" i="24"/>
  <c r="H186" i="24"/>
  <c r="G186" i="24"/>
  <c r="F186" i="24"/>
  <c r="E186" i="24"/>
  <c r="L185" i="24"/>
  <c r="K185" i="24"/>
  <c r="J185" i="24"/>
  <c r="I185" i="24"/>
  <c r="H185" i="24"/>
  <c r="G185" i="24"/>
  <c r="F185" i="24"/>
  <c r="E185" i="24"/>
  <c r="L184" i="24"/>
  <c r="K184" i="24"/>
  <c r="J184" i="24"/>
  <c r="I184" i="24"/>
  <c r="H184" i="24"/>
  <c r="G184" i="24"/>
  <c r="F184" i="24"/>
  <c r="E184" i="24"/>
  <c r="L183" i="24"/>
  <c r="K183" i="24"/>
  <c r="J183" i="24"/>
  <c r="I183" i="24"/>
  <c r="H183" i="24"/>
  <c r="G183" i="24"/>
  <c r="F183" i="24"/>
  <c r="E183" i="24"/>
  <c r="L182" i="24"/>
  <c r="K182" i="24"/>
  <c r="J182" i="24"/>
  <c r="I182" i="24"/>
  <c r="H182" i="24"/>
  <c r="G182" i="24"/>
  <c r="F182" i="24"/>
  <c r="E182" i="24"/>
  <c r="L181" i="24"/>
  <c r="K181" i="24"/>
  <c r="J181" i="24"/>
  <c r="I181" i="24"/>
  <c r="H181" i="24"/>
  <c r="G181" i="24"/>
  <c r="F181" i="24"/>
  <c r="E181" i="24"/>
  <c r="L180" i="24"/>
  <c r="K180" i="24"/>
  <c r="J180" i="24"/>
  <c r="I180" i="24"/>
  <c r="H180" i="24"/>
  <c r="G180" i="24"/>
  <c r="F180" i="24"/>
  <c r="E180" i="24"/>
  <c r="L179" i="24"/>
  <c r="K179" i="24"/>
  <c r="J179" i="24"/>
  <c r="I179" i="24"/>
  <c r="H179" i="24"/>
  <c r="G179" i="24"/>
  <c r="F179" i="24"/>
  <c r="E179" i="24"/>
  <c r="L178" i="24"/>
  <c r="K178" i="24"/>
  <c r="J178" i="24"/>
  <c r="I178" i="24"/>
  <c r="H178" i="24"/>
  <c r="G178" i="24"/>
  <c r="F178" i="24"/>
  <c r="E178" i="24"/>
  <c r="L177" i="24"/>
  <c r="K177" i="24"/>
  <c r="J177" i="24"/>
  <c r="I177" i="24"/>
  <c r="H177" i="24"/>
  <c r="G177" i="24"/>
  <c r="F177" i="24"/>
  <c r="E177" i="24"/>
  <c r="L176" i="24"/>
  <c r="K176" i="24"/>
  <c r="J176" i="24"/>
  <c r="I176" i="24"/>
  <c r="H176" i="24"/>
  <c r="G176" i="24"/>
  <c r="F176" i="24"/>
  <c r="E176" i="24"/>
  <c r="L175" i="24"/>
  <c r="K175" i="24"/>
  <c r="J175" i="24"/>
  <c r="I175" i="24"/>
  <c r="H175" i="24"/>
  <c r="G175" i="24"/>
  <c r="F175" i="24"/>
  <c r="E175" i="24"/>
  <c r="L174" i="24"/>
  <c r="K174" i="24"/>
  <c r="J174" i="24"/>
  <c r="I174" i="24"/>
  <c r="H174" i="24"/>
  <c r="G174" i="24"/>
  <c r="F174" i="24"/>
  <c r="E174" i="24"/>
  <c r="L173" i="24"/>
  <c r="K173" i="24"/>
  <c r="J173" i="24"/>
  <c r="I173" i="24"/>
  <c r="H173" i="24"/>
  <c r="G173" i="24"/>
  <c r="F173" i="24"/>
  <c r="E173" i="24"/>
  <c r="L172" i="24"/>
  <c r="K172" i="24"/>
  <c r="J172" i="24"/>
  <c r="I172" i="24"/>
  <c r="H172" i="24"/>
  <c r="G172" i="24"/>
  <c r="F172" i="24"/>
  <c r="E172" i="24"/>
  <c r="L171" i="24"/>
  <c r="K171" i="24"/>
  <c r="J171" i="24"/>
  <c r="I171" i="24"/>
  <c r="H171" i="24"/>
  <c r="G171" i="24"/>
  <c r="F171" i="24"/>
  <c r="E171" i="24"/>
  <c r="L170" i="24"/>
  <c r="K170" i="24"/>
  <c r="J170" i="24"/>
  <c r="I170" i="24"/>
  <c r="H170" i="24"/>
  <c r="G170" i="24"/>
  <c r="F170" i="24"/>
  <c r="E170" i="24"/>
  <c r="L169" i="24"/>
  <c r="K169" i="24"/>
  <c r="J169" i="24"/>
  <c r="I169" i="24"/>
  <c r="H169" i="24"/>
  <c r="G169" i="24"/>
  <c r="F169" i="24"/>
  <c r="E169" i="24"/>
  <c r="L168" i="24"/>
  <c r="K168" i="24"/>
  <c r="J168" i="24"/>
  <c r="I168" i="24"/>
  <c r="H168" i="24"/>
  <c r="G168" i="24"/>
  <c r="F168" i="24"/>
  <c r="E168" i="24"/>
  <c r="L167" i="24"/>
  <c r="K167" i="24"/>
  <c r="J167" i="24"/>
  <c r="I167" i="24"/>
  <c r="H167" i="24"/>
  <c r="G167" i="24"/>
  <c r="F167" i="24"/>
  <c r="E167" i="24"/>
  <c r="L166" i="24"/>
  <c r="K166" i="24"/>
  <c r="J166" i="24"/>
  <c r="I166" i="24"/>
  <c r="H166" i="24"/>
  <c r="G166" i="24"/>
  <c r="F166" i="24"/>
  <c r="E166" i="24"/>
  <c r="L165" i="24"/>
  <c r="K165" i="24"/>
  <c r="J165" i="24"/>
  <c r="I165" i="24"/>
  <c r="H165" i="24"/>
  <c r="G165" i="24"/>
  <c r="F165" i="24"/>
  <c r="E165" i="24"/>
  <c r="L164" i="24"/>
  <c r="K164" i="24"/>
  <c r="J164" i="24"/>
  <c r="I164" i="24"/>
  <c r="H164" i="24"/>
  <c r="G164" i="24"/>
  <c r="F164" i="24"/>
  <c r="E164" i="24"/>
  <c r="L163" i="24"/>
  <c r="K163" i="24"/>
  <c r="J163" i="24"/>
  <c r="I163" i="24"/>
  <c r="H163" i="24"/>
  <c r="G163" i="24"/>
  <c r="F163" i="24"/>
  <c r="E163" i="24"/>
  <c r="L162" i="24"/>
  <c r="K162" i="24"/>
  <c r="J162" i="24"/>
  <c r="I162" i="24"/>
  <c r="H162" i="24"/>
  <c r="G162" i="24"/>
  <c r="F162" i="24"/>
  <c r="E162" i="24"/>
  <c r="L161" i="24"/>
  <c r="K161" i="24"/>
  <c r="J161" i="24"/>
  <c r="I161" i="24"/>
  <c r="H161" i="24"/>
  <c r="G161" i="24"/>
  <c r="F161" i="24"/>
  <c r="E161" i="24"/>
  <c r="L160" i="24"/>
  <c r="K160" i="24"/>
  <c r="J160" i="24"/>
  <c r="I160" i="24"/>
  <c r="H160" i="24"/>
  <c r="G160" i="24"/>
  <c r="F160" i="24"/>
  <c r="E160" i="24"/>
  <c r="L159" i="24"/>
  <c r="K159" i="24"/>
  <c r="J159" i="24"/>
  <c r="I159" i="24"/>
  <c r="H159" i="24"/>
  <c r="G159" i="24"/>
  <c r="F159" i="24"/>
  <c r="E159" i="24"/>
  <c r="L158" i="24"/>
  <c r="K158" i="24"/>
  <c r="J158" i="24"/>
  <c r="I158" i="24"/>
  <c r="H158" i="24"/>
  <c r="G158" i="24"/>
  <c r="F158" i="24"/>
  <c r="E158" i="24"/>
  <c r="L157" i="24"/>
  <c r="K157" i="24"/>
  <c r="J157" i="24"/>
  <c r="I157" i="24"/>
  <c r="H157" i="24"/>
  <c r="G157" i="24"/>
  <c r="F157" i="24"/>
  <c r="E157" i="24"/>
  <c r="L156" i="24"/>
  <c r="K156" i="24"/>
  <c r="J156" i="24"/>
  <c r="I156" i="24"/>
  <c r="H156" i="24"/>
  <c r="G156" i="24"/>
  <c r="F156" i="24"/>
  <c r="E156" i="24"/>
  <c r="L155" i="24"/>
  <c r="K155" i="24"/>
  <c r="J155" i="24"/>
  <c r="I155" i="24"/>
  <c r="H155" i="24"/>
  <c r="G155" i="24"/>
  <c r="F155" i="24"/>
  <c r="E155" i="24"/>
  <c r="L154" i="24"/>
  <c r="K154" i="24"/>
  <c r="J154" i="24"/>
  <c r="I154" i="24"/>
  <c r="H154" i="24"/>
  <c r="G154" i="24"/>
  <c r="F154" i="24"/>
  <c r="E154" i="24"/>
  <c r="L153" i="24"/>
  <c r="K153" i="24"/>
  <c r="J153" i="24"/>
  <c r="I153" i="24"/>
  <c r="H153" i="24"/>
  <c r="G153" i="24"/>
  <c r="F153" i="24"/>
  <c r="E153" i="24"/>
  <c r="L152" i="24"/>
  <c r="K152" i="24"/>
  <c r="J152" i="24"/>
  <c r="I152" i="24"/>
  <c r="H152" i="24"/>
  <c r="G152" i="24"/>
  <c r="F152" i="24"/>
  <c r="E152" i="24"/>
  <c r="L151" i="24"/>
  <c r="K151" i="24"/>
  <c r="J151" i="24"/>
  <c r="I151" i="24"/>
  <c r="H151" i="24"/>
  <c r="G151" i="24"/>
  <c r="F151" i="24"/>
  <c r="E151" i="24"/>
  <c r="L150" i="24"/>
  <c r="K150" i="24"/>
  <c r="J150" i="24"/>
  <c r="I150" i="24"/>
  <c r="H150" i="24"/>
  <c r="G150" i="24"/>
  <c r="F150" i="24"/>
  <c r="E150" i="24"/>
  <c r="L149" i="24"/>
  <c r="K149" i="24"/>
  <c r="J149" i="24"/>
  <c r="I149" i="24"/>
  <c r="H149" i="24"/>
  <c r="G149" i="24"/>
  <c r="F149" i="24"/>
  <c r="E149" i="24"/>
  <c r="L148" i="24"/>
  <c r="K148" i="24"/>
  <c r="J148" i="24"/>
  <c r="I148" i="24"/>
  <c r="H148" i="24"/>
  <c r="G148" i="24"/>
  <c r="F148" i="24"/>
  <c r="E148" i="24"/>
  <c r="L147" i="24"/>
  <c r="K147" i="24"/>
  <c r="J147" i="24"/>
  <c r="I147" i="24"/>
  <c r="H147" i="24"/>
  <c r="G147" i="24"/>
  <c r="F147" i="24"/>
  <c r="E147" i="24"/>
  <c r="L146" i="24"/>
  <c r="K146" i="24"/>
  <c r="J146" i="24"/>
  <c r="I146" i="24"/>
  <c r="H146" i="24"/>
  <c r="G146" i="24"/>
  <c r="F146" i="24"/>
  <c r="E146" i="24"/>
  <c r="L145" i="24"/>
  <c r="K145" i="24"/>
  <c r="J145" i="24"/>
  <c r="I145" i="24"/>
  <c r="H145" i="24"/>
  <c r="G145" i="24"/>
  <c r="F145" i="24"/>
  <c r="E145" i="24"/>
  <c r="L144" i="24"/>
  <c r="K144" i="24"/>
  <c r="J144" i="24"/>
  <c r="I144" i="24"/>
  <c r="H144" i="24"/>
  <c r="G144" i="24"/>
  <c r="F144" i="24"/>
  <c r="E144" i="24"/>
  <c r="L143" i="24"/>
  <c r="K143" i="24"/>
  <c r="J143" i="24"/>
  <c r="I143" i="24"/>
  <c r="H143" i="24"/>
  <c r="G143" i="24"/>
  <c r="F143" i="24"/>
  <c r="E143" i="24"/>
  <c r="L142" i="24"/>
  <c r="K142" i="24"/>
  <c r="J142" i="24"/>
  <c r="I142" i="24"/>
  <c r="H142" i="24"/>
  <c r="G142" i="24"/>
  <c r="F142" i="24"/>
  <c r="E142" i="24"/>
  <c r="L141" i="24"/>
  <c r="K141" i="24"/>
  <c r="J141" i="24"/>
  <c r="I141" i="24"/>
  <c r="H141" i="24"/>
  <c r="G141" i="24"/>
  <c r="F141" i="24"/>
  <c r="E141" i="24"/>
  <c r="L140" i="24"/>
  <c r="K140" i="24"/>
  <c r="J140" i="24"/>
  <c r="I140" i="24"/>
  <c r="H140" i="24"/>
  <c r="G140" i="24"/>
  <c r="F140" i="24"/>
  <c r="E140" i="24"/>
  <c r="L139" i="24"/>
  <c r="K139" i="24"/>
  <c r="J139" i="24"/>
  <c r="I139" i="24"/>
  <c r="H139" i="24"/>
  <c r="G139" i="24"/>
  <c r="F139" i="24"/>
  <c r="E139" i="24"/>
  <c r="L138" i="24"/>
  <c r="K138" i="24"/>
  <c r="J138" i="24"/>
  <c r="I138" i="24"/>
  <c r="H138" i="24"/>
  <c r="G138" i="24"/>
  <c r="F138" i="24"/>
  <c r="E138" i="24"/>
  <c r="L137" i="24"/>
  <c r="K137" i="24"/>
  <c r="J137" i="24"/>
  <c r="I137" i="24"/>
  <c r="H137" i="24"/>
  <c r="G137" i="24"/>
  <c r="F137" i="24"/>
  <c r="E137" i="24"/>
  <c r="L136" i="24"/>
  <c r="K136" i="24"/>
  <c r="J136" i="24"/>
  <c r="I136" i="24"/>
  <c r="H136" i="24"/>
  <c r="G136" i="24"/>
  <c r="F136" i="24"/>
  <c r="E136" i="24"/>
  <c r="L135" i="24"/>
  <c r="K135" i="24"/>
  <c r="J135" i="24"/>
  <c r="I135" i="24"/>
  <c r="H135" i="24"/>
  <c r="G135" i="24"/>
  <c r="F135" i="24"/>
  <c r="E135" i="24"/>
  <c r="L134" i="24"/>
  <c r="K134" i="24"/>
  <c r="J134" i="24"/>
  <c r="I134" i="24"/>
  <c r="H134" i="24"/>
  <c r="G134" i="24"/>
  <c r="F134" i="24"/>
  <c r="E134" i="24"/>
  <c r="L133" i="24"/>
  <c r="K133" i="24"/>
  <c r="J133" i="24"/>
  <c r="I133" i="24"/>
  <c r="H133" i="24"/>
  <c r="G133" i="24"/>
  <c r="F133" i="24"/>
  <c r="E133" i="24"/>
  <c r="L132" i="24"/>
  <c r="K132" i="24"/>
  <c r="J132" i="24"/>
  <c r="I132" i="24"/>
  <c r="H132" i="24"/>
  <c r="G132" i="24"/>
  <c r="F132" i="24"/>
  <c r="E132" i="24"/>
  <c r="L131" i="24"/>
  <c r="K131" i="24"/>
  <c r="J131" i="24"/>
  <c r="I131" i="24"/>
  <c r="H131" i="24"/>
  <c r="G131" i="24"/>
  <c r="F131" i="24"/>
  <c r="E131" i="24"/>
  <c r="L130" i="24"/>
  <c r="K130" i="24"/>
  <c r="J130" i="24"/>
  <c r="I130" i="24"/>
  <c r="H130" i="24"/>
  <c r="G130" i="24"/>
  <c r="F130" i="24"/>
  <c r="E130" i="24"/>
  <c r="L129" i="24"/>
  <c r="K129" i="24"/>
  <c r="J129" i="24"/>
  <c r="I129" i="24"/>
  <c r="H129" i="24"/>
  <c r="G129" i="24"/>
  <c r="F129" i="24"/>
  <c r="E129" i="24"/>
  <c r="L128" i="24"/>
  <c r="K128" i="24"/>
  <c r="J128" i="24"/>
  <c r="I128" i="24"/>
  <c r="H128" i="24"/>
  <c r="G128" i="24"/>
  <c r="F128" i="24"/>
  <c r="E128" i="24"/>
  <c r="L127" i="24"/>
  <c r="K127" i="24"/>
  <c r="J127" i="24"/>
  <c r="I127" i="24"/>
  <c r="H127" i="24"/>
  <c r="G127" i="24"/>
  <c r="F127" i="24"/>
  <c r="E127" i="24"/>
  <c r="L126" i="24"/>
  <c r="K126" i="24"/>
  <c r="J126" i="24"/>
  <c r="I126" i="24"/>
  <c r="H126" i="24"/>
  <c r="G126" i="24"/>
  <c r="F126" i="24"/>
  <c r="E126" i="24"/>
  <c r="L125" i="24"/>
  <c r="K125" i="24"/>
  <c r="J125" i="24"/>
  <c r="I125" i="24"/>
  <c r="H125" i="24"/>
  <c r="G125" i="24"/>
  <c r="F125" i="24"/>
  <c r="E125" i="24"/>
  <c r="L124" i="24"/>
  <c r="K124" i="24"/>
  <c r="J124" i="24"/>
  <c r="I124" i="24"/>
  <c r="H124" i="24"/>
  <c r="G124" i="24"/>
  <c r="F124" i="24"/>
  <c r="E124" i="24"/>
  <c r="L123" i="24"/>
  <c r="K123" i="24"/>
  <c r="J123" i="24"/>
  <c r="I123" i="24"/>
  <c r="H123" i="24"/>
  <c r="G123" i="24"/>
  <c r="F123" i="24"/>
  <c r="E123" i="24"/>
  <c r="L122" i="24"/>
  <c r="K122" i="24"/>
  <c r="J122" i="24"/>
  <c r="I122" i="24"/>
  <c r="H122" i="24"/>
  <c r="G122" i="24"/>
  <c r="F122" i="24"/>
  <c r="E122" i="24"/>
  <c r="L121" i="24"/>
  <c r="K121" i="24"/>
  <c r="J121" i="24"/>
  <c r="I121" i="24"/>
  <c r="H121" i="24"/>
  <c r="G121" i="24"/>
  <c r="F121" i="24"/>
  <c r="E121" i="24"/>
  <c r="L120" i="24"/>
  <c r="K120" i="24"/>
  <c r="J120" i="24"/>
  <c r="I120" i="24"/>
  <c r="H120" i="24"/>
  <c r="G120" i="24"/>
  <c r="F120" i="24"/>
  <c r="E120" i="24"/>
  <c r="L119" i="24"/>
  <c r="K119" i="24"/>
  <c r="J119" i="24"/>
  <c r="I119" i="24"/>
  <c r="H119" i="24"/>
  <c r="G119" i="24"/>
  <c r="F119" i="24"/>
  <c r="E119" i="24"/>
  <c r="L118" i="24"/>
  <c r="K118" i="24"/>
  <c r="J118" i="24"/>
  <c r="I118" i="24"/>
  <c r="H118" i="24"/>
  <c r="G118" i="24"/>
  <c r="F118" i="24"/>
  <c r="E118" i="24"/>
  <c r="L117" i="24"/>
  <c r="K117" i="24"/>
  <c r="J117" i="24"/>
  <c r="I117" i="24"/>
  <c r="H117" i="24"/>
  <c r="G117" i="24"/>
  <c r="F117" i="24"/>
  <c r="E117" i="24"/>
  <c r="L116" i="24"/>
  <c r="K116" i="24"/>
  <c r="J116" i="24"/>
  <c r="I116" i="24"/>
  <c r="H116" i="24"/>
  <c r="G116" i="24"/>
  <c r="F116" i="24"/>
  <c r="E116" i="24"/>
  <c r="L115" i="24"/>
  <c r="K115" i="24"/>
  <c r="J115" i="24"/>
  <c r="I115" i="24"/>
  <c r="H115" i="24"/>
  <c r="G115" i="24"/>
  <c r="F115" i="24"/>
  <c r="E115" i="24"/>
  <c r="L114" i="24"/>
  <c r="K114" i="24"/>
  <c r="J114" i="24"/>
  <c r="I114" i="24"/>
  <c r="H114" i="24"/>
  <c r="G114" i="24"/>
  <c r="F114" i="24"/>
  <c r="E114" i="24"/>
  <c r="L113" i="24"/>
  <c r="K113" i="24"/>
  <c r="J113" i="24"/>
  <c r="I113" i="24"/>
  <c r="H113" i="24"/>
  <c r="G113" i="24"/>
  <c r="F113" i="24"/>
  <c r="E113" i="24"/>
  <c r="L112" i="24"/>
  <c r="K112" i="24"/>
  <c r="J112" i="24"/>
  <c r="I112" i="24"/>
  <c r="H112" i="24"/>
  <c r="G112" i="24"/>
  <c r="F112" i="24"/>
  <c r="E112" i="24"/>
  <c r="L111" i="24"/>
  <c r="K111" i="24"/>
  <c r="J111" i="24"/>
  <c r="I111" i="24"/>
  <c r="H111" i="24"/>
  <c r="G111" i="24"/>
  <c r="F111" i="24"/>
  <c r="E111" i="24"/>
  <c r="L110" i="24"/>
  <c r="K110" i="24"/>
  <c r="J110" i="24"/>
  <c r="I110" i="24"/>
  <c r="H110" i="24"/>
  <c r="G110" i="24"/>
  <c r="F110" i="24"/>
  <c r="E110" i="24"/>
  <c r="L109" i="24"/>
  <c r="K109" i="24"/>
  <c r="J109" i="24"/>
  <c r="I109" i="24"/>
  <c r="H109" i="24"/>
  <c r="G109" i="24"/>
  <c r="F109" i="24"/>
  <c r="E109" i="24"/>
  <c r="L108" i="24"/>
  <c r="K108" i="24"/>
  <c r="J108" i="24"/>
  <c r="I108" i="24"/>
  <c r="H108" i="24"/>
  <c r="G108" i="24"/>
  <c r="F108" i="24"/>
  <c r="E108" i="24"/>
  <c r="L107" i="24"/>
  <c r="K107" i="24"/>
  <c r="J107" i="24"/>
  <c r="I107" i="24"/>
  <c r="H107" i="24"/>
  <c r="G107" i="24"/>
  <c r="F107" i="24"/>
  <c r="E107" i="24"/>
  <c r="L106" i="24"/>
  <c r="K106" i="24"/>
  <c r="J106" i="24"/>
  <c r="I106" i="24"/>
  <c r="H106" i="24"/>
  <c r="G106" i="24"/>
  <c r="F106" i="24"/>
  <c r="E106" i="24"/>
  <c r="L105" i="24"/>
  <c r="K105" i="24"/>
  <c r="J105" i="24"/>
  <c r="I105" i="24"/>
  <c r="H105" i="24"/>
  <c r="G105" i="24"/>
  <c r="F105" i="24"/>
  <c r="E105" i="24"/>
  <c r="L104" i="24"/>
  <c r="K104" i="24"/>
  <c r="J104" i="24"/>
  <c r="I104" i="24"/>
  <c r="H104" i="24"/>
  <c r="G104" i="24"/>
  <c r="F104" i="24"/>
  <c r="E104" i="24"/>
  <c r="L103" i="24"/>
  <c r="K103" i="24"/>
  <c r="J103" i="24"/>
  <c r="I103" i="24"/>
  <c r="H103" i="24"/>
  <c r="G103" i="24"/>
  <c r="F103" i="24"/>
  <c r="E103" i="24"/>
  <c r="L102" i="24"/>
  <c r="K102" i="24"/>
  <c r="J102" i="24"/>
  <c r="I102" i="24"/>
  <c r="H102" i="24"/>
  <c r="G102" i="24"/>
  <c r="F102" i="24"/>
  <c r="E102" i="24"/>
  <c r="L101" i="24"/>
  <c r="K101" i="24"/>
  <c r="J101" i="24"/>
  <c r="I101" i="24"/>
  <c r="H101" i="24"/>
  <c r="G101" i="24"/>
  <c r="F101" i="24"/>
  <c r="E101" i="24"/>
  <c r="L100" i="24"/>
  <c r="K100" i="24"/>
  <c r="J100" i="24"/>
  <c r="I100" i="24"/>
  <c r="H100" i="24"/>
  <c r="G100" i="24"/>
  <c r="F100" i="24"/>
  <c r="E100" i="24"/>
  <c r="L99" i="24"/>
  <c r="K99" i="24"/>
  <c r="J99" i="24"/>
  <c r="I99" i="24"/>
  <c r="H99" i="24"/>
  <c r="G99" i="24"/>
  <c r="F99" i="24"/>
  <c r="E99" i="24"/>
  <c r="L98" i="24"/>
  <c r="K98" i="24"/>
  <c r="J98" i="24"/>
  <c r="I98" i="24"/>
  <c r="H98" i="24"/>
  <c r="G98" i="24"/>
  <c r="F98" i="24"/>
  <c r="E98" i="24"/>
  <c r="L97" i="24"/>
  <c r="K97" i="24"/>
  <c r="J97" i="24"/>
  <c r="I97" i="24"/>
  <c r="H97" i="24"/>
  <c r="G97" i="24"/>
  <c r="F97" i="24"/>
  <c r="E97" i="24"/>
  <c r="L96" i="24"/>
  <c r="K96" i="24"/>
  <c r="J96" i="24"/>
  <c r="I96" i="24"/>
  <c r="H96" i="24"/>
  <c r="G96" i="24"/>
  <c r="F96" i="24"/>
  <c r="E96" i="24"/>
  <c r="L95" i="24"/>
  <c r="K95" i="24"/>
  <c r="J95" i="24"/>
  <c r="I95" i="24"/>
  <c r="H95" i="24"/>
  <c r="G95" i="24"/>
  <c r="F95" i="24"/>
  <c r="E95" i="24"/>
  <c r="L94" i="24"/>
  <c r="K94" i="24"/>
  <c r="J94" i="24"/>
  <c r="I94" i="24"/>
  <c r="H94" i="24"/>
  <c r="G94" i="24"/>
  <c r="F94" i="24"/>
  <c r="E94" i="24"/>
  <c r="L93" i="24"/>
  <c r="K93" i="24"/>
  <c r="J93" i="24"/>
  <c r="I93" i="24"/>
  <c r="H93" i="24"/>
  <c r="G93" i="24"/>
  <c r="F93" i="24"/>
  <c r="E93" i="24"/>
  <c r="L92" i="24"/>
  <c r="K92" i="24"/>
  <c r="J92" i="24"/>
  <c r="I92" i="24"/>
  <c r="H92" i="24"/>
  <c r="G92" i="24"/>
  <c r="F92" i="24"/>
  <c r="E92" i="24"/>
  <c r="L91" i="24"/>
  <c r="K91" i="24"/>
  <c r="J91" i="24"/>
  <c r="I91" i="24"/>
  <c r="H91" i="24"/>
  <c r="G91" i="24"/>
  <c r="F91" i="24"/>
  <c r="E91" i="24"/>
  <c r="L90" i="24"/>
  <c r="K90" i="24"/>
  <c r="J90" i="24"/>
  <c r="I90" i="24"/>
  <c r="H90" i="24"/>
  <c r="G90" i="24"/>
  <c r="F90" i="24"/>
  <c r="E90" i="24"/>
  <c r="L89" i="24"/>
  <c r="K89" i="24"/>
  <c r="J89" i="24"/>
  <c r="I89" i="24"/>
  <c r="H89" i="24"/>
  <c r="G89" i="24"/>
  <c r="F89" i="24"/>
  <c r="E89" i="24"/>
  <c r="L88" i="24"/>
  <c r="K88" i="24"/>
  <c r="J88" i="24"/>
  <c r="I88" i="24"/>
  <c r="H88" i="24"/>
  <c r="G88" i="24"/>
  <c r="F88" i="24"/>
  <c r="E88" i="24"/>
  <c r="L87" i="24"/>
  <c r="K87" i="24"/>
  <c r="J87" i="24"/>
  <c r="I87" i="24"/>
  <c r="H87" i="24"/>
  <c r="G87" i="24"/>
  <c r="F87" i="24"/>
  <c r="E87" i="24"/>
  <c r="L86" i="24"/>
  <c r="K86" i="24"/>
  <c r="J86" i="24"/>
  <c r="I86" i="24"/>
  <c r="H86" i="24"/>
  <c r="G86" i="24"/>
  <c r="F86" i="24"/>
  <c r="E86" i="24"/>
  <c r="L85" i="24"/>
  <c r="K85" i="24"/>
  <c r="J85" i="24"/>
  <c r="I85" i="24"/>
  <c r="H85" i="24"/>
  <c r="G85" i="24"/>
  <c r="F85" i="24"/>
  <c r="E85" i="24"/>
  <c r="L84" i="24"/>
  <c r="K84" i="24"/>
  <c r="J84" i="24"/>
  <c r="I84" i="24"/>
  <c r="H84" i="24"/>
  <c r="G84" i="24"/>
  <c r="F84" i="24"/>
  <c r="E84" i="24"/>
  <c r="L83" i="24"/>
  <c r="K83" i="24"/>
  <c r="J83" i="24"/>
  <c r="I83" i="24"/>
  <c r="H83" i="24"/>
  <c r="G83" i="24"/>
  <c r="F83" i="24"/>
  <c r="E83" i="24"/>
  <c r="L82" i="24"/>
  <c r="K82" i="24"/>
  <c r="J82" i="24"/>
  <c r="I82" i="24"/>
  <c r="H82" i="24"/>
  <c r="G82" i="24"/>
  <c r="F82" i="24"/>
  <c r="E82" i="24"/>
  <c r="L81" i="24"/>
  <c r="K81" i="24"/>
  <c r="J81" i="24"/>
  <c r="I81" i="24"/>
  <c r="H81" i="24"/>
  <c r="G81" i="24"/>
  <c r="F81" i="24"/>
  <c r="E81" i="24"/>
  <c r="L80" i="24"/>
  <c r="K80" i="24"/>
  <c r="J80" i="24"/>
  <c r="I80" i="24"/>
  <c r="H80" i="24"/>
  <c r="G80" i="24"/>
  <c r="F80" i="24"/>
  <c r="E80" i="24"/>
  <c r="L79" i="24"/>
  <c r="K79" i="24"/>
  <c r="J79" i="24"/>
  <c r="I79" i="24"/>
  <c r="H79" i="24"/>
  <c r="G79" i="24"/>
  <c r="F79" i="24"/>
  <c r="E79" i="24"/>
  <c r="L78" i="24"/>
  <c r="K78" i="24"/>
  <c r="J78" i="24"/>
  <c r="I78" i="24"/>
  <c r="H78" i="24"/>
  <c r="G78" i="24"/>
  <c r="F78" i="24"/>
  <c r="E78" i="24"/>
  <c r="L77" i="24"/>
  <c r="K77" i="24"/>
  <c r="J77" i="24"/>
  <c r="I77" i="24"/>
  <c r="H77" i="24"/>
  <c r="G77" i="24"/>
  <c r="F77" i="24"/>
  <c r="E77" i="24"/>
  <c r="L76" i="24"/>
  <c r="K76" i="24"/>
  <c r="J76" i="24"/>
  <c r="I76" i="24"/>
  <c r="H76" i="24"/>
  <c r="G76" i="24"/>
  <c r="F76" i="24"/>
  <c r="E76" i="24"/>
  <c r="L75" i="24"/>
  <c r="K75" i="24"/>
  <c r="J75" i="24"/>
  <c r="I75" i="24"/>
  <c r="H75" i="24"/>
  <c r="G75" i="24"/>
  <c r="F75" i="24"/>
  <c r="E75" i="24"/>
  <c r="L74" i="24"/>
  <c r="K74" i="24"/>
  <c r="J74" i="24"/>
  <c r="I74" i="24"/>
  <c r="H74" i="24"/>
  <c r="G74" i="24"/>
  <c r="F74" i="24"/>
  <c r="E74" i="24"/>
  <c r="L73" i="24"/>
  <c r="K73" i="24"/>
  <c r="J73" i="24"/>
  <c r="I73" i="24"/>
  <c r="H73" i="24"/>
  <c r="G73" i="24"/>
  <c r="F73" i="24"/>
  <c r="E73" i="24"/>
  <c r="L72" i="24"/>
  <c r="K72" i="24"/>
  <c r="J72" i="24"/>
  <c r="I72" i="24"/>
  <c r="H72" i="24"/>
  <c r="G72" i="24"/>
  <c r="F72" i="24"/>
  <c r="E72" i="24"/>
  <c r="L71" i="24"/>
  <c r="K71" i="24"/>
  <c r="J71" i="24"/>
  <c r="I71" i="24"/>
  <c r="H71" i="24"/>
  <c r="G71" i="24"/>
  <c r="F71" i="24"/>
  <c r="E71" i="24"/>
  <c r="L70" i="24"/>
  <c r="K70" i="24"/>
  <c r="J70" i="24"/>
  <c r="I70" i="24"/>
  <c r="H70" i="24"/>
  <c r="G70" i="24"/>
  <c r="F70" i="24"/>
  <c r="E70" i="24"/>
  <c r="L69" i="24"/>
  <c r="K69" i="24"/>
  <c r="J69" i="24"/>
  <c r="I69" i="24"/>
  <c r="H69" i="24"/>
  <c r="G69" i="24"/>
  <c r="F69" i="24"/>
  <c r="E69" i="24"/>
  <c r="L68" i="24"/>
  <c r="K68" i="24"/>
  <c r="J68" i="24"/>
  <c r="I68" i="24"/>
  <c r="H68" i="24"/>
  <c r="G68" i="24"/>
  <c r="F68" i="24"/>
  <c r="E68" i="24"/>
  <c r="L67" i="24"/>
  <c r="K67" i="24"/>
  <c r="J67" i="24"/>
  <c r="I67" i="24"/>
  <c r="H67" i="24"/>
  <c r="G67" i="24"/>
  <c r="F67" i="24"/>
  <c r="E67" i="24"/>
  <c r="L66" i="24"/>
  <c r="K66" i="24"/>
  <c r="J66" i="24"/>
  <c r="I66" i="24"/>
  <c r="H66" i="24"/>
  <c r="G66" i="24"/>
  <c r="F66" i="24"/>
  <c r="E66" i="24"/>
  <c r="L65" i="24"/>
  <c r="K65" i="24"/>
  <c r="J65" i="24"/>
  <c r="I65" i="24"/>
  <c r="H65" i="24"/>
  <c r="G65" i="24"/>
  <c r="F65" i="24"/>
  <c r="E65" i="24"/>
  <c r="L64" i="24"/>
  <c r="K64" i="24"/>
  <c r="J64" i="24"/>
  <c r="I64" i="24"/>
  <c r="H64" i="24"/>
  <c r="G64" i="24"/>
  <c r="F64" i="24"/>
  <c r="E64" i="24"/>
  <c r="L63" i="24"/>
  <c r="K63" i="24"/>
  <c r="J63" i="24"/>
  <c r="I63" i="24"/>
  <c r="H63" i="24"/>
  <c r="G63" i="24"/>
  <c r="F63" i="24"/>
  <c r="E63" i="24"/>
  <c r="L62" i="24"/>
  <c r="K62" i="24"/>
  <c r="J62" i="24"/>
  <c r="I62" i="24"/>
  <c r="H62" i="24"/>
  <c r="G62" i="24"/>
  <c r="F62" i="24"/>
  <c r="E62" i="24"/>
  <c r="L61" i="24"/>
  <c r="K61" i="24"/>
  <c r="J61" i="24"/>
  <c r="I61" i="24"/>
  <c r="H61" i="24"/>
  <c r="G61" i="24"/>
  <c r="F61" i="24"/>
  <c r="E61" i="24"/>
  <c r="L60" i="24"/>
  <c r="K60" i="24"/>
  <c r="J60" i="24"/>
  <c r="I60" i="24"/>
  <c r="H60" i="24"/>
  <c r="G60" i="24"/>
  <c r="F60" i="24"/>
  <c r="E60" i="24"/>
  <c r="L59" i="24"/>
  <c r="K59" i="24"/>
  <c r="J59" i="24"/>
  <c r="I59" i="24"/>
  <c r="H59" i="24"/>
  <c r="G59" i="24"/>
  <c r="F59" i="24"/>
  <c r="E59" i="24"/>
  <c r="L58" i="24"/>
  <c r="K58" i="24"/>
  <c r="J58" i="24"/>
  <c r="I58" i="24"/>
  <c r="H58" i="24"/>
  <c r="G58" i="24"/>
  <c r="F58" i="24"/>
  <c r="E58" i="24"/>
  <c r="L57" i="24"/>
  <c r="K57" i="24"/>
  <c r="J57" i="24"/>
  <c r="I57" i="24"/>
  <c r="H57" i="24"/>
  <c r="G57" i="24"/>
  <c r="F57" i="24"/>
  <c r="E57" i="24"/>
  <c r="L56" i="24"/>
  <c r="K56" i="24"/>
  <c r="J56" i="24"/>
  <c r="I56" i="24"/>
  <c r="H56" i="24"/>
  <c r="G56" i="24"/>
  <c r="F56" i="24"/>
  <c r="E56" i="24"/>
  <c r="L55" i="24"/>
  <c r="K55" i="24"/>
  <c r="J55" i="24"/>
  <c r="I55" i="24"/>
  <c r="H55" i="24"/>
  <c r="G55" i="24"/>
  <c r="F55" i="24"/>
  <c r="E55" i="24"/>
  <c r="L54" i="24"/>
  <c r="K54" i="24"/>
  <c r="J54" i="24"/>
  <c r="I54" i="24"/>
  <c r="H54" i="24"/>
  <c r="G54" i="24"/>
  <c r="F54" i="24"/>
  <c r="E54" i="24"/>
  <c r="L53" i="24"/>
  <c r="K53" i="24"/>
  <c r="J53" i="24"/>
  <c r="I53" i="24"/>
  <c r="H53" i="24"/>
  <c r="G53" i="24"/>
  <c r="F53" i="24"/>
  <c r="E53" i="24"/>
  <c r="L52" i="24"/>
  <c r="K52" i="24"/>
  <c r="J52" i="24"/>
  <c r="I52" i="24"/>
  <c r="H52" i="24"/>
  <c r="G52" i="24"/>
  <c r="F52" i="24"/>
  <c r="E52" i="24"/>
  <c r="L51" i="24"/>
  <c r="K51" i="24"/>
  <c r="J51" i="24"/>
  <c r="I51" i="24"/>
  <c r="H51" i="24"/>
  <c r="G51" i="24"/>
  <c r="F51" i="24"/>
  <c r="E51" i="24"/>
  <c r="L50" i="24"/>
  <c r="K50" i="24"/>
  <c r="J50" i="24"/>
  <c r="I50" i="24"/>
  <c r="H50" i="24"/>
  <c r="G50" i="24"/>
  <c r="F50" i="24"/>
  <c r="E50" i="24"/>
  <c r="L49" i="24"/>
  <c r="K49" i="24"/>
  <c r="J49" i="24"/>
  <c r="I49" i="24"/>
  <c r="H49" i="24"/>
  <c r="G49" i="24"/>
  <c r="F49" i="24"/>
  <c r="E49" i="24"/>
  <c r="L48" i="24"/>
  <c r="K48" i="24"/>
  <c r="J48" i="24"/>
  <c r="I48" i="24"/>
  <c r="H48" i="24"/>
  <c r="G48" i="24"/>
  <c r="F48" i="24"/>
  <c r="E48" i="24"/>
  <c r="L47" i="24"/>
  <c r="K47" i="24"/>
  <c r="J47" i="24"/>
  <c r="I47" i="24"/>
  <c r="H47" i="24"/>
  <c r="G47" i="24"/>
  <c r="F47" i="24"/>
  <c r="E47" i="24"/>
  <c r="L46" i="24"/>
  <c r="K46" i="24"/>
  <c r="J46" i="24"/>
  <c r="I46" i="24"/>
  <c r="H46" i="24"/>
  <c r="G46" i="24"/>
  <c r="F46" i="24"/>
  <c r="E46" i="24"/>
  <c r="L45" i="24"/>
  <c r="K45" i="24"/>
  <c r="J45" i="24"/>
  <c r="I45" i="24"/>
  <c r="H45" i="24"/>
  <c r="G45" i="24"/>
  <c r="F45" i="24"/>
  <c r="E45" i="24"/>
  <c r="L44" i="24"/>
  <c r="K44" i="24"/>
  <c r="J44" i="24"/>
  <c r="I44" i="24"/>
  <c r="H44" i="24"/>
  <c r="G44" i="24"/>
  <c r="F44" i="24"/>
  <c r="E44" i="24"/>
  <c r="L43" i="24"/>
  <c r="K43" i="24"/>
  <c r="J43" i="24"/>
  <c r="I43" i="24"/>
  <c r="H43" i="24"/>
  <c r="G43" i="24"/>
  <c r="F43" i="24"/>
  <c r="E43" i="24"/>
  <c r="L42" i="24"/>
  <c r="K42" i="24"/>
  <c r="J42" i="24"/>
  <c r="I42" i="24"/>
  <c r="H42" i="24"/>
  <c r="G42" i="24"/>
  <c r="F42" i="24"/>
  <c r="E42" i="24"/>
  <c r="L41" i="24"/>
  <c r="K41" i="24"/>
  <c r="J41" i="24"/>
  <c r="I41" i="24"/>
  <c r="H41" i="24"/>
  <c r="G41" i="24"/>
  <c r="F41" i="24"/>
  <c r="E41" i="24"/>
  <c r="L40" i="24"/>
  <c r="K40" i="24"/>
  <c r="J40" i="24"/>
  <c r="I40" i="24"/>
  <c r="H40" i="24"/>
  <c r="G40" i="24"/>
  <c r="F40" i="24"/>
  <c r="E40" i="24"/>
  <c r="L39" i="24"/>
  <c r="K39" i="24"/>
  <c r="J39" i="24"/>
  <c r="I39" i="24"/>
  <c r="H39" i="24"/>
  <c r="G39" i="24"/>
  <c r="F39" i="24"/>
  <c r="E39" i="24"/>
  <c r="L38" i="24"/>
  <c r="K38" i="24"/>
  <c r="J38" i="24"/>
  <c r="I38" i="24"/>
  <c r="H38" i="24"/>
  <c r="G38" i="24"/>
  <c r="F38" i="24"/>
  <c r="E38" i="24"/>
  <c r="L37" i="24"/>
  <c r="K37" i="24"/>
  <c r="J37" i="24"/>
  <c r="I37" i="24"/>
  <c r="H37" i="24"/>
  <c r="G37" i="24"/>
  <c r="F37" i="24"/>
  <c r="E37" i="24"/>
  <c r="L36" i="24"/>
  <c r="K36" i="24"/>
  <c r="J36" i="24"/>
  <c r="I36" i="24"/>
  <c r="H36" i="24"/>
  <c r="G36" i="24"/>
  <c r="F36" i="24"/>
  <c r="E36" i="24"/>
  <c r="L35" i="24"/>
  <c r="K35" i="24"/>
  <c r="J35" i="24"/>
  <c r="I35" i="24"/>
  <c r="H35" i="24"/>
  <c r="G35" i="24"/>
  <c r="F35" i="24"/>
  <c r="E35" i="24"/>
  <c r="L34" i="24"/>
  <c r="K34" i="24"/>
  <c r="J34" i="24"/>
  <c r="I34" i="24"/>
  <c r="H34" i="24"/>
  <c r="G34" i="24"/>
  <c r="F34" i="24"/>
  <c r="E34" i="24"/>
  <c r="L33" i="24"/>
  <c r="K33" i="24"/>
  <c r="J33" i="24"/>
  <c r="I33" i="24"/>
  <c r="H33" i="24"/>
  <c r="G33" i="24"/>
  <c r="F33" i="24"/>
  <c r="E33" i="24"/>
  <c r="L32" i="24"/>
  <c r="K32" i="24"/>
  <c r="J32" i="24"/>
  <c r="I32" i="24"/>
  <c r="H32" i="24"/>
  <c r="G32" i="24"/>
  <c r="F32" i="24"/>
  <c r="E32" i="24"/>
  <c r="L31" i="24"/>
  <c r="K31" i="24"/>
  <c r="J31" i="24"/>
  <c r="I31" i="24"/>
  <c r="H31" i="24"/>
  <c r="G31" i="24"/>
  <c r="F31" i="24"/>
  <c r="E31" i="24"/>
  <c r="L30" i="24"/>
  <c r="K30" i="24"/>
  <c r="J30" i="24"/>
  <c r="I30" i="24"/>
  <c r="H30" i="24"/>
  <c r="G30" i="24"/>
  <c r="F30" i="24"/>
  <c r="E30" i="24"/>
  <c r="L29" i="24"/>
  <c r="K29" i="24"/>
  <c r="J29" i="24"/>
  <c r="I29" i="24"/>
  <c r="H29" i="24"/>
  <c r="G29" i="24"/>
  <c r="F29" i="24"/>
  <c r="E29" i="24"/>
  <c r="L28" i="24"/>
  <c r="K28" i="24"/>
  <c r="J28" i="24"/>
  <c r="I28" i="24"/>
  <c r="H28" i="24"/>
  <c r="G28" i="24"/>
  <c r="F28" i="24"/>
  <c r="E28" i="24"/>
  <c r="L27" i="24"/>
  <c r="K27" i="24"/>
  <c r="J27" i="24"/>
  <c r="I27" i="24"/>
  <c r="H27" i="24"/>
  <c r="G27" i="24"/>
  <c r="F27" i="24"/>
  <c r="E27" i="24"/>
  <c r="L26" i="24"/>
  <c r="K26" i="24"/>
  <c r="J26" i="24"/>
  <c r="I26" i="24"/>
  <c r="H26" i="24"/>
  <c r="G26" i="24"/>
  <c r="F26" i="24"/>
  <c r="E26" i="24"/>
  <c r="L25" i="24"/>
  <c r="K25" i="24"/>
  <c r="J25" i="24"/>
  <c r="I25" i="24"/>
  <c r="H25" i="24"/>
  <c r="G25" i="24"/>
  <c r="F25" i="24"/>
  <c r="E25" i="24"/>
  <c r="L24" i="24"/>
  <c r="K24" i="24"/>
  <c r="J24" i="24"/>
  <c r="I24" i="24"/>
  <c r="H24" i="24"/>
  <c r="G24" i="24"/>
  <c r="F24" i="24"/>
  <c r="E24" i="24"/>
  <c r="L23" i="24"/>
  <c r="K23" i="24"/>
  <c r="J23" i="24"/>
  <c r="I23" i="24"/>
  <c r="H23" i="24"/>
  <c r="G23" i="24"/>
  <c r="F23" i="24"/>
  <c r="E23" i="24"/>
  <c r="L22" i="24"/>
  <c r="K22" i="24"/>
  <c r="J22" i="24"/>
  <c r="I22" i="24"/>
  <c r="H22" i="24"/>
  <c r="G22" i="24"/>
  <c r="F22" i="24"/>
  <c r="E22" i="24"/>
  <c r="L21" i="24"/>
  <c r="K21" i="24"/>
  <c r="J21" i="24"/>
  <c r="I21" i="24"/>
  <c r="H21" i="24"/>
  <c r="G21" i="24"/>
  <c r="F21" i="24"/>
  <c r="E21" i="24"/>
  <c r="L20" i="24"/>
  <c r="K20" i="24"/>
  <c r="J20" i="24"/>
  <c r="I20" i="24"/>
  <c r="H20" i="24"/>
  <c r="G20" i="24"/>
  <c r="F20" i="24"/>
  <c r="E20" i="24"/>
  <c r="L19" i="24"/>
  <c r="K19" i="24"/>
  <c r="J19" i="24"/>
  <c r="I19" i="24"/>
  <c r="H19" i="24"/>
  <c r="G19" i="24"/>
  <c r="F19" i="24"/>
  <c r="E19" i="24"/>
  <c r="L18" i="24"/>
  <c r="K18" i="24"/>
  <c r="J18" i="24"/>
  <c r="I18" i="24"/>
  <c r="H18" i="24"/>
  <c r="G18" i="24"/>
  <c r="F18" i="24"/>
  <c r="E18" i="24"/>
  <c r="L17" i="24"/>
  <c r="K17" i="24"/>
  <c r="J17" i="24"/>
  <c r="I17" i="24"/>
  <c r="H17" i="24"/>
  <c r="G17" i="24"/>
  <c r="F17" i="24"/>
  <c r="E17" i="24"/>
  <c r="L16" i="24"/>
  <c r="K16" i="24"/>
  <c r="J16" i="24"/>
  <c r="I16" i="24"/>
  <c r="H16" i="24"/>
  <c r="G16" i="24"/>
  <c r="F16" i="24"/>
  <c r="E16" i="24"/>
  <c r="L15" i="24"/>
  <c r="K15" i="24"/>
  <c r="J15" i="24"/>
  <c r="I15" i="24"/>
  <c r="H15" i="24"/>
  <c r="G15" i="24"/>
  <c r="F15" i="24"/>
  <c r="E15" i="24"/>
  <c r="L14" i="24"/>
  <c r="K14" i="24"/>
  <c r="J14" i="24"/>
  <c r="I14" i="24"/>
  <c r="H14" i="24"/>
  <c r="G14" i="24"/>
  <c r="F14" i="24"/>
  <c r="E14" i="24"/>
  <c r="L13" i="24"/>
  <c r="K13" i="24"/>
  <c r="J13" i="24"/>
  <c r="I13" i="24"/>
  <c r="H13" i="24"/>
  <c r="G13" i="24"/>
  <c r="F13" i="24"/>
  <c r="E13" i="24"/>
  <c r="L12" i="24"/>
  <c r="K12" i="24"/>
  <c r="J12" i="24"/>
  <c r="I12" i="24"/>
  <c r="H12" i="24"/>
  <c r="G12" i="24"/>
  <c r="F12" i="24"/>
  <c r="E12" i="24"/>
  <c r="L11" i="24"/>
  <c r="K11" i="24"/>
  <c r="J11" i="24"/>
  <c r="I11" i="24"/>
  <c r="H11" i="24"/>
  <c r="G11" i="24"/>
  <c r="F11" i="24"/>
  <c r="E11" i="24"/>
  <c r="L10" i="24"/>
  <c r="K10" i="24"/>
  <c r="J10" i="24"/>
  <c r="I10" i="24"/>
  <c r="H10" i="24"/>
  <c r="G10" i="24"/>
  <c r="F10" i="24"/>
  <c r="E10" i="24"/>
  <c r="L9" i="24"/>
  <c r="K9" i="24"/>
  <c r="J9" i="24"/>
  <c r="I9" i="24"/>
  <c r="H9" i="24"/>
  <c r="G9" i="24"/>
  <c r="F9" i="24"/>
  <c r="E9" i="24"/>
  <c r="L8" i="24"/>
  <c r="K8" i="24"/>
  <c r="J8" i="24"/>
  <c r="I8" i="24"/>
  <c r="H8" i="24"/>
  <c r="G8" i="24"/>
  <c r="F8" i="24"/>
  <c r="E8" i="24"/>
  <c r="L7" i="24"/>
  <c r="K7" i="24"/>
  <c r="J7" i="24"/>
  <c r="I7" i="24"/>
  <c r="H7" i="24"/>
  <c r="G7" i="24"/>
  <c r="F7" i="24"/>
  <c r="E7" i="24"/>
  <c r="L6" i="24"/>
  <c r="K6" i="24"/>
  <c r="J6" i="24"/>
  <c r="I6" i="24"/>
  <c r="H6" i="24"/>
  <c r="G6" i="24"/>
  <c r="F6" i="24"/>
  <c r="E6" i="24"/>
  <c r="L5" i="24"/>
  <c r="K5" i="24"/>
  <c r="J5" i="24"/>
  <c r="I5" i="24"/>
  <c r="H5" i="24"/>
  <c r="G5" i="24"/>
  <c r="F5" i="24"/>
  <c r="E5" i="24"/>
  <c r="L4" i="24"/>
  <c r="K4" i="24"/>
  <c r="J4" i="24"/>
  <c r="I4" i="24"/>
  <c r="H4" i="24"/>
  <c r="G4" i="24"/>
  <c r="F4" i="24"/>
  <c r="E4" i="24"/>
  <c r="L16" i="25" l="1"/>
  <c r="K16" i="25"/>
  <c r="F13" i="25"/>
  <c r="J9" i="25"/>
  <c r="E6" i="25"/>
  <c r="E13" i="25"/>
  <c r="I9" i="25"/>
  <c r="D6" i="25"/>
  <c r="H9" i="25"/>
  <c r="L5" i="25"/>
  <c r="L12" i="25"/>
  <c r="J16" i="25"/>
  <c r="I16" i="25"/>
  <c r="H16" i="25"/>
  <c r="G16" i="25"/>
  <c r="F16" i="25"/>
  <c r="J12" i="25"/>
  <c r="E9" i="25"/>
  <c r="I5" i="25"/>
  <c r="L8" i="25"/>
  <c r="E12" i="25"/>
  <c r="D12" i="25"/>
  <c r="E10" i="25"/>
  <c r="E16" i="25"/>
  <c r="I12" i="25"/>
  <c r="D9" i="25"/>
  <c r="H5" i="25"/>
  <c r="H12" i="25"/>
  <c r="G5" i="25"/>
  <c r="J8" i="25"/>
  <c r="L11" i="25"/>
  <c r="G9" i="25"/>
  <c r="D16" i="25"/>
  <c r="L15" i="25"/>
  <c r="G12" i="25"/>
  <c r="K8" i="25"/>
  <c r="F5" i="25"/>
  <c r="F12" i="25"/>
  <c r="E5" i="25"/>
  <c r="I8" i="25"/>
  <c r="D5" i="25"/>
  <c r="H8" i="25"/>
  <c r="G8" i="25"/>
  <c r="H6" i="25"/>
  <c r="K15" i="25"/>
  <c r="J15" i="25"/>
  <c r="I15" i="25"/>
  <c r="H15" i="25"/>
  <c r="G15" i="25"/>
  <c r="K11" i="25"/>
  <c r="F8" i="25"/>
  <c r="D8" i="25"/>
  <c r="H11" i="25"/>
  <c r="K7" i="25"/>
  <c r="J7" i="25"/>
  <c r="E11" i="25"/>
  <c r="L10" i="25"/>
  <c r="K10" i="25"/>
  <c r="E7" i="25"/>
  <c r="D7" i="25"/>
  <c r="G10" i="25"/>
  <c r="I6" i="25"/>
  <c r="F9" i="25"/>
  <c r="F15" i="25"/>
  <c r="J11" i="25"/>
  <c r="E8" i="25"/>
  <c r="I11" i="25"/>
  <c r="L7" i="25"/>
  <c r="G11" i="25"/>
  <c r="F11" i="25"/>
  <c r="I7" i="25"/>
  <c r="H7" i="25"/>
  <c r="G7" i="25"/>
  <c r="F7" i="25"/>
  <c r="J10" i="25"/>
  <c r="H10" i="25"/>
  <c r="K6" i="25"/>
  <c r="D10" i="25"/>
  <c r="E15" i="25"/>
  <c r="D15" i="25"/>
  <c r="L14" i="25"/>
  <c r="D11" i="25"/>
  <c r="I10" i="25"/>
  <c r="L6" i="25"/>
  <c r="F10" i="25"/>
  <c r="K12" i="25"/>
  <c r="K14" i="25"/>
  <c r="J14" i="25"/>
  <c r="I14" i="25"/>
  <c r="J6" i="25"/>
  <c r="J5" i="25"/>
  <c r="H14" i="25"/>
  <c r="G14" i="25"/>
  <c r="F14" i="25"/>
  <c r="E14" i="25"/>
  <c r="D14" i="25"/>
  <c r="L13" i="25"/>
  <c r="K13" i="25"/>
  <c r="J13" i="25"/>
  <c r="I13" i="25"/>
  <c r="H13" i="25"/>
  <c r="L9" i="25"/>
  <c r="G6" i="25"/>
  <c r="G13" i="25"/>
  <c r="K9" i="25"/>
  <c r="F6" i="25"/>
  <c r="D13" i="25"/>
  <c r="K5" i="25"/>
</calcChain>
</file>

<file path=xl/sharedStrings.xml><?xml version="1.0" encoding="utf-8"?>
<sst xmlns="http://schemas.openxmlformats.org/spreadsheetml/2006/main" count="4628" uniqueCount="88">
  <si>
    <t>Year</t>
  </si>
  <si>
    <t>Scenario</t>
  </si>
  <si>
    <t>Attribute</t>
  </si>
  <si>
    <t>Attrib_Cond</t>
  </si>
  <si>
    <t>Val_Cond</t>
  </si>
  <si>
    <t>AllRegions</t>
  </si>
  <si>
    <t>Pset_PN</t>
  </si>
  <si>
    <t>ECSTM*</t>
  </si>
  <si>
    <t>Pset_PD</t>
  </si>
  <si>
    <t>Residual*</t>
  </si>
  <si>
    <t>ACT_COST</t>
  </si>
  <si>
    <t>NCAP_AFA</t>
  </si>
  <si>
    <t>NCAP_COST</t>
  </si>
  <si>
    <t>NCAP_DRATE</t>
  </si>
  <si>
    <t>NCAP_FOM</t>
  </si>
  <si>
    <t>NCAP_PKCNT</t>
  </si>
  <si>
    <t>PRC_CAPACT</t>
  </si>
  <si>
    <t>LimType</t>
  </si>
  <si>
    <t>TimeSlice</t>
  </si>
  <si>
    <t>Curr</t>
  </si>
  <si>
    <t>Stage</t>
  </si>
  <si>
    <t>SOW</t>
  </si>
  <si>
    <t>BASE</t>
  </si>
  <si>
    <t>R1</t>
  </si>
  <si>
    <t>-</t>
  </si>
  <si>
    <t>USD05</t>
  </si>
  <si>
    <t>UP</t>
  </si>
  <si>
    <t>ANNUAL</t>
  </si>
  <si>
    <t>R2</t>
  </si>
  <si>
    <t>R3</t>
  </si>
  <si>
    <t>R4</t>
  </si>
  <si>
    <t>R5</t>
  </si>
  <si>
    <t>R6</t>
  </si>
  <si>
    <t>R7</t>
  </si>
  <si>
    <t>R8</t>
  </si>
  <si>
    <t>R9</t>
  </si>
  <si>
    <t>~TFM_FILL-R:w=BaseCoalPlants; Hcol=Region</t>
  </si>
  <si>
    <t>~TFM_INS</t>
  </si>
  <si>
    <t>PSET_PN</t>
  </si>
  <si>
    <t>CSET_CN</t>
  </si>
  <si>
    <t>Other_Indexes</t>
  </si>
  <si>
    <t>~TFM_AVA</t>
  </si>
  <si>
    <t>ENV_ACT</t>
  </si>
  <si>
    <t>ELCH2OC</t>
  </si>
  <si>
    <t>ELCH2OW</t>
  </si>
  <si>
    <t>LIFE</t>
  </si>
  <si>
    <t>R0</t>
  </si>
  <si>
    <t>ECSTMRBOO</t>
  </si>
  <si>
    <t>ECSTMRBOR</t>
  </si>
  <si>
    <t>ECSTMRBUO</t>
  </si>
  <si>
    <t>ECSTMRBUR</t>
  </si>
  <si>
    <t>ECSTMRLOO</t>
  </si>
  <si>
    <t>ECSTMRLOR</t>
  </si>
  <si>
    <t>ECSTMRLUO</t>
  </si>
  <si>
    <t>ECSTMRLUR</t>
  </si>
  <si>
    <t>ECSTMRSOO</t>
  </si>
  <si>
    <t>ECSTMRSOR</t>
  </si>
  <si>
    <t>ECSTMRSUO</t>
  </si>
  <si>
    <t>ECSTMRSUR</t>
  </si>
  <si>
    <t>ECSTMRBOO_LE</t>
  </si>
  <si>
    <t>ECSTMRBOR_LE</t>
  </si>
  <si>
    <t>ECSTMRBUO_LE</t>
  </si>
  <si>
    <t>ECSTMRBUR_LE</t>
  </si>
  <si>
    <t>ECSTMRLOO_LE</t>
  </si>
  <si>
    <t>ECSTMRLOR_LE</t>
  </si>
  <si>
    <t>ECSTMRLUO_LE</t>
  </si>
  <si>
    <t>ECSTMRLUR_LE</t>
  </si>
  <si>
    <t>ECSTMRSOO_LE</t>
  </si>
  <si>
    <t>ECSTMRSOR_LE</t>
  </si>
  <si>
    <t>ECSTMRSUO_LE</t>
  </si>
  <si>
    <t>ECSTMRSUR_LE</t>
  </si>
  <si>
    <t>START</t>
  </si>
  <si>
    <t>*LE</t>
  </si>
  <si>
    <t>EFF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</si>
  <si>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</si>
  <si>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</si>
  <si>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</si>
  <si>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</si>
  <si>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</si>
  <si>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</si>
  <si>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</si>
  <si>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</si>
  <si>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</si>
  <si>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</si>
  <si>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</si>
  <si>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ECSTMRBONR</t>
  </si>
  <si>
    <t>ECSTMRLONR</t>
  </si>
  <si>
    <t>ECSTMRSONR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</si>
</sst>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9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  <xf numFmtId="0" fontId="2" fillId="0" borderId="0"/>
    <xf numFmtId="0" fontId="5" fillId="0" borderId="0"/>
    <xf numFmtId="0" fontId="6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2" fontId="7" fillId="0" borderId="0" xfId="0" applyNumberFormat="1" applyFont="1"/>
    <xf numFmtId="0" fontId="7" fillId="0" borderId="0" xfId="0" applyFont="1"/>
    <xf numFmtId="164" fontId="0" fillId="0" borderId="0" xfId="0" applyNumberFormat="1"/>
  </cellXfs>
  <cellStyles count="9">
    <cellStyle name="Input 2" xfId="1" xr:uid="{00000000-0005-0000-0000-000000000000}"/>
    <cellStyle name="Neutral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2 2" xfId="5" xr:uid="{00000000-0005-0000-0000-000005000000}"/>
    <cellStyle name="Normale_Scen_UC_IND-StrucConst" xfId="6" xr:uid="{00000000-0005-0000-0000-000006000000}"/>
    <cellStyle name="Percent 2" xfId="7" xr:uid="{00000000-0005-0000-0000-000007000000}"/>
    <cellStyle name="Standard_Sce_D_Extraction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1954-E113-48BF-9573-296089B66B84}">
  <dimension ref="B2:I13"/>
  <sheetViews>
    <sheetView workbookViewId="0">
      <selection activeCell="C12" sqref="C12"/>
    </sheetView>
  </sheetViews>
  <sheetFormatPr defaultRowHeight="14.5" x14ac:dyDescent="0.35"/>
  <cols>
    <col min="2" max="2" width="10.453125" customWidth="1"/>
    <col min="3" max="3" width="12.81640625" bestFit="1" customWidth="1"/>
    <col min="4" max="4" width="4.81640625" bestFit="1" customWidth="1"/>
    <col min="5" max="5" width="11.7265625" bestFit="1" customWidth="1"/>
    <col min="6" max="6" width="9.453125" bestFit="1" customWidth="1"/>
    <col min="7" max="7" width="10.453125" bestFit="1" customWidth="1"/>
    <col min="8" max="8" width="8.453125" bestFit="1" customWidth="1"/>
    <col min="9" max="9" width="9.54296875" bestFit="1" customWidth="1"/>
  </cols>
  <sheetData>
    <row r="2" spans="2:9" x14ac:dyDescent="0.35">
      <c r="B2" t="s">
        <v>36</v>
      </c>
    </row>
    <row r="3" spans="2:9" x14ac:dyDescent="0.35">
      <c r="B3" t="s">
        <v>1</v>
      </c>
      <c r="C3" t="s">
        <v>2</v>
      </c>
      <c r="D3" t="s">
        <v>0</v>
      </c>
      <c r="E3" t="s">
        <v>3</v>
      </c>
      <c r="F3" t="s">
        <v>4</v>
      </c>
      <c r="G3" t="s">
        <v>5</v>
      </c>
      <c r="H3" t="s">
        <v>6</v>
      </c>
      <c r="I3" t="s">
        <v>8</v>
      </c>
    </row>
    <row r="4" spans="2:9" x14ac:dyDescent="0.35">
      <c r="C4" t="s">
        <v>10</v>
      </c>
      <c r="G4">
        <v>1</v>
      </c>
      <c r="H4" t="s">
        <v>7</v>
      </c>
      <c r="I4" t="s">
        <v>9</v>
      </c>
    </row>
    <row r="5" spans="2:9" x14ac:dyDescent="0.35">
      <c r="C5" t="s">
        <v>42</v>
      </c>
      <c r="G5">
        <v>1</v>
      </c>
      <c r="H5" t="s">
        <v>7</v>
      </c>
      <c r="I5" t="s">
        <v>9</v>
      </c>
    </row>
    <row r="6" spans="2:9" x14ac:dyDescent="0.35">
      <c r="C6" t="s">
        <v>11</v>
      </c>
      <c r="G6">
        <v>1</v>
      </c>
      <c r="H6" t="s">
        <v>7</v>
      </c>
      <c r="I6" t="s">
        <v>9</v>
      </c>
    </row>
    <row r="7" spans="2:9" x14ac:dyDescent="0.35">
      <c r="C7" t="s">
        <v>12</v>
      </c>
      <c r="G7">
        <v>1</v>
      </c>
      <c r="H7" t="s">
        <v>7</v>
      </c>
      <c r="I7" t="s">
        <v>9</v>
      </c>
    </row>
    <row r="8" spans="2:9" x14ac:dyDescent="0.35">
      <c r="C8" t="s">
        <v>13</v>
      </c>
      <c r="G8">
        <v>1</v>
      </c>
      <c r="H8" t="s">
        <v>7</v>
      </c>
      <c r="I8" t="s">
        <v>9</v>
      </c>
    </row>
    <row r="9" spans="2:9" x14ac:dyDescent="0.35">
      <c r="C9" t="s">
        <v>14</v>
      </c>
      <c r="G9">
        <v>1</v>
      </c>
      <c r="H9" t="s">
        <v>7</v>
      </c>
      <c r="I9" t="s">
        <v>9</v>
      </c>
    </row>
    <row r="10" spans="2:9" x14ac:dyDescent="0.35">
      <c r="C10" t="s">
        <v>15</v>
      </c>
      <c r="G10">
        <v>1</v>
      </c>
      <c r="H10" t="s">
        <v>7</v>
      </c>
      <c r="I10" t="s">
        <v>9</v>
      </c>
    </row>
    <row r="11" spans="2:9" x14ac:dyDescent="0.35">
      <c r="C11" t="s">
        <v>16</v>
      </c>
      <c r="G11">
        <v>1</v>
      </c>
      <c r="H11" t="s">
        <v>7</v>
      </c>
      <c r="I11" t="s">
        <v>9</v>
      </c>
    </row>
    <row r="12" spans="2:9" x14ac:dyDescent="0.35">
      <c r="C12" t="s">
        <v>73</v>
      </c>
      <c r="G12">
        <v>1</v>
      </c>
      <c r="H12" t="s">
        <v>7</v>
      </c>
      <c r="I12" t="s">
        <v>9</v>
      </c>
    </row>
    <row r="13" spans="2:9" x14ac:dyDescent="0.35">
      <c r="C13" t="s">
        <v>45</v>
      </c>
      <c r="G13">
        <v>1</v>
      </c>
      <c r="H13" t="s">
        <v>7</v>
      </c>
      <c r="I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7580-9248-40EC-B58E-BBB7345704BD}">
  <dimension ref="A1:AE453"/>
  <sheetViews>
    <sheetView tabSelected="1" topLeftCell="G1" workbookViewId="0">
      <pane ySplit="1" topLeftCell="A2" activePane="bottomLeft" state="frozen"/>
      <selection pane="bottomLeft" activeCell="W272" sqref="W272"/>
    </sheetView>
  </sheetViews>
  <sheetFormatPr defaultRowHeight="14.5" x14ac:dyDescent="0.35"/>
  <cols>
    <col min="1" max="1" width="8.54296875" bestFit="1" customWidth="1"/>
    <col min="2" max="2" width="12.81640625" bestFit="1" customWidth="1"/>
    <col min="3" max="3" width="13.26953125" bestFit="1" customWidth="1"/>
    <col min="4" max="4" width="11.7265625" bestFit="1" customWidth="1"/>
    <col min="5" max="5" width="8.453125" bestFit="1" customWidth="1"/>
    <col min="6" max="6" width="9.54296875" bestFit="1" customWidth="1"/>
    <col min="7" max="7" width="5" bestFit="1" customWidth="1"/>
    <col min="8" max="8" width="10.453125" bestFit="1" customWidth="1"/>
    <col min="9" max="9" width="6.54296875" bestFit="1" customWidth="1"/>
    <col min="10" max="10" width="5.81640625" bestFit="1" customWidth="1"/>
    <col min="11" max="11" width="5.453125" bestFit="1" customWidth="1"/>
    <col min="12" max="20" width="7.54296875" bestFit="1" customWidth="1"/>
  </cols>
  <sheetData>
    <row r="1" spans="1:31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46</v>
      </c>
      <c r="M1" t="s">
        <v>23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W1" t="s">
        <v>23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1" x14ac:dyDescent="0.35">
      <c r="A2" t="s">
        <v>22</v>
      </c>
      <c r="B2" t="s">
        <v>10</v>
      </c>
      <c r="C2" t="s">
        <v>85</v>
      </c>
      <c r="D2" t="s">
        <v>24</v>
      </c>
      <c r="E2" t="s">
        <v>24</v>
      </c>
      <c r="F2" t="s">
        <v>24</v>
      </c>
      <c r="G2">
        <v>2010</v>
      </c>
      <c r="H2" t="s">
        <v>24</v>
      </c>
      <c r="I2" t="s">
        <v>25</v>
      </c>
      <c r="J2" t="s">
        <v>24</v>
      </c>
      <c r="K2" t="s">
        <v>24</v>
      </c>
      <c r="M2">
        <v>1.06675585147331</v>
      </c>
      <c r="N2">
        <v>1.06675585147331</v>
      </c>
      <c r="O2">
        <v>1.06675585147331</v>
      </c>
      <c r="P2">
        <v>1.06675585147331</v>
      </c>
      <c r="Q2">
        <v>1.06675585147331</v>
      </c>
      <c r="R2">
        <v>1.06675585147331</v>
      </c>
      <c r="S2">
        <v>1.06675585147331</v>
      </c>
      <c r="T2">
        <v>1.06675585147331</v>
      </c>
      <c r="U2">
        <v>1.06675585147331</v>
      </c>
      <c r="W2" s="4">
        <v>0.96</v>
      </c>
    </row>
    <row r="3" spans="1:31" x14ac:dyDescent="0.35">
      <c r="A3" t="s">
        <v>22</v>
      </c>
      <c r="B3" t="s">
        <v>10</v>
      </c>
      <c r="C3" t="s">
        <v>47</v>
      </c>
      <c r="D3" t="s">
        <v>24</v>
      </c>
      <c r="E3" t="s">
        <v>24</v>
      </c>
      <c r="F3" t="s">
        <v>24</v>
      </c>
      <c r="G3">
        <v>2010</v>
      </c>
      <c r="H3" t="s">
        <v>24</v>
      </c>
      <c r="I3" t="s">
        <v>25</v>
      </c>
      <c r="J3" t="s">
        <v>24</v>
      </c>
      <c r="K3" t="s">
        <v>24</v>
      </c>
      <c r="M3">
        <v>2.1194399737539</v>
      </c>
      <c r="N3">
        <v>1.87676709932594</v>
      </c>
      <c r="O3">
        <v>1.9392488358015201</v>
      </c>
      <c r="P3">
        <v>1.8405279837595201</v>
      </c>
      <c r="Q3">
        <v>1.63865272731829</v>
      </c>
      <c r="R3">
        <v>1.72774133581471</v>
      </c>
      <c r="S3">
        <v>1.8940161718552999</v>
      </c>
      <c r="T3">
        <v>1.88497024610299</v>
      </c>
      <c r="U3">
        <v>1.81960989010989</v>
      </c>
    </row>
    <row r="4" spans="1:31" x14ac:dyDescent="0.35">
      <c r="A4" t="s">
        <v>22</v>
      </c>
      <c r="B4" t="s">
        <v>10</v>
      </c>
      <c r="C4" t="s">
        <v>48</v>
      </c>
      <c r="D4" t="s">
        <v>24</v>
      </c>
      <c r="E4" t="s">
        <v>24</v>
      </c>
      <c r="F4" t="s">
        <v>24</v>
      </c>
      <c r="G4">
        <v>2010</v>
      </c>
      <c r="H4" t="s">
        <v>24</v>
      </c>
      <c r="I4" t="s">
        <v>25</v>
      </c>
      <c r="J4" t="s">
        <v>24</v>
      </c>
      <c r="K4" t="s">
        <v>24</v>
      </c>
      <c r="M4">
        <v>2.1194399737539</v>
      </c>
      <c r="N4">
        <v>1.87676709932594</v>
      </c>
      <c r="O4">
        <v>1.9392488358015201</v>
      </c>
      <c r="P4">
        <v>1.8405279837595201</v>
      </c>
      <c r="Q4">
        <v>1.63865272731829</v>
      </c>
      <c r="R4">
        <v>1.72774133581471</v>
      </c>
      <c r="S4">
        <v>1.8940161718552999</v>
      </c>
      <c r="T4">
        <v>1.88497024610299</v>
      </c>
      <c r="U4">
        <v>1.81960989010989</v>
      </c>
    </row>
    <row r="5" spans="1:31" x14ac:dyDescent="0.35">
      <c r="A5" t="s">
        <v>22</v>
      </c>
      <c r="B5" t="s">
        <v>10</v>
      </c>
      <c r="C5" t="s">
        <v>49</v>
      </c>
      <c r="D5" t="s">
        <v>24</v>
      </c>
      <c r="E5" t="s">
        <v>24</v>
      </c>
      <c r="F5" t="s">
        <v>24</v>
      </c>
      <c r="G5">
        <v>2010</v>
      </c>
      <c r="H5" t="s">
        <v>24</v>
      </c>
      <c r="I5" t="s">
        <v>25</v>
      </c>
      <c r="J5" t="s">
        <v>24</v>
      </c>
      <c r="K5" t="s">
        <v>24</v>
      </c>
      <c r="M5">
        <v>2.1194399737539</v>
      </c>
      <c r="N5">
        <v>1.87676709932594</v>
      </c>
      <c r="O5">
        <v>1.9392488358015201</v>
      </c>
      <c r="P5">
        <v>1.8405279837595201</v>
      </c>
      <c r="Q5">
        <v>1.63865272731829</v>
      </c>
      <c r="R5">
        <v>1.72774133581471</v>
      </c>
      <c r="S5">
        <v>1.8940161718552999</v>
      </c>
      <c r="T5">
        <v>1.88497024610299</v>
      </c>
      <c r="U5">
        <v>1.81960989010989</v>
      </c>
    </row>
    <row r="6" spans="1:31" x14ac:dyDescent="0.35">
      <c r="A6" t="s">
        <v>22</v>
      </c>
      <c r="B6" t="s">
        <v>10</v>
      </c>
      <c r="C6" t="s">
        <v>50</v>
      </c>
      <c r="D6" t="s">
        <v>24</v>
      </c>
      <c r="E6" t="s">
        <v>24</v>
      </c>
      <c r="F6" t="s">
        <v>24</v>
      </c>
      <c r="G6">
        <v>2010</v>
      </c>
      <c r="H6" t="s">
        <v>24</v>
      </c>
      <c r="I6" t="s">
        <v>25</v>
      </c>
      <c r="J6" t="s">
        <v>24</v>
      </c>
      <c r="K6" t="s">
        <v>24</v>
      </c>
      <c r="M6">
        <v>2.1194399737539</v>
      </c>
      <c r="N6">
        <v>1.87676709932594</v>
      </c>
      <c r="O6">
        <v>1.9392488358015201</v>
      </c>
      <c r="P6">
        <v>1.8405279837595201</v>
      </c>
      <c r="Q6">
        <v>1.63865272731829</v>
      </c>
      <c r="R6">
        <v>1.72774133581471</v>
      </c>
      <c r="S6">
        <v>1.8940161718552999</v>
      </c>
      <c r="T6">
        <v>1.88497024610299</v>
      </c>
      <c r="U6">
        <v>1.81960989010989</v>
      </c>
    </row>
    <row r="7" spans="1:31" x14ac:dyDescent="0.35">
      <c r="A7" t="s">
        <v>22</v>
      </c>
      <c r="B7" t="s">
        <v>10</v>
      </c>
      <c r="C7" t="s">
        <v>86</v>
      </c>
      <c r="D7" t="s">
        <v>24</v>
      </c>
      <c r="E7" t="s">
        <v>24</v>
      </c>
      <c r="F7" t="s">
        <v>24</v>
      </c>
      <c r="G7">
        <v>2010</v>
      </c>
      <c r="H7" t="s">
        <v>24</v>
      </c>
      <c r="I7" t="s">
        <v>25</v>
      </c>
      <c r="J7" t="s">
        <v>24</v>
      </c>
      <c r="K7" t="s">
        <v>24</v>
      </c>
      <c r="M7">
        <v>1.06675585147331</v>
      </c>
      <c r="N7">
        <v>1.06675585147331</v>
      </c>
      <c r="O7">
        <v>1.06675585147331</v>
      </c>
      <c r="P7">
        <v>1.06675585147331</v>
      </c>
      <c r="Q7">
        <v>1.06675585147331</v>
      </c>
      <c r="R7">
        <v>1.06675585147331</v>
      </c>
      <c r="S7">
        <v>1.06675585147331</v>
      </c>
      <c r="T7">
        <v>1.06675585147331</v>
      </c>
      <c r="U7">
        <v>1.06675585147331</v>
      </c>
    </row>
    <row r="8" spans="1:31" x14ac:dyDescent="0.35">
      <c r="A8" t="s">
        <v>22</v>
      </c>
      <c r="B8" t="s">
        <v>10</v>
      </c>
      <c r="C8" t="s">
        <v>51</v>
      </c>
      <c r="D8" t="s">
        <v>24</v>
      </c>
      <c r="E8" t="s">
        <v>24</v>
      </c>
      <c r="F8" t="s">
        <v>24</v>
      </c>
      <c r="G8">
        <v>2010</v>
      </c>
      <c r="H8" t="s">
        <v>24</v>
      </c>
      <c r="I8" t="s">
        <v>25</v>
      </c>
      <c r="J8" t="s">
        <v>24</v>
      </c>
      <c r="K8" t="s">
        <v>24</v>
      </c>
      <c r="M8">
        <v>2.1194399737539</v>
      </c>
      <c r="N8">
        <v>1.87676709932594</v>
      </c>
      <c r="O8">
        <v>1.9392488358015201</v>
      </c>
      <c r="P8">
        <v>1.8405279837595201</v>
      </c>
      <c r="Q8">
        <v>1.63865272731829</v>
      </c>
      <c r="R8">
        <v>1.72774133581471</v>
      </c>
      <c r="S8">
        <v>1.8940161718552999</v>
      </c>
      <c r="T8">
        <v>1.88497024610299</v>
      </c>
      <c r="U8">
        <v>1.81960989010989</v>
      </c>
    </row>
    <row r="9" spans="1:31" x14ac:dyDescent="0.35">
      <c r="A9" t="s">
        <v>22</v>
      </c>
      <c r="B9" t="s">
        <v>10</v>
      </c>
      <c r="C9" t="s">
        <v>52</v>
      </c>
      <c r="D9" t="s">
        <v>24</v>
      </c>
      <c r="E9" t="s">
        <v>24</v>
      </c>
      <c r="F9" t="s">
        <v>24</v>
      </c>
      <c r="G9">
        <v>2010</v>
      </c>
      <c r="H9" t="s">
        <v>24</v>
      </c>
      <c r="I9" t="s">
        <v>25</v>
      </c>
      <c r="J9" t="s">
        <v>24</v>
      </c>
      <c r="K9" t="s">
        <v>24</v>
      </c>
      <c r="M9">
        <v>2.1194399737539</v>
      </c>
      <c r="N9">
        <v>1.87676709932594</v>
      </c>
      <c r="O9">
        <v>1.9392488358015201</v>
      </c>
      <c r="P9">
        <v>1.8405279837595201</v>
      </c>
      <c r="Q9">
        <v>1.63865272731829</v>
      </c>
      <c r="R9">
        <v>1.72774133581471</v>
      </c>
      <c r="S9">
        <v>1.8940161718552999</v>
      </c>
      <c r="T9">
        <v>1.88497024610299</v>
      </c>
      <c r="U9">
        <v>1.81960989010989</v>
      </c>
    </row>
    <row r="10" spans="1:31" x14ac:dyDescent="0.35">
      <c r="A10" t="s">
        <v>22</v>
      </c>
      <c r="B10" t="s">
        <v>10</v>
      </c>
      <c r="C10" t="s">
        <v>53</v>
      </c>
      <c r="D10" t="s">
        <v>24</v>
      </c>
      <c r="E10" t="s">
        <v>24</v>
      </c>
      <c r="F10" t="s">
        <v>24</v>
      </c>
      <c r="G10">
        <v>2010</v>
      </c>
      <c r="H10" t="s">
        <v>24</v>
      </c>
      <c r="I10" t="s">
        <v>25</v>
      </c>
      <c r="J10" t="s">
        <v>24</v>
      </c>
      <c r="K10" t="s">
        <v>24</v>
      </c>
      <c r="M10">
        <v>2.1194399737539</v>
      </c>
      <c r="N10">
        <v>1.87676709932594</v>
      </c>
      <c r="O10">
        <v>1.9392488358015201</v>
      </c>
      <c r="P10">
        <v>1.8405279837595201</v>
      </c>
      <c r="Q10">
        <v>1.63865272731829</v>
      </c>
      <c r="R10">
        <v>1.72774133581471</v>
      </c>
      <c r="S10">
        <v>1.8940161718552999</v>
      </c>
      <c r="T10">
        <v>1.88497024610299</v>
      </c>
      <c r="U10">
        <v>1.81960989010989</v>
      </c>
    </row>
    <row r="11" spans="1:31" x14ac:dyDescent="0.35">
      <c r="A11" t="s">
        <v>22</v>
      </c>
      <c r="B11" t="s">
        <v>10</v>
      </c>
      <c r="C11" t="s">
        <v>54</v>
      </c>
      <c r="D11" t="s">
        <v>24</v>
      </c>
      <c r="E11" t="s">
        <v>24</v>
      </c>
      <c r="F11" t="s">
        <v>24</v>
      </c>
      <c r="G11">
        <v>2010</v>
      </c>
      <c r="H11" t="s">
        <v>24</v>
      </c>
      <c r="I11" t="s">
        <v>25</v>
      </c>
      <c r="J11" t="s">
        <v>24</v>
      </c>
      <c r="K11" t="s">
        <v>24</v>
      </c>
      <c r="M11">
        <v>2.1194399737539</v>
      </c>
      <c r="N11">
        <v>1.87676709932594</v>
      </c>
      <c r="O11">
        <v>1.9392488358015201</v>
      </c>
      <c r="P11">
        <v>1.8405279837595201</v>
      </c>
      <c r="Q11">
        <v>1.63865272731829</v>
      </c>
      <c r="R11">
        <v>1.72774133581471</v>
      </c>
      <c r="S11">
        <v>1.8940161718552999</v>
      </c>
      <c r="T11">
        <v>1.88497024610299</v>
      </c>
      <c r="U11">
        <v>1.81960989010989</v>
      </c>
    </row>
    <row r="12" spans="1:31" x14ac:dyDescent="0.35">
      <c r="A12" t="s">
        <v>22</v>
      </c>
      <c r="B12" t="s">
        <v>10</v>
      </c>
      <c r="C12" t="s">
        <v>87</v>
      </c>
      <c r="D12" t="s">
        <v>24</v>
      </c>
      <c r="E12" t="s">
        <v>24</v>
      </c>
      <c r="F12" t="s">
        <v>24</v>
      </c>
      <c r="G12">
        <v>2010</v>
      </c>
      <c r="H12" t="s">
        <v>24</v>
      </c>
      <c r="I12" t="s">
        <v>25</v>
      </c>
      <c r="J12" t="s">
        <v>24</v>
      </c>
      <c r="K12" t="s">
        <v>24</v>
      </c>
      <c r="M12">
        <v>1.06675585147331</v>
      </c>
      <c r="N12">
        <v>1.06675585147331</v>
      </c>
      <c r="O12">
        <v>1.06675585147331</v>
      </c>
      <c r="P12">
        <v>1.06675585147331</v>
      </c>
      <c r="Q12">
        <v>1.06675585147331</v>
      </c>
      <c r="R12">
        <v>1.06675585147331</v>
      </c>
      <c r="S12">
        <v>1.06675585147331</v>
      </c>
      <c r="T12">
        <v>1.06675585147331</v>
      </c>
      <c r="U12">
        <v>1.06675585147331</v>
      </c>
    </row>
    <row r="13" spans="1:31" x14ac:dyDescent="0.35">
      <c r="A13" t="s">
        <v>22</v>
      </c>
      <c r="B13" t="s">
        <v>10</v>
      </c>
      <c r="C13" t="s">
        <v>55</v>
      </c>
      <c r="D13" t="s">
        <v>24</v>
      </c>
      <c r="E13" t="s">
        <v>24</v>
      </c>
      <c r="F13" t="s">
        <v>24</v>
      </c>
      <c r="G13">
        <v>2010</v>
      </c>
      <c r="H13" t="s">
        <v>24</v>
      </c>
      <c r="I13" t="s">
        <v>25</v>
      </c>
      <c r="J13" t="s">
        <v>24</v>
      </c>
      <c r="K13" t="s">
        <v>24</v>
      </c>
      <c r="M13">
        <v>2.1194399737539</v>
      </c>
      <c r="N13">
        <v>1.87676709932594</v>
      </c>
      <c r="O13">
        <v>1.9392488358015201</v>
      </c>
      <c r="P13">
        <v>1.8405279837595201</v>
      </c>
      <c r="Q13">
        <v>1.63865272731829</v>
      </c>
      <c r="R13">
        <v>1.72774133581471</v>
      </c>
      <c r="S13">
        <v>1.8940161718552999</v>
      </c>
      <c r="T13">
        <v>1.88497024610299</v>
      </c>
      <c r="U13">
        <v>1.81960989010989</v>
      </c>
    </row>
    <row r="14" spans="1:31" x14ac:dyDescent="0.35">
      <c r="A14" t="s">
        <v>22</v>
      </c>
      <c r="B14" t="s">
        <v>10</v>
      </c>
      <c r="C14" t="s">
        <v>56</v>
      </c>
      <c r="D14" t="s">
        <v>24</v>
      </c>
      <c r="E14" t="s">
        <v>24</v>
      </c>
      <c r="F14" t="s">
        <v>24</v>
      </c>
      <c r="G14">
        <v>2010</v>
      </c>
      <c r="H14" t="s">
        <v>24</v>
      </c>
      <c r="I14" t="s">
        <v>25</v>
      </c>
      <c r="J14" t="s">
        <v>24</v>
      </c>
      <c r="K14" t="s">
        <v>24</v>
      </c>
      <c r="M14">
        <v>2.1194399737539</v>
      </c>
      <c r="N14">
        <v>1.87676709932594</v>
      </c>
      <c r="O14">
        <v>1.9392488358015201</v>
      </c>
      <c r="P14">
        <v>1.8405279837595201</v>
      </c>
      <c r="Q14">
        <v>1.63865272731829</v>
      </c>
      <c r="R14">
        <v>1.72774133581471</v>
      </c>
      <c r="S14">
        <v>1.8940161718552999</v>
      </c>
      <c r="T14">
        <v>1.88497024610299</v>
      </c>
      <c r="U14">
        <v>1.81960989010989</v>
      </c>
      <c r="W14" s="5">
        <f>M14*$W$2</f>
        <v>2.034662374803744</v>
      </c>
      <c r="X14" s="5">
        <f t="shared" ref="X14:AE14" si="0">N14*$W$2</f>
        <v>1.8016964153529023</v>
      </c>
      <c r="Y14" s="5">
        <f t="shared" si="0"/>
        <v>1.8616788823694592</v>
      </c>
      <c r="Z14" s="5">
        <f t="shared" si="0"/>
        <v>1.7669068644091392</v>
      </c>
      <c r="AA14" s="5">
        <f t="shared" si="0"/>
        <v>1.5731066182255584</v>
      </c>
      <c r="AB14" s="5">
        <f t="shared" si="0"/>
        <v>1.6586316823821214</v>
      </c>
      <c r="AC14" s="5">
        <f t="shared" si="0"/>
        <v>1.8182555249810879</v>
      </c>
      <c r="AD14" s="5">
        <f t="shared" si="0"/>
        <v>1.8095714362588704</v>
      </c>
      <c r="AE14" s="5">
        <f t="shared" si="0"/>
        <v>1.7468254945054944</v>
      </c>
    </row>
    <row r="15" spans="1:31" x14ac:dyDescent="0.35">
      <c r="A15" t="s">
        <v>22</v>
      </c>
      <c r="B15" t="s">
        <v>10</v>
      </c>
      <c r="C15" t="s">
        <v>57</v>
      </c>
      <c r="D15" t="s">
        <v>24</v>
      </c>
      <c r="E15" t="s">
        <v>24</v>
      </c>
      <c r="F15" t="s">
        <v>24</v>
      </c>
      <c r="G15">
        <v>2010</v>
      </c>
      <c r="H15" t="s">
        <v>24</v>
      </c>
      <c r="I15" t="s">
        <v>25</v>
      </c>
      <c r="J15" t="s">
        <v>24</v>
      </c>
      <c r="K15" t="s">
        <v>24</v>
      </c>
      <c r="M15">
        <v>2.1194399737539</v>
      </c>
      <c r="N15">
        <v>1.87676709932594</v>
      </c>
      <c r="O15">
        <v>1.9392488358015201</v>
      </c>
      <c r="P15">
        <v>1.8405279837595201</v>
      </c>
      <c r="Q15">
        <v>1.63865272731829</v>
      </c>
      <c r="R15">
        <v>1.72774133581471</v>
      </c>
      <c r="S15">
        <v>1.8940161718552999</v>
      </c>
      <c r="T15">
        <v>1.88497024610299</v>
      </c>
      <c r="U15">
        <v>1.81960989010989</v>
      </c>
      <c r="W15" s="5">
        <f t="shared" ref="W15:W78" si="1">M15*$W$2</f>
        <v>2.034662374803744</v>
      </c>
      <c r="X15" s="5">
        <f t="shared" ref="X15:X78" si="2">N15*$W$2</f>
        <v>1.8016964153529023</v>
      </c>
      <c r="Y15" s="5">
        <f t="shared" ref="Y15:Y78" si="3">O15*$W$2</f>
        <v>1.8616788823694592</v>
      </c>
      <c r="Z15" s="5">
        <f t="shared" ref="Z15:Z78" si="4">P15*$W$2</f>
        <v>1.7669068644091392</v>
      </c>
      <c r="AA15" s="5">
        <f t="shared" ref="AA15:AA78" si="5">Q15*$W$2</f>
        <v>1.5731066182255584</v>
      </c>
      <c r="AB15" s="5">
        <f t="shared" ref="AB15:AB78" si="6">R15*$W$2</f>
        <v>1.6586316823821214</v>
      </c>
      <c r="AC15" s="5">
        <f t="shared" ref="AC15:AC78" si="7">S15*$W$2</f>
        <v>1.8182555249810879</v>
      </c>
      <c r="AD15" s="5">
        <f t="shared" ref="AD15:AD78" si="8">T15*$W$2</f>
        <v>1.8095714362588704</v>
      </c>
      <c r="AE15" s="5">
        <f t="shared" ref="AE15:AE78" si="9">U15*$W$2</f>
        <v>1.7468254945054944</v>
      </c>
    </row>
    <row r="16" spans="1:31" x14ac:dyDescent="0.35">
      <c r="A16" t="s">
        <v>22</v>
      </c>
      <c r="B16" t="s">
        <v>10</v>
      </c>
      <c r="C16" t="s">
        <v>58</v>
      </c>
      <c r="D16" t="s">
        <v>24</v>
      </c>
      <c r="E16" t="s">
        <v>24</v>
      </c>
      <c r="F16" t="s">
        <v>24</v>
      </c>
      <c r="G16">
        <v>2010</v>
      </c>
      <c r="H16" t="s">
        <v>24</v>
      </c>
      <c r="I16" t="s">
        <v>25</v>
      </c>
      <c r="J16" t="s">
        <v>24</v>
      </c>
      <c r="K16" t="s">
        <v>24</v>
      </c>
      <c r="M16">
        <v>2.1194399737539</v>
      </c>
      <c r="N16">
        <v>1.87676709932594</v>
      </c>
      <c r="O16">
        <v>1.9392488358015201</v>
      </c>
      <c r="P16">
        <v>1.8405279837595201</v>
      </c>
      <c r="Q16">
        <v>1.63865272731829</v>
      </c>
      <c r="R16">
        <v>1.72774133581471</v>
      </c>
      <c r="S16">
        <v>1.8940161718552999</v>
      </c>
      <c r="T16">
        <v>1.88497024610299</v>
      </c>
      <c r="U16">
        <v>1.81960989010989</v>
      </c>
      <c r="W16" s="5">
        <f t="shared" si="1"/>
        <v>2.034662374803744</v>
      </c>
      <c r="X16" s="5">
        <f t="shared" si="2"/>
        <v>1.8016964153529023</v>
      </c>
      <c r="Y16" s="5">
        <f t="shared" si="3"/>
        <v>1.8616788823694592</v>
      </c>
      <c r="Z16" s="5">
        <f t="shared" si="4"/>
        <v>1.7669068644091392</v>
      </c>
      <c r="AA16" s="5">
        <f t="shared" si="5"/>
        <v>1.5731066182255584</v>
      </c>
      <c r="AB16" s="5">
        <f t="shared" si="6"/>
        <v>1.6586316823821214</v>
      </c>
      <c r="AC16" s="5">
        <f t="shared" si="7"/>
        <v>1.8182555249810879</v>
      </c>
      <c r="AD16" s="5">
        <f t="shared" si="8"/>
        <v>1.8095714362588704</v>
      </c>
      <c r="AE16" s="5">
        <f t="shared" si="9"/>
        <v>1.7468254945054944</v>
      </c>
    </row>
    <row r="17" spans="1:31" x14ac:dyDescent="0.35">
      <c r="A17" t="s">
        <v>22</v>
      </c>
      <c r="B17" t="s">
        <v>73</v>
      </c>
      <c r="C17" t="s">
        <v>47</v>
      </c>
      <c r="D17" t="s">
        <v>24</v>
      </c>
      <c r="E17" t="s">
        <v>24</v>
      </c>
      <c r="F17" t="s">
        <v>27</v>
      </c>
      <c r="G17">
        <v>1950</v>
      </c>
      <c r="H17" t="s">
        <v>24</v>
      </c>
      <c r="I17" t="s">
        <v>24</v>
      </c>
      <c r="J17" t="s">
        <v>24</v>
      </c>
      <c r="K17" t="s">
        <v>24</v>
      </c>
      <c r="Q17">
        <v>0.33590808435118502</v>
      </c>
      <c r="W17" s="5">
        <f t="shared" si="1"/>
        <v>0</v>
      </c>
      <c r="X17" s="5">
        <f t="shared" si="2"/>
        <v>0</v>
      </c>
      <c r="Y17" s="5">
        <f t="shared" si="3"/>
        <v>0</v>
      </c>
      <c r="Z17" s="5">
        <f t="shared" si="4"/>
        <v>0</v>
      </c>
      <c r="AA17" s="5">
        <f t="shared" si="5"/>
        <v>0.32247176097713759</v>
      </c>
      <c r="AB17" s="5">
        <f t="shared" si="6"/>
        <v>0</v>
      </c>
      <c r="AC17" s="5">
        <f t="shared" si="7"/>
        <v>0</v>
      </c>
      <c r="AD17" s="5">
        <f t="shared" si="8"/>
        <v>0</v>
      </c>
      <c r="AE17" s="5">
        <f t="shared" si="9"/>
        <v>0</v>
      </c>
    </row>
    <row r="18" spans="1:31" x14ac:dyDescent="0.35">
      <c r="A18" t="s">
        <v>22</v>
      </c>
      <c r="B18" t="s">
        <v>73</v>
      </c>
      <c r="C18" t="s">
        <v>47</v>
      </c>
      <c r="D18" t="s">
        <v>24</v>
      </c>
      <c r="E18" t="s">
        <v>24</v>
      </c>
      <c r="F18" t="s">
        <v>27</v>
      </c>
      <c r="G18">
        <v>1951</v>
      </c>
      <c r="H18" t="s">
        <v>24</v>
      </c>
      <c r="I18" t="s">
        <v>24</v>
      </c>
      <c r="J18" t="s">
        <v>24</v>
      </c>
      <c r="K18" t="s">
        <v>24</v>
      </c>
      <c r="O18">
        <v>0.316131394745369</v>
      </c>
      <c r="Q18">
        <v>0.32620801819308698</v>
      </c>
      <c r="R18">
        <v>0.28527456492176001</v>
      </c>
      <c r="W18" s="5">
        <f t="shared" si="1"/>
        <v>0</v>
      </c>
      <c r="X18" s="5">
        <f t="shared" si="2"/>
        <v>0</v>
      </c>
      <c r="Y18" s="5">
        <f t="shared" si="3"/>
        <v>0.30348613895555421</v>
      </c>
      <c r="Z18" s="5">
        <f t="shared" si="4"/>
        <v>0</v>
      </c>
      <c r="AA18" s="5">
        <f t="shared" si="5"/>
        <v>0.31315969746536348</v>
      </c>
      <c r="AB18" s="5">
        <f t="shared" si="6"/>
        <v>0.27386358232488961</v>
      </c>
      <c r="AC18" s="5">
        <f t="shared" si="7"/>
        <v>0</v>
      </c>
      <c r="AD18" s="5">
        <f t="shared" si="8"/>
        <v>0</v>
      </c>
      <c r="AE18" s="5">
        <f t="shared" si="9"/>
        <v>0</v>
      </c>
    </row>
    <row r="19" spans="1:31" x14ac:dyDescent="0.35">
      <c r="A19" t="s">
        <v>22</v>
      </c>
      <c r="B19" t="s">
        <v>73</v>
      </c>
      <c r="C19" t="s">
        <v>47</v>
      </c>
      <c r="D19" t="s">
        <v>24</v>
      </c>
      <c r="E19" t="s">
        <v>24</v>
      </c>
      <c r="F19" t="s">
        <v>27</v>
      </c>
      <c r="G19">
        <v>1952</v>
      </c>
      <c r="H19" t="s">
        <v>24</v>
      </c>
      <c r="I19" t="s">
        <v>24</v>
      </c>
      <c r="J19" t="s">
        <v>24</v>
      </c>
      <c r="K19" t="s">
        <v>24</v>
      </c>
      <c r="N19">
        <v>0.32415979222484098</v>
      </c>
      <c r="O19">
        <v>0.32551009013464799</v>
      </c>
      <c r="Q19">
        <v>0.32898731945792797</v>
      </c>
      <c r="R19">
        <v>0.306986221847523</v>
      </c>
      <c r="W19" s="5">
        <f t="shared" si="1"/>
        <v>0</v>
      </c>
      <c r="X19" s="5">
        <f t="shared" si="2"/>
        <v>0.31119340053584732</v>
      </c>
      <c r="Y19" s="5">
        <f t="shared" si="3"/>
        <v>0.31248968652926207</v>
      </c>
      <c r="Z19" s="5">
        <f t="shared" si="4"/>
        <v>0</v>
      </c>
      <c r="AA19" s="5">
        <f t="shared" si="5"/>
        <v>0.31582782667961085</v>
      </c>
      <c r="AB19" s="5">
        <f t="shared" si="6"/>
        <v>0.29470677297362208</v>
      </c>
      <c r="AC19" s="5">
        <f t="shared" si="7"/>
        <v>0</v>
      </c>
      <c r="AD19" s="5">
        <f t="shared" si="8"/>
        <v>0</v>
      </c>
      <c r="AE19" s="5">
        <f t="shared" si="9"/>
        <v>0</v>
      </c>
    </row>
    <row r="20" spans="1:31" x14ac:dyDescent="0.35">
      <c r="A20" t="s">
        <v>22</v>
      </c>
      <c r="B20" t="s">
        <v>73</v>
      </c>
      <c r="C20" t="s">
        <v>47</v>
      </c>
      <c r="D20" t="s">
        <v>24</v>
      </c>
      <c r="E20" t="s">
        <v>24</v>
      </c>
      <c r="F20" t="s">
        <v>27</v>
      </c>
      <c r="G20">
        <v>1953</v>
      </c>
      <c r="H20" t="s">
        <v>24</v>
      </c>
      <c r="I20" t="s">
        <v>24</v>
      </c>
      <c r="J20" t="s">
        <v>24</v>
      </c>
      <c r="K20" t="s">
        <v>24</v>
      </c>
      <c r="N20">
        <v>0.31304606237946397</v>
      </c>
      <c r="O20">
        <v>0.32760390503854803</v>
      </c>
      <c r="Q20">
        <v>0.33734747807397603</v>
      </c>
      <c r="R20">
        <v>0.327919650384636</v>
      </c>
      <c r="W20" s="5">
        <f t="shared" si="1"/>
        <v>0</v>
      </c>
      <c r="X20" s="5">
        <f t="shared" si="2"/>
        <v>0.3005242198842854</v>
      </c>
      <c r="Y20" s="5">
        <f t="shared" si="3"/>
        <v>0.3144997488370061</v>
      </c>
      <c r="Z20" s="5">
        <f t="shared" si="4"/>
        <v>0</v>
      </c>
      <c r="AA20" s="5">
        <f t="shared" si="5"/>
        <v>0.32385357895101696</v>
      </c>
      <c r="AB20" s="5">
        <f t="shared" si="6"/>
        <v>0.31480286436925053</v>
      </c>
      <c r="AC20" s="5">
        <f t="shared" si="7"/>
        <v>0</v>
      </c>
      <c r="AD20" s="5">
        <f t="shared" si="8"/>
        <v>0</v>
      </c>
      <c r="AE20" s="5">
        <f t="shared" si="9"/>
        <v>0</v>
      </c>
    </row>
    <row r="21" spans="1:31" x14ac:dyDescent="0.35">
      <c r="A21" t="s">
        <v>22</v>
      </c>
      <c r="B21" t="s">
        <v>73</v>
      </c>
      <c r="C21" t="s">
        <v>47</v>
      </c>
      <c r="D21" t="s">
        <v>24</v>
      </c>
      <c r="E21" t="s">
        <v>24</v>
      </c>
      <c r="F21" t="s">
        <v>27</v>
      </c>
      <c r="G21">
        <v>1954</v>
      </c>
      <c r="H21" t="s">
        <v>24</v>
      </c>
      <c r="I21" t="s">
        <v>24</v>
      </c>
      <c r="J21" t="s">
        <v>24</v>
      </c>
      <c r="K21" t="s">
        <v>24</v>
      </c>
      <c r="N21">
        <v>0.31772383296140799</v>
      </c>
      <c r="O21">
        <v>0.331460729068697</v>
      </c>
      <c r="Q21">
        <v>0.32766210155236097</v>
      </c>
      <c r="R21">
        <v>0.33561560408704999</v>
      </c>
      <c r="W21" s="5">
        <f t="shared" si="1"/>
        <v>0</v>
      </c>
      <c r="X21" s="5">
        <f t="shared" si="2"/>
        <v>0.30501487964295165</v>
      </c>
      <c r="Y21" s="5">
        <f t="shared" si="3"/>
        <v>0.31820229990594912</v>
      </c>
      <c r="Z21" s="5">
        <f t="shared" si="4"/>
        <v>0</v>
      </c>
      <c r="AA21" s="5">
        <f t="shared" si="5"/>
        <v>0.3145556174902665</v>
      </c>
      <c r="AB21" s="5">
        <f t="shared" si="6"/>
        <v>0.32219097992356799</v>
      </c>
      <c r="AC21" s="5">
        <f t="shared" si="7"/>
        <v>0</v>
      </c>
      <c r="AD21" s="5">
        <f t="shared" si="8"/>
        <v>0</v>
      </c>
      <c r="AE21" s="5">
        <f t="shared" si="9"/>
        <v>0</v>
      </c>
    </row>
    <row r="22" spans="1:31" x14ac:dyDescent="0.35">
      <c r="A22" t="s">
        <v>22</v>
      </c>
      <c r="B22" t="s">
        <v>73</v>
      </c>
      <c r="C22" t="s">
        <v>47</v>
      </c>
      <c r="D22" t="s">
        <v>24</v>
      </c>
      <c r="E22" t="s">
        <v>24</v>
      </c>
      <c r="F22" t="s">
        <v>27</v>
      </c>
      <c r="G22">
        <v>1955</v>
      </c>
      <c r="H22" t="s">
        <v>24</v>
      </c>
      <c r="I22" t="s">
        <v>24</v>
      </c>
      <c r="J22" t="s">
        <v>24</v>
      </c>
      <c r="K22" t="s">
        <v>24</v>
      </c>
      <c r="N22">
        <v>0.34471383724431898</v>
      </c>
      <c r="O22">
        <v>0.33901573918790401</v>
      </c>
      <c r="Q22">
        <v>0.33273772165239301</v>
      </c>
      <c r="R22">
        <v>0.33764606999970598</v>
      </c>
      <c r="W22" s="5">
        <f t="shared" si="1"/>
        <v>0</v>
      </c>
      <c r="X22" s="5">
        <f t="shared" si="2"/>
        <v>0.33092528375454622</v>
      </c>
      <c r="Y22" s="5">
        <f t="shared" si="3"/>
        <v>0.32545510962038782</v>
      </c>
      <c r="Z22" s="5">
        <f t="shared" si="4"/>
        <v>0</v>
      </c>
      <c r="AA22" s="5">
        <f t="shared" si="5"/>
        <v>0.31942821278629729</v>
      </c>
      <c r="AB22" s="5">
        <f t="shared" si="6"/>
        <v>0.32414022719971775</v>
      </c>
      <c r="AC22" s="5">
        <f t="shared" si="7"/>
        <v>0</v>
      </c>
      <c r="AD22" s="5">
        <f t="shared" si="8"/>
        <v>0</v>
      </c>
      <c r="AE22" s="5">
        <f t="shared" si="9"/>
        <v>0</v>
      </c>
    </row>
    <row r="23" spans="1:31" x14ac:dyDescent="0.35">
      <c r="A23" t="s">
        <v>22</v>
      </c>
      <c r="B23" t="s">
        <v>73</v>
      </c>
      <c r="C23" t="s">
        <v>47</v>
      </c>
      <c r="D23" t="s">
        <v>24</v>
      </c>
      <c r="E23" t="s">
        <v>24</v>
      </c>
      <c r="F23" t="s">
        <v>27</v>
      </c>
      <c r="G23">
        <v>1956</v>
      </c>
      <c r="H23" t="s">
        <v>24</v>
      </c>
      <c r="I23" t="s">
        <v>24</v>
      </c>
      <c r="J23" t="s">
        <v>24</v>
      </c>
      <c r="K23" t="s">
        <v>24</v>
      </c>
      <c r="Q23">
        <v>0.33942005553312199</v>
      </c>
      <c r="R23">
        <v>0.34838867751237601</v>
      </c>
      <c r="W23" s="5">
        <f t="shared" si="1"/>
        <v>0</v>
      </c>
      <c r="X23" s="5">
        <f t="shared" si="2"/>
        <v>0</v>
      </c>
      <c r="Y23" s="5">
        <f t="shared" si="3"/>
        <v>0</v>
      </c>
      <c r="Z23" s="5">
        <f t="shared" si="4"/>
        <v>0</v>
      </c>
      <c r="AA23" s="5">
        <f t="shared" si="5"/>
        <v>0.32584325331179709</v>
      </c>
      <c r="AB23" s="5">
        <f t="shared" si="6"/>
        <v>0.33445313041188096</v>
      </c>
      <c r="AC23" s="5">
        <f t="shared" si="7"/>
        <v>0</v>
      </c>
      <c r="AD23" s="5">
        <f t="shared" si="8"/>
        <v>0</v>
      </c>
      <c r="AE23" s="5">
        <f t="shared" si="9"/>
        <v>0</v>
      </c>
    </row>
    <row r="24" spans="1:31" x14ac:dyDescent="0.35">
      <c r="A24" t="s">
        <v>22</v>
      </c>
      <c r="B24" t="s">
        <v>73</v>
      </c>
      <c r="C24" t="s">
        <v>47</v>
      </c>
      <c r="D24" t="s">
        <v>24</v>
      </c>
      <c r="E24" t="s">
        <v>24</v>
      </c>
      <c r="F24" t="s">
        <v>27</v>
      </c>
      <c r="G24">
        <v>1957</v>
      </c>
      <c r="H24" t="s">
        <v>24</v>
      </c>
      <c r="I24" t="s">
        <v>24</v>
      </c>
      <c r="J24" t="s">
        <v>24</v>
      </c>
      <c r="K24" t="s">
        <v>24</v>
      </c>
      <c r="O24">
        <v>0.35426010306303701</v>
      </c>
      <c r="Q24">
        <v>0.34318036719183498</v>
      </c>
      <c r="R24">
        <v>0.34534179484682898</v>
      </c>
      <c r="W24" s="5">
        <f t="shared" si="1"/>
        <v>0</v>
      </c>
      <c r="X24" s="5">
        <f t="shared" si="2"/>
        <v>0</v>
      </c>
      <c r="Y24" s="5">
        <f t="shared" si="3"/>
        <v>0.34008969894051549</v>
      </c>
      <c r="Z24" s="5">
        <f t="shared" si="4"/>
        <v>0</v>
      </c>
      <c r="AA24" s="5">
        <f t="shared" si="5"/>
        <v>0.32945315250416157</v>
      </c>
      <c r="AB24" s="5">
        <f t="shared" si="6"/>
        <v>0.33152812305295581</v>
      </c>
      <c r="AC24" s="5">
        <f t="shared" si="7"/>
        <v>0</v>
      </c>
      <c r="AD24" s="5">
        <f t="shared" si="8"/>
        <v>0</v>
      </c>
      <c r="AE24" s="5">
        <f t="shared" si="9"/>
        <v>0</v>
      </c>
    </row>
    <row r="25" spans="1:31" x14ac:dyDescent="0.35">
      <c r="A25" t="s">
        <v>22</v>
      </c>
      <c r="B25" t="s">
        <v>73</v>
      </c>
      <c r="C25" t="s">
        <v>47</v>
      </c>
      <c r="D25" t="s">
        <v>24</v>
      </c>
      <c r="E25" t="s">
        <v>24</v>
      </c>
      <c r="F25" t="s">
        <v>27</v>
      </c>
      <c r="G25">
        <v>1958</v>
      </c>
      <c r="H25" t="s">
        <v>24</v>
      </c>
      <c r="I25" t="s">
        <v>24</v>
      </c>
      <c r="J25" t="s">
        <v>24</v>
      </c>
      <c r="K25" t="s">
        <v>24</v>
      </c>
      <c r="M25">
        <v>0.32439607138335602</v>
      </c>
      <c r="N25">
        <v>0.34303014669895199</v>
      </c>
      <c r="O25">
        <v>0.35597945120025598</v>
      </c>
      <c r="Q25">
        <v>0.33487423304921698</v>
      </c>
      <c r="R25">
        <v>0.34346479775467698</v>
      </c>
      <c r="W25" s="5">
        <f t="shared" si="1"/>
        <v>0.31142022852802176</v>
      </c>
      <c r="X25" s="5">
        <f t="shared" si="2"/>
        <v>0.32930894083099388</v>
      </c>
      <c r="Y25" s="5">
        <f t="shared" si="3"/>
        <v>0.34174027315224575</v>
      </c>
      <c r="Z25" s="5">
        <f t="shared" si="4"/>
        <v>0</v>
      </c>
      <c r="AA25" s="5">
        <f t="shared" si="5"/>
        <v>0.32147926372724828</v>
      </c>
      <c r="AB25" s="5">
        <f t="shared" si="6"/>
        <v>0.32972620584448986</v>
      </c>
      <c r="AC25" s="5">
        <f t="shared" si="7"/>
        <v>0</v>
      </c>
      <c r="AD25" s="5">
        <f t="shared" si="8"/>
        <v>0</v>
      </c>
      <c r="AE25" s="5">
        <f t="shared" si="9"/>
        <v>0</v>
      </c>
    </row>
    <row r="26" spans="1:31" x14ac:dyDescent="0.35">
      <c r="A26" t="s">
        <v>22</v>
      </c>
      <c r="B26" t="s">
        <v>73</v>
      </c>
      <c r="C26" t="s">
        <v>47</v>
      </c>
      <c r="D26" t="s">
        <v>24</v>
      </c>
      <c r="E26" t="s">
        <v>24</v>
      </c>
      <c r="F26" t="s">
        <v>27</v>
      </c>
      <c r="G26">
        <v>1959</v>
      </c>
      <c r="H26" t="s">
        <v>24</v>
      </c>
      <c r="I26" t="s">
        <v>24</v>
      </c>
      <c r="J26" t="s">
        <v>24</v>
      </c>
      <c r="K26" t="s">
        <v>24</v>
      </c>
      <c r="N26">
        <v>0.32834381344765401</v>
      </c>
      <c r="O26">
        <v>0.33372141000424399</v>
      </c>
      <c r="Q26">
        <v>0.33329796459736999</v>
      </c>
      <c r="R26">
        <v>0.34901638908563298</v>
      </c>
      <c r="W26" s="5">
        <f t="shared" si="1"/>
        <v>0</v>
      </c>
      <c r="X26" s="5">
        <f t="shared" si="2"/>
        <v>0.31521006090974785</v>
      </c>
      <c r="Y26" s="5">
        <f t="shared" si="3"/>
        <v>0.32037255360407424</v>
      </c>
      <c r="Z26" s="5">
        <f t="shared" si="4"/>
        <v>0</v>
      </c>
      <c r="AA26" s="5">
        <f t="shared" si="5"/>
        <v>0.31996604601347517</v>
      </c>
      <c r="AB26" s="5">
        <f t="shared" si="6"/>
        <v>0.33505573352220763</v>
      </c>
      <c r="AC26" s="5">
        <f t="shared" si="7"/>
        <v>0</v>
      </c>
      <c r="AD26" s="5">
        <f t="shared" si="8"/>
        <v>0</v>
      </c>
      <c r="AE26" s="5">
        <f t="shared" si="9"/>
        <v>0</v>
      </c>
    </row>
    <row r="27" spans="1:31" x14ac:dyDescent="0.35">
      <c r="A27" t="s">
        <v>22</v>
      </c>
      <c r="B27" t="s">
        <v>73</v>
      </c>
      <c r="C27" t="s">
        <v>47</v>
      </c>
      <c r="D27" t="s">
        <v>24</v>
      </c>
      <c r="E27" t="s">
        <v>24</v>
      </c>
      <c r="F27" t="s">
        <v>27</v>
      </c>
      <c r="G27">
        <v>1960</v>
      </c>
      <c r="H27" t="s">
        <v>24</v>
      </c>
      <c r="I27" t="s">
        <v>24</v>
      </c>
      <c r="J27" t="s">
        <v>24</v>
      </c>
      <c r="K27" t="s">
        <v>24</v>
      </c>
      <c r="M27">
        <v>0.30418845400429301</v>
      </c>
      <c r="N27">
        <v>0.33922863735689102</v>
      </c>
      <c r="O27">
        <v>0.33527627998834603</v>
      </c>
      <c r="Q27">
        <v>0.32485042861360702</v>
      </c>
      <c r="W27" s="5">
        <f t="shared" si="1"/>
        <v>0.29202091584412126</v>
      </c>
      <c r="X27" s="5">
        <f t="shared" si="2"/>
        <v>0.32565949186261539</v>
      </c>
      <c r="Y27" s="5">
        <f t="shared" si="3"/>
        <v>0.32186522878881219</v>
      </c>
      <c r="Z27" s="5">
        <f t="shared" si="4"/>
        <v>0</v>
      </c>
      <c r="AA27" s="5">
        <f t="shared" si="5"/>
        <v>0.31185641146906273</v>
      </c>
      <c r="AB27" s="5">
        <f t="shared" si="6"/>
        <v>0</v>
      </c>
      <c r="AC27" s="5">
        <f t="shared" si="7"/>
        <v>0</v>
      </c>
      <c r="AD27" s="5">
        <f t="shared" si="8"/>
        <v>0</v>
      </c>
      <c r="AE27" s="5">
        <f t="shared" si="9"/>
        <v>0</v>
      </c>
    </row>
    <row r="28" spans="1:31" x14ac:dyDescent="0.35">
      <c r="A28" t="s">
        <v>22</v>
      </c>
      <c r="B28" t="s">
        <v>73</v>
      </c>
      <c r="C28" t="s">
        <v>47</v>
      </c>
      <c r="D28" t="s">
        <v>24</v>
      </c>
      <c r="E28" t="s">
        <v>24</v>
      </c>
      <c r="F28" t="s">
        <v>27</v>
      </c>
      <c r="G28">
        <v>1961</v>
      </c>
      <c r="H28" t="s">
        <v>24</v>
      </c>
      <c r="I28" t="s">
        <v>24</v>
      </c>
      <c r="J28" t="s">
        <v>24</v>
      </c>
      <c r="K28" t="s">
        <v>24</v>
      </c>
      <c r="N28">
        <v>0.364510011433895</v>
      </c>
      <c r="O28">
        <v>0.33137169121907201</v>
      </c>
      <c r="Q28">
        <v>0.33671874801210999</v>
      </c>
      <c r="R28">
        <v>0.33728598150454903</v>
      </c>
      <c r="W28" s="5">
        <f t="shared" si="1"/>
        <v>0</v>
      </c>
      <c r="X28" s="5">
        <f t="shared" si="2"/>
        <v>0.34992961097653918</v>
      </c>
      <c r="Y28" s="5">
        <f t="shared" si="3"/>
        <v>0.31811682357030913</v>
      </c>
      <c r="Z28" s="5">
        <f t="shared" si="4"/>
        <v>0</v>
      </c>
      <c r="AA28" s="5">
        <f t="shared" si="5"/>
        <v>0.32324999809162558</v>
      </c>
      <c r="AB28" s="5">
        <f t="shared" si="6"/>
        <v>0.32379454224436705</v>
      </c>
      <c r="AC28" s="5">
        <f t="shared" si="7"/>
        <v>0</v>
      </c>
      <c r="AD28" s="5">
        <f t="shared" si="8"/>
        <v>0</v>
      </c>
      <c r="AE28" s="5">
        <f t="shared" si="9"/>
        <v>0</v>
      </c>
    </row>
    <row r="29" spans="1:31" x14ac:dyDescent="0.35">
      <c r="A29" t="s">
        <v>22</v>
      </c>
      <c r="B29" t="s">
        <v>73</v>
      </c>
      <c r="C29" t="s">
        <v>47</v>
      </c>
      <c r="D29" t="s">
        <v>24</v>
      </c>
      <c r="E29" t="s">
        <v>24</v>
      </c>
      <c r="F29" t="s">
        <v>27</v>
      </c>
      <c r="G29">
        <v>1962</v>
      </c>
      <c r="H29" t="s">
        <v>24</v>
      </c>
      <c r="I29" t="s">
        <v>24</v>
      </c>
      <c r="J29" t="s">
        <v>24</v>
      </c>
      <c r="K29" t="s">
        <v>24</v>
      </c>
      <c r="N29">
        <v>0.33208281044301102</v>
      </c>
      <c r="O29">
        <v>0.33499528754298302</v>
      </c>
      <c r="Q29">
        <v>0.33104983161469798</v>
      </c>
      <c r="R29">
        <v>0.31374791052606799</v>
      </c>
      <c r="W29" s="5">
        <f t="shared" si="1"/>
        <v>0</v>
      </c>
      <c r="X29" s="5">
        <f t="shared" si="2"/>
        <v>0.31879949802529056</v>
      </c>
      <c r="Y29" s="5">
        <f t="shared" si="3"/>
        <v>0.32159547604126371</v>
      </c>
      <c r="Z29" s="5">
        <f t="shared" si="4"/>
        <v>0</v>
      </c>
      <c r="AA29" s="5">
        <f t="shared" si="5"/>
        <v>0.31780783835011006</v>
      </c>
      <c r="AB29" s="5">
        <f t="shared" si="6"/>
        <v>0.30119799410502524</v>
      </c>
      <c r="AC29" s="5">
        <f t="shared" si="7"/>
        <v>0</v>
      </c>
      <c r="AD29" s="5">
        <f t="shared" si="8"/>
        <v>0</v>
      </c>
      <c r="AE29" s="5">
        <f t="shared" si="9"/>
        <v>0</v>
      </c>
    </row>
    <row r="30" spans="1:31" x14ac:dyDescent="0.35">
      <c r="A30" t="s">
        <v>22</v>
      </c>
      <c r="B30" t="s">
        <v>73</v>
      </c>
      <c r="C30" t="s">
        <v>47</v>
      </c>
      <c r="D30" t="s">
        <v>24</v>
      </c>
      <c r="E30" t="s">
        <v>24</v>
      </c>
      <c r="F30" t="s">
        <v>27</v>
      </c>
      <c r="G30">
        <v>1963</v>
      </c>
      <c r="H30" t="s">
        <v>24</v>
      </c>
      <c r="I30" t="s">
        <v>24</v>
      </c>
      <c r="J30" t="s">
        <v>24</v>
      </c>
      <c r="K30" t="s">
        <v>24</v>
      </c>
      <c r="M30">
        <v>0.37456885564012299</v>
      </c>
      <c r="N30">
        <v>0.32807636524195</v>
      </c>
      <c r="Q30">
        <v>0.343679253790798</v>
      </c>
      <c r="W30" s="5">
        <f t="shared" si="1"/>
        <v>0.35958610141451808</v>
      </c>
      <c r="X30" s="5">
        <f t="shared" si="2"/>
        <v>0.314953310632272</v>
      </c>
      <c r="Y30" s="5">
        <f t="shared" si="3"/>
        <v>0</v>
      </c>
      <c r="Z30" s="5">
        <f t="shared" si="4"/>
        <v>0</v>
      </c>
      <c r="AA30" s="5">
        <f t="shared" si="5"/>
        <v>0.32993208363916604</v>
      </c>
      <c r="AB30" s="5">
        <f t="shared" si="6"/>
        <v>0</v>
      </c>
      <c r="AC30" s="5">
        <f t="shared" si="7"/>
        <v>0</v>
      </c>
      <c r="AD30" s="5">
        <f t="shared" si="8"/>
        <v>0</v>
      </c>
      <c r="AE30" s="5">
        <f t="shared" si="9"/>
        <v>0</v>
      </c>
    </row>
    <row r="31" spans="1:31" x14ac:dyDescent="0.35">
      <c r="A31" t="s">
        <v>22</v>
      </c>
      <c r="B31" t="s">
        <v>73</v>
      </c>
      <c r="C31" t="s">
        <v>47</v>
      </c>
      <c r="D31" t="s">
        <v>24</v>
      </c>
      <c r="E31" t="s">
        <v>24</v>
      </c>
      <c r="F31" t="s">
        <v>27</v>
      </c>
      <c r="G31">
        <v>1964</v>
      </c>
      <c r="H31" t="s">
        <v>24</v>
      </c>
      <c r="I31" t="s">
        <v>24</v>
      </c>
      <c r="J31" t="s">
        <v>24</v>
      </c>
      <c r="K31" t="s">
        <v>24</v>
      </c>
      <c r="M31">
        <v>0.37456885564012299</v>
      </c>
      <c r="N31">
        <v>0.309524203895023</v>
      </c>
      <c r="O31">
        <v>0.30973243849337501</v>
      </c>
      <c r="Q31">
        <v>0.33556918406334002</v>
      </c>
      <c r="R31">
        <v>0.36660101792882599</v>
      </c>
      <c r="W31" s="5">
        <f t="shared" si="1"/>
        <v>0.35958610141451808</v>
      </c>
      <c r="X31" s="5">
        <f t="shared" si="2"/>
        <v>0.29714323573922208</v>
      </c>
      <c r="Y31" s="5">
        <f t="shared" si="3"/>
        <v>0.29734314095364001</v>
      </c>
      <c r="Z31" s="5">
        <f t="shared" si="4"/>
        <v>0</v>
      </c>
      <c r="AA31" s="5">
        <f t="shared" si="5"/>
        <v>0.3221464167008064</v>
      </c>
      <c r="AB31" s="5">
        <f t="shared" si="6"/>
        <v>0.35193697721167294</v>
      </c>
      <c r="AC31" s="5">
        <f t="shared" si="7"/>
        <v>0</v>
      </c>
      <c r="AD31" s="5">
        <f t="shared" si="8"/>
        <v>0</v>
      </c>
      <c r="AE31" s="5">
        <f t="shared" si="9"/>
        <v>0</v>
      </c>
    </row>
    <row r="32" spans="1:31" x14ac:dyDescent="0.35">
      <c r="A32" t="s">
        <v>22</v>
      </c>
      <c r="B32" t="s">
        <v>73</v>
      </c>
      <c r="C32" t="s">
        <v>47</v>
      </c>
      <c r="D32" t="s">
        <v>24</v>
      </c>
      <c r="E32" t="s">
        <v>24</v>
      </c>
      <c r="F32" t="s">
        <v>27</v>
      </c>
      <c r="G32">
        <v>1965</v>
      </c>
      <c r="H32" t="s">
        <v>24</v>
      </c>
      <c r="I32" t="s">
        <v>24</v>
      </c>
      <c r="J32" t="s">
        <v>24</v>
      </c>
      <c r="K32" t="s">
        <v>24</v>
      </c>
      <c r="N32">
        <v>0.37106592810803801</v>
      </c>
      <c r="O32">
        <v>0.30288676325949898</v>
      </c>
      <c r="Q32">
        <v>0.335651951827454</v>
      </c>
      <c r="R32">
        <v>0.34316776801295101</v>
      </c>
      <c r="W32" s="5">
        <f t="shared" si="1"/>
        <v>0</v>
      </c>
      <c r="X32" s="5">
        <f t="shared" si="2"/>
        <v>0.35622329098371647</v>
      </c>
      <c r="Y32" s="5">
        <f t="shared" si="3"/>
        <v>0.290771292729119</v>
      </c>
      <c r="Z32" s="5">
        <f t="shared" si="4"/>
        <v>0</v>
      </c>
      <c r="AA32" s="5">
        <f t="shared" si="5"/>
        <v>0.32222587375435585</v>
      </c>
      <c r="AB32" s="5">
        <f t="shared" si="6"/>
        <v>0.32944105729243295</v>
      </c>
      <c r="AC32" s="5">
        <f t="shared" si="7"/>
        <v>0</v>
      </c>
      <c r="AD32" s="5">
        <f t="shared" si="8"/>
        <v>0</v>
      </c>
      <c r="AE32" s="5">
        <f t="shared" si="9"/>
        <v>0</v>
      </c>
    </row>
    <row r="33" spans="1:31" x14ac:dyDescent="0.35">
      <c r="A33" t="s">
        <v>22</v>
      </c>
      <c r="B33" t="s">
        <v>73</v>
      </c>
      <c r="C33" t="s">
        <v>47</v>
      </c>
      <c r="D33" t="s">
        <v>24</v>
      </c>
      <c r="E33" t="s">
        <v>24</v>
      </c>
      <c r="F33" t="s">
        <v>27</v>
      </c>
      <c r="G33">
        <v>1966</v>
      </c>
      <c r="H33" t="s">
        <v>24</v>
      </c>
      <c r="I33" t="s">
        <v>24</v>
      </c>
      <c r="J33" t="s">
        <v>24</v>
      </c>
      <c r="K33" t="s">
        <v>24</v>
      </c>
      <c r="Q33">
        <v>0.33843193992215698</v>
      </c>
      <c r="R33">
        <v>0.32775848296122201</v>
      </c>
      <c r="W33" s="5">
        <f t="shared" si="1"/>
        <v>0</v>
      </c>
      <c r="X33" s="5">
        <f t="shared" si="2"/>
        <v>0</v>
      </c>
      <c r="Y33" s="5">
        <f t="shared" si="3"/>
        <v>0</v>
      </c>
      <c r="Z33" s="5">
        <f t="shared" si="4"/>
        <v>0</v>
      </c>
      <c r="AA33" s="5">
        <f t="shared" si="5"/>
        <v>0.3248946623252707</v>
      </c>
      <c r="AB33" s="5">
        <f t="shared" si="6"/>
        <v>0.3146481436427731</v>
      </c>
      <c r="AC33" s="5">
        <f t="shared" si="7"/>
        <v>0</v>
      </c>
      <c r="AD33" s="5">
        <f t="shared" si="8"/>
        <v>0</v>
      </c>
      <c r="AE33" s="5">
        <f t="shared" si="9"/>
        <v>0</v>
      </c>
    </row>
    <row r="34" spans="1:31" x14ac:dyDescent="0.35">
      <c r="A34" t="s">
        <v>22</v>
      </c>
      <c r="B34" t="s">
        <v>73</v>
      </c>
      <c r="C34" t="s">
        <v>47</v>
      </c>
      <c r="D34" t="s">
        <v>24</v>
      </c>
      <c r="E34" t="s">
        <v>24</v>
      </c>
      <c r="F34" t="s">
        <v>27</v>
      </c>
      <c r="G34">
        <v>1967</v>
      </c>
      <c r="H34" t="s">
        <v>24</v>
      </c>
      <c r="I34" t="s">
        <v>24</v>
      </c>
      <c r="J34" t="s">
        <v>24</v>
      </c>
      <c r="K34" t="s">
        <v>24</v>
      </c>
      <c r="N34">
        <v>0.30299434158067101</v>
      </c>
      <c r="O34">
        <v>0.35902697728310701</v>
      </c>
      <c r="Q34">
        <v>0.33650848956587098</v>
      </c>
      <c r="R34">
        <v>0.37843210323627802</v>
      </c>
      <c r="W34" s="5">
        <f t="shared" si="1"/>
        <v>0</v>
      </c>
      <c r="X34" s="5">
        <f t="shared" si="2"/>
        <v>0.29087456791744415</v>
      </c>
      <c r="Y34" s="5">
        <f t="shared" si="3"/>
        <v>0.34466589819178273</v>
      </c>
      <c r="Z34" s="5">
        <f t="shared" si="4"/>
        <v>0</v>
      </c>
      <c r="AA34" s="5">
        <f t="shared" si="5"/>
        <v>0.32304814998323611</v>
      </c>
      <c r="AB34" s="5">
        <f t="shared" si="6"/>
        <v>0.36329481910682687</v>
      </c>
      <c r="AC34" s="5">
        <f t="shared" si="7"/>
        <v>0</v>
      </c>
      <c r="AD34" s="5">
        <f t="shared" si="8"/>
        <v>0</v>
      </c>
      <c r="AE34" s="5">
        <f t="shared" si="9"/>
        <v>0</v>
      </c>
    </row>
    <row r="35" spans="1:31" x14ac:dyDescent="0.35">
      <c r="A35" t="s">
        <v>22</v>
      </c>
      <c r="B35" t="s">
        <v>73</v>
      </c>
      <c r="C35" t="s">
        <v>47</v>
      </c>
      <c r="D35" t="s">
        <v>24</v>
      </c>
      <c r="E35" t="s">
        <v>24</v>
      </c>
      <c r="F35" t="s">
        <v>27</v>
      </c>
      <c r="G35">
        <v>1968</v>
      </c>
      <c r="H35" t="s">
        <v>24</v>
      </c>
      <c r="I35" t="s">
        <v>24</v>
      </c>
      <c r="J35" t="s">
        <v>24</v>
      </c>
      <c r="K35" t="s">
        <v>24</v>
      </c>
      <c r="M35">
        <v>0.32776124050346001</v>
      </c>
      <c r="O35">
        <v>0.34704218723846503</v>
      </c>
      <c r="Q35">
        <v>0.35991164169196499</v>
      </c>
      <c r="R35">
        <v>0.35243981355933901</v>
      </c>
      <c r="W35" s="5">
        <f t="shared" si="1"/>
        <v>0.3146507908833216</v>
      </c>
      <c r="X35" s="5">
        <f t="shared" si="2"/>
        <v>0</v>
      </c>
      <c r="Y35" s="5">
        <f t="shared" si="3"/>
        <v>0.33316049974892642</v>
      </c>
      <c r="Z35" s="5">
        <f t="shared" si="4"/>
        <v>0</v>
      </c>
      <c r="AA35" s="5">
        <f t="shared" si="5"/>
        <v>0.34551517602428639</v>
      </c>
      <c r="AB35" s="5">
        <f t="shared" si="6"/>
        <v>0.33834222101696543</v>
      </c>
      <c r="AC35" s="5">
        <f t="shared" si="7"/>
        <v>0</v>
      </c>
      <c r="AD35" s="5">
        <f t="shared" si="8"/>
        <v>0</v>
      </c>
      <c r="AE35" s="5">
        <f t="shared" si="9"/>
        <v>0</v>
      </c>
    </row>
    <row r="36" spans="1:31" x14ac:dyDescent="0.35">
      <c r="A36" t="s">
        <v>22</v>
      </c>
      <c r="B36" t="s">
        <v>73</v>
      </c>
      <c r="C36" t="s">
        <v>47</v>
      </c>
      <c r="D36" t="s">
        <v>24</v>
      </c>
      <c r="E36" t="s">
        <v>24</v>
      </c>
      <c r="F36" t="s">
        <v>27</v>
      </c>
      <c r="G36">
        <v>1969</v>
      </c>
      <c r="H36" t="s">
        <v>24</v>
      </c>
      <c r="I36" t="s">
        <v>24</v>
      </c>
      <c r="J36" t="s">
        <v>24</v>
      </c>
      <c r="K36" t="s">
        <v>24</v>
      </c>
      <c r="M36">
        <v>0.37456885564012299</v>
      </c>
      <c r="O36">
        <v>0.34964951471877798</v>
      </c>
      <c r="Q36">
        <v>0.35500005594496598</v>
      </c>
      <c r="R36">
        <v>0.33865618461993602</v>
      </c>
      <c r="W36" s="5">
        <f t="shared" si="1"/>
        <v>0.35958610141451808</v>
      </c>
      <c r="X36" s="5">
        <f t="shared" si="2"/>
        <v>0</v>
      </c>
      <c r="Y36" s="5">
        <f t="shared" si="3"/>
        <v>0.33566353413002686</v>
      </c>
      <c r="Z36" s="5">
        <f t="shared" si="4"/>
        <v>0</v>
      </c>
      <c r="AA36" s="5">
        <f t="shared" si="5"/>
        <v>0.34080005370716732</v>
      </c>
      <c r="AB36" s="5">
        <f t="shared" si="6"/>
        <v>0.32510993723513859</v>
      </c>
      <c r="AC36" s="5">
        <f t="shared" si="7"/>
        <v>0</v>
      </c>
      <c r="AD36" s="5">
        <f t="shared" si="8"/>
        <v>0</v>
      </c>
      <c r="AE36" s="5">
        <f t="shared" si="9"/>
        <v>0</v>
      </c>
    </row>
    <row r="37" spans="1:31" x14ac:dyDescent="0.35">
      <c r="A37" t="s">
        <v>22</v>
      </c>
      <c r="B37" t="s">
        <v>73</v>
      </c>
      <c r="C37" t="s">
        <v>47</v>
      </c>
      <c r="D37" t="s">
        <v>24</v>
      </c>
      <c r="E37" t="s">
        <v>24</v>
      </c>
      <c r="F37" t="s">
        <v>27</v>
      </c>
      <c r="G37">
        <v>1970</v>
      </c>
      <c r="H37" t="s">
        <v>24</v>
      </c>
      <c r="I37" t="s">
        <v>24</v>
      </c>
      <c r="J37" t="s">
        <v>24</v>
      </c>
      <c r="K37" t="s">
        <v>24</v>
      </c>
      <c r="N37">
        <v>0.34855181561609</v>
      </c>
      <c r="O37">
        <v>0.34532756166690898</v>
      </c>
      <c r="Q37">
        <v>0.31394817486168097</v>
      </c>
      <c r="R37">
        <v>0.31128646915540198</v>
      </c>
      <c r="W37" s="5">
        <f t="shared" si="1"/>
        <v>0</v>
      </c>
      <c r="X37" s="5">
        <f t="shared" si="2"/>
        <v>0.33460974299144641</v>
      </c>
      <c r="Y37" s="5">
        <f t="shared" si="3"/>
        <v>0.33151445920023259</v>
      </c>
      <c r="Z37" s="5">
        <f t="shared" si="4"/>
        <v>0</v>
      </c>
      <c r="AA37" s="5">
        <f t="shared" si="5"/>
        <v>0.30139024786721375</v>
      </c>
      <c r="AB37" s="5">
        <f t="shared" si="6"/>
        <v>0.29883501038918586</v>
      </c>
      <c r="AC37" s="5">
        <f t="shared" si="7"/>
        <v>0</v>
      </c>
      <c r="AD37" s="5">
        <f t="shared" si="8"/>
        <v>0</v>
      </c>
      <c r="AE37" s="5">
        <f t="shared" si="9"/>
        <v>0</v>
      </c>
    </row>
    <row r="38" spans="1:31" x14ac:dyDescent="0.35">
      <c r="A38" t="s">
        <v>22</v>
      </c>
      <c r="B38" t="s">
        <v>73</v>
      </c>
      <c r="C38" t="s">
        <v>47</v>
      </c>
      <c r="D38" t="s">
        <v>24</v>
      </c>
      <c r="E38" t="s">
        <v>24</v>
      </c>
      <c r="F38" t="s">
        <v>27</v>
      </c>
      <c r="G38">
        <v>1971</v>
      </c>
      <c r="H38" t="s">
        <v>24</v>
      </c>
      <c r="I38" t="s">
        <v>24</v>
      </c>
      <c r="J38" t="s">
        <v>24</v>
      </c>
      <c r="K38" t="s">
        <v>24</v>
      </c>
      <c r="O38">
        <v>0.36149842728931397</v>
      </c>
      <c r="R38">
        <v>0.35078820201539601</v>
      </c>
      <c r="W38" s="5">
        <f t="shared" si="1"/>
        <v>0</v>
      </c>
      <c r="X38" s="5">
        <f t="shared" si="2"/>
        <v>0</v>
      </c>
      <c r="Y38" s="5">
        <f t="shared" si="3"/>
        <v>0.34703849019774141</v>
      </c>
      <c r="Z38" s="5">
        <f t="shared" si="4"/>
        <v>0</v>
      </c>
      <c r="AA38" s="5">
        <f t="shared" si="5"/>
        <v>0</v>
      </c>
      <c r="AB38" s="5">
        <f t="shared" si="6"/>
        <v>0.33675667393478015</v>
      </c>
      <c r="AC38" s="5">
        <f t="shared" si="7"/>
        <v>0</v>
      </c>
      <c r="AD38" s="5">
        <f t="shared" si="8"/>
        <v>0</v>
      </c>
      <c r="AE38" s="5">
        <f t="shared" si="9"/>
        <v>0</v>
      </c>
    </row>
    <row r="39" spans="1:31" x14ac:dyDescent="0.35">
      <c r="A39" t="s">
        <v>22</v>
      </c>
      <c r="B39" t="s">
        <v>73</v>
      </c>
      <c r="C39" t="s">
        <v>47</v>
      </c>
      <c r="D39" t="s">
        <v>24</v>
      </c>
      <c r="E39" t="s">
        <v>24</v>
      </c>
      <c r="F39" t="s">
        <v>27</v>
      </c>
      <c r="G39">
        <v>1972</v>
      </c>
      <c r="H39" t="s">
        <v>24</v>
      </c>
      <c r="I39" t="s">
        <v>24</v>
      </c>
      <c r="J39" t="s">
        <v>24</v>
      </c>
      <c r="K39" t="s">
        <v>24</v>
      </c>
      <c r="O39">
        <v>0.35101124620795698</v>
      </c>
      <c r="Q39">
        <v>0.34419228110566003</v>
      </c>
      <c r="R39">
        <v>0.34941638256704999</v>
      </c>
      <c r="W39" s="5">
        <f t="shared" si="1"/>
        <v>0</v>
      </c>
      <c r="X39" s="5">
        <f t="shared" si="2"/>
        <v>0</v>
      </c>
      <c r="Y39" s="5">
        <f t="shared" si="3"/>
        <v>0.33697079635963867</v>
      </c>
      <c r="Z39" s="5">
        <f t="shared" si="4"/>
        <v>0</v>
      </c>
      <c r="AA39" s="5">
        <f t="shared" si="5"/>
        <v>0.33042458986143364</v>
      </c>
      <c r="AB39" s="5">
        <f t="shared" si="6"/>
        <v>0.33543972726436799</v>
      </c>
      <c r="AC39" s="5">
        <f t="shared" si="7"/>
        <v>0</v>
      </c>
      <c r="AD39" s="5">
        <f t="shared" si="8"/>
        <v>0</v>
      </c>
      <c r="AE39" s="5">
        <f t="shared" si="9"/>
        <v>0</v>
      </c>
    </row>
    <row r="40" spans="1:31" x14ac:dyDescent="0.35">
      <c r="A40" t="s">
        <v>22</v>
      </c>
      <c r="B40" t="s">
        <v>73</v>
      </c>
      <c r="C40" t="s">
        <v>47</v>
      </c>
      <c r="D40" t="s">
        <v>24</v>
      </c>
      <c r="E40" t="s">
        <v>24</v>
      </c>
      <c r="F40" t="s">
        <v>27</v>
      </c>
      <c r="G40">
        <v>1973</v>
      </c>
      <c r="H40" t="s">
        <v>24</v>
      </c>
      <c r="I40" t="s">
        <v>24</v>
      </c>
      <c r="J40" t="s">
        <v>24</v>
      </c>
      <c r="K40" t="s">
        <v>24</v>
      </c>
      <c r="O40">
        <v>0.35361650213462198</v>
      </c>
      <c r="Q40">
        <v>0.32050236236114499</v>
      </c>
      <c r="R40">
        <v>0.35012084453555098</v>
      </c>
      <c r="W40" s="5">
        <f t="shared" si="1"/>
        <v>0</v>
      </c>
      <c r="X40" s="5">
        <f t="shared" si="2"/>
        <v>0</v>
      </c>
      <c r="Y40" s="5">
        <f t="shared" si="3"/>
        <v>0.33947184204923708</v>
      </c>
      <c r="Z40" s="5">
        <f t="shared" si="4"/>
        <v>0</v>
      </c>
      <c r="AA40" s="5">
        <f t="shared" si="5"/>
        <v>0.30768226786669917</v>
      </c>
      <c r="AB40" s="5">
        <f t="shared" si="6"/>
        <v>0.33611601075412895</v>
      </c>
      <c r="AC40" s="5">
        <f t="shared" si="7"/>
        <v>0</v>
      </c>
      <c r="AD40" s="5">
        <f t="shared" si="8"/>
        <v>0</v>
      </c>
      <c r="AE40" s="5">
        <f t="shared" si="9"/>
        <v>0</v>
      </c>
    </row>
    <row r="41" spans="1:31" x14ac:dyDescent="0.35">
      <c r="A41" t="s">
        <v>22</v>
      </c>
      <c r="B41" t="s">
        <v>73</v>
      </c>
      <c r="C41" t="s">
        <v>47</v>
      </c>
      <c r="D41" t="s">
        <v>24</v>
      </c>
      <c r="E41" t="s">
        <v>24</v>
      </c>
      <c r="F41" t="s">
        <v>27</v>
      </c>
      <c r="G41">
        <v>1974</v>
      </c>
      <c r="H41" t="s">
        <v>24</v>
      </c>
      <c r="I41" t="s">
        <v>24</v>
      </c>
      <c r="J41" t="s">
        <v>24</v>
      </c>
      <c r="K41" t="s">
        <v>24</v>
      </c>
      <c r="O41">
        <v>0.36710041870559401</v>
      </c>
      <c r="Q41">
        <v>0.36557984517693598</v>
      </c>
      <c r="R41">
        <v>0.307280892049417</v>
      </c>
      <c r="W41" s="5">
        <f t="shared" si="1"/>
        <v>0</v>
      </c>
      <c r="X41" s="5">
        <f t="shared" si="2"/>
        <v>0</v>
      </c>
      <c r="Y41" s="5">
        <f t="shared" si="3"/>
        <v>0.35241640195737023</v>
      </c>
      <c r="Z41" s="5">
        <f t="shared" si="4"/>
        <v>0</v>
      </c>
      <c r="AA41" s="5">
        <f t="shared" si="5"/>
        <v>0.35095665136985854</v>
      </c>
      <c r="AB41" s="5">
        <f t="shared" si="6"/>
        <v>0.29498965636744029</v>
      </c>
      <c r="AC41" s="5">
        <f t="shared" si="7"/>
        <v>0</v>
      </c>
      <c r="AD41" s="5">
        <f t="shared" si="8"/>
        <v>0</v>
      </c>
      <c r="AE41" s="5">
        <f t="shared" si="9"/>
        <v>0</v>
      </c>
    </row>
    <row r="42" spans="1:31" x14ac:dyDescent="0.35">
      <c r="A42" t="s">
        <v>22</v>
      </c>
      <c r="B42" t="s">
        <v>73</v>
      </c>
      <c r="C42" t="s">
        <v>47</v>
      </c>
      <c r="D42" t="s">
        <v>24</v>
      </c>
      <c r="E42" t="s">
        <v>24</v>
      </c>
      <c r="F42" t="s">
        <v>27</v>
      </c>
      <c r="G42">
        <v>1975</v>
      </c>
      <c r="H42" t="s">
        <v>24</v>
      </c>
      <c r="I42" t="s">
        <v>24</v>
      </c>
      <c r="J42" t="s">
        <v>24</v>
      </c>
      <c r="K42" t="s">
        <v>24</v>
      </c>
      <c r="O42">
        <v>0.34488804071978102</v>
      </c>
      <c r="Q42">
        <v>0.36577578249346299</v>
      </c>
      <c r="W42" s="5">
        <f t="shared" si="1"/>
        <v>0</v>
      </c>
      <c r="X42" s="5">
        <f t="shared" si="2"/>
        <v>0</v>
      </c>
      <c r="Y42" s="5">
        <f t="shared" si="3"/>
        <v>0.33109251909098975</v>
      </c>
      <c r="Z42" s="5">
        <f t="shared" si="4"/>
        <v>0</v>
      </c>
      <c r="AA42" s="5">
        <f t="shared" si="5"/>
        <v>0.35114475119372446</v>
      </c>
      <c r="AB42" s="5">
        <f t="shared" si="6"/>
        <v>0</v>
      </c>
      <c r="AC42" s="5">
        <f t="shared" si="7"/>
        <v>0</v>
      </c>
      <c r="AD42" s="5">
        <f t="shared" si="8"/>
        <v>0</v>
      </c>
      <c r="AE42" s="5">
        <f t="shared" si="9"/>
        <v>0</v>
      </c>
    </row>
    <row r="43" spans="1:31" x14ac:dyDescent="0.35">
      <c r="A43" t="s">
        <v>22</v>
      </c>
      <c r="B43" t="s">
        <v>73</v>
      </c>
      <c r="C43" t="s">
        <v>47</v>
      </c>
      <c r="D43" t="s">
        <v>24</v>
      </c>
      <c r="E43" t="s">
        <v>24</v>
      </c>
      <c r="F43" t="s">
        <v>27</v>
      </c>
      <c r="G43">
        <v>1976</v>
      </c>
      <c r="H43" t="s">
        <v>24</v>
      </c>
      <c r="I43" t="s">
        <v>24</v>
      </c>
      <c r="J43" t="s">
        <v>24</v>
      </c>
      <c r="K43" t="s">
        <v>24</v>
      </c>
      <c r="O43">
        <v>0.32588313197225799</v>
      </c>
      <c r="Q43">
        <v>0.32143201534302202</v>
      </c>
      <c r="W43" s="5">
        <f t="shared" si="1"/>
        <v>0</v>
      </c>
      <c r="X43" s="5">
        <f t="shared" si="2"/>
        <v>0</v>
      </c>
      <c r="Y43" s="5">
        <f t="shared" si="3"/>
        <v>0.31284780669336765</v>
      </c>
      <c r="Z43" s="5">
        <f t="shared" si="4"/>
        <v>0</v>
      </c>
      <c r="AA43" s="5">
        <f t="shared" si="5"/>
        <v>0.30857473472930114</v>
      </c>
      <c r="AB43" s="5">
        <f t="shared" si="6"/>
        <v>0</v>
      </c>
      <c r="AC43" s="5">
        <f t="shared" si="7"/>
        <v>0</v>
      </c>
      <c r="AD43" s="5">
        <f t="shared" si="8"/>
        <v>0</v>
      </c>
      <c r="AE43" s="5">
        <f t="shared" si="9"/>
        <v>0</v>
      </c>
    </row>
    <row r="44" spans="1:31" x14ac:dyDescent="0.35">
      <c r="A44" t="s">
        <v>22</v>
      </c>
      <c r="B44" t="s">
        <v>73</v>
      </c>
      <c r="C44" t="s">
        <v>47</v>
      </c>
      <c r="D44" t="s">
        <v>24</v>
      </c>
      <c r="E44" t="s">
        <v>24</v>
      </c>
      <c r="F44" t="s">
        <v>27</v>
      </c>
      <c r="G44">
        <v>1977</v>
      </c>
      <c r="H44" t="s">
        <v>24</v>
      </c>
      <c r="I44" t="s">
        <v>24</v>
      </c>
      <c r="J44" t="s">
        <v>24</v>
      </c>
      <c r="K44" t="s">
        <v>24</v>
      </c>
      <c r="O44">
        <v>0.31956567474073</v>
      </c>
      <c r="W44" s="5">
        <f t="shared" si="1"/>
        <v>0</v>
      </c>
      <c r="X44" s="5">
        <f t="shared" si="2"/>
        <v>0</v>
      </c>
      <c r="Y44" s="5">
        <f t="shared" si="3"/>
        <v>0.30678304775110077</v>
      </c>
      <c r="Z44" s="5">
        <f t="shared" si="4"/>
        <v>0</v>
      </c>
      <c r="AA44" s="5">
        <f t="shared" si="5"/>
        <v>0</v>
      </c>
      <c r="AB44" s="5">
        <f t="shared" si="6"/>
        <v>0</v>
      </c>
      <c r="AC44" s="5">
        <f t="shared" si="7"/>
        <v>0</v>
      </c>
      <c r="AD44" s="5">
        <f t="shared" si="8"/>
        <v>0</v>
      </c>
      <c r="AE44" s="5">
        <f t="shared" si="9"/>
        <v>0</v>
      </c>
    </row>
    <row r="45" spans="1:31" x14ac:dyDescent="0.35">
      <c r="A45" t="s">
        <v>22</v>
      </c>
      <c r="B45" t="s">
        <v>73</v>
      </c>
      <c r="C45" t="s">
        <v>47</v>
      </c>
      <c r="D45" t="s">
        <v>24</v>
      </c>
      <c r="E45" t="s">
        <v>24</v>
      </c>
      <c r="F45" t="s">
        <v>27</v>
      </c>
      <c r="G45">
        <v>1978</v>
      </c>
      <c r="H45" t="s">
        <v>24</v>
      </c>
      <c r="I45" t="s">
        <v>24</v>
      </c>
      <c r="J45" t="s">
        <v>24</v>
      </c>
      <c r="K45" t="s">
        <v>24</v>
      </c>
      <c r="O45">
        <v>0.32130367686955602</v>
      </c>
      <c r="R45">
        <v>0.32179576337999999</v>
      </c>
      <c r="W45" s="5">
        <f t="shared" si="1"/>
        <v>0</v>
      </c>
      <c r="X45" s="5">
        <f t="shared" si="2"/>
        <v>0</v>
      </c>
      <c r="Y45" s="5">
        <f t="shared" si="3"/>
        <v>0.30845152979477375</v>
      </c>
      <c r="Z45" s="5">
        <f t="shared" si="4"/>
        <v>0</v>
      </c>
      <c r="AA45" s="5">
        <f t="shared" si="5"/>
        <v>0</v>
      </c>
      <c r="AB45" s="5">
        <f t="shared" si="6"/>
        <v>0.30892393284479996</v>
      </c>
      <c r="AC45" s="5">
        <f t="shared" si="7"/>
        <v>0</v>
      </c>
      <c r="AD45" s="5">
        <f t="shared" si="8"/>
        <v>0</v>
      </c>
      <c r="AE45" s="5">
        <f t="shared" si="9"/>
        <v>0</v>
      </c>
    </row>
    <row r="46" spans="1:31" x14ac:dyDescent="0.35">
      <c r="A46" t="s">
        <v>22</v>
      </c>
      <c r="B46" t="s">
        <v>73</v>
      </c>
      <c r="C46" t="s">
        <v>47</v>
      </c>
      <c r="D46" t="s">
        <v>24</v>
      </c>
      <c r="E46" t="s">
        <v>24</v>
      </c>
      <c r="F46" t="s">
        <v>27</v>
      </c>
      <c r="G46">
        <v>1979</v>
      </c>
      <c r="H46" t="s">
        <v>24</v>
      </c>
      <c r="I46" t="s">
        <v>24</v>
      </c>
      <c r="J46" t="s">
        <v>24</v>
      </c>
      <c r="K46" t="s">
        <v>24</v>
      </c>
      <c r="Q46">
        <v>0.33411556593376301</v>
      </c>
      <c r="R46">
        <v>0.30617517046940501</v>
      </c>
      <c r="W46" s="5">
        <f t="shared" si="1"/>
        <v>0</v>
      </c>
      <c r="X46" s="5">
        <f t="shared" si="2"/>
        <v>0</v>
      </c>
      <c r="Y46" s="5">
        <f t="shared" si="3"/>
        <v>0</v>
      </c>
      <c r="Z46" s="5">
        <f t="shared" si="4"/>
        <v>0</v>
      </c>
      <c r="AA46" s="5">
        <f t="shared" si="5"/>
        <v>0.32075094329641246</v>
      </c>
      <c r="AB46" s="5">
        <f t="shared" si="6"/>
        <v>0.29392816365062879</v>
      </c>
      <c r="AC46" s="5">
        <f t="shared" si="7"/>
        <v>0</v>
      </c>
      <c r="AD46" s="5">
        <f t="shared" si="8"/>
        <v>0</v>
      </c>
      <c r="AE46" s="5">
        <f t="shared" si="9"/>
        <v>0</v>
      </c>
    </row>
    <row r="47" spans="1:31" x14ac:dyDescent="0.35">
      <c r="A47" t="s">
        <v>22</v>
      </c>
      <c r="B47" t="s">
        <v>73</v>
      </c>
      <c r="C47" t="s">
        <v>47</v>
      </c>
      <c r="D47" t="s">
        <v>24</v>
      </c>
      <c r="E47" t="s">
        <v>24</v>
      </c>
      <c r="F47" t="s">
        <v>27</v>
      </c>
      <c r="G47">
        <v>1980</v>
      </c>
      <c r="H47" t="s">
        <v>24</v>
      </c>
      <c r="I47" t="s">
        <v>24</v>
      </c>
      <c r="J47" t="s">
        <v>24</v>
      </c>
      <c r="K47" t="s">
        <v>24</v>
      </c>
      <c r="Q47">
        <v>0.33051446952754698</v>
      </c>
      <c r="R47">
        <v>0.29838424929009399</v>
      </c>
      <c r="W47" s="5">
        <f t="shared" si="1"/>
        <v>0</v>
      </c>
      <c r="X47" s="5">
        <f t="shared" si="2"/>
        <v>0</v>
      </c>
      <c r="Y47" s="5">
        <f t="shared" si="3"/>
        <v>0</v>
      </c>
      <c r="Z47" s="5">
        <f t="shared" si="4"/>
        <v>0</v>
      </c>
      <c r="AA47" s="5">
        <f t="shared" si="5"/>
        <v>0.3172938907464451</v>
      </c>
      <c r="AB47" s="5">
        <f t="shared" si="6"/>
        <v>0.28644887931849022</v>
      </c>
      <c r="AC47" s="5">
        <f t="shared" si="7"/>
        <v>0</v>
      </c>
      <c r="AD47" s="5">
        <f t="shared" si="8"/>
        <v>0</v>
      </c>
      <c r="AE47" s="5">
        <f t="shared" si="9"/>
        <v>0</v>
      </c>
    </row>
    <row r="48" spans="1:31" x14ac:dyDescent="0.35">
      <c r="A48" t="s">
        <v>22</v>
      </c>
      <c r="B48" t="s">
        <v>73</v>
      </c>
      <c r="C48" t="s">
        <v>47</v>
      </c>
      <c r="D48" t="s">
        <v>24</v>
      </c>
      <c r="E48" t="s">
        <v>24</v>
      </c>
      <c r="F48" t="s">
        <v>27</v>
      </c>
      <c r="G48">
        <v>1981</v>
      </c>
      <c r="H48" t="s">
        <v>24</v>
      </c>
      <c r="I48" t="s">
        <v>24</v>
      </c>
      <c r="J48" t="s">
        <v>24</v>
      </c>
      <c r="K48" t="s">
        <v>24</v>
      </c>
      <c r="N48">
        <v>0.37106592810803801</v>
      </c>
      <c r="W48" s="5">
        <f t="shared" si="1"/>
        <v>0</v>
      </c>
      <c r="X48" s="5">
        <f t="shared" si="2"/>
        <v>0.35622329098371647</v>
      </c>
      <c r="Y48" s="5">
        <f t="shared" si="3"/>
        <v>0</v>
      </c>
      <c r="Z48" s="5">
        <f t="shared" si="4"/>
        <v>0</v>
      </c>
      <c r="AA48" s="5">
        <f t="shared" si="5"/>
        <v>0</v>
      </c>
      <c r="AB48" s="5">
        <f t="shared" si="6"/>
        <v>0</v>
      </c>
      <c r="AC48" s="5">
        <f t="shared" si="7"/>
        <v>0</v>
      </c>
      <c r="AD48" s="5">
        <f t="shared" si="8"/>
        <v>0</v>
      </c>
      <c r="AE48" s="5">
        <f t="shared" si="9"/>
        <v>0</v>
      </c>
    </row>
    <row r="49" spans="1:31" x14ac:dyDescent="0.35">
      <c r="A49" t="s">
        <v>22</v>
      </c>
      <c r="B49" t="s">
        <v>73</v>
      </c>
      <c r="C49" t="s">
        <v>47</v>
      </c>
      <c r="D49" t="s">
        <v>24</v>
      </c>
      <c r="E49" t="s">
        <v>24</v>
      </c>
      <c r="F49" t="s">
        <v>27</v>
      </c>
      <c r="G49">
        <v>1982</v>
      </c>
      <c r="H49" t="s">
        <v>24</v>
      </c>
      <c r="I49" t="s">
        <v>24</v>
      </c>
      <c r="J49" t="s">
        <v>24</v>
      </c>
      <c r="K49" t="s">
        <v>24</v>
      </c>
      <c r="Q49">
        <v>0.35338880228681802</v>
      </c>
      <c r="R49">
        <v>0.31769130200926499</v>
      </c>
      <c r="W49" s="5">
        <f t="shared" si="1"/>
        <v>0</v>
      </c>
      <c r="X49" s="5">
        <f t="shared" si="2"/>
        <v>0</v>
      </c>
      <c r="Y49" s="5">
        <f t="shared" si="3"/>
        <v>0</v>
      </c>
      <c r="Z49" s="5">
        <f t="shared" si="4"/>
        <v>0</v>
      </c>
      <c r="AA49" s="5">
        <f t="shared" si="5"/>
        <v>0.3392532501953453</v>
      </c>
      <c r="AB49" s="5">
        <f t="shared" si="6"/>
        <v>0.30498364992889437</v>
      </c>
      <c r="AC49" s="5">
        <f t="shared" si="7"/>
        <v>0</v>
      </c>
      <c r="AD49" s="5">
        <f t="shared" si="8"/>
        <v>0</v>
      </c>
      <c r="AE49" s="5">
        <f t="shared" si="9"/>
        <v>0</v>
      </c>
    </row>
    <row r="50" spans="1:31" x14ac:dyDescent="0.35">
      <c r="A50" t="s">
        <v>22</v>
      </c>
      <c r="B50" t="s">
        <v>73</v>
      </c>
      <c r="C50" t="s">
        <v>47</v>
      </c>
      <c r="D50" t="s">
        <v>24</v>
      </c>
      <c r="E50" t="s">
        <v>24</v>
      </c>
      <c r="F50" t="s">
        <v>27</v>
      </c>
      <c r="G50">
        <v>1984</v>
      </c>
      <c r="H50" t="s">
        <v>24</v>
      </c>
      <c r="I50" t="s">
        <v>24</v>
      </c>
      <c r="J50" t="s">
        <v>24</v>
      </c>
      <c r="K50" t="s">
        <v>24</v>
      </c>
      <c r="N50">
        <v>0.37018032923427202</v>
      </c>
      <c r="Q50">
        <v>0.35600649711857202</v>
      </c>
      <c r="W50" s="5">
        <f t="shared" si="1"/>
        <v>0</v>
      </c>
      <c r="X50" s="5">
        <f t="shared" si="2"/>
        <v>0.35537311606490113</v>
      </c>
      <c r="Y50" s="5">
        <f t="shared" si="3"/>
        <v>0</v>
      </c>
      <c r="Z50" s="5">
        <f t="shared" si="4"/>
        <v>0</v>
      </c>
      <c r="AA50" s="5">
        <f t="shared" si="5"/>
        <v>0.34176623723382915</v>
      </c>
      <c r="AB50" s="5">
        <f t="shared" si="6"/>
        <v>0</v>
      </c>
      <c r="AC50" s="5">
        <f t="shared" si="7"/>
        <v>0</v>
      </c>
      <c r="AD50" s="5">
        <f t="shared" si="8"/>
        <v>0</v>
      </c>
      <c r="AE50" s="5">
        <f t="shared" si="9"/>
        <v>0</v>
      </c>
    </row>
    <row r="51" spans="1:31" x14ac:dyDescent="0.35">
      <c r="A51" t="s">
        <v>22</v>
      </c>
      <c r="B51" t="s">
        <v>73</v>
      </c>
      <c r="C51" t="s">
        <v>47</v>
      </c>
      <c r="D51" t="s">
        <v>24</v>
      </c>
      <c r="E51" t="s">
        <v>24</v>
      </c>
      <c r="F51" t="s">
        <v>27</v>
      </c>
      <c r="G51">
        <v>1985</v>
      </c>
      <c r="H51" t="s">
        <v>24</v>
      </c>
      <c r="I51" t="s">
        <v>24</v>
      </c>
      <c r="J51" t="s">
        <v>24</v>
      </c>
      <c r="K51" t="s">
        <v>24</v>
      </c>
      <c r="Q51">
        <v>0.29924776592839802</v>
      </c>
      <c r="W51" s="5">
        <f t="shared" si="1"/>
        <v>0</v>
      </c>
      <c r="X51" s="5">
        <f t="shared" si="2"/>
        <v>0</v>
      </c>
      <c r="Y51" s="5">
        <f t="shared" si="3"/>
        <v>0</v>
      </c>
      <c r="Z51" s="5">
        <f t="shared" si="4"/>
        <v>0</v>
      </c>
      <c r="AA51" s="5">
        <f t="shared" si="5"/>
        <v>0.2872778552912621</v>
      </c>
      <c r="AB51" s="5">
        <f t="shared" si="6"/>
        <v>0</v>
      </c>
      <c r="AC51" s="5">
        <f t="shared" si="7"/>
        <v>0</v>
      </c>
      <c r="AD51" s="5">
        <f t="shared" si="8"/>
        <v>0</v>
      </c>
      <c r="AE51" s="5">
        <f t="shared" si="9"/>
        <v>0</v>
      </c>
    </row>
    <row r="52" spans="1:31" x14ac:dyDescent="0.35">
      <c r="A52" t="s">
        <v>22</v>
      </c>
      <c r="B52" t="s">
        <v>73</v>
      </c>
      <c r="C52" t="s">
        <v>47</v>
      </c>
      <c r="D52" t="s">
        <v>24</v>
      </c>
      <c r="E52" t="s">
        <v>24</v>
      </c>
      <c r="F52" t="s">
        <v>27</v>
      </c>
      <c r="G52">
        <v>1986</v>
      </c>
      <c r="H52" t="s">
        <v>24</v>
      </c>
      <c r="I52" t="s">
        <v>24</v>
      </c>
      <c r="J52" t="s">
        <v>24</v>
      </c>
      <c r="K52" t="s">
        <v>24</v>
      </c>
      <c r="O52">
        <v>0.31742532789595501</v>
      </c>
      <c r="W52" s="5">
        <f t="shared" si="1"/>
        <v>0</v>
      </c>
      <c r="X52" s="5">
        <f t="shared" si="2"/>
        <v>0</v>
      </c>
      <c r="Y52" s="5">
        <f t="shared" si="3"/>
        <v>0.3047283147801168</v>
      </c>
      <c r="Z52" s="5">
        <f t="shared" si="4"/>
        <v>0</v>
      </c>
      <c r="AA52" s="5">
        <f t="shared" si="5"/>
        <v>0</v>
      </c>
      <c r="AB52" s="5">
        <f t="shared" si="6"/>
        <v>0</v>
      </c>
      <c r="AC52" s="5">
        <f t="shared" si="7"/>
        <v>0</v>
      </c>
      <c r="AD52" s="5">
        <f t="shared" si="8"/>
        <v>0</v>
      </c>
      <c r="AE52" s="5">
        <f t="shared" si="9"/>
        <v>0</v>
      </c>
    </row>
    <row r="53" spans="1:31" x14ac:dyDescent="0.35">
      <c r="A53" t="s">
        <v>22</v>
      </c>
      <c r="B53" t="s">
        <v>73</v>
      </c>
      <c r="C53" t="s">
        <v>47</v>
      </c>
      <c r="D53" t="s">
        <v>24</v>
      </c>
      <c r="E53" t="s">
        <v>24</v>
      </c>
      <c r="F53" t="s">
        <v>27</v>
      </c>
      <c r="G53">
        <v>1987</v>
      </c>
      <c r="H53" t="s">
        <v>24</v>
      </c>
      <c r="I53" t="s">
        <v>24</v>
      </c>
      <c r="J53" t="s">
        <v>24</v>
      </c>
      <c r="K53" t="s">
        <v>24</v>
      </c>
      <c r="N53">
        <v>0.35876739724287898</v>
      </c>
      <c r="W53" s="5">
        <f t="shared" si="1"/>
        <v>0</v>
      </c>
      <c r="X53" s="5">
        <f t="shared" si="2"/>
        <v>0.34441670135316382</v>
      </c>
      <c r="Y53" s="5">
        <f t="shared" si="3"/>
        <v>0</v>
      </c>
      <c r="Z53" s="5">
        <f t="shared" si="4"/>
        <v>0</v>
      </c>
      <c r="AA53" s="5">
        <f t="shared" si="5"/>
        <v>0</v>
      </c>
      <c r="AB53" s="5">
        <f t="shared" si="6"/>
        <v>0</v>
      </c>
      <c r="AC53" s="5">
        <f t="shared" si="7"/>
        <v>0</v>
      </c>
      <c r="AD53" s="5">
        <f t="shared" si="8"/>
        <v>0</v>
      </c>
      <c r="AE53" s="5">
        <f t="shared" si="9"/>
        <v>0</v>
      </c>
    </row>
    <row r="54" spans="1:31" x14ac:dyDescent="0.35">
      <c r="A54" t="s">
        <v>22</v>
      </c>
      <c r="B54" t="s">
        <v>73</v>
      </c>
      <c r="C54" t="s">
        <v>47</v>
      </c>
      <c r="D54" t="s">
        <v>24</v>
      </c>
      <c r="E54" t="s">
        <v>24</v>
      </c>
      <c r="F54" t="s">
        <v>27</v>
      </c>
      <c r="G54">
        <v>1990</v>
      </c>
      <c r="H54" t="s">
        <v>24</v>
      </c>
      <c r="I54" t="s">
        <v>24</v>
      </c>
      <c r="J54" t="s">
        <v>24</v>
      </c>
      <c r="K54" t="s">
        <v>24</v>
      </c>
      <c r="R54">
        <v>0.28191690968948402</v>
      </c>
      <c r="W54" s="5">
        <f t="shared" si="1"/>
        <v>0</v>
      </c>
      <c r="X54" s="5">
        <f t="shared" si="2"/>
        <v>0</v>
      </c>
      <c r="Y54" s="5">
        <f t="shared" si="3"/>
        <v>0</v>
      </c>
      <c r="Z54" s="5">
        <f t="shared" si="4"/>
        <v>0</v>
      </c>
      <c r="AA54" s="5">
        <f t="shared" si="5"/>
        <v>0</v>
      </c>
      <c r="AB54" s="5">
        <f t="shared" si="6"/>
        <v>0.27064023330190462</v>
      </c>
      <c r="AC54" s="5">
        <f t="shared" si="7"/>
        <v>0</v>
      </c>
      <c r="AD54" s="5">
        <f t="shared" si="8"/>
        <v>0</v>
      </c>
      <c r="AE54" s="5">
        <f t="shared" si="9"/>
        <v>0</v>
      </c>
    </row>
    <row r="55" spans="1:31" x14ac:dyDescent="0.35">
      <c r="A55" t="s">
        <v>22</v>
      </c>
      <c r="B55" t="s">
        <v>73</v>
      </c>
      <c r="C55" t="s">
        <v>47</v>
      </c>
      <c r="D55" t="s">
        <v>24</v>
      </c>
      <c r="E55" t="s">
        <v>24</v>
      </c>
      <c r="F55" t="s">
        <v>27</v>
      </c>
      <c r="G55">
        <v>1994</v>
      </c>
      <c r="H55" t="s">
        <v>24</v>
      </c>
      <c r="I55" t="s">
        <v>24</v>
      </c>
      <c r="J55" t="s">
        <v>24</v>
      </c>
      <c r="K55" t="s">
        <v>24</v>
      </c>
      <c r="N55">
        <v>0.34502753032168998</v>
      </c>
      <c r="W55" s="5">
        <f t="shared" si="1"/>
        <v>0</v>
      </c>
      <c r="X55" s="5">
        <f t="shared" si="2"/>
        <v>0.33122642910882238</v>
      </c>
      <c r="Y55" s="5">
        <f t="shared" si="3"/>
        <v>0</v>
      </c>
      <c r="Z55" s="5">
        <f t="shared" si="4"/>
        <v>0</v>
      </c>
      <c r="AA55" s="5">
        <f t="shared" si="5"/>
        <v>0</v>
      </c>
      <c r="AB55" s="5">
        <f t="shared" si="6"/>
        <v>0</v>
      </c>
      <c r="AC55" s="5">
        <f t="shared" si="7"/>
        <v>0</v>
      </c>
      <c r="AD55" s="5">
        <f t="shared" si="8"/>
        <v>0</v>
      </c>
      <c r="AE55" s="5">
        <f t="shared" si="9"/>
        <v>0</v>
      </c>
    </row>
    <row r="56" spans="1:31" x14ac:dyDescent="0.35">
      <c r="A56" t="s">
        <v>22</v>
      </c>
      <c r="B56" t="s">
        <v>73</v>
      </c>
      <c r="C56" t="s">
        <v>47</v>
      </c>
      <c r="D56" t="s">
        <v>24</v>
      </c>
      <c r="E56" t="s">
        <v>24</v>
      </c>
      <c r="F56" t="s">
        <v>27</v>
      </c>
      <c r="G56">
        <v>2000</v>
      </c>
      <c r="H56" t="s">
        <v>24</v>
      </c>
      <c r="I56" t="s">
        <v>24</v>
      </c>
      <c r="J56" t="s">
        <v>24</v>
      </c>
      <c r="K56" t="s">
        <v>24</v>
      </c>
      <c r="O56">
        <v>0.33678664379012202</v>
      </c>
      <c r="W56" s="5">
        <f t="shared" si="1"/>
        <v>0</v>
      </c>
      <c r="X56" s="5">
        <f t="shared" si="2"/>
        <v>0</v>
      </c>
      <c r="Y56" s="5">
        <f t="shared" si="3"/>
        <v>0.32331517803851711</v>
      </c>
      <c r="Z56" s="5">
        <f t="shared" si="4"/>
        <v>0</v>
      </c>
      <c r="AA56" s="5">
        <f t="shared" si="5"/>
        <v>0</v>
      </c>
      <c r="AB56" s="5">
        <f t="shared" si="6"/>
        <v>0</v>
      </c>
      <c r="AC56" s="5">
        <f t="shared" si="7"/>
        <v>0</v>
      </c>
      <c r="AD56" s="5">
        <f t="shared" si="8"/>
        <v>0</v>
      </c>
      <c r="AE56" s="5">
        <f t="shared" si="9"/>
        <v>0</v>
      </c>
    </row>
    <row r="57" spans="1:31" x14ac:dyDescent="0.35">
      <c r="A57" t="s">
        <v>22</v>
      </c>
      <c r="B57" t="s">
        <v>73</v>
      </c>
      <c r="C57" t="s">
        <v>47</v>
      </c>
      <c r="D57" t="s">
        <v>24</v>
      </c>
      <c r="E57" t="s">
        <v>24</v>
      </c>
      <c r="F57" t="s">
        <v>27</v>
      </c>
      <c r="G57">
        <v>2002</v>
      </c>
      <c r="H57" t="s">
        <v>24</v>
      </c>
      <c r="I57" t="s">
        <v>24</v>
      </c>
      <c r="J57" t="s">
        <v>24</v>
      </c>
      <c r="K57" t="s">
        <v>24</v>
      </c>
      <c r="Q57">
        <v>0.35082735566560602</v>
      </c>
      <c r="W57" s="5">
        <f t="shared" si="1"/>
        <v>0</v>
      </c>
      <c r="X57" s="5">
        <f t="shared" si="2"/>
        <v>0</v>
      </c>
      <c r="Y57" s="5">
        <f t="shared" si="3"/>
        <v>0</v>
      </c>
      <c r="Z57" s="5">
        <f t="shared" si="4"/>
        <v>0</v>
      </c>
      <c r="AA57" s="5">
        <f t="shared" si="5"/>
        <v>0.33679426143898178</v>
      </c>
      <c r="AB57" s="5">
        <f t="shared" si="6"/>
        <v>0</v>
      </c>
      <c r="AC57" s="5">
        <f t="shared" si="7"/>
        <v>0</v>
      </c>
      <c r="AD57" s="5">
        <f t="shared" si="8"/>
        <v>0</v>
      </c>
      <c r="AE57" s="5">
        <f t="shared" si="9"/>
        <v>0</v>
      </c>
    </row>
    <row r="58" spans="1:31" x14ac:dyDescent="0.35">
      <c r="A58" t="s">
        <v>22</v>
      </c>
      <c r="B58" t="s">
        <v>73</v>
      </c>
      <c r="C58" t="s">
        <v>48</v>
      </c>
      <c r="D58" t="s">
        <v>24</v>
      </c>
      <c r="E58" t="s">
        <v>24</v>
      </c>
      <c r="F58" t="s">
        <v>27</v>
      </c>
      <c r="G58">
        <v>1950</v>
      </c>
      <c r="H58" t="s">
        <v>24</v>
      </c>
      <c r="I58" t="s">
        <v>24</v>
      </c>
      <c r="J58" t="s">
        <v>24</v>
      </c>
      <c r="K58" t="s">
        <v>24</v>
      </c>
      <c r="Q58">
        <v>0.305763644702645</v>
      </c>
      <c r="W58" s="5">
        <f t="shared" si="1"/>
        <v>0</v>
      </c>
      <c r="X58" s="5">
        <f t="shared" si="2"/>
        <v>0</v>
      </c>
      <c r="Y58" s="5">
        <f t="shared" si="3"/>
        <v>0</v>
      </c>
      <c r="Z58" s="5">
        <f t="shared" si="4"/>
        <v>0</v>
      </c>
      <c r="AA58" s="5">
        <f t="shared" si="5"/>
        <v>0.29353309891453921</v>
      </c>
      <c r="AB58" s="5">
        <f t="shared" si="6"/>
        <v>0</v>
      </c>
      <c r="AC58" s="5">
        <f t="shared" si="7"/>
        <v>0</v>
      </c>
      <c r="AD58" s="5">
        <f t="shared" si="8"/>
        <v>0</v>
      </c>
      <c r="AE58" s="5">
        <f t="shared" si="9"/>
        <v>0</v>
      </c>
    </row>
    <row r="59" spans="1:31" x14ac:dyDescent="0.35">
      <c r="A59" t="s">
        <v>22</v>
      </c>
      <c r="B59" t="s">
        <v>73</v>
      </c>
      <c r="C59" t="s">
        <v>48</v>
      </c>
      <c r="D59" t="s">
        <v>24</v>
      </c>
      <c r="E59" t="s">
        <v>24</v>
      </c>
      <c r="F59" t="s">
        <v>27</v>
      </c>
      <c r="G59">
        <v>1952</v>
      </c>
      <c r="H59" t="s">
        <v>24</v>
      </c>
      <c r="I59" t="s">
        <v>24</v>
      </c>
      <c r="J59" t="s">
        <v>24</v>
      </c>
      <c r="K59" t="s">
        <v>24</v>
      </c>
      <c r="Q59">
        <v>0.30557197769154798</v>
      </c>
      <c r="W59" s="5">
        <f t="shared" si="1"/>
        <v>0</v>
      </c>
      <c r="X59" s="5">
        <f t="shared" si="2"/>
        <v>0</v>
      </c>
      <c r="Y59" s="5">
        <f t="shared" si="3"/>
        <v>0</v>
      </c>
      <c r="Z59" s="5">
        <f t="shared" si="4"/>
        <v>0</v>
      </c>
      <c r="AA59" s="5">
        <f t="shared" si="5"/>
        <v>0.29334909858388603</v>
      </c>
      <c r="AB59" s="5">
        <f t="shared" si="6"/>
        <v>0</v>
      </c>
      <c r="AC59" s="5">
        <f t="shared" si="7"/>
        <v>0</v>
      </c>
      <c r="AD59" s="5">
        <f t="shared" si="8"/>
        <v>0</v>
      </c>
      <c r="AE59" s="5">
        <f t="shared" si="9"/>
        <v>0</v>
      </c>
    </row>
    <row r="60" spans="1:31" x14ac:dyDescent="0.35">
      <c r="A60" t="s">
        <v>22</v>
      </c>
      <c r="B60" t="s">
        <v>73</v>
      </c>
      <c r="C60" t="s">
        <v>48</v>
      </c>
      <c r="D60" t="s">
        <v>24</v>
      </c>
      <c r="E60" t="s">
        <v>24</v>
      </c>
      <c r="F60" t="s">
        <v>27</v>
      </c>
      <c r="G60">
        <v>1955</v>
      </c>
      <c r="H60" t="s">
        <v>24</v>
      </c>
      <c r="I60" t="s">
        <v>24</v>
      </c>
      <c r="J60" t="s">
        <v>24</v>
      </c>
      <c r="K60" t="s">
        <v>24</v>
      </c>
      <c r="Q60">
        <v>0.31449974883700599</v>
      </c>
      <c r="W60" s="5">
        <f t="shared" si="1"/>
        <v>0</v>
      </c>
      <c r="X60" s="5">
        <f t="shared" si="2"/>
        <v>0</v>
      </c>
      <c r="Y60" s="5">
        <f t="shared" si="3"/>
        <v>0</v>
      </c>
      <c r="Z60" s="5">
        <f t="shared" si="4"/>
        <v>0</v>
      </c>
      <c r="AA60" s="5">
        <f t="shared" si="5"/>
        <v>0.30191975888352574</v>
      </c>
      <c r="AB60" s="5">
        <f t="shared" si="6"/>
        <v>0</v>
      </c>
      <c r="AC60" s="5">
        <f t="shared" si="7"/>
        <v>0</v>
      </c>
      <c r="AD60" s="5">
        <f t="shared" si="8"/>
        <v>0</v>
      </c>
      <c r="AE60" s="5">
        <f t="shared" si="9"/>
        <v>0</v>
      </c>
    </row>
    <row r="61" spans="1:31" x14ac:dyDescent="0.35">
      <c r="A61" t="s">
        <v>22</v>
      </c>
      <c r="B61" t="s">
        <v>73</v>
      </c>
      <c r="C61" t="s">
        <v>48</v>
      </c>
      <c r="D61" t="s">
        <v>24</v>
      </c>
      <c r="E61" t="s">
        <v>24</v>
      </c>
      <c r="F61" t="s">
        <v>27</v>
      </c>
      <c r="G61">
        <v>1956</v>
      </c>
      <c r="H61" t="s">
        <v>24</v>
      </c>
      <c r="I61" t="s">
        <v>24</v>
      </c>
      <c r="J61" t="s">
        <v>24</v>
      </c>
      <c r="K61" t="s">
        <v>24</v>
      </c>
      <c r="O61">
        <v>0.31308581290774501</v>
      </c>
      <c r="W61" s="5">
        <f t="shared" si="1"/>
        <v>0</v>
      </c>
      <c r="X61" s="5">
        <f t="shared" si="2"/>
        <v>0</v>
      </c>
      <c r="Y61" s="5">
        <f t="shared" si="3"/>
        <v>0.30056238039143518</v>
      </c>
      <c r="Z61" s="5">
        <f t="shared" si="4"/>
        <v>0</v>
      </c>
      <c r="AA61" s="5">
        <f t="shared" si="5"/>
        <v>0</v>
      </c>
      <c r="AB61" s="5">
        <f t="shared" si="6"/>
        <v>0</v>
      </c>
      <c r="AC61" s="5">
        <f t="shared" si="7"/>
        <v>0</v>
      </c>
      <c r="AD61" s="5">
        <f t="shared" si="8"/>
        <v>0</v>
      </c>
      <c r="AE61" s="5">
        <f t="shared" si="9"/>
        <v>0</v>
      </c>
    </row>
    <row r="62" spans="1:31" x14ac:dyDescent="0.35">
      <c r="A62" t="s">
        <v>22</v>
      </c>
      <c r="B62" t="s">
        <v>73</v>
      </c>
      <c r="C62" t="s">
        <v>48</v>
      </c>
      <c r="D62" t="s">
        <v>24</v>
      </c>
      <c r="E62" t="s">
        <v>24</v>
      </c>
      <c r="F62" t="s">
        <v>27</v>
      </c>
      <c r="G62">
        <v>1957</v>
      </c>
      <c r="H62" t="s">
        <v>24</v>
      </c>
      <c r="I62" t="s">
        <v>24</v>
      </c>
      <c r="J62" t="s">
        <v>24</v>
      </c>
      <c r="K62" t="s">
        <v>24</v>
      </c>
      <c r="Q62">
        <v>0.32399565845817702</v>
      </c>
      <c r="T62">
        <v>0.313271859637689</v>
      </c>
      <c r="W62" s="5">
        <f t="shared" si="1"/>
        <v>0</v>
      </c>
      <c r="X62" s="5">
        <f t="shared" si="2"/>
        <v>0</v>
      </c>
      <c r="Y62" s="5">
        <f t="shared" si="3"/>
        <v>0</v>
      </c>
      <c r="Z62" s="5">
        <f t="shared" si="4"/>
        <v>0</v>
      </c>
      <c r="AA62" s="5">
        <f t="shared" si="5"/>
        <v>0.31103583211984992</v>
      </c>
      <c r="AB62" s="5">
        <f t="shared" si="6"/>
        <v>0</v>
      </c>
      <c r="AC62" s="5">
        <f t="shared" si="7"/>
        <v>0</v>
      </c>
      <c r="AD62" s="5">
        <f t="shared" si="8"/>
        <v>0.3007409852521814</v>
      </c>
      <c r="AE62" s="5">
        <f t="shared" si="9"/>
        <v>0</v>
      </c>
    </row>
    <row r="63" spans="1:31" x14ac:dyDescent="0.35">
      <c r="A63" t="s">
        <v>22</v>
      </c>
      <c r="B63" t="s">
        <v>73</v>
      </c>
      <c r="C63" t="s">
        <v>48</v>
      </c>
      <c r="D63" t="s">
        <v>24</v>
      </c>
      <c r="E63" t="s">
        <v>24</v>
      </c>
      <c r="F63" t="s">
        <v>27</v>
      </c>
      <c r="G63">
        <v>1958</v>
      </c>
      <c r="H63" t="s">
        <v>24</v>
      </c>
      <c r="I63" t="s">
        <v>24</v>
      </c>
      <c r="J63" t="s">
        <v>24</v>
      </c>
      <c r="K63" t="s">
        <v>24</v>
      </c>
      <c r="Q63">
        <v>0.344488867468705</v>
      </c>
      <c r="W63" s="5">
        <f t="shared" si="1"/>
        <v>0</v>
      </c>
      <c r="X63" s="5">
        <f t="shared" si="2"/>
        <v>0</v>
      </c>
      <c r="Y63" s="5">
        <f t="shared" si="3"/>
        <v>0</v>
      </c>
      <c r="Z63" s="5">
        <f t="shared" si="4"/>
        <v>0</v>
      </c>
      <c r="AA63" s="5">
        <f t="shared" si="5"/>
        <v>0.3307093127699568</v>
      </c>
      <c r="AB63" s="5">
        <f t="shared" si="6"/>
        <v>0</v>
      </c>
      <c r="AC63" s="5">
        <f t="shared" si="7"/>
        <v>0</v>
      </c>
      <c r="AD63" s="5">
        <f t="shared" si="8"/>
        <v>0</v>
      </c>
      <c r="AE63" s="5">
        <f t="shared" si="9"/>
        <v>0</v>
      </c>
    </row>
    <row r="64" spans="1:31" x14ac:dyDescent="0.35">
      <c r="A64" t="s">
        <v>22</v>
      </c>
      <c r="B64" t="s">
        <v>73</v>
      </c>
      <c r="C64" t="s">
        <v>48</v>
      </c>
      <c r="D64" t="s">
        <v>24</v>
      </c>
      <c r="E64" t="s">
        <v>24</v>
      </c>
      <c r="F64" t="s">
        <v>27</v>
      </c>
      <c r="G64">
        <v>1959</v>
      </c>
      <c r="H64" t="s">
        <v>24</v>
      </c>
      <c r="I64" t="s">
        <v>24</v>
      </c>
      <c r="J64" t="s">
        <v>24</v>
      </c>
      <c r="K64" t="s">
        <v>24</v>
      </c>
      <c r="T64">
        <v>0.325914257390785</v>
      </c>
      <c r="W64" s="5">
        <f t="shared" si="1"/>
        <v>0</v>
      </c>
      <c r="X64" s="5">
        <f t="shared" si="2"/>
        <v>0</v>
      </c>
      <c r="Y64" s="5">
        <f t="shared" si="3"/>
        <v>0</v>
      </c>
      <c r="Z64" s="5">
        <f t="shared" si="4"/>
        <v>0</v>
      </c>
      <c r="AA64" s="5">
        <f t="shared" si="5"/>
        <v>0</v>
      </c>
      <c r="AB64" s="5">
        <f t="shared" si="6"/>
        <v>0</v>
      </c>
      <c r="AC64" s="5">
        <f t="shared" si="7"/>
        <v>0</v>
      </c>
      <c r="AD64" s="5">
        <f t="shared" si="8"/>
        <v>0.31287768709515357</v>
      </c>
      <c r="AE64" s="5">
        <f t="shared" si="9"/>
        <v>0</v>
      </c>
    </row>
    <row r="65" spans="1:31" x14ac:dyDescent="0.35">
      <c r="A65" t="s">
        <v>22</v>
      </c>
      <c r="B65" t="s">
        <v>73</v>
      </c>
      <c r="C65" t="s">
        <v>48</v>
      </c>
      <c r="D65" t="s">
        <v>24</v>
      </c>
      <c r="E65" t="s">
        <v>24</v>
      </c>
      <c r="F65" t="s">
        <v>27</v>
      </c>
      <c r="G65">
        <v>1960</v>
      </c>
      <c r="H65" t="s">
        <v>24</v>
      </c>
      <c r="I65" t="s">
        <v>24</v>
      </c>
      <c r="J65" t="s">
        <v>24</v>
      </c>
      <c r="K65" t="s">
        <v>24</v>
      </c>
      <c r="Q65">
        <v>0.36282001859452601</v>
      </c>
      <c r="W65" s="5">
        <f t="shared" si="1"/>
        <v>0</v>
      </c>
      <c r="X65" s="5">
        <f t="shared" si="2"/>
        <v>0</v>
      </c>
      <c r="Y65" s="5">
        <f t="shared" si="3"/>
        <v>0</v>
      </c>
      <c r="Z65" s="5">
        <f t="shared" si="4"/>
        <v>0</v>
      </c>
      <c r="AA65" s="5">
        <f t="shared" si="5"/>
        <v>0.34830721785074498</v>
      </c>
      <c r="AB65" s="5">
        <f t="shared" si="6"/>
        <v>0</v>
      </c>
      <c r="AC65" s="5">
        <f t="shared" si="7"/>
        <v>0</v>
      </c>
      <c r="AD65" s="5">
        <f t="shared" si="8"/>
        <v>0</v>
      </c>
      <c r="AE65" s="5">
        <f t="shared" si="9"/>
        <v>0</v>
      </c>
    </row>
    <row r="66" spans="1:31" x14ac:dyDescent="0.35">
      <c r="A66" t="s">
        <v>22</v>
      </c>
      <c r="B66" t="s">
        <v>73</v>
      </c>
      <c r="C66" t="s">
        <v>48</v>
      </c>
      <c r="D66" t="s">
        <v>24</v>
      </c>
      <c r="E66" t="s">
        <v>24</v>
      </c>
      <c r="F66" t="s">
        <v>27</v>
      </c>
      <c r="G66">
        <v>1961</v>
      </c>
      <c r="H66" t="s">
        <v>24</v>
      </c>
      <c r="I66" t="s">
        <v>24</v>
      </c>
      <c r="J66" t="s">
        <v>24</v>
      </c>
      <c r="K66" t="s">
        <v>24</v>
      </c>
      <c r="Q66">
        <v>0.35652724635686101</v>
      </c>
      <c r="W66" s="5">
        <f t="shared" si="1"/>
        <v>0</v>
      </c>
      <c r="X66" s="5">
        <f t="shared" si="2"/>
        <v>0</v>
      </c>
      <c r="Y66" s="5">
        <f t="shared" si="3"/>
        <v>0</v>
      </c>
      <c r="Z66" s="5">
        <f t="shared" si="4"/>
        <v>0</v>
      </c>
      <c r="AA66" s="5">
        <f t="shared" si="5"/>
        <v>0.34226615650258657</v>
      </c>
      <c r="AB66" s="5">
        <f t="shared" si="6"/>
        <v>0</v>
      </c>
      <c r="AC66" s="5">
        <f t="shared" si="7"/>
        <v>0</v>
      </c>
      <c r="AD66" s="5">
        <f t="shared" si="8"/>
        <v>0</v>
      </c>
      <c r="AE66" s="5">
        <f t="shared" si="9"/>
        <v>0</v>
      </c>
    </row>
    <row r="67" spans="1:31" x14ac:dyDescent="0.35">
      <c r="A67" t="s">
        <v>22</v>
      </c>
      <c r="B67" t="s">
        <v>73</v>
      </c>
      <c r="C67" t="s">
        <v>48</v>
      </c>
      <c r="D67" t="s">
        <v>24</v>
      </c>
      <c r="E67" t="s">
        <v>24</v>
      </c>
      <c r="F67" t="s">
        <v>27</v>
      </c>
      <c r="G67">
        <v>1962</v>
      </c>
      <c r="H67" t="s">
        <v>24</v>
      </c>
      <c r="I67" t="s">
        <v>24</v>
      </c>
      <c r="J67" t="s">
        <v>24</v>
      </c>
      <c r="K67" t="s">
        <v>24</v>
      </c>
      <c r="Q67">
        <v>0.34175793445247898</v>
      </c>
      <c r="T67">
        <v>0.33635507884490101</v>
      </c>
      <c r="W67" s="5">
        <f t="shared" si="1"/>
        <v>0</v>
      </c>
      <c r="X67" s="5">
        <f t="shared" si="2"/>
        <v>0</v>
      </c>
      <c r="Y67" s="5">
        <f t="shared" si="3"/>
        <v>0</v>
      </c>
      <c r="Z67" s="5">
        <f t="shared" si="4"/>
        <v>0</v>
      </c>
      <c r="AA67" s="5">
        <f t="shared" si="5"/>
        <v>0.32808761707437983</v>
      </c>
      <c r="AB67" s="5">
        <f t="shared" si="6"/>
        <v>0</v>
      </c>
      <c r="AC67" s="5">
        <f t="shared" si="7"/>
        <v>0</v>
      </c>
      <c r="AD67" s="5">
        <f t="shared" si="8"/>
        <v>0.32290087569110498</v>
      </c>
      <c r="AE67" s="5">
        <f t="shared" si="9"/>
        <v>0</v>
      </c>
    </row>
    <row r="68" spans="1:31" x14ac:dyDescent="0.35">
      <c r="A68" t="s">
        <v>22</v>
      </c>
      <c r="B68" t="s">
        <v>73</v>
      </c>
      <c r="C68" t="s">
        <v>48</v>
      </c>
      <c r="D68" t="s">
        <v>24</v>
      </c>
      <c r="E68" t="s">
        <v>24</v>
      </c>
      <c r="F68" t="s">
        <v>27</v>
      </c>
      <c r="G68">
        <v>1963</v>
      </c>
      <c r="H68" t="s">
        <v>24</v>
      </c>
      <c r="I68" t="s">
        <v>24</v>
      </c>
      <c r="J68" t="s">
        <v>24</v>
      </c>
      <c r="K68" t="s">
        <v>24</v>
      </c>
      <c r="R68">
        <v>0.34999741926760503</v>
      </c>
      <c r="W68" s="5">
        <f t="shared" si="1"/>
        <v>0</v>
      </c>
      <c r="X68" s="5">
        <f t="shared" si="2"/>
        <v>0</v>
      </c>
      <c r="Y68" s="5">
        <f t="shared" si="3"/>
        <v>0</v>
      </c>
      <c r="Z68" s="5">
        <f t="shared" si="4"/>
        <v>0</v>
      </c>
      <c r="AA68" s="5">
        <f t="shared" si="5"/>
        <v>0</v>
      </c>
      <c r="AB68" s="5">
        <f t="shared" si="6"/>
        <v>0.33599752249690079</v>
      </c>
      <c r="AC68" s="5">
        <f t="shared" si="7"/>
        <v>0</v>
      </c>
      <c r="AD68" s="5">
        <f t="shared" si="8"/>
        <v>0</v>
      </c>
      <c r="AE68" s="5">
        <f t="shared" si="9"/>
        <v>0</v>
      </c>
    </row>
    <row r="69" spans="1:31" x14ac:dyDescent="0.35">
      <c r="A69" t="s">
        <v>22</v>
      </c>
      <c r="B69" t="s">
        <v>73</v>
      </c>
      <c r="C69" t="s">
        <v>48</v>
      </c>
      <c r="D69" t="s">
        <v>24</v>
      </c>
      <c r="E69" t="s">
        <v>24</v>
      </c>
      <c r="F69" t="s">
        <v>27</v>
      </c>
      <c r="G69">
        <v>1964</v>
      </c>
      <c r="H69" t="s">
        <v>24</v>
      </c>
      <c r="I69" t="s">
        <v>24</v>
      </c>
      <c r="J69" t="s">
        <v>24</v>
      </c>
      <c r="K69" t="s">
        <v>24</v>
      </c>
      <c r="Q69">
        <v>0.33474290373704102</v>
      </c>
      <c r="T69">
        <v>0.363360906706583</v>
      </c>
      <c r="W69" s="5">
        <f t="shared" si="1"/>
        <v>0</v>
      </c>
      <c r="X69" s="5">
        <f t="shared" si="2"/>
        <v>0</v>
      </c>
      <c r="Y69" s="5">
        <f t="shared" si="3"/>
        <v>0</v>
      </c>
      <c r="Z69" s="5">
        <f t="shared" si="4"/>
        <v>0</v>
      </c>
      <c r="AA69" s="5">
        <f t="shared" si="5"/>
        <v>0.32135318758755937</v>
      </c>
      <c r="AB69" s="5">
        <f t="shared" si="6"/>
        <v>0</v>
      </c>
      <c r="AC69" s="5">
        <f t="shared" si="7"/>
        <v>0</v>
      </c>
      <c r="AD69" s="5">
        <f t="shared" si="8"/>
        <v>0.34882647043831966</v>
      </c>
      <c r="AE69" s="5">
        <f t="shared" si="9"/>
        <v>0</v>
      </c>
    </row>
    <row r="70" spans="1:31" x14ac:dyDescent="0.35">
      <c r="A70" t="s">
        <v>22</v>
      </c>
      <c r="B70" t="s">
        <v>73</v>
      </c>
      <c r="C70" t="s">
        <v>48</v>
      </c>
      <c r="D70" t="s">
        <v>24</v>
      </c>
      <c r="E70" t="s">
        <v>24</v>
      </c>
      <c r="F70" t="s">
        <v>27</v>
      </c>
      <c r="G70">
        <v>1965</v>
      </c>
      <c r="H70" t="s">
        <v>24</v>
      </c>
      <c r="I70" t="s">
        <v>24</v>
      </c>
      <c r="J70" t="s">
        <v>24</v>
      </c>
      <c r="K70" t="s">
        <v>24</v>
      </c>
      <c r="T70">
        <v>0.31216654878181399</v>
      </c>
      <c r="W70" s="5">
        <f t="shared" si="1"/>
        <v>0</v>
      </c>
      <c r="X70" s="5">
        <f t="shared" si="2"/>
        <v>0</v>
      </c>
      <c r="Y70" s="5">
        <f t="shared" si="3"/>
        <v>0</v>
      </c>
      <c r="Z70" s="5">
        <f t="shared" si="4"/>
        <v>0</v>
      </c>
      <c r="AA70" s="5">
        <f t="shared" si="5"/>
        <v>0</v>
      </c>
      <c r="AB70" s="5">
        <f t="shared" si="6"/>
        <v>0</v>
      </c>
      <c r="AC70" s="5">
        <f t="shared" si="7"/>
        <v>0</v>
      </c>
      <c r="AD70" s="5">
        <f t="shared" si="8"/>
        <v>0.29967988683054142</v>
      </c>
      <c r="AE70" s="5">
        <f t="shared" si="9"/>
        <v>0</v>
      </c>
    </row>
    <row r="71" spans="1:31" x14ac:dyDescent="0.35">
      <c r="A71" t="s">
        <v>22</v>
      </c>
      <c r="B71" t="s">
        <v>73</v>
      </c>
      <c r="C71" t="s">
        <v>48</v>
      </c>
      <c r="D71" t="s">
        <v>24</v>
      </c>
      <c r="E71" t="s">
        <v>24</v>
      </c>
      <c r="F71" t="s">
        <v>27</v>
      </c>
      <c r="G71">
        <v>1966</v>
      </c>
      <c r="H71" t="s">
        <v>24</v>
      </c>
      <c r="I71" t="s">
        <v>24</v>
      </c>
      <c r="J71" t="s">
        <v>24</v>
      </c>
      <c r="K71" t="s">
        <v>24</v>
      </c>
      <c r="Q71">
        <v>0.36258870203820198</v>
      </c>
      <c r="W71" s="5">
        <f t="shared" si="1"/>
        <v>0</v>
      </c>
      <c r="X71" s="5">
        <f t="shared" si="2"/>
        <v>0</v>
      </c>
      <c r="Y71" s="5">
        <f t="shared" si="3"/>
        <v>0</v>
      </c>
      <c r="Z71" s="5">
        <f t="shared" si="4"/>
        <v>0</v>
      </c>
      <c r="AA71" s="5">
        <f t="shared" si="5"/>
        <v>0.34808515395667389</v>
      </c>
      <c r="AB71" s="5">
        <f t="shared" si="6"/>
        <v>0</v>
      </c>
      <c r="AC71" s="5">
        <f t="shared" si="7"/>
        <v>0</v>
      </c>
      <c r="AD71" s="5">
        <f t="shared" si="8"/>
        <v>0</v>
      </c>
      <c r="AE71" s="5">
        <f t="shared" si="9"/>
        <v>0</v>
      </c>
    </row>
    <row r="72" spans="1:31" x14ac:dyDescent="0.35">
      <c r="A72" t="s">
        <v>22</v>
      </c>
      <c r="B72" t="s">
        <v>73</v>
      </c>
      <c r="C72" t="s">
        <v>48</v>
      </c>
      <c r="D72" t="s">
        <v>24</v>
      </c>
      <c r="E72" t="s">
        <v>24</v>
      </c>
      <c r="F72" t="s">
        <v>27</v>
      </c>
      <c r="G72">
        <v>1967</v>
      </c>
      <c r="H72" t="s">
        <v>24</v>
      </c>
      <c r="I72" t="s">
        <v>24</v>
      </c>
      <c r="J72" t="s">
        <v>24</v>
      </c>
      <c r="K72" t="s">
        <v>24</v>
      </c>
      <c r="N72">
        <v>0.35135114032964498</v>
      </c>
      <c r="Q72">
        <v>0.34516333880725802</v>
      </c>
      <c r="W72" s="5">
        <f t="shared" si="1"/>
        <v>0</v>
      </c>
      <c r="X72" s="5">
        <f t="shared" si="2"/>
        <v>0.33729709471645919</v>
      </c>
      <c r="Y72" s="5">
        <f t="shared" si="3"/>
        <v>0</v>
      </c>
      <c r="Z72" s="5">
        <f t="shared" si="4"/>
        <v>0</v>
      </c>
      <c r="AA72" s="5">
        <f t="shared" si="5"/>
        <v>0.33135680525496769</v>
      </c>
      <c r="AB72" s="5">
        <f t="shared" si="6"/>
        <v>0</v>
      </c>
      <c r="AC72" s="5">
        <f t="shared" si="7"/>
        <v>0</v>
      </c>
      <c r="AD72" s="5">
        <f t="shared" si="8"/>
        <v>0</v>
      </c>
      <c r="AE72" s="5">
        <f t="shared" si="9"/>
        <v>0</v>
      </c>
    </row>
    <row r="73" spans="1:31" x14ac:dyDescent="0.35">
      <c r="A73" t="s">
        <v>22</v>
      </c>
      <c r="B73" t="s">
        <v>73</v>
      </c>
      <c r="C73" t="s">
        <v>48</v>
      </c>
      <c r="D73" t="s">
        <v>24</v>
      </c>
      <c r="E73" t="s">
        <v>24</v>
      </c>
      <c r="F73" t="s">
        <v>27</v>
      </c>
      <c r="G73">
        <v>1968</v>
      </c>
      <c r="H73" t="s">
        <v>24</v>
      </c>
      <c r="I73" t="s">
        <v>24</v>
      </c>
      <c r="J73" t="s">
        <v>24</v>
      </c>
      <c r="K73" t="s">
        <v>24</v>
      </c>
      <c r="N73">
        <v>0.360634355831908</v>
      </c>
      <c r="Q73">
        <v>0.35298334834404299</v>
      </c>
      <c r="T73">
        <v>0.33593975966006101</v>
      </c>
      <c r="W73" s="5">
        <f t="shared" si="1"/>
        <v>0</v>
      </c>
      <c r="X73" s="5">
        <f t="shared" si="2"/>
        <v>0.34620898159863167</v>
      </c>
      <c r="Y73" s="5">
        <f t="shared" si="3"/>
        <v>0</v>
      </c>
      <c r="Z73" s="5">
        <f t="shared" si="4"/>
        <v>0</v>
      </c>
      <c r="AA73" s="5">
        <f t="shared" si="5"/>
        <v>0.33886401441028124</v>
      </c>
      <c r="AB73" s="5">
        <f t="shared" si="6"/>
        <v>0</v>
      </c>
      <c r="AC73" s="5">
        <f t="shared" si="7"/>
        <v>0</v>
      </c>
      <c r="AD73" s="5">
        <f t="shared" si="8"/>
        <v>0.32250216927365855</v>
      </c>
      <c r="AE73" s="5">
        <f t="shared" si="9"/>
        <v>0</v>
      </c>
    </row>
    <row r="74" spans="1:31" x14ac:dyDescent="0.35">
      <c r="A74" t="s">
        <v>22</v>
      </c>
      <c r="B74" t="s">
        <v>73</v>
      </c>
      <c r="C74" t="s">
        <v>48</v>
      </c>
      <c r="D74" t="s">
        <v>24</v>
      </c>
      <c r="E74" t="s">
        <v>24</v>
      </c>
      <c r="F74" t="s">
        <v>27</v>
      </c>
      <c r="G74">
        <v>1969</v>
      </c>
      <c r="H74" t="s">
        <v>24</v>
      </c>
      <c r="I74" t="s">
        <v>24</v>
      </c>
      <c r="J74" t="s">
        <v>24</v>
      </c>
      <c r="K74" t="s">
        <v>24</v>
      </c>
      <c r="N74">
        <v>0.35510253240384598</v>
      </c>
      <c r="R74">
        <v>0.36255017795171202</v>
      </c>
      <c r="W74" s="5">
        <f t="shared" si="1"/>
        <v>0</v>
      </c>
      <c r="X74" s="5">
        <f t="shared" si="2"/>
        <v>0.34089843110769213</v>
      </c>
      <c r="Y74" s="5">
        <f t="shared" si="3"/>
        <v>0</v>
      </c>
      <c r="Z74" s="5">
        <f t="shared" si="4"/>
        <v>0</v>
      </c>
      <c r="AA74" s="5">
        <f t="shared" si="5"/>
        <v>0</v>
      </c>
      <c r="AB74" s="5">
        <f t="shared" si="6"/>
        <v>0.34804817083364353</v>
      </c>
      <c r="AC74" s="5">
        <f t="shared" si="7"/>
        <v>0</v>
      </c>
      <c r="AD74" s="5">
        <f t="shared" si="8"/>
        <v>0</v>
      </c>
      <c r="AE74" s="5">
        <f t="shared" si="9"/>
        <v>0</v>
      </c>
    </row>
    <row r="75" spans="1:31" x14ac:dyDescent="0.35">
      <c r="A75" t="s">
        <v>22</v>
      </c>
      <c r="B75" t="s">
        <v>73</v>
      </c>
      <c r="C75" t="s">
        <v>48</v>
      </c>
      <c r="D75" t="s">
        <v>24</v>
      </c>
      <c r="E75" t="s">
        <v>24</v>
      </c>
      <c r="F75" t="s">
        <v>27</v>
      </c>
      <c r="G75">
        <v>1970</v>
      </c>
      <c r="H75" t="s">
        <v>24</v>
      </c>
      <c r="I75" t="s">
        <v>24</v>
      </c>
      <c r="J75" t="s">
        <v>24</v>
      </c>
      <c r="K75" t="s">
        <v>24</v>
      </c>
      <c r="N75">
        <v>0.35835166035864902</v>
      </c>
      <c r="Q75">
        <v>0.33760625397744498</v>
      </c>
      <c r="R75">
        <v>0.33842331398210002</v>
      </c>
      <c r="W75" s="5">
        <f t="shared" si="1"/>
        <v>0</v>
      </c>
      <c r="X75" s="5">
        <f t="shared" si="2"/>
        <v>0.34401759394430304</v>
      </c>
      <c r="Y75" s="5">
        <f t="shared" si="3"/>
        <v>0</v>
      </c>
      <c r="Z75" s="5">
        <f t="shared" si="4"/>
        <v>0</v>
      </c>
      <c r="AA75" s="5">
        <f t="shared" si="5"/>
        <v>0.3241020038183472</v>
      </c>
      <c r="AB75" s="5">
        <f t="shared" si="6"/>
        <v>0.32488638142281601</v>
      </c>
      <c r="AC75" s="5">
        <f t="shared" si="7"/>
        <v>0</v>
      </c>
      <c r="AD75" s="5">
        <f t="shared" si="8"/>
        <v>0</v>
      </c>
      <c r="AE75" s="5">
        <f t="shared" si="9"/>
        <v>0</v>
      </c>
    </row>
    <row r="76" spans="1:31" x14ac:dyDescent="0.35">
      <c r="A76" t="s">
        <v>22</v>
      </c>
      <c r="B76" t="s">
        <v>73</v>
      </c>
      <c r="C76" t="s">
        <v>48</v>
      </c>
      <c r="D76" t="s">
        <v>24</v>
      </c>
      <c r="E76" t="s">
        <v>24</v>
      </c>
      <c r="F76" t="s">
        <v>27</v>
      </c>
      <c r="G76">
        <v>1971</v>
      </c>
      <c r="H76" t="s">
        <v>24</v>
      </c>
      <c r="I76" t="s">
        <v>24</v>
      </c>
      <c r="J76" t="s">
        <v>24</v>
      </c>
      <c r="K76" t="s">
        <v>24</v>
      </c>
      <c r="N76">
        <v>0.34609593148683498</v>
      </c>
      <c r="Q76">
        <v>0.34901910393038099</v>
      </c>
      <c r="R76">
        <v>0.33493544119370999</v>
      </c>
      <c r="W76" s="5">
        <f t="shared" si="1"/>
        <v>0</v>
      </c>
      <c r="X76" s="5">
        <f t="shared" si="2"/>
        <v>0.33225209422736157</v>
      </c>
      <c r="Y76" s="5">
        <f t="shared" si="3"/>
        <v>0</v>
      </c>
      <c r="Z76" s="5">
        <f t="shared" si="4"/>
        <v>0</v>
      </c>
      <c r="AA76" s="5">
        <f t="shared" si="5"/>
        <v>0.33505833977316574</v>
      </c>
      <c r="AB76" s="5">
        <f t="shared" si="6"/>
        <v>0.32153802354596156</v>
      </c>
      <c r="AC76" s="5">
        <f t="shared" si="7"/>
        <v>0</v>
      </c>
      <c r="AD76" s="5">
        <f t="shared" si="8"/>
        <v>0</v>
      </c>
      <c r="AE76" s="5">
        <f t="shared" si="9"/>
        <v>0</v>
      </c>
    </row>
    <row r="77" spans="1:31" x14ac:dyDescent="0.35">
      <c r="A77" t="s">
        <v>22</v>
      </c>
      <c r="B77" t="s">
        <v>73</v>
      </c>
      <c r="C77" t="s">
        <v>48</v>
      </c>
      <c r="D77" t="s">
        <v>24</v>
      </c>
      <c r="E77" t="s">
        <v>24</v>
      </c>
      <c r="F77" t="s">
        <v>27</v>
      </c>
      <c r="G77">
        <v>1972</v>
      </c>
      <c r="H77" t="s">
        <v>24</v>
      </c>
      <c r="I77" t="s">
        <v>24</v>
      </c>
      <c r="J77" t="s">
        <v>24</v>
      </c>
      <c r="K77" t="s">
        <v>24</v>
      </c>
      <c r="Q77">
        <v>0.34040983278873499</v>
      </c>
      <c r="W77" s="5">
        <f t="shared" si="1"/>
        <v>0</v>
      </c>
      <c r="X77" s="5">
        <f t="shared" si="2"/>
        <v>0</v>
      </c>
      <c r="Y77" s="5">
        <f t="shared" si="3"/>
        <v>0</v>
      </c>
      <c r="Z77" s="5">
        <f t="shared" si="4"/>
        <v>0</v>
      </c>
      <c r="AA77" s="5">
        <f t="shared" si="5"/>
        <v>0.32679343947718559</v>
      </c>
      <c r="AB77" s="5">
        <f t="shared" si="6"/>
        <v>0</v>
      </c>
      <c r="AC77" s="5">
        <f t="shared" si="7"/>
        <v>0</v>
      </c>
      <c r="AD77" s="5">
        <f t="shared" si="8"/>
        <v>0</v>
      </c>
      <c r="AE77" s="5">
        <f t="shared" si="9"/>
        <v>0</v>
      </c>
    </row>
    <row r="78" spans="1:31" x14ac:dyDescent="0.35">
      <c r="A78" t="s">
        <v>22</v>
      </c>
      <c r="B78" t="s">
        <v>73</v>
      </c>
      <c r="C78" t="s">
        <v>48</v>
      </c>
      <c r="D78" t="s">
        <v>24</v>
      </c>
      <c r="E78" t="s">
        <v>24</v>
      </c>
      <c r="F78" t="s">
        <v>27</v>
      </c>
      <c r="G78">
        <v>1973</v>
      </c>
      <c r="H78" t="s">
        <v>24</v>
      </c>
      <c r="I78" t="s">
        <v>24</v>
      </c>
      <c r="J78" t="s">
        <v>24</v>
      </c>
      <c r="K78" t="s">
        <v>24</v>
      </c>
      <c r="N78">
        <v>0.34044919434116699</v>
      </c>
      <c r="Q78">
        <v>0.343028950147509</v>
      </c>
      <c r="R78">
        <v>0.32423576788372699</v>
      </c>
      <c r="W78" s="5">
        <f t="shared" si="1"/>
        <v>0</v>
      </c>
      <c r="X78" s="5">
        <f t="shared" si="2"/>
        <v>0.32683122656752028</v>
      </c>
      <c r="Y78" s="5">
        <f t="shared" si="3"/>
        <v>0</v>
      </c>
      <c r="Z78" s="5">
        <f t="shared" si="4"/>
        <v>0</v>
      </c>
      <c r="AA78" s="5">
        <f t="shared" si="5"/>
        <v>0.32930779214160866</v>
      </c>
      <c r="AB78" s="5">
        <f t="shared" si="6"/>
        <v>0.31126633716837787</v>
      </c>
      <c r="AC78" s="5">
        <f t="shared" si="7"/>
        <v>0</v>
      </c>
      <c r="AD78" s="5">
        <f t="shared" si="8"/>
        <v>0</v>
      </c>
      <c r="AE78" s="5">
        <f t="shared" si="9"/>
        <v>0</v>
      </c>
    </row>
    <row r="79" spans="1:31" x14ac:dyDescent="0.35">
      <c r="A79" t="s">
        <v>22</v>
      </c>
      <c r="B79" t="s">
        <v>73</v>
      </c>
      <c r="C79" t="s">
        <v>48</v>
      </c>
      <c r="D79" t="s">
        <v>24</v>
      </c>
      <c r="E79" t="s">
        <v>24</v>
      </c>
      <c r="F79" t="s">
        <v>27</v>
      </c>
      <c r="G79">
        <v>1974</v>
      </c>
      <c r="H79" t="s">
        <v>24</v>
      </c>
      <c r="I79" t="s">
        <v>24</v>
      </c>
      <c r="J79" t="s">
        <v>24</v>
      </c>
      <c r="K79" t="s">
        <v>24</v>
      </c>
      <c r="O79">
        <v>0.34412285950801902</v>
      </c>
      <c r="Q79">
        <v>0.35777279186623501</v>
      </c>
      <c r="R79">
        <v>0.31259822965202599</v>
      </c>
      <c r="T79">
        <v>0.32162715546321702</v>
      </c>
      <c r="W79" s="5">
        <f t="shared" ref="W79:W142" si="10">M79*$W$2</f>
        <v>0</v>
      </c>
      <c r="X79" s="5">
        <f t="shared" ref="X79:X142" si="11">N79*$W$2</f>
        <v>0</v>
      </c>
      <c r="Y79" s="5">
        <f t="shared" ref="Y79:Y142" si="12">O79*$W$2</f>
        <v>0.33035794512769823</v>
      </c>
      <c r="Z79" s="5">
        <f t="shared" ref="Z79:Z142" si="13">P79*$W$2</f>
        <v>0</v>
      </c>
      <c r="AA79" s="5">
        <f t="shared" ref="AA79:AA142" si="14">Q79*$W$2</f>
        <v>0.34346188019158558</v>
      </c>
      <c r="AB79" s="5">
        <f t="shared" ref="AB79:AB142" si="15">R79*$W$2</f>
        <v>0.30009430046594493</v>
      </c>
      <c r="AC79" s="5">
        <f t="shared" ref="AC79:AC142" si="16">S79*$W$2</f>
        <v>0</v>
      </c>
      <c r="AD79" s="5">
        <f t="shared" ref="AD79:AD142" si="17">T79*$W$2</f>
        <v>0.30876206924468835</v>
      </c>
      <c r="AE79" s="5">
        <f t="shared" ref="AE79:AE142" si="18">U79*$W$2</f>
        <v>0</v>
      </c>
    </row>
    <row r="80" spans="1:31" x14ac:dyDescent="0.35">
      <c r="A80" t="s">
        <v>22</v>
      </c>
      <c r="B80" t="s">
        <v>73</v>
      </c>
      <c r="C80" t="s">
        <v>48</v>
      </c>
      <c r="D80" t="s">
        <v>24</v>
      </c>
      <c r="E80" t="s">
        <v>24</v>
      </c>
      <c r="F80" t="s">
        <v>27</v>
      </c>
      <c r="G80">
        <v>1975</v>
      </c>
      <c r="H80" t="s">
        <v>24</v>
      </c>
      <c r="I80" t="s">
        <v>24</v>
      </c>
      <c r="J80" t="s">
        <v>24</v>
      </c>
      <c r="K80" t="s">
        <v>24</v>
      </c>
      <c r="O80">
        <v>0.34496595122228801</v>
      </c>
      <c r="Q80">
        <v>0.35287156935403802</v>
      </c>
      <c r="T80">
        <v>0.31890862382070301</v>
      </c>
      <c r="W80" s="5">
        <f t="shared" si="10"/>
        <v>0</v>
      </c>
      <c r="X80" s="5">
        <f t="shared" si="11"/>
        <v>0</v>
      </c>
      <c r="Y80" s="5">
        <f t="shared" si="12"/>
        <v>0.33116731317339648</v>
      </c>
      <c r="Z80" s="5">
        <f t="shared" si="13"/>
        <v>0</v>
      </c>
      <c r="AA80" s="5">
        <f t="shared" si="14"/>
        <v>0.3387567065798765</v>
      </c>
      <c r="AB80" s="5">
        <f t="shared" si="15"/>
        <v>0</v>
      </c>
      <c r="AC80" s="5">
        <f t="shared" si="16"/>
        <v>0</v>
      </c>
      <c r="AD80" s="5">
        <f t="shared" si="17"/>
        <v>0.30615227886787488</v>
      </c>
      <c r="AE80" s="5">
        <f t="shared" si="18"/>
        <v>0</v>
      </c>
    </row>
    <row r="81" spans="1:31" x14ac:dyDescent="0.35">
      <c r="A81" t="s">
        <v>22</v>
      </c>
      <c r="B81" t="s">
        <v>73</v>
      </c>
      <c r="C81" t="s">
        <v>48</v>
      </c>
      <c r="D81" t="s">
        <v>24</v>
      </c>
      <c r="E81" t="s">
        <v>24</v>
      </c>
      <c r="F81" t="s">
        <v>27</v>
      </c>
      <c r="G81">
        <v>1976</v>
      </c>
      <c r="H81" t="s">
        <v>24</v>
      </c>
      <c r="I81" t="s">
        <v>24</v>
      </c>
      <c r="J81" t="s">
        <v>24</v>
      </c>
      <c r="K81" t="s">
        <v>24</v>
      </c>
      <c r="N81">
        <v>0.33605695045120298</v>
      </c>
      <c r="O81">
        <v>0.32421114250655703</v>
      </c>
      <c r="Q81">
        <v>0.35998758042847501</v>
      </c>
      <c r="T81">
        <v>0.30634649247405998</v>
      </c>
      <c r="W81" s="5">
        <f t="shared" si="10"/>
        <v>0</v>
      </c>
      <c r="X81" s="5">
        <f t="shared" si="11"/>
        <v>0.32261467243315484</v>
      </c>
      <c r="Y81" s="5">
        <f t="shared" si="12"/>
        <v>0.31124269680629474</v>
      </c>
      <c r="Z81" s="5">
        <f t="shared" si="13"/>
        <v>0</v>
      </c>
      <c r="AA81" s="5">
        <f t="shared" si="14"/>
        <v>0.345588077211336</v>
      </c>
      <c r="AB81" s="5">
        <f t="shared" si="15"/>
        <v>0</v>
      </c>
      <c r="AC81" s="5">
        <f t="shared" si="16"/>
        <v>0</v>
      </c>
      <c r="AD81" s="5">
        <f t="shared" si="17"/>
        <v>0.29409263277509756</v>
      </c>
      <c r="AE81" s="5">
        <f t="shared" si="18"/>
        <v>0</v>
      </c>
    </row>
    <row r="82" spans="1:31" x14ac:dyDescent="0.35">
      <c r="A82" t="s">
        <v>22</v>
      </c>
      <c r="B82" t="s">
        <v>73</v>
      </c>
      <c r="C82" t="s">
        <v>48</v>
      </c>
      <c r="D82" t="s">
        <v>24</v>
      </c>
      <c r="E82" t="s">
        <v>24</v>
      </c>
      <c r="F82" t="s">
        <v>27</v>
      </c>
      <c r="G82">
        <v>1977</v>
      </c>
      <c r="H82" t="s">
        <v>24</v>
      </c>
      <c r="I82" t="s">
        <v>24</v>
      </c>
      <c r="J82" t="s">
        <v>24</v>
      </c>
      <c r="K82" t="s">
        <v>24</v>
      </c>
      <c r="N82">
        <v>0.34708268130608599</v>
      </c>
      <c r="Q82">
        <v>0.33431196971505001</v>
      </c>
      <c r="R82">
        <v>0.346461744549311</v>
      </c>
      <c r="T82">
        <v>0.329464417426512</v>
      </c>
      <c r="W82" s="5">
        <f t="shared" si="10"/>
        <v>0</v>
      </c>
      <c r="X82" s="5">
        <f t="shared" si="11"/>
        <v>0.33319937405384253</v>
      </c>
      <c r="Y82" s="5">
        <f t="shared" si="12"/>
        <v>0</v>
      </c>
      <c r="Z82" s="5">
        <f t="shared" si="13"/>
        <v>0</v>
      </c>
      <c r="AA82" s="5">
        <f t="shared" si="14"/>
        <v>0.32093949092644797</v>
      </c>
      <c r="AB82" s="5">
        <f t="shared" si="15"/>
        <v>0.33260327476733853</v>
      </c>
      <c r="AC82" s="5">
        <f t="shared" si="16"/>
        <v>0</v>
      </c>
      <c r="AD82" s="5">
        <f t="shared" si="17"/>
        <v>0.31628584072945148</v>
      </c>
      <c r="AE82" s="5">
        <f t="shared" si="18"/>
        <v>0</v>
      </c>
    </row>
    <row r="83" spans="1:31" x14ac:dyDescent="0.35">
      <c r="A83" t="s">
        <v>22</v>
      </c>
      <c r="B83" t="s">
        <v>73</v>
      </c>
      <c r="C83" t="s">
        <v>48</v>
      </c>
      <c r="D83" t="s">
        <v>24</v>
      </c>
      <c r="E83" t="s">
        <v>24</v>
      </c>
      <c r="F83" t="s">
        <v>27</v>
      </c>
      <c r="G83">
        <v>1978</v>
      </c>
      <c r="H83" t="s">
        <v>24</v>
      </c>
      <c r="I83" t="s">
        <v>24</v>
      </c>
      <c r="J83" t="s">
        <v>24</v>
      </c>
      <c r="K83" t="s">
        <v>24</v>
      </c>
      <c r="O83">
        <v>0.35124264280818501</v>
      </c>
      <c r="Q83">
        <v>0.35582088372069998</v>
      </c>
      <c r="R83">
        <v>0.29377317161392302</v>
      </c>
      <c r="T83">
        <v>0.32099026066063202</v>
      </c>
      <c r="W83" s="5">
        <f t="shared" si="10"/>
        <v>0</v>
      </c>
      <c r="X83" s="5">
        <f t="shared" si="11"/>
        <v>0</v>
      </c>
      <c r="Y83" s="5">
        <f t="shared" si="12"/>
        <v>0.33719293709585763</v>
      </c>
      <c r="Z83" s="5">
        <f t="shared" si="13"/>
        <v>0</v>
      </c>
      <c r="AA83" s="5">
        <f t="shared" si="14"/>
        <v>0.34158804837187196</v>
      </c>
      <c r="AB83" s="5">
        <f t="shared" si="15"/>
        <v>0.2820222447493661</v>
      </c>
      <c r="AC83" s="5">
        <f t="shared" si="16"/>
        <v>0</v>
      </c>
      <c r="AD83" s="5">
        <f t="shared" si="17"/>
        <v>0.30815065023420674</v>
      </c>
      <c r="AE83" s="5">
        <f t="shared" si="18"/>
        <v>0</v>
      </c>
    </row>
    <row r="84" spans="1:31" x14ac:dyDescent="0.35">
      <c r="A84" t="s">
        <v>22</v>
      </c>
      <c r="B84" t="s">
        <v>73</v>
      </c>
      <c r="C84" t="s">
        <v>48</v>
      </c>
      <c r="D84" t="s">
        <v>24</v>
      </c>
      <c r="E84" t="s">
        <v>24</v>
      </c>
      <c r="F84" t="s">
        <v>27</v>
      </c>
      <c r="G84">
        <v>1979</v>
      </c>
      <c r="H84" t="s">
        <v>24</v>
      </c>
      <c r="I84" t="s">
        <v>24</v>
      </c>
      <c r="J84" t="s">
        <v>24</v>
      </c>
      <c r="K84" t="s">
        <v>24</v>
      </c>
      <c r="N84">
        <v>0.345481651805358</v>
      </c>
      <c r="O84">
        <v>0.33680716406371097</v>
      </c>
      <c r="Q84">
        <v>0.333756091048662</v>
      </c>
      <c r="R84">
        <v>0.31432592804730303</v>
      </c>
      <c r="W84" s="5">
        <f t="shared" si="10"/>
        <v>0</v>
      </c>
      <c r="X84" s="5">
        <f t="shared" si="11"/>
        <v>0.33166238573314366</v>
      </c>
      <c r="Y84" s="5">
        <f t="shared" si="12"/>
        <v>0.32333487750116252</v>
      </c>
      <c r="Z84" s="5">
        <f t="shared" si="13"/>
        <v>0</v>
      </c>
      <c r="AA84" s="5">
        <f t="shared" si="14"/>
        <v>0.32040584740671552</v>
      </c>
      <c r="AB84" s="5">
        <f t="shared" si="15"/>
        <v>0.30175289092541091</v>
      </c>
      <c r="AC84" s="5">
        <f t="shared" si="16"/>
        <v>0</v>
      </c>
      <c r="AD84" s="5">
        <f t="shared" si="17"/>
        <v>0</v>
      </c>
      <c r="AE84" s="5">
        <f t="shared" si="18"/>
        <v>0</v>
      </c>
    </row>
    <row r="85" spans="1:31" x14ac:dyDescent="0.35">
      <c r="A85" t="s">
        <v>22</v>
      </c>
      <c r="B85" t="s">
        <v>73</v>
      </c>
      <c r="C85" t="s">
        <v>48</v>
      </c>
      <c r="D85" t="s">
        <v>24</v>
      </c>
      <c r="E85" t="s">
        <v>24</v>
      </c>
      <c r="F85" t="s">
        <v>27</v>
      </c>
      <c r="G85">
        <v>1980</v>
      </c>
      <c r="H85" t="s">
        <v>24</v>
      </c>
      <c r="I85" t="s">
        <v>24</v>
      </c>
      <c r="J85" t="s">
        <v>24</v>
      </c>
      <c r="K85" t="s">
        <v>24</v>
      </c>
      <c r="Q85">
        <v>0.34369698736723803</v>
      </c>
      <c r="T85">
        <v>0.32304388749075902</v>
      </c>
      <c r="W85" s="5">
        <f t="shared" si="10"/>
        <v>0</v>
      </c>
      <c r="X85" s="5">
        <f t="shared" si="11"/>
        <v>0</v>
      </c>
      <c r="Y85" s="5">
        <f t="shared" si="12"/>
        <v>0</v>
      </c>
      <c r="Z85" s="5">
        <f t="shared" si="13"/>
        <v>0</v>
      </c>
      <c r="AA85" s="5">
        <f t="shared" si="14"/>
        <v>0.3299491078725485</v>
      </c>
      <c r="AB85" s="5">
        <f t="shared" si="15"/>
        <v>0</v>
      </c>
      <c r="AC85" s="5">
        <f t="shared" si="16"/>
        <v>0</v>
      </c>
      <c r="AD85" s="5">
        <f t="shared" si="17"/>
        <v>0.31012213199112865</v>
      </c>
      <c r="AE85" s="5">
        <f t="shared" si="18"/>
        <v>0</v>
      </c>
    </row>
    <row r="86" spans="1:31" x14ac:dyDescent="0.35">
      <c r="A86" t="s">
        <v>22</v>
      </c>
      <c r="B86" t="s">
        <v>73</v>
      </c>
      <c r="C86" t="s">
        <v>48</v>
      </c>
      <c r="D86" t="s">
        <v>24</v>
      </c>
      <c r="E86" t="s">
        <v>24</v>
      </c>
      <c r="F86" t="s">
        <v>27</v>
      </c>
      <c r="G86">
        <v>1981</v>
      </c>
      <c r="H86" t="s">
        <v>24</v>
      </c>
      <c r="I86" t="s">
        <v>24</v>
      </c>
      <c r="J86" t="s">
        <v>24</v>
      </c>
      <c r="K86" t="s">
        <v>24</v>
      </c>
      <c r="Q86">
        <v>0.327125624647913</v>
      </c>
      <c r="R86">
        <v>0.33635622946403299</v>
      </c>
      <c r="T86">
        <v>0.34177907400656199</v>
      </c>
      <c r="W86" s="5">
        <f t="shared" si="10"/>
        <v>0</v>
      </c>
      <c r="X86" s="5">
        <f t="shared" si="11"/>
        <v>0</v>
      </c>
      <c r="Y86" s="5">
        <f t="shared" si="12"/>
        <v>0</v>
      </c>
      <c r="Z86" s="5">
        <f t="shared" si="13"/>
        <v>0</v>
      </c>
      <c r="AA86" s="5">
        <f t="shared" si="14"/>
        <v>0.31404059966199649</v>
      </c>
      <c r="AB86" s="5">
        <f t="shared" si="15"/>
        <v>0.32290198028547168</v>
      </c>
      <c r="AC86" s="5">
        <f t="shared" si="16"/>
        <v>0</v>
      </c>
      <c r="AD86" s="5">
        <f t="shared" si="17"/>
        <v>0.32810791104629949</v>
      </c>
      <c r="AE86" s="5">
        <f t="shared" si="18"/>
        <v>0</v>
      </c>
    </row>
    <row r="87" spans="1:31" x14ac:dyDescent="0.35">
      <c r="A87" t="s">
        <v>22</v>
      </c>
      <c r="B87" t="s">
        <v>73</v>
      </c>
      <c r="C87" t="s">
        <v>48</v>
      </c>
      <c r="D87" t="s">
        <v>24</v>
      </c>
      <c r="E87" t="s">
        <v>24</v>
      </c>
      <c r="F87" t="s">
        <v>27</v>
      </c>
      <c r="G87">
        <v>1982</v>
      </c>
      <c r="H87" t="s">
        <v>24</v>
      </c>
      <c r="I87" t="s">
        <v>24</v>
      </c>
      <c r="J87" t="s">
        <v>24</v>
      </c>
      <c r="K87" t="s">
        <v>24</v>
      </c>
      <c r="O87">
        <v>0.34471601370162402</v>
      </c>
      <c r="Q87">
        <v>0.33592461851560501</v>
      </c>
      <c r="W87" s="5">
        <f t="shared" si="10"/>
        <v>0</v>
      </c>
      <c r="X87" s="5">
        <f t="shared" si="11"/>
        <v>0</v>
      </c>
      <c r="Y87" s="5">
        <f t="shared" si="12"/>
        <v>0.33092737315355902</v>
      </c>
      <c r="Z87" s="5">
        <f t="shared" si="13"/>
        <v>0</v>
      </c>
      <c r="AA87" s="5">
        <f t="shared" si="14"/>
        <v>0.3224876337749808</v>
      </c>
      <c r="AB87" s="5">
        <f t="shared" si="15"/>
        <v>0</v>
      </c>
      <c r="AC87" s="5">
        <f t="shared" si="16"/>
        <v>0</v>
      </c>
      <c r="AD87" s="5">
        <f t="shared" si="17"/>
        <v>0</v>
      </c>
      <c r="AE87" s="5">
        <f t="shared" si="18"/>
        <v>0</v>
      </c>
    </row>
    <row r="88" spans="1:31" x14ac:dyDescent="0.35">
      <c r="A88" t="s">
        <v>22</v>
      </c>
      <c r="B88" t="s">
        <v>73</v>
      </c>
      <c r="C88" t="s">
        <v>48</v>
      </c>
      <c r="D88" t="s">
        <v>24</v>
      </c>
      <c r="E88" t="s">
        <v>24</v>
      </c>
      <c r="F88" t="s">
        <v>27</v>
      </c>
      <c r="G88">
        <v>1983</v>
      </c>
      <c r="H88" t="s">
        <v>24</v>
      </c>
      <c r="I88" t="s">
        <v>24</v>
      </c>
      <c r="J88" t="s">
        <v>24</v>
      </c>
      <c r="K88" t="s">
        <v>24</v>
      </c>
      <c r="O88">
        <v>0.323773169627604</v>
      </c>
      <c r="Q88">
        <v>0.320345688591956</v>
      </c>
      <c r="T88">
        <v>0.31427550102012602</v>
      </c>
      <c r="W88" s="5">
        <f t="shared" si="10"/>
        <v>0</v>
      </c>
      <c r="X88" s="5">
        <f t="shared" si="11"/>
        <v>0</v>
      </c>
      <c r="Y88" s="5">
        <f t="shared" si="12"/>
        <v>0.31082224284249982</v>
      </c>
      <c r="Z88" s="5">
        <f t="shared" si="13"/>
        <v>0</v>
      </c>
      <c r="AA88" s="5">
        <f t="shared" si="14"/>
        <v>0.30753186104827773</v>
      </c>
      <c r="AB88" s="5">
        <f t="shared" si="15"/>
        <v>0</v>
      </c>
      <c r="AC88" s="5">
        <f t="shared" si="16"/>
        <v>0</v>
      </c>
      <c r="AD88" s="5">
        <f t="shared" si="17"/>
        <v>0.30170448097932095</v>
      </c>
      <c r="AE88" s="5">
        <f t="shared" si="18"/>
        <v>0</v>
      </c>
    </row>
    <row r="89" spans="1:31" x14ac:dyDescent="0.35">
      <c r="A89" t="s">
        <v>22</v>
      </c>
      <c r="B89" t="s">
        <v>73</v>
      </c>
      <c r="C89" t="s">
        <v>48</v>
      </c>
      <c r="D89" t="s">
        <v>24</v>
      </c>
      <c r="E89" t="s">
        <v>24</v>
      </c>
      <c r="F89" t="s">
        <v>27</v>
      </c>
      <c r="G89">
        <v>1984</v>
      </c>
      <c r="H89" t="s">
        <v>24</v>
      </c>
      <c r="I89" t="s">
        <v>24</v>
      </c>
      <c r="J89" t="s">
        <v>24</v>
      </c>
      <c r="K89" t="s">
        <v>24</v>
      </c>
      <c r="Q89">
        <v>0.352868573503408</v>
      </c>
      <c r="R89">
        <v>0.34513222159214302</v>
      </c>
      <c r="W89" s="5">
        <f t="shared" si="10"/>
        <v>0</v>
      </c>
      <c r="X89" s="5">
        <f t="shared" si="11"/>
        <v>0</v>
      </c>
      <c r="Y89" s="5">
        <f t="shared" si="12"/>
        <v>0</v>
      </c>
      <c r="Z89" s="5">
        <f t="shared" si="13"/>
        <v>0</v>
      </c>
      <c r="AA89" s="5">
        <f t="shared" si="14"/>
        <v>0.33875383056327169</v>
      </c>
      <c r="AB89" s="5">
        <f t="shared" si="15"/>
        <v>0.33132693272845726</v>
      </c>
      <c r="AC89" s="5">
        <f t="shared" si="16"/>
        <v>0</v>
      </c>
      <c r="AD89" s="5">
        <f t="shared" si="17"/>
        <v>0</v>
      </c>
      <c r="AE89" s="5">
        <f t="shared" si="18"/>
        <v>0</v>
      </c>
    </row>
    <row r="90" spans="1:31" x14ac:dyDescent="0.35">
      <c r="A90" t="s">
        <v>22</v>
      </c>
      <c r="B90" t="s">
        <v>73</v>
      </c>
      <c r="C90" t="s">
        <v>48</v>
      </c>
      <c r="D90" t="s">
        <v>24</v>
      </c>
      <c r="E90" t="s">
        <v>24</v>
      </c>
      <c r="F90" t="s">
        <v>27</v>
      </c>
      <c r="G90">
        <v>1985</v>
      </c>
      <c r="H90" t="s">
        <v>24</v>
      </c>
      <c r="I90" t="s">
        <v>24</v>
      </c>
      <c r="J90" t="s">
        <v>24</v>
      </c>
      <c r="K90" t="s">
        <v>24</v>
      </c>
      <c r="T90">
        <v>0.31162760501201098</v>
      </c>
      <c r="W90" s="5">
        <f t="shared" si="10"/>
        <v>0</v>
      </c>
      <c r="X90" s="5">
        <f t="shared" si="11"/>
        <v>0</v>
      </c>
      <c r="Y90" s="5">
        <f t="shared" si="12"/>
        <v>0</v>
      </c>
      <c r="Z90" s="5">
        <f t="shared" si="13"/>
        <v>0</v>
      </c>
      <c r="AA90" s="5">
        <f t="shared" si="14"/>
        <v>0</v>
      </c>
      <c r="AB90" s="5">
        <f t="shared" si="15"/>
        <v>0</v>
      </c>
      <c r="AC90" s="5">
        <f t="shared" si="16"/>
        <v>0</v>
      </c>
      <c r="AD90" s="5">
        <f t="shared" si="17"/>
        <v>0.29916250081153051</v>
      </c>
      <c r="AE90" s="5">
        <f t="shared" si="18"/>
        <v>0</v>
      </c>
    </row>
    <row r="91" spans="1:31" x14ac:dyDescent="0.35">
      <c r="A91" t="s">
        <v>22</v>
      </c>
      <c r="B91" t="s">
        <v>73</v>
      </c>
      <c r="C91" t="s">
        <v>48</v>
      </c>
      <c r="D91" t="s">
        <v>24</v>
      </c>
      <c r="E91" t="s">
        <v>24</v>
      </c>
      <c r="F91" t="s">
        <v>27</v>
      </c>
      <c r="G91">
        <v>1986</v>
      </c>
      <c r="H91" t="s">
        <v>24</v>
      </c>
      <c r="I91" t="s">
        <v>24</v>
      </c>
      <c r="J91" t="s">
        <v>24</v>
      </c>
      <c r="K91" t="s">
        <v>24</v>
      </c>
      <c r="O91">
        <v>0.31788321244769702</v>
      </c>
      <c r="R91">
        <v>0.33566026705503799</v>
      </c>
      <c r="S91">
        <v>0.235332570681484</v>
      </c>
      <c r="T91">
        <v>0.33639347295351002</v>
      </c>
      <c r="W91" s="5">
        <f t="shared" si="10"/>
        <v>0</v>
      </c>
      <c r="X91" s="5">
        <f t="shared" si="11"/>
        <v>0</v>
      </c>
      <c r="Y91" s="5">
        <f t="shared" si="12"/>
        <v>0.30516788394978911</v>
      </c>
      <c r="Z91" s="5">
        <f t="shared" si="13"/>
        <v>0</v>
      </c>
      <c r="AA91" s="5">
        <f t="shared" si="14"/>
        <v>0</v>
      </c>
      <c r="AB91" s="5">
        <f t="shared" si="15"/>
        <v>0.32223385637283647</v>
      </c>
      <c r="AC91" s="5">
        <f t="shared" si="16"/>
        <v>0.22591926785422464</v>
      </c>
      <c r="AD91" s="5">
        <f t="shared" si="17"/>
        <v>0.32293773403536963</v>
      </c>
      <c r="AE91" s="5">
        <f t="shared" si="18"/>
        <v>0</v>
      </c>
    </row>
    <row r="92" spans="1:31" x14ac:dyDescent="0.35">
      <c r="A92" t="s">
        <v>22</v>
      </c>
      <c r="B92" t="s">
        <v>73</v>
      </c>
      <c r="C92" t="s">
        <v>48</v>
      </c>
      <c r="D92" t="s">
        <v>24</v>
      </c>
      <c r="E92" t="s">
        <v>24</v>
      </c>
      <c r="F92" t="s">
        <v>27</v>
      </c>
      <c r="G92">
        <v>1987</v>
      </c>
      <c r="H92" t="s">
        <v>24</v>
      </c>
      <c r="I92" t="s">
        <v>24</v>
      </c>
      <c r="J92" t="s">
        <v>24</v>
      </c>
      <c r="K92" t="s">
        <v>24</v>
      </c>
      <c r="Q92">
        <v>0.337986667708293</v>
      </c>
      <c r="T92">
        <v>0.359191818408581</v>
      </c>
      <c r="W92" s="5">
        <f t="shared" si="10"/>
        <v>0</v>
      </c>
      <c r="X92" s="5">
        <f t="shared" si="11"/>
        <v>0</v>
      </c>
      <c r="Y92" s="5">
        <f t="shared" si="12"/>
        <v>0</v>
      </c>
      <c r="Z92" s="5">
        <f t="shared" si="13"/>
        <v>0</v>
      </c>
      <c r="AA92" s="5">
        <f t="shared" si="14"/>
        <v>0.32446720099996129</v>
      </c>
      <c r="AB92" s="5">
        <f t="shared" si="15"/>
        <v>0</v>
      </c>
      <c r="AC92" s="5">
        <f t="shared" si="16"/>
        <v>0</v>
      </c>
      <c r="AD92" s="5">
        <f t="shared" si="17"/>
        <v>0.34482414567223774</v>
      </c>
      <c r="AE92" s="5">
        <f t="shared" si="18"/>
        <v>0</v>
      </c>
    </row>
    <row r="93" spans="1:31" x14ac:dyDescent="0.35">
      <c r="A93" t="s">
        <v>22</v>
      </c>
      <c r="B93" t="s">
        <v>73</v>
      </c>
      <c r="C93" t="s">
        <v>48</v>
      </c>
      <c r="D93" t="s">
        <v>24</v>
      </c>
      <c r="E93" t="s">
        <v>24</v>
      </c>
      <c r="F93" t="s">
        <v>27</v>
      </c>
      <c r="G93">
        <v>1988</v>
      </c>
      <c r="H93" t="s">
        <v>24</v>
      </c>
      <c r="I93" t="s">
        <v>24</v>
      </c>
      <c r="J93" t="s">
        <v>24</v>
      </c>
      <c r="K93" t="s">
        <v>24</v>
      </c>
      <c r="Q93">
        <v>0.31921327156090601</v>
      </c>
      <c r="W93" s="5">
        <f t="shared" si="10"/>
        <v>0</v>
      </c>
      <c r="X93" s="5">
        <f t="shared" si="11"/>
        <v>0</v>
      </c>
      <c r="Y93" s="5">
        <f t="shared" si="12"/>
        <v>0</v>
      </c>
      <c r="Z93" s="5">
        <f t="shared" si="13"/>
        <v>0</v>
      </c>
      <c r="AA93" s="5">
        <f t="shared" si="14"/>
        <v>0.30644474069846978</v>
      </c>
      <c r="AB93" s="5">
        <f t="shared" si="15"/>
        <v>0</v>
      </c>
      <c r="AC93" s="5">
        <f t="shared" si="16"/>
        <v>0</v>
      </c>
      <c r="AD93" s="5">
        <f t="shared" si="17"/>
        <v>0</v>
      </c>
      <c r="AE93" s="5">
        <f t="shared" si="18"/>
        <v>0</v>
      </c>
    </row>
    <row r="94" spans="1:31" x14ac:dyDescent="0.35">
      <c r="A94" t="s">
        <v>22</v>
      </c>
      <c r="B94" t="s">
        <v>73</v>
      </c>
      <c r="C94" t="s">
        <v>48</v>
      </c>
      <c r="D94" t="s">
        <v>24</v>
      </c>
      <c r="E94" t="s">
        <v>24</v>
      </c>
      <c r="F94" t="s">
        <v>27</v>
      </c>
      <c r="G94">
        <v>1990</v>
      </c>
      <c r="H94" t="s">
        <v>24</v>
      </c>
      <c r="I94" t="s">
        <v>24</v>
      </c>
      <c r="J94" t="s">
        <v>24</v>
      </c>
      <c r="K94" t="s">
        <v>24</v>
      </c>
      <c r="R94">
        <v>0.32962927693986799</v>
      </c>
      <c r="U94">
        <v>0.31245511170053297</v>
      </c>
      <c r="W94" s="5">
        <f t="shared" si="10"/>
        <v>0</v>
      </c>
      <c r="X94" s="5">
        <f t="shared" si="11"/>
        <v>0</v>
      </c>
      <c r="Y94" s="5">
        <f t="shared" si="12"/>
        <v>0</v>
      </c>
      <c r="Z94" s="5">
        <f t="shared" si="13"/>
        <v>0</v>
      </c>
      <c r="AA94" s="5">
        <f t="shared" si="14"/>
        <v>0</v>
      </c>
      <c r="AB94" s="5">
        <f t="shared" si="15"/>
        <v>0.31644410586227328</v>
      </c>
      <c r="AC94" s="5">
        <f t="shared" si="16"/>
        <v>0</v>
      </c>
      <c r="AD94" s="5">
        <f t="shared" si="17"/>
        <v>0</v>
      </c>
      <c r="AE94" s="5">
        <f t="shared" si="18"/>
        <v>0.29995690723251162</v>
      </c>
    </row>
    <row r="95" spans="1:31" x14ac:dyDescent="0.35">
      <c r="A95" t="s">
        <v>22</v>
      </c>
      <c r="B95" t="s">
        <v>73</v>
      </c>
      <c r="C95" t="s">
        <v>48</v>
      </c>
      <c r="D95" t="s">
        <v>24</v>
      </c>
      <c r="E95" t="s">
        <v>24</v>
      </c>
      <c r="F95" t="s">
        <v>27</v>
      </c>
      <c r="G95">
        <v>1991</v>
      </c>
      <c r="H95" t="s">
        <v>24</v>
      </c>
      <c r="I95" t="s">
        <v>24</v>
      </c>
      <c r="J95" t="s">
        <v>24</v>
      </c>
      <c r="K95" t="s">
        <v>24</v>
      </c>
      <c r="O95">
        <v>0.35456382739832898</v>
      </c>
      <c r="Q95">
        <v>0.36135997827825</v>
      </c>
      <c r="T95">
        <v>0.29416571335185498</v>
      </c>
      <c r="W95" s="5">
        <f t="shared" si="10"/>
        <v>0</v>
      </c>
      <c r="X95" s="5">
        <f t="shared" si="11"/>
        <v>0</v>
      </c>
      <c r="Y95" s="5">
        <f t="shared" si="12"/>
        <v>0.34038127430239579</v>
      </c>
      <c r="Z95" s="5">
        <f t="shared" si="13"/>
        <v>0</v>
      </c>
      <c r="AA95" s="5">
        <f t="shared" si="14"/>
        <v>0.34690557914712</v>
      </c>
      <c r="AB95" s="5">
        <f t="shared" si="15"/>
        <v>0</v>
      </c>
      <c r="AC95" s="5">
        <f t="shared" si="16"/>
        <v>0</v>
      </c>
      <c r="AD95" s="5">
        <f t="shared" si="17"/>
        <v>0.28239908481778075</v>
      </c>
      <c r="AE95" s="5">
        <f t="shared" si="18"/>
        <v>0</v>
      </c>
    </row>
    <row r="96" spans="1:31" x14ac:dyDescent="0.35">
      <c r="A96" t="s">
        <v>22</v>
      </c>
      <c r="B96" t="s">
        <v>73</v>
      </c>
      <c r="C96" t="s">
        <v>48</v>
      </c>
      <c r="D96" t="s">
        <v>24</v>
      </c>
      <c r="E96" t="s">
        <v>24</v>
      </c>
      <c r="F96" t="s">
        <v>27</v>
      </c>
      <c r="G96">
        <v>1992</v>
      </c>
      <c r="H96" t="s">
        <v>24</v>
      </c>
      <c r="I96" t="s">
        <v>24</v>
      </c>
      <c r="J96" t="s">
        <v>24</v>
      </c>
      <c r="K96" t="s">
        <v>24</v>
      </c>
      <c r="S96">
        <v>0.309050770731845</v>
      </c>
      <c r="W96" s="5">
        <f t="shared" si="10"/>
        <v>0</v>
      </c>
      <c r="X96" s="5">
        <f t="shared" si="11"/>
        <v>0</v>
      </c>
      <c r="Y96" s="5">
        <f t="shared" si="12"/>
        <v>0</v>
      </c>
      <c r="Z96" s="5">
        <f t="shared" si="13"/>
        <v>0</v>
      </c>
      <c r="AA96" s="5">
        <f t="shared" si="14"/>
        <v>0</v>
      </c>
      <c r="AB96" s="5">
        <f t="shared" si="15"/>
        <v>0</v>
      </c>
      <c r="AC96" s="5">
        <f t="shared" si="16"/>
        <v>0.29668873990257122</v>
      </c>
      <c r="AD96" s="5">
        <f t="shared" si="17"/>
        <v>0</v>
      </c>
      <c r="AE96" s="5">
        <f t="shared" si="18"/>
        <v>0</v>
      </c>
    </row>
    <row r="97" spans="1:31" x14ac:dyDescent="0.35">
      <c r="A97" t="s">
        <v>22</v>
      </c>
      <c r="B97" t="s">
        <v>73</v>
      </c>
      <c r="C97" t="s">
        <v>48</v>
      </c>
      <c r="D97" t="s">
        <v>24</v>
      </c>
      <c r="E97" t="s">
        <v>24</v>
      </c>
      <c r="F97" t="s">
        <v>27</v>
      </c>
      <c r="G97">
        <v>1993</v>
      </c>
      <c r="H97" t="s">
        <v>24</v>
      </c>
      <c r="I97" t="s">
        <v>24</v>
      </c>
      <c r="J97" t="s">
        <v>24</v>
      </c>
      <c r="K97" t="s">
        <v>24</v>
      </c>
      <c r="N97">
        <v>0.33030298622833698</v>
      </c>
      <c r="W97" s="5">
        <f t="shared" si="10"/>
        <v>0</v>
      </c>
      <c r="X97" s="5">
        <f t="shared" si="11"/>
        <v>0.31709086677920351</v>
      </c>
      <c r="Y97" s="5">
        <f t="shared" si="12"/>
        <v>0</v>
      </c>
      <c r="Z97" s="5">
        <f t="shared" si="13"/>
        <v>0</v>
      </c>
      <c r="AA97" s="5">
        <f t="shared" si="14"/>
        <v>0</v>
      </c>
      <c r="AB97" s="5">
        <f t="shared" si="15"/>
        <v>0</v>
      </c>
      <c r="AC97" s="5">
        <f t="shared" si="16"/>
        <v>0</v>
      </c>
      <c r="AD97" s="5">
        <f t="shared" si="17"/>
        <v>0</v>
      </c>
      <c r="AE97" s="5">
        <f t="shared" si="18"/>
        <v>0</v>
      </c>
    </row>
    <row r="98" spans="1:31" x14ac:dyDescent="0.35">
      <c r="A98" t="s">
        <v>22</v>
      </c>
      <c r="B98" t="s">
        <v>73</v>
      </c>
      <c r="C98" t="s">
        <v>48</v>
      </c>
      <c r="D98" t="s">
        <v>24</v>
      </c>
      <c r="E98" t="s">
        <v>24</v>
      </c>
      <c r="F98" t="s">
        <v>27</v>
      </c>
      <c r="G98">
        <v>1994</v>
      </c>
      <c r="H98" t="s">
        <v>24</v>
      </c>
      <c r="I98" t="s">
        <v>24</v>
      </c>
      <c r="J98" t="s">
        <v>24</v>
      </c>
      <c r="K98" t="s">
        <v>24</v>
      </c>
      <c r="N98">
        <v>0.34123222748815202</v>
      </c>
      <c r="Q98">
        <v>0.32905711426051298</v>
      </c>
      <c r="W98" s="5">
        <f t="shared" si="10"/>
        <v>0</v>
      </c>
      <c r="X98" s="5">
        <f t="shared" si="11"/>
        <v>0.3275829383886259</v>
      </c>
      <c r="Y98" s="5">
        <f t="shared" si="12"/>
        <v>0</v>
      </c>
      <c r="Z98" s="5">
        <f t="shared" si="13"/>
        <v>0</v>
      </c>
      <c r="AA98" s="5">
        <f t="shared" si="14"/>
        <v>0.31589482969009247</v>
      </c>
      <c r="AB98" s="5">
        <f t="shared" si="15"/>
        <v>0</v>
      </c>
      <c r="AC98" s="5">
        <f t="shared" si="16"/>
        <v>0</v>
      </c>
      <c r="AD98" s="5">
        <f t="shared" si="17"/>
        <v>0</v>
      </c>
      <c r="AE98" s="5">
        <f t="shared" si="18"/>
        <v>0</v>
      </c>
    </row>
    <row r="99" spans="1:31" x14ac:dyDescent="0.35">
      <c r="A99" t="s">
        <v>22</v>
      </c>
      <c r="B99" t="s">
        <v>73</v>
      </c>
      <c r="C99" t="s">
        <v>48</v>
      </c>
      <c r="D99" t="s">
        <v>24</v>
      </c>
      <c r="E99" t="s">
        <v>24</v>
      </c>
      <c r="F99" t="s">
        <v>27</v>
      </c>
      <c r="G99">
        <v>1995</v>
      </c>
      <c r="H99" t="s">
        <v>24</v>
      </c>
      <c r="I99" t="s">
        <v>24</v>
      </c>
      <c r="J99" t="s">
        <v>24</v>
      </c>
      <c r="K99" t="s">
        <v>24</v>
      </c>
      <c r="N99">
        <v>0.29506769100936697</v>
      </c>
      <c r="Q99">
        <v>0.34214732434915002</v>
      </c>
      <c r="W99" s="5">
        <f t="shared" si="10"/>
        <v>0</v>
      </c>
      <c r="X99" s="5">
        <f t="shared" si="11"/>
        <v>0.28326498336899231</v>
      </c>
      <c r="Y99" s="5">
        <f t="shared" si="12"/>
        <v>0</v>
      </c>
      <c r="Z99" s="5">
        <f t="shared" si="13"/>
        <v>0</v>
      </c>
      <c r="AA99" s="5">
        <f t="shared" si="14"/>
        <v>0.32846143137518402</v>
      </c>
      <c r="AB99" s="5">
        <f t="shared" si="15"/>
        <v>0</v>
      </c>
      <c r="AC99" s="5">
        <f t="shared" si="16"/>
        <v>0</v>
      </c>
      <c r="AD99" s="5">
        <f t="shared" si="17"/>
        <v>0</v>
      </c>
      <c r="AE99" s="5">
        <f t="shared" si="18"/>
        <v>0</v>
      </c>
    </row>
    <row r="100" spans="1:31" x14ac:dyDescent="0.35">
      <c r="A100" t="s">
        <v>22</v>
      </c>
      <c r="B100" t="s">
        <v>73</v>
      </c>
      <c r="C100" t="s">
        <v>48</v>
      </c>
      <c r="D100" t="s">
        <v>24</v>
      </c>
      <c r="E100" t="s">
        <v>24</v>
      </c>
      <c r="F100" t="s">
        <v>27</v>
      </c>
      <c r="G100">
        <v>1996</v>
      </c>
      <c r="H100" t="s">
        <v>24</v>
      </c>
      <c r="I100" t="s">
        <v>24</v>
      </c>
      <c r="J100" t="s">
        <v>24</v>
      </c>
      <c r="K100" t="s">
        <v>24</v>
      </c>
      <c r="Q100">
        <v>0.33351792334128999</v>
      </c>
      <c r="W100" s="5">
        <f t="shared" si="10"/>
        <v>0</v>
      </c>
      <c r="X100" s="5">
        <f t="shared" si="11"/>
        <v>0</v>
      </c>
      <c r="Y100" s="5">
        <f t="shared" si="12"/>
        <v>0</v>
      </c>
      <c r="Z100" s="5">
        <f t="shared" si="13"/>
        <v>0</v>
      </c>
      <c r="AA100" s="5">
        <f t="shared" si="14"/>
        <v>0.32017720640763836</v>
      </c>
      <c r="AB100" s="5">
        <f t="shared" si="15"/>
        <v>0</v>
      </c>
      <c r="AC100" s="5">
        <f t="shared" si="16"/>
        <v>0</v>
      </c>
      <c r="AD100" s="5">
        <f t="shared" si="17"/>
        <v>0</v>
      </c>
      <c r="AE100" s="5">
        <f t="shared" si="18"/>
        <v>0</v>
      </c>
    </row>
    <row r="101" spans="1:31" x14ac:dyDescent="0.35">
      <c r="A101" t="s">
        <v>22</v>
      </c>
      <c r="B101" t="s">
        <v>73</v>
      </c>
      <c r="C101" t="s">
        <v>48</v>
      </c>
      <c r="D101" t="s">
        <v>24</v>
      </c>
      <c r="E101" t="s">
        <v>24</v>
      </c>
      <c r="F101" t="s">
        <v>27</v>
      </c>
      <c r="G101">
        <v>2000</v>
      </c>
      <c r="H101" t="s">
        <v>24</v>
      </c>
      <c r="I101" t="s">
        <v>24</v>
      </c>
      <c r="J101" t="s">
        <v>24</v>
      </c>
      <c r="K101" t="s">
        <v>24</v>
      </c>
      <c r="Q101">
        <v>0.305298584135414</v>
      </c>
      <c r="W101" s="5">
        <f t="shared" si="10"/>
        <v>0</v>
      </c>
      <c r="X101" s="5">
        <f t="shared" si="11"/>
        <v>0</v>
      </c>
      <c r="Y101" s="5">
        <f t="shared" si="12"/>
        <v>0</v>
      </c>
      <c r="Z101" s="5">
        <f t="shared" si="13"/>
        <v>0</v>
      </c>
      <c r="AA101" s="5">
        <f t="shared" si="14"/>
        <v>0.29308664076999741</v>
      </c>
      <c r="AB101" s="5">
        <f t="shared" si="15"/>
        <v>0</v>
      </c>
      <c r="AC101" s="5">
        <f t="shared" si="16"/>
        <v>0</v>
      </c>
      <c r="AD101" s="5">
        <f t="shared" si="17"/>
        <v>0</v>
      </c>
      <c r="AE101" s="5">
        <f t="shared" si="18"/>
        <v>0</v>
      </c>
    </row>
    <row r="102" spans="1:31" x14ac:dyDescent="0.35">
      <c r="A102" t="s">
        <v>22</v>
      </c>
      <c r="B102" t="s">
        <v>73</v>
      </c>
      <c r="C102" t="s">
        <v>48</v>
      </c>
      <c r="D102" t="s">
        <v>24</v>
      </c>
      <c r="E102" t="s">
        <v>24</v>
      </c>
      <c r="F102" t="s">
        <v>27</v>
      </c>
      <c r="G102">
        <v>2003</v>
      </c>
      <c r="H102" t="s">
        <v>24</v>
      </c>
      <c r="I102" t="s">
        <v>24</v>
      </c>
      <c r="J102" t="s">
        <v>24</v>
      </c>
      <c r="K102" t="s">
        <v>24</v>
      </c>
      <c r="N102">
        <v>0.33030298622833698</v>
      </c>
      <c r="O102">
        <v>0.29672367607665401</v>
      </c>
      <c r="W102" s="5">
        <f t="shared" si="10"/>
        <v>0</v>
      </c>
      <c r="X102" s="5">
        <f t="shared" si="11"/>
        <v>0.31709086677920351</v>
      </c>
      <c r="Y102" s="5">
        <f t="shared" si="12"/>
        <v>0.28485472903358783</v>
      </c>
      <c r="Z102" s="5">
        <f t="shared" si="13"/>
        <v>0</v>
      </c>
      <c r="AA102" s="5">
        <f t="shared" si="14"/>
        <v>0</v>
      </c>
      <c r="AB102" s="5">
        <f t="shared" si="15"/>
        <v>0</v>
      </c>
      <c r="AC102" s="5">
        <f t="shared" si="16"/>
        <v>0</v>
      </c>
      <c r="AD102" s="5">
        <f t="shared" si="17"/>
        <v>0</v>
      </c>
      <c r="AE102" s="5">
        <f t="shared" si="18"/>
        <v>0</v>
      </c>
    </row>
    <row r="103" spans="1:31" x14ac:dyDescent="0.35">
      <c r="A103" t="s">
        <v>22</v>
      </c>
      <c r="B103" t="s">
        <v>73</v>
      </c>
      <c r="C103" t="s">
        <v>48</v>
      </c>
      <c r="D103" t="s">
        <v>24</v>
      </c>
      <c r="E103" t="s">
        <v>24</v>
      </c>
      <c r="F103" t="s">
        <v>27</v>
      </c>
      <c r="G103">
        <v>2004</v>
      </c>
      <c r="H103" t="s">
        <v>24</v>
      </c>
      <c r="I103" t="s">
        <v>24</v>
      </c>
      <c r="J103" t="s">
        <v>24</v>
      </c>
      <c r="K103" t="s">
        <v>24</v>
      </c>
      <c r="N103">
        <v>0.35178580153417699</v>
      </c>
      <c r="W103" s="5">
        <f t="shared" si="10"/>
        <v>0</v>
      </c>
      <c r="X103" s="5">
        <f t="shared" si="11"/>
        <v>0.33771436947280992</v>
      </c>
      <c r="Y103" s="5">
        <f t="shared" si="12"/>
        <v>0</v>
      </c>
      <c r="Z103" s="5">
        <f t="shared" si="13"/>
        <v>0</v>
      </c>
      <c r="AA103" s="5">
        <f t="shared" si="14"/>
        <v>0</v>
      </c>
      <c r="AB103" s="5">
        <f t="shared" si="15"/>
        <v>0</v>
      </c>
      <c r="AC103" s="5">
        <f t="shared" si="16"/>
        <v>0</v>
      </c>
      <c r="AD103" s="5">
        <f t="shared" si="17"/>
        <v>0</v>
      </c>
      <c r="AE103" s="5">
        <f t="shared" si="18"/>
        <v>0</v>
      </c>
    </row>
    <row r="104" spans="1:31" x14ac:dyDescent="0.35">
      <c r="A104" t="s">
        <v>22</v>
      </c>
      <c r="B104" t="s">
        <v>73</v>
      </c>
      <c r="C104" t="s">
        <v>48</v>
      </c>
      <c r="D104" t="s">
        <v>24</v>
      </c>
      <c r="E104" t="s">
        <v>24</v>
      </c>
      <c r="F104" t="s">
        <v>27</v>
      </c>
      <c r="G104">
        <v>2005</v>
      </c>
      <c r="H104" t="s">
        <v>24</v>
      </c>
      <c r="I104" t="s">
        <v>24</v>
      </c>
      <c r="J104" t="s">
        <v>24</v>
      </c>
      <c r="K104" t="s">
        <v>24</v>
      </c>
      <c r="R104">
        <v>0.36013955407720499</v>
      </c>
      <c r="W104" s="5">
        <f t="shared" si="10"/>
        <v>0</v>
      </c>
      <c r="X104" s="5">
        <f t="shared" si="11"/>
        <v>0</v>
      </c>
      <c r="Y104" s="5">
        <f t="shared" si="12"/>
        <v>0</v>
      </c>
      <c r="Z104" s="5">
        <f t="shared" si="13"/>
        <v>0</v>
      </c>
      <c r="AA104" s="5">
        <f t="shared" si="14"/>
        <v>0</v>
      </c>
      <c r="AB104" s="5">
        <f t="shared" si="15"/>
        <v>0.34573397191411676</v>
      </c>
      <c r="AC104" s="5">
        <f t="shared" si="16"/>
        <v>0</v>
      </c>
      <c r="AD104" s="5">
        <f t="shared" si="17"/>
        <v>0</v>
      </c>
      <c r="AE104" s="5">
        <f t="shared" si="18"/>
        <v>0</v>
      </c>
    </row>
    <row r="105" spans="1:31" x14ac:dyDescent="0.35">
      <c r="A105" t="s">
        <v>22</v>
      </c>
      <c r="B105" t="s">
        <v>73</v>
      </c>
      <c r="C105" t="s">
        <v>49</v>
      </c>
      <c r="D105" t="s">
        <v>24</v>
      </c>
      <c r="E105" t="s">
        <v>24</v>
      </c>
      <c r="F105" t="s">
        <v>27</v>
      </c>
      <c r="G105">
        <v>1941</v>
      </c>
      <c r="H105" t="s">
        <v>24</v>
      </c>
      <c r="I105" t="s">
        <v>24</v>
      </c>
      <c r="J105" t="s">
        <v>24</v>
      </c>
      <c r="K105" t="s">
        <v>24</v>
      </c>
      <c r="Q105">
        <v>0.248947419193224</v>
      </c>
      <c r="W105" s="5">
        <f t="shared" si="10"/>
        <v>0</v>
      </c>
      <c r="X105" s="5">
        <f t="shared" si="11"/>
        <v>0</v>
      </c>
      <c r="Y105" s="5">
        <f t="shared" si="12"/>
        <v>0</v>
      </c>
      <c r="Z105" s="5">
        <f t="shared" si="13"/>
        <v>0</v>
      </c>
      <c r="AA105" s="5">
        <f t="shared" si="14"/>
        <v>0.23898952242549504</v>
      </c>
      <c r="AB105" s="5">
        <f t="shared" si="15"/>
        <v>0</v>
      </c>
      <c r="AC105" s="5">
        <f t="shared" si="16"/>
        <v>0</v>
      </c>
      <c r="AD105" s="5">
        <f t="shared" si="17"/>
        <v>0</v>
      </c>
      <c r="AE105" s="5">
        <f t="shared" si="18"/>
        <v>0</v>
      </c>
    </row>
    <row r="106" spans="1:31" x14ac:dyDescent="0.35">
      <c r="A106" t="s">
        <v>22</v>
      </c>
      <c r="B106" t="s">
        <v>73</v>
      </c>
      <c r="C106" t="s">
        <v>49</v>
      </c>
      <c r="D106" t="s">
        <v>24</v>
      </c>
      <c r="E106" t="s">
        <v>24</v>
      </c>
      <c r="F106" t="s">
        <v>27</v>
      </c>
      <c r="G106">
        <v>1942</v>
      </c>
      <c r="H106" t="s">
        <v>24</v>
      </c>
      <c r="I106" t="s">
        <v>24</v>
      </c>
      <c r="J106" t="s">
        <v>24</v>
      </c>
      <c r="K106" t="s">
        <v>24</v>
      </c>
      <c r="Q106">
        <v>0.251924863409488</v>
      </c>
      <c r="W106" s="5">
        <f t="shared" si="10"/>
        <v>0</v>
      </c>
      <c r="X106" s="5">
        <f t="shared" si="11"/>
        <v>0</v>
      </c>
      <c r="Y106" s="5">
        <f t="shared" si="12"/>
        <v>0</v>
      </c>
      <c r="Z106" s="5">
        <f t="shared" si="13"/>
        <v>0</v>
      </c>
      <c r="AA106" s="5">
        <f t="shared" si="14"/>
        <v>0.24184786887310847</v>
      </c>
      <c r="AB106" s="5">
        <f t="shared" si="15"/>
        <v>0</v>
      </c>
      <c r="AC106" s="5">
        <f t="shared" si="16"/>
        <v>0</v>
      </c>
      <c r="AD106" s="5">
        <f t="shared" si="17"/>
        <v>0</v>
      </c>
      <c r="AE106" s="5">
        <f t="shared" si="18"/>
        <v>0</v>
      </c>
    </row>
    <row r="107" spans="1:31" x14ac:dyDescent="0.35">
      <c r="A107" t="s">
        <v>22</v>
      </c>
      <c r="B107" t="s">
        <v>73</v>
      </c>
      <c r="C107" t="s">
        <v>49</v>
      </c>
      <c r="D107" t="s">
        <v>24</v>
      </c>
      <c r="E107" t="s">
        <v>24</v>
      </c>
      <c r="F107" t="s">
        <v>27</v>
      </c>
      <c r="G107">
        <v>1943</v>
      </c>
      <c r="H107" t="s">
        <v>24</v>
      </c>
      <c r="I107" t="s">
        <v>24</v>
      </c>
      <c r="J107" t="s">
        <v>24</v>
      </c>
      <c r="K107" t="s">
        <v>24</v>
      </c>
      <c r="N107">
        <v>0.27811324541402999</v>
      </c>
      <c r="Q107">
        <v>0.20593375225597599</v>
      </c>
      <c r="W107" s="5">
        <f t="shared" si="10"/>
        <v>0</v>
      </c>
      <c r="X107" s="5">
        <f t="shared" si="11"/>
        <v>0.26698871559746878</v>
      </c>
      <c r="Y107" s="5">
        <f t="shared" si="12"/>
        <v>0</v>
      </c>
      <c r="Z107" s="5">
        <f t="shared" si="13"/>
        <v>0</v>
      </c>
      <c r="AA107" s="5">
        <f t="shared" si="14"/>
        <v>0.19769640216573695</v>
      </c>
      <c r="AB107" s="5">
        <f t="shared" si="15"/>
        <v>0</v>
      </c>
      <c r="AC107" s="5">
        <f t="shared" si="16"/>
        <v>0</v>
      </c>
      <c r="AD107" s="5">
        <f t="shared" si="17"/>
        <v>0</v>
      </c>
      <c r="AE107" s="5">
        <f t="shared" si="18"/>
        <v>0</v>
      </c>
    </row>
    <row r="108" spans="1:31" x14ac:dyDescent="0.35">
      <c r="A108" t="s">
        <v>22</v>
      </c>
      <c r="B108" t="s">
        <v>73</v>
      </c>
      <c r="C108" t="s">
        <v>49</v>
      </c>
      <c r="D108" t="s">
        <v>24</v>
      </c>
      <c r="E108" t="s">
        <v>24</v>
      </c>
      <c r="F108" t="s">
        <v>27</v>
      </c>
      <c r="G108">
        <v>1944</v>
      </c>
      <c r="H108" t="s">
        <v>24</v>
      </c>
      <c r="I108" t="s">
        <v>24</v>
      </c>
      <c r="J108" t="s">
        <v>24</v>
      </c>
      <c r="K108" t="s">
        <v>24</v>
      </c>
      <c r="Q108">
        <v>0.274589383993041</v>
      </c>
      <c r="W108" s="5">
        <f t="shared" si="10"/>
        <v>0</v>
      </c>
      <c r="X108" s="5">
        <f t="shared" si="11"/>
        <v>0</v>
      </c>
      <c r="Y108" s="5">
        <f t="shared" si="12"/>
        <v>0</v>
      </c>
      <c r="Z108" s="5">
        <f t="shared" si="13"/>
        <v>0</v>
      </c>
      <c r="AA108" s="5">
        <f t="shared" si="14"/>
        <v>0.26360580863331934</v>
      </c>
      <c r="AB108" s="5">
        <f t="shared" si="15"/>
        <v>0</v>
      </c>
      <c r="AC108" s="5">
        <f t="shared" si="16"/>
        <v>0</v>
      </c>
      <c r="AD108" s="5">
        <f t="shared" si="17"/>
        <v>0</v>
      </c>
      <c r="AE108" s="5">
        <f t="shared" si="18"/>
        <v>0</v>
      </c>
    </row>
    <row r="109" spans="1:31" x14ac:dyDescent="0.35">
      <c r="A109" t="s">
        <v>22</v>
      </c>
      <c r="B109" t="s">
        <v>73</v>
      </c>
      <c r="C109" t="s">
        <v>49</v>
      </c>
      <c r="D109" t="s">
        <v>24</v>
      </c>
      <c r="E109" t="s">
        <v>24</v>
      </c>
      <c r="F109" t="s">
        <v>27</v>
      </c>
      <c r="G109">
        <v>1947</v>
      </c>
      <c r="H109" t="s">
        <v>24</v>
      </c>
      <c r="I109" t="s">
        <v>24</v>
      </c>
      <c r="J109" t="s">
        <v>24</v>
      </c>
      <c r="K109" t="s">
        <v>24</v>
      </c>
      <c r="O109">
        <v>0.29058351995925402</v>
      </c>
      <c r="P109">
        <v>0.27281270219174503</v>
      </c>
      <c r="Q109">
        <v>0.31418122409368499</v>
      </c>
      <c r="W109" s="5">
        <f t="shared" si="10"/>
        <v>0</v>
      </c>
      <c r="X109" s="5">
        <f t="shared" si="11"/>
        <v>0</v>
      </c>
      <c r="Y109" s="5">
        <f t="shared" si="12"/>
        <v>0.27896017916088384</v>
      </c>
      <c r="Z109" s="5">
        <f t="shared" si="13"/>
        <v>0.26190019410407522</v>
      </c>
      <c r="AA109" s="5">
        <f t="shared" si="14"/>
        <v>0.30161397512993759</v>
      </c>
      <c r="AB109" s="5">
        <f t="shared" si="15"/>
        <v>0</v>
      </c>
      <c r="AC109" s="5">
        <f t="shared" si="16"/>
        <v>0</v>
      </c>
      <c r="AD109" s="5">
        <f t="shared" si="17"/>
        <v>0</v>
      </c>
      <c r="AE109" s="5">
        <f t="shared" si="18"/>
        <v>0</v>
      </c>
    </row>
    <row r="110" spans="1:31" x14ac:dyDescent="0.35">
      <c r="A110" t="s">
        <v>22</v>
      </c>
      <c r="B110" t="s">
        <v>73</v>
      </c>
      <c r="C110" t="s">
        <v>49</v>
      </c>
      <c r="D110" t="s">
        <v>24</v>
      </c>
      <c r="E110" t="s">
        <v>24</v>
      </c>
      <c r="F110" t="s">
        <v>27</v>
      </c>
      <c r="G110">
        <v>1948</v>
      </c>
      <c r="H110" t="s">
        <v>24</v>
      </c>
      <c r="I110" t="s">
        <v>24</v>
      </c>
      <c r="J110" t="s">
        <v>24</v>
      </c>
      <c r="K110" t="s">
        <v>24</v>
      </c>
      <c r="O110">
        <v>0.27250699234661002</v>
      </c>
      <c r="P110">
        <v>0.24863160559574099</v>
      </c>
      <c r="W110" s="5">
        <f t="shared" si="10"/>
        <v>0</v>
      </c>
      <c r="X110" s="5">
        <f t="shared" si="11"/>
        <v>0</v>
      </c>
      <c r="Y110" s="5">
        <f t="shared" si="12"/>
        <v>0.2616067126527456</v>
      </c>
      <c r="Z110" s="5">
        <f t="shared" si="13"/>
        <v>0.23868634137191133</v>
      </c>
      <c r="AA110" s="5">
        <f t="shared" si="14"/>
        <v>0</v>
      </c>
      <c r="AB110" s="5">
        <f t="shared" si="15"/>
        <v>0</v>
      </c>
      <c r="AC110" s="5">
        <f t="shared" si="16"/>
        <v>0</v>
      </c>
      <c r="AD110" s="5">
        <f t="shared" si="17"/>
        <v>0</v>
      </c>
      <c r="AE110" s="5">
        <f t="shared" si="18"/>
        <v>0</v>
      </c>
    </row>
    <row r="111" spans="1:31" x14ac:dyDescent="0.35">
      <c r="A111" t="s">
        <v>22</v>
      </c>
      <c r="B111" t="s">
        <v>73</v>
      </c>
      <c r="C111" t="s">
        <v>49</v>
      </c>
      <c r="D111" t="s">
        <v>24</v>
      </c>
      <c r="E111" t="s">
        <v>24</v>
      </c>
      <c r="F111" t="s">
        <v>27</v>
      </c>
      <c r="G111">
        <v>1949</v>
      </c>
      <c r="H111" t="s">
        <v>24</v>
      </c>
      <c r="I111" t="s">
        <v>24</v>
      </c>
      <c r="J111" t="s">
        <v>24</v>
      </c>
      <c r="K111" t="s">
        <v>24</v>
      </c>
      <c r="N111">
        <v>0.30006351344367899</v>
      </c>
      <c r="O111">
        <v>0.27008299749125397</v>
      </c>
      <c r="P111">
        <v>0.235332570681484</v>
      </c>
      <c r="Q111">
        <v>0.25541352687350999</v>
      </c>
      <c r="R111">
        <v>0.27050574535549599</v>
      </c>
      <c r="W111" s="5">
        <f t="shared" si="10"/>
        <v>0</v>
      </c>
      <c r="X111" s="5">
        <f t="shared" si="11"/>
        <v>0.2880609729059318</v>
      </c>
      <c r="Y111" s="5">
        <f t="shared" si="12"/>
        <v>0.25927967759160381</v>
      </c>
      <c r="Z111" s="5">
        <f t="shared" si="13"/>
        <v>0.22591926785422464</v>
      </c>
      <c r="AA111" s="5">
        <f t="shared" si="14"/>
        <v>0.24519698579856958</v>
      </c>
      <c r="AB111" s="5">
        <f t="shared" si="15"/>
        <v>0.25968551554127611</v>
      </c>
      <c r="AC111" s="5">
        <f t="shared" si="16"/>
        <v>0</v>
      </c>
      <c r="AD111" s="5">
        <f t="shared" si="17"/>
        <v>0</v>
      </c>
      <c r="AE111" s="5">
        <f t="shared" si="18"/>
        <v>0</v>
      </c>
    </row>
    <row r="112" spans="1:31" x14ac:dyDescent="0.35">
      <c r="A112" t="s">
        <v>22</v>
      </c>
      <c r="B112" t="s">
        <v>73</v>
      </c>
      <c r="C112" t="s">
        <v>49</v>
      </c>
      <c r="D112" t="s">
        <v>24</v>
      </c>
      <c r="E112" t="s">
        <v>24</v>
      </c>
      <c r="F112" t="s">
        <v>27</v>
      </c>
      <c r="G112">
        <v>1950</v>
      </c>
      <c r="H112" t="s">
        <v>24</v>
      </c>
      <c r="I112" t="s">
        <v>24</v>
      </c>
      <c r="J112" t="s">
        <v>24</v>
      </c>
      <c r="K112" t="s">
        <v>24</v>
      </c>
      <c r="N112">
        <v>0.31059391824364602</v>
      </c>
      <c r="O112">
        <v>0.28892303615985698</v>
      </c>
      <c r="Q112">
        <v>0.29344153420415903</v>
      </c>
      <c r="W112" s="5">
        <f t="shared" si="10"/>
        <v>0</v>
      </c>
      <c r="X112" s="5">
        <f t="shared" si="11"/>
        <v>0.29817016151390019</v>
      </c>
      <c r="Y112" s="5">
        <f t="shared" si="12"/>
        <v>0.27736611471346267</v>
      </c>
      <c r="Z112" s="5">
        <f t="shared" si="13"/>
        <v>0</v>
      </c>
      <c r="AA112" s="5">
        <f t="shared" si="14"/>
        <v>0.28170387283599263</v>
      </c>
      <c r="AB112" s="5">
        <f t="shared" si="15"/>
        <v>0</v>
      </c>
      <c r="AC112" s="5">
        <f t="shared" si="16"/>
        <v>0</v>
      </c>
      <c r="AD112" s="5">
        <f t="shared" si="17"/>
        <v>0</v>
      </c>
      <c r="AE112" s="5">
        <f t="shared" si="18"/>
        <v>0</v>
      </c>
    </row>
    <row r="113" spans="1:31" x14ac:dyDescent="0.35">
      <c r="A113" t="s">
        <v>22</v>
      </c>
      <c r="B113" t="s">
        <v>73</v>
      </c>
      <c r="C113" t="s">
        <v>49</v>
      </c>
      <c r="D113" t="s">
        <v>24</v>
      </c>
      <c r="E113" t="s">
        <v>24</v>
      </c>
      <c r="F113" t="s">
        <v>27</v>
      </c>
      <c r="G113">
        <v>1951</v>
      </c>
      <c r="H113" t="s">
        <v>24</v>
      </c>
      <c r="I113" t="s">
        <v>24</v>
      </c>
      <c r="J113" t="s">
        <v>24</v>
      </c>
      <c r="K113" t="s">
        <v>24</v>
      </c>
      <c r="M113">
        <v>0.32439607138335602</v>
      </c>
      <c r="N113">
        <v>0.304965863708758</v>
      </c>
      <c r="O113">
        <v>0.30785325237891797</v>
      </c>
      <c r="Q113">
        <v>0.26337776125976498</v>
      </c>
      <c r="W113" s="5">
        <f t="shared" si="10"/>
        <v>0.31142022852802176</v>
      </c>
      <c r="X113" s="5">
        <f t="shared" si="11"/>
        <v>0.29276722916040765</v>
      </c>
      <c r="Y113" s="5">
        <f t="shared" si="12"/>
        <v>0.29553912228376122</v>
      </c>
      <c r="Z113" s="5">
        <f t="shared" si="13"/>
        <v>0</v>
      </c>
      <c r="AA113" s="5">
        <f t="shared" si="14"/>
        <v>0.25284265080937435</v>
      </c>
      <c r="AB113" s="5">
        <f t="shared" si="15"/>
        <v>0</v>
      </c>
      <c r="AC113" s="5">
        <f t="shared" si="16"/>
        <v>0</v>
      </c>
      <c r="AD113" s="5">
        <f t="shared" si="17"/>
        <v>0</v>
      </c>
      <c r="AE113" s="5">
        <f t="shared" si="18"/>
        <v>0</v>
      </c>
    </row>
    <row r="114" spans="1:31" x14ac:dyDescent="0.35">
      <c r="A114" t="s">
        <v>22</v>
      </c>
      <c r="B114" t="s">
        <v>73</v>
      </c>
      <c r="C114" t="s">
        <v>49</v>
      </c>
      <c r="D114" t="s">
        <v>24</v>
      </c>
      <c r="E114" t="s">
        <v>24</v>
      </c>
      <c r="F114" t="s">
        <v>27</v>
      </c>
      <c r="G114">
        <v>1952</v>
      </c>
      <c r="H114" t="s">
        <v>24</v>
      </c>
      <c r="I114" t="s">
        <v>24</v>
      </c>
      <c r="J114" t="s">
        <v>24</v>
      </c>
      <c r="K114" t="s">
        <v>24</v>
      </c>
      <c r="M114">
        <v>0.28974219824943998</v>
      </c>
      <c r="N114">
        <v>0.30743026937082901</v>
      </c>
      <c r="O114">
        <v>0.30832297243769402</v>
      </c>
      <c r="Q114">
        <v>0.29530687962320501</v>
      </c>
      <c r="W114" s="5">
        <f t="shared" si="10"/>
        <v>0.27815251031946236</v>
      </c>
      <c r="X114" s="5">
        <f t="shared" si="11"/>
        <v>0.29513305859599587</v>
      </c>
      <c r="Y114" s="5">
        <f t="shared" si="12"/>
        <v>0.29599005354018626</v>
      </c>
      <c r="Z114" s="5">
        <f t="shared" si="13"/>
        <v>0</v>
      </c>
      <c r="AA114" s="5">
        <f t="shared" si="14"/>
        <v>0.28349460443827679</v>
      </c>
      <c r="AB114" s="5">
        <f t="shared" si="15"/>
        <v>0</v>
      </c>
      <c r="AC114" s="5">
        <f t="shared" si="16"/>
        <v>0</v>
      </c>
      <c r="AD114" s="5">
        <f t="shared" si="17"/>
        <v>0</v>
      </c>
      <c r="AE114" s="5">
        <f t="shared" si="18"/>
        <v>0</v>
      </c>
    </row>
    <row r="115" spans="1:31" x14ac:dyDescent="0.35">
      <c r="A115" t="s">
        <v>22</v>
      </c>
      <c r="B115" t="s">
        <v>73</v>
      </c>
      <c r="C115" t="s">
        <v>49</v>
      </c>
      <c r="D115" t="s">
        <v>24</v>
      </c>
      <c r="E115" t="s">
        <v>24</v>
      </c>
      <c r="F115" t="s">
        <v>27</v>
      </c>
      <c r="G115">
        <v>1953</v>
      </c>
      <c r="H115" t="s">
        <v>24</v>
      </c>
      <c r="I115" t="s">
        <v>24</v>
      </c>
      <c r="J115" t="s">
        <v>24</v>
      </c>
      <c r="K115" t="s">
        <v>24</v>
      </c>
      <c r="N115">
        <v>0.301975422555886</v>
      </c>
      <c r="O115">
        <v>0.31218485845001298</v>
      </c>
      <c r="P115">
        <v>0.25434963255749399</v>
      </c>
      <c r="Q115">
        <v>0.27280027780161598</v>
      </c>
      <c r="R115">
        <v>0.33030298622833698</v>
      </c>
      <c r="W115" s="5">
        <f t="shared" si="10"/>
        <v>0</v>
      </c>
      <c r="X115" s="5">
        <f t="shared" si="11"/>
        <v>0.28989640565365055</v>
      </c>
      <c r="Y115" s="5">
        <f t="shared" si="12"/>
        <v>0.29969746411201242</v>
      </c>
      <c r="Z115" s="5">
        <f t="shared" si="13"/>
        <v>0.24417564725519422</v>
      </c>
      <c r="AA115" s="5">
        <f t="shared" si="14"/>
        <v>0.26188826668955134</v>
      </c>
      <c r="AB115" s="5">
        <f t="shared" si="15"/>
        <v>0.31709086677920351</v>
      </c>
      <c r="AC115" s="5">
        <f t="shared" si="16"/>
        <v>0</v>
      </c>
      <c r="AD115" s="5">
        <f t="shared" si="17"/>
        <v>0</v>
      </c>
      <c r="AE115" s="5">
        <f t="shared" si="18"/>
        <v>0</v>
      </c>
    </row>
    <row r="116" spans="1:31" x14ac:dyDescent="0.35">
      <c r="A116" t="s">
        <v>22</v>
      </c>
      <c r="B116" t="s">
        <v>73</v>
      </c>
      <c r="C116" t="s">
        <v>49</v>
      </c>
      <c r="D116" t="s">
        <v>24</v>
      </c>
      <c r="E116" t="s">
        <v>24</v>
      </c>
      <c r="F116" t="s">
        <v>27</v>
      </c>
      <c r="G116">
        <v>1954</v>
      </c>
      <c r="H116" t="s">
        <v>24</v>
      </c>
      <c r="I116" t="s">
        <v>24</v>
      </c>
      <c r="J116" t="s">
        <v>24</v>
      </c>
      <c r="K116" t="s">
        <v>24</v>
      </c>
      <c r="N116">
        <v>0.33030298622833698</v>
      </c>
      <c r="O116">
        <v>0.33116481704983702</v>
      </c>
      <c r="R116">
        <v>0.25152348885345099</v>
      </c>
      <c r="W116" s="5">
        <f t="shared" si="10"/>
        <v>0</v>
      </c>
      <c r="X116" s="5">
        <f t="shared" si="11"/>
        <v>0.31709086677920351</v>
      </c>
      <c r="Y116" s="5">
        <f t="shared" si="12"/>
        <v>0.3179182243678435</v>
      </c>
      <c r="Z116" s="5">
        <f t="shared" si="13"/>
        <v>0</v>
      </c>
      <c r="AA116" s="5">
        <f t="shared" si="14"/>
        <v>0</v>
      </c>
      <c r="AB116" s="5">
        <f t="shared" si="15"/>
        <v>0.24146254929931293</v>
      </c>
      <c r="AC116" s="5">
        <f t="shared" si="16"/>
        <v>0</v>
      </c>
      <c r="AD116" s="5">
        <f t="shared" si="17"/>
        <v>0</v>
      </c>
      <c r="AE116" s="5">
        <f t="shared" si="18"/>
        <v>0</v>
      </c>
    </row>
    <row r="117" spans="1:31" x14ac:dyDescent="0.35">
      <c r="A117" t="s">
        <v>22</v>
      </c>
      <c r="B117" t="s">
        <v>73</v>
      </c>
      <c r="C117" t="s">
        <v>49</v>
      </c>
      <c r="D117" t="s">
        <v>24</v>
      </c>
      <c r="E117" t="s">
        <v>24</v>
      </c>
      <c r="F117" t="s">
        <v>27</v>
      </c>
      <c r="G117">
        <v>1955</v>
      </c>
      <c r="H117" t="s">
        <v>24</v>
      </c>
      <c r="I117" t="s">
        <v>24</v>
      </c>
      <c r="J117" t="s">
        <v>24</v>
      </c>
      <c r="K117" t="s">
        <v>24</v>
      </c>
      <c r="O117">
        <v>0.304894706930255</v>
      </c>
      <c r="Q117">
        <v>0.34702758821127999</v>
      </c>
      <c r="W117" s="5">
        <f t="shared" si="10"/>
        <v>0</v>
      </c>
      <c r="X117" s="5">
        <f t="shared" si="11"/>
        <v>0</v>
      </c>
      <c r="Y117" s="5">
        <f t="shared" si="12"/>
        <v>0.29269891865304482</v>
      </c>
      <c r="Z117" s="5">
        <f t="shared" si="13"/>
        <v>0</v>
      </c>
      <c r="AA117" s="5">
        <f t="shared" si="14"/>
        <v>0.33314648468282876</v>
      </c>
      <c r="AB117" s="5">
        <f t="shared" si="15"/>
        <v>0</v>
      </c>
      <c r="AC117" s="5">
        <f t="shared" si="16"/>
        <v>0</v>
      </c>
      <c r="AD117" s="5">
        <f t="shared" si="17"/>
        <v>0</v>
      </c>
      <c r="AE117" s="5">
        <f t="shared" si="18"/>
        <v>0</v>
      </c>
    </row>
    <row r="118" spans="1:31" x14ac:dyDescent="0.35">
      <c r="A118" t="s">
        <v>22</v>
      </c>
      <c r="B118" t="s">
        <v>73</v>
      </c>
      <c r="C118" t="s">
        <v>49</v>
      </c>
      <c r="D118" t="s">
        <v>24</v>
      </c>
      <c r="E118" t="s">
        <v>24</v>
      </c>
      <c r="F118" t="s">
        <v>27</v>
      </c>
      <c r="G118">
        <v>1956</v>
      </c>
      <c r="H118" t="s">
        <v>24</v>
      </c>
      <c r="I118" t="s">
        <v>24</v>
      </c>
      <c r="J118" t="s">
        <v>24</v>
      </c>
      <c r="K118" t="s">
        <v>24</v>
      </c>
      <c r="O118">
        <v>0.33201437879923101</v>
      </c>
      <c r="R118">
        <v>0.24582683343285899</v>
      </c>
      <c r="W118" s="5">
        <f t="shared" si="10"/>
        <v>0</v>
      </c>
      <c r="X118" s="5">
        <f t="shared" si="11"/>
        <v>0</v>
      </c>
      <c r="Y118" s="5">
        <f t="shared" si="12"/>
        <v>0.31873380364726178</v>
      </c>
      <c r="Z118" s="5">
        <f t="shared" si="13"/>
        <v>0</v>
      </c>
      <c r="AA118" s="5">
        <f t="shared" si="14"/>
        <v>0</v>
      </c>
      <c r="AB118" s="5">
        <f t="shared" si="15"/>
        <v>0.23599376009554462</v>
      </c>
      <c r="AC118" s="5">
        <f t="shared" si="16"/>
        <v>0</v>
      </c>
      <c r="AD118" s="5">
        <f t="shared" si="17"/>
        <v>0</v>
      </c>
      <c r="AE118" s="5">
        <f t="shared" si="18"/>
        <v>0</v>
      </c>
    </row>
    <row r="119" spans="1:31" x14ac:dyDescent="0.35">
      <c r="A119" t="s">
        <v>22</v>
      </c>
      <c r="B119" t="s">
        <v>73</v>
      </c>
      <c r="C119" t="s">
        <v>49</v>
      </c>
      <c r="D119" t="s">
        <v>24</v>
      </c>
      <c r="E119" t="s">
        <v>24</v>
      </c>
      <c r="F119" t="s">
        <v>27</v>
      </c>
      <c r="G119">
        <v>1957</v>
      </c>
      <c r="H119" t="s">
        <v>24</v>
      </c>
      <c r="I119" t="s">
        <v>24</v>
      </c>
      <c r="J119" t="s">
        <v>24</v>
      </c>
      <c r="K119" t="s">
        <v>24</v>
      </c>
      <c r="M119">
        <v>0.27259324771381299</v>
      </c>
      <c r="N119">
        <v>0.33030298622833698</v>
      </c>
      <c r="O119">
        <v>0.31627610492480102</v>
      </c>
      <c r="P119">
        <v>0.24188858544563099</v>
      </c>
      <c r="Q119">
        <v>0.24808873374521501</v>
      </c>
      <c r="R119">
        <v>0.30040692621546899</v>
      </c>
      <c r="W119" s="5">
        <f t="shared" si="10"/>
        <v>0.26168951780526045</v>
      </c>
      <c r="X119" s="5">
        <f t="shared" si="11"/>
        <v>0.31709086677920351</v>
      </c>
      <c r="Y119" s="5">
        <f t="shared" si="12"/>
        <v>0.30362506072780898</v>
      </c>
      <c r="Z119" s="5">
        <f t="shared" si="13"/>
        <v>0.23221304202780574</v>
      </c>
      <c r="AA119" s="5">
        <f t="shared" si="14"/>
        <v>0.2381651843954064</v>
      </c>
      <c r="AB119" s="5">
        <f t="shared" si="15"/>
        <v>0.2883906491668502</v>
      </c>
      <c r="AC119" s="5">
        <f t="shared" si="16"/>
        <v>0</v>
      </c>
      <c r="AD119" s="5">
        <f t="shared" si="17"/>
        <v>0</v>
      </c>
      <c r="AE119" s="5">
        <f t="shared" si="18"/>
        <v>0</v>
      </c>
    </row>
    <row r="120" spans="1:31" x14ac:dyDescent="0.35">
      <c r="A120" t="s">
        <v>22</v>
      </c>
      <c r="B120" t="s">
        <v>73</v>
      </c>
      <c r="C120" t="s">
        <v>49</v>
      </c>
      <c r="D120" t="s">
        <v>24</v>
      </c>
      <c r="E120" t="s">
        <v>24</v>
      </c>
      <c r="F120" t="s">
        <v>27</v>
      </c>
      <c r="G120">
        <v>1958</v>
      </c>
      <c r="H120" t="s">
        <v>24</v>
      </c>
      <c r="I120" t="s">
        <v>24</v>
      </c>
      <c r="J120" t="s">
        <v>24</v>
      </c>
      <c r="K120" t="s">
        <v>24</v>
      </c>
      <c r="N120">
        <v>0.34848062447727901</v>
      </c>
      <c r="O120">
        <v>0.23965095449352999</v>
      </c>
      <c r="P120">
        <v>0.30769362262231897</v>
      </c>
      <c r="Q120">
        <v>0.266487744820811</v>
      </c>
      <c r="W120" s="5">
        <f t="shared" si="10"/>
        <v>0</v>
      </c>
      <c r="X120" s="5">
        <f t="shared" si="11"/>
        <v>0.33454139949818784</v>
      </c>
      <c r="Y120" s="5">
        <f t="shared" si="12"/>
        <v>0.23006491631378878</v>
      </c>
      <c r="Z120" s="5">
        <f t="shared" si="13"/>
        <v>0.29538587771742619</v>
      </c>
      <c r="AA120" s="5">
        <f t="shared" si="14"/>
        <v>0.25582823502797858</v>
      </c>
      <c r="AB120" s="5">
        <f t="shared" si="15"/>
        <v>0</v>
      </c>
      <c r="AC120" s="5">
        <f t="shared" si="16"/>
        <v>0</v>
      </c>
      <c r="AD120" s="5">
        <f t="shared" si="17"/>
        <v>0</v>
      </c>
      <c r="AE120" s="5">
        <f t="shared" si="18"/>
        <v>0</v>
      </c>
    </row>
    <row r="121" spans="1:31" x14ac:dyDescent="0.35">
      <c r="A121" t="s">
        <v>22</v>
      </c>
      <c r="B121" t="s">
        <v>73</v>
      </c>
      <c r="C121" t="s">
        <v>49</v>
      </c>
      <c r="D121" t="s">
        <v>24</v>
      </c>
      <c r="E121" t="s">
        <v>24</v>
      </c>
      <c r="F121" t="s">
        <v>27</v>
      </c>
      <c r="G121">
        <v>1959</v>
      </c>
      <c r="H121" t="s">
        <v>24</v>
      </c>
      <c r="I121" t="s">
        <v>24</v>
      </c>
      <c r="J121" t="s">
        <v>24</v>
      </c>
      <c r="K121" t="s">
        <v>24</v>
      </c>
      <c r="O121">
        <v>0.24228360372632199</v>
      </c>
      <c r="Q121">
        <v>0.30634009111064903</v>
      </c>
      <c r="R121">
        <v>0.33030298622833698</v>
      </c>
      <c r="W121" s="5">
        <f t="shared" si="10"/>
        <v>0</v>
      </c>
      <c r="X121" s="5">
        <f t="shared" si="11"/>
        <v>0</v>
      </c>
      <c r="Y121" s="5">
        <f t="shared" si="12"/>
        <v>0.23259225957726909</v>
      </c>
      <c r="Z121" s="5">
        <f t="shared" si="13"/>
        <v>0</v>
      </c>
      <c r="AA121" s="5">
        <f t="shared" si="14"/>
        <v>0.29408648746622307</v>
      </c>
      <c r="AB121" s="5">
        <f t="shared" si="15"/>
        <v>0.31709086677920351</v>
      </c>
      <c r="AC121" s="5">
        <f t="shared" si="16"/>
        <v>0</v>
      </c>
      <c r="AD121" s="5">
        <f t="shared" si="17"/>
        <v>0</v>
      </c>
      <c r="AE121" s="5">
        <f t="shared" si="18"/>
        <v>0</v>
      </c>
    </row>
    <row r="122" spans="1:31" x14ac:dyDescent="0.35">
      <c r="A122" t="s">
        <v>22</v>
      </c>
      <c r="B122" t="s">
        <v>73</v>
      </c>
      <c r="C122" t="s">
        <v>49</v>
      </c>
      <c r="D122" t="s">
        <v>24</v>
      </c>
      <c r="E122" t="s">
        <v>24</v>
      </c>
      <c r="F122" t="s">
        <v>27</v>
      </c>
      <c r="G122">
        <v>1960</v>
      </c>
      <c r="H122" t="s">
        <v>24</v>
      </c>
      <c r="I122" t="s">
        <v>24</v>
      </c>
      <c r="J122" t="s">
        <v>24</v>
      </c>
      <c r="K122" t="s">
        <v>24</v>
      </c>
      <c r="O122">
        <v>0.31052163753585599</v>
      </c>
      <c r="P122">
        <v>0.29187599648289397</v>
      </c>
      <c r="R122">
        <v>0.30027475139752902</v>
      </c>
      <c r="W122" s="5">
        <f t="shared" si="10"/>
        <v>0</v>
      </c>
      <c r="X122" s="5">
        <f t="shared" si="11"/>
        <v>0</v>
      </c>
      <c r="Y122" s="5">
        <f t="shared" si="12"/>
        <v>0.29810077203442176</v>
      </c>
      <c r="Z122" s="5">
        <f t="shared" si="13"/>
        <v>0.28020095662357819</v>
      </c>
      <c r="AA122" s="5">
        <f t="shared" si="14"/>
        <v>0</v>
      </c>
      <c r="AB122" s="5">
        <f t="shared" si="15"/>
        <v>0.28826376134162784</v>
      </c>
      <c r="AC122" s="5">
        <f t="shared" si="16"/>
        <v>0</v>
      </c>
      <c r="AD122" s="5">
        <f t="shared" si="17"/>
        <v>0</v>
      </c>
      <c r="AE122" s="5">
        <f t="shared" si="18"/>
        <v>0</v>
      </c>
    </row>
    <row r="123" spans="1:31" x14ac:dyDescent="0.35">
      <c r="A123" t="s">
        <v>22</v>
      </c>
      <c r="B123" t="s">
        <v>73</v>
      </c>
      <c r="C123" t="s">
        <v>49</v>
      </c>
      <c r="D123" t="s">
        <v>24</v>
      </c>
      <c r="E123" t="s">
        <v>24</v>
      </c>
      <c r="F123" t="s">
        <v>27</v>
      </c>
      <c r="G123">
        <v>1961</v>
      </c>
      <c r="H123" t="s">
        <v>24</v>
      </c>
      <c r="I123" t="s">
        <v>24</v>
      </c>
      <c r="J123" t="s">
        <v>24</v>
      </c>
      <c r="K123" t="s">
        <v>24</v>
      </c>
      <c r="O123">
        <v>0.33030298622833698</v>
      </c>
      <c r="Q123">
        <v>0.32849325890771103</v>
      </c>
      <c r="W123" s="5">
        <f t="shared" si="10"/>
        <v>0</v>
      </c>
      <c r="X123" s="5">
        <f t="shared" si="11"/>
        <v>0</v>
      </c>
      <c r="Y123" s="5">
        <f t="shared" si="12"/>
        <v>0.31709086677920351</v>
      </c>
      <c r="Z123" s="5">
        <f t="shared" si="13"/>
        <v>0</v>
      </c>
      <c r="AA123" s="5">
        <f t="shared" si="14"/>
        <v>0.31535352855140258</v>
      </c>
      <c r="AB123" s="5">
        <f t="shared" si="15"/>
        <v>0</v>
      </c>
      <c r="AC123" s="5">
        <f t="shared" si="16"/>
        <v>0</v>
      </c>
      <c r="AD123" s="5">
        <f t="shared" si="17"/>
        <v>0</v>
      </c>
      <c r="AE123" s="5">
        <f t="shared" si="18"/>
        <v>0</v>
      </c>
    </row>
    <row r="124" spans="1:31" x14ac:dyDescent="0.35">
      <c r="A124" t="s">
        <v>22</v>
      </c>
      <c r="B124" t="s">
        <v>73</v>
      </c>
      <c r="C124" t="s">
        <v>49</v>
      </c>
      <c r="D124" t="s">
        <v>24</v>
      </c>
      <c r="E124" t="s">
        <v>24</v>
      </c>
      <c r="F124" t="s">
        <v>27</v>
      </c>
      <c r="G124">
        <v>1962</v>
      </c>
      <c r="H124" t="s">
        <v>24</v>
      </c>
      <c r="I124" t="s">
        <v>24</v>
      </c>
      <c r="J124" t="s">
        <v>24</v>
      </c>
      <c r="K124" t="s">
        <v>24</v>
      </c>
      <c r="O124">
        <v>0.27298578199052098</v>
      </c>
      <c r="P124">
        <v>0.29165147648560003</v>
      </c>
      <c r="W124" s="5">
        <f t="shared" si="10"/>
        <v>0</v>
      </c>
      <c r="X124" s="5">
        <f t="shared" si="11"/>
        <v>0</v>
      </c>
      <c r="Y124" s="5">
        <f t="shared" si="12"/>
        <v>0.26206635071090012</v>
      </c>
      <c r="Z124" s="5">
        <f t="shared" si="13"/>
        <v>0.279985417426176</v>
      </c>
      <c r="AA124" s="5">
        <f t="shared" si="14"/>
        <v>0</v>
      </c>
      <c r="AB124" s="5">
        <f t="shared" si="15"/>
        <v>0</v>
      </c>
      <c r="AC124" s="5">
        <f t="shared" si="16"/>
        <v>0</v>
      </c>
      <c r="AD124" s="5">
        <f t="shared" si="17"/>
        <v>0</v>
      </c>
      <c r="AE124" s="5">
        <f t="shared" si="18"/>
        <v>0</v>
      </c>
    </row>
    <row r="125" spans="1:31" x14ac:dyDescent="0.35">
      <c r="A125" t="s">
        <v>22</v>
      </c>
      <c r="B125" t="s">
        <v>73</v>
      </c>
      <c r="C125" t="s">
        <v>49</v>
      </c>
      <c r="D125" t="s">
        <v>24</v>
      </c>
      <c r="E125" t="s">
        <v>24</v>
      </c>
      <c r="F125" t="s">
        <v>27</v>
      </c>
      <c r="G125">
        <v>1964</v>
      </c>
      <c r="H125" t="s">
        <v>24</v>
      </c>
      <c r="I125" t="s">
        <v>24</v>
      </c>
      <c r="J125" t="s">
        <v>24</v>
      </c>
      <c r="K125" t="s">
        <v>24</v>
      </c>
      <c r="O125">
        <v>0.253333820621302</v>
      </c>
      <c r="W125" s="5">
        <f t="shared" si="10"/>
        <v>0</v>
      </c>
      <c r="X125" s="5">
        <f t="shared" si="11"/>
        <v>0</v>
      </c>
      <c r="Y125" s="5">
        <f t="shared" si="12"/>
        <v>0.24320046779644991</v>
      </c>
      <c r="Z125" s="5">
        <f t="shared" si="13"/>
        <v>0</v>
      </c>
      <c r="AA125" s="5">
        <f t="shared" si="14"/>
        <v>0</v>
      </c>
      <c r="AB125" s="5">
        <f t="shared" si="15"/>
        <v>0</v>
      </c>
      <c r="AC125" s="5">
        <f t="shared" si="16"/>
        <v>0</v>
      </c>
      <c r="AD125" s="5">
        <f t="shared" si="17"/>
        <v>0</v>
      </c>
      <c r="AE125" s="5">
        <f t="shared" si="18"/>
        <v>0</v>
      </c>
    </row>
    <row r="126" spans="1:31" x14ac:dyDescent="0.35">
      <c r="A126" t="s">
        <v>22</v>
      </c>
      <c r="B126" t="s">
        <v>73</v>
      </c>
      <c r="C126" t="s">
        <v>49</v>
      </c>
      <c r="D126" t="s">
        <v>24</v>
      </c>
      <c r="E126" t="s">
        <v>24</v>
      </c>
      <c r="F126" t="s">
        <v>27</v>
      </c>
      <c r="G126">
        <v>1966</v>
      </c>
      <c r="H126" t="s">
        <v>24</v>
      </c>
      <c r="I126" t="s">
        <v>24</v>
      </c>
      <c r="J126" t="s">
        <v>24</v>
      </c>
      <c r="K126" t="s">
        <v>24</v>
      </c>
      <c r="O126">
        <v>0.28436018957345999</v>
      </c>
      <c r="Q126">
        <v>0.32085775974438302</v>
      </c>
      <c r="W126" s="5">
        <f t="shared" si="10"/>
        <v>0</v>
      </c>
      <c r="X126" s="5">
        <f t="shared" si="11"/>
        <v>0</v>
      </c>
      <c r="Y126" s="5">
        <f t="shared" si="12"/>
        <v>0.27298578199052159</v>
      </c>
      <c r="Z126" s="5">
        <f t="shared" si="13"/>
        <v>0</v>
      </c>
      <c r="AA126" s="5">
        <f t="shared" si="14"/>
        <v>0.30802344935460768</v>
      </c>
      <c r="AB126" s="5">
        <f t="shared" si="15"/>
        <v>0</v>
      </c>
      <c r="AC126" s="5">
        <f t="shared" si="16"/>
        <v>0</v>
      </c>
      <c r="AD126" s="5">
        <f t="shared" si="17"/>
        <v>0</v>
      </c>
      <c r="AE126" s="5">
        <f t="shared" si="18"/>
        <v>0</v>
      </c>
    </row>
    <row r="127" spans="1:31" x14ac:dyDescent="0.35">
      <c r="A127" t="s">
        <v>22</v>
      </c>
      <c r="B127" t="s">
        <v>73</v>
      </c>
      <c r="C127" t="s">
        <v>49</v>
      </c>
      <c r="D127" t="s">
        <v>24</v>
      </c>
      <c r="E127" t="s">
        <v>24</v>
      </c>
      <c r="F127" t="s">
        <v>27</v>
      </c>
      <c r="G127">
        <v>1967</v>
      </c>
      <c r="H127" t="s">
        <v>24</v>
      </c>
      <c r="I127" t="s">
        <v>24</v>
      </c>
      <c r="J127" t="s">
        <v>24</v>
      </c>
      <c r="K127" t="s">
        <v>24</v>
      </c>
      <c r="O127">
        <v>0.28727853794684999</v>
      </c>
      <c r="P127">
        <v>0.30432411871194498</v>
      </c>
      <c r="W127" s="5">
        <f t="shared" si="10"/>
        <v>0</v>
      </c>
      <c r="X127" s="5">
        <f t="shared" si="11"/>
        <v>0</v>
      </c>
      <c r="Y127" s="5">
        <f t="shared" si="12"/>
        <v>0.27578739642897598</v>
      </c>
      <c r="Z127" s="5">
        <f t="shared" si="13"/>
        <v>0.29215115396346719</v>
      </c>
      <c r="AA127" s="5">
        <f t="shared" si="14"/>
        <v>0</v>
      </c>
      <c r="AB127" s="5">
        <f t="shared" si="15"/>
        <v>0</v>
      </c>
      <c r="AC127" s="5">
        <f t="shared" si="16"/>
        <v>0</v>
      </c>
      <c r="AD127" s="5">
        <f t="shared" si="17"/>
        <v>0</v>
      </c>
      <c r="AE127" s="5">
        <f t="shared" si="18"/>
        <v>0</v>
      </c>
    </row>
    <row r="128" spans="1:31" x14ac:dyDescent="0.35">
      <c r="A128" t="s">
        <v>22</v>
      </c>
      <c r="B128" t="s">
        <v>73</v>
      </c>
      <c r="C128" t="s">
        <v>49</v>
      </c>
      <c r="D128" t="s">
        <v>24</v>
      </c>
      <c r="E128" t="s">
        <v>24</v>
      </c>
      <c r="F128" t="s">
        <v>27</v>
      </c>
      <c r="G128">
        <v>1968</v>
      </c>
      <c r="H128" t="s">
        <v>24</v>
      </c>
      <c r="I128" t="s">
        <v>24</v>
      </c>
      <c r="J128" t="s">
        <v>24</v>
      </c>
      <c r="K128" t="s">
        <v>24</v>
      </c>
      <c r="O128">
        <v>0.27098239967254401</v>
      </c>
      <c r="R128">
        <v>0.26315433599764898</v>
      </c>
      <c r="W128" s="5">
        <f t="shared" si="10"/>
        <v>0</v>
      </c>
      <c r="X128" s="5">
        <f t="shared" si="11"/>
        <v>0</v>
      </c>
      <c r="Y128" s="5">
        <f t="shared" si="12"/>
        <v>0.26014310368564225</v>
      </c>
      <c r="Z128" s="5">
        <f t="shared" si="13"/>
        <v>0</v>
      </c>
      <c r="AA128" s="5">
        <f t="shared" si="14"/>
        <v>0</v>
      </c>
      <c r="AB128" s="5">
        <f t="shared" si="15"/>
        <v>0.25262816255774301</v>
      </c>
      <c r="AC128" s="5">
        <f t="shared" si="16"/>
        <v>0</v>
      </c>
      <c r="AD128" s="5">
        <f t="shared" si="17"/>
        <v>0</v>
      </c>
      <c r="AE128" s="5">
        <f t="shared" si="18"/>
        <v>0</v>
      </c>
    </row>
    <row r="129" spans="1:31" x14ac:dyDescent="0.35">
      <c r="A129" t="s">
        <v>22</v>
      </c>
      <c r="B129" t="s">
        <v>73</v>
      </c>
      <c r="C129" t="s">
        <v>49</v>
      </c>
      <c r="D129" t="s">
        <v>24</v>
      </c>
      <c r="E129" t="s">
        <v>24</v>
      </c>
      <c r="F129" t="s">
        <v>27</v>
      </c>
      <c r="G129">
        <v>1969</v>
      </c>
      <c r="H129" t="s">
        <v>24</v>
      </c>
      <c r="I129" t="s">
        <v>24</v>
      </c>
      <c r="J129" t="s">
        <v>24</v>
      </c>
      <c r="K129" t="s">
        <v>24</v>
      </c>
      <c r="O129">
        <v>0.25447351917744898</v>
      </c>
      <c r="P129">
        <v>0.29597729854120203</v>
      </c>
      <c r="R129">
        <v>0.28325079064344</v>
      </c>
      <c r="W129" s="5">
        <f t="shared" si="10"/>
        <v>0</v>
      </c>
      <c r="X129" s="5">
        <f t="shared" si="11"/>
        <v>0</v>
      </c>
      <c r="Y129" s="5">
        <f t="shared" si="12"/>
        <v>0.24429457841035102</v>
      </c>
      <c r="Z129" s="5">
        <f t="shared" si="13"/>
        <v>0.28413820659955391</v>
      </c>
      <c r="AA129" s="5">
        <f t="shared" si="14"/>
        <v>0</v>
      </c>
      <c r="AB129" s="5">
        <f t="shared" si="15"/>
        <v>0.27192075901770241</v>
      </c>
      <c r="AC129" s="5">
        <f t="shared" si="16"/>
        <v>0</v>
      </c>
      <c r="AD129" s="5">
        <f t="shared" si="17"/>
        <v>0</v>
      </c>
      <c r="AE129" s="5">
        <f t="shared" si="18"/>
        <v>0</v>
      </c>
    </row>
    <row r="130" spans="1:31" x14ac:dyDescent="0.35">
      <c r="A130" t="s">
        <v>22</v>
      </c>
      <c r="B130" t="s">
        <v>73</v>
      </c>
      <c r="C130" t="s">
        <v>49</v>
      </c>
      <c r="D130" t="s">
        <v>24</v>
      </c>
      <c r="E130" t="s">
        <v>24</v>
      </c>
      <c r="F130" t="s">
        <v>27</v>
      </c>
      <c r="G130">
        <v>1972</v>
      </c>
      <c r="H130" t="s">
        <v>24</v>
      </c>
      <c r="I130" t="s">
        <v>24</v>
      </c>
      <c r="J130" t="s">
        <v>24</v>
      </c>
      <c r="K130" t="s">
        <v>24</v>
      </c>
      <c r="O130">
        <v>0.264002555866997</v>
      </c>
      <c r="W130" s="5">
        <f t="shared" si="10"/>
        <v>0</v>
      </c>
      <c r="X130" s="5">
        <f t="shared" si="11"/>
        <v>0</v>
      </c>
      <c r="Y130" s="5">
        <f t="shared" si="12"/>
        <v>0.2534424536323171</v>
      </c>
      <c r="Z130" s="5">
        <f t="shared" si="13"/>
        <v>0</v>
      </c>
      <c r="AA130" s="5">
        <f t="shared" si="14"/>
        <v>0</v>
      </c>
      <c r="AB130" s="5">
        <f t="shared" si="15"/>
        <v>0</v>
      </c>
      <c r="AC130" s="5">
        <f t="shared" si="16"/>
        <v>0</v>
      </c>
      <c r="AD130" s="5">
        <f t="shared" si="17"/>
        <v>0</v>
      </c>
      <c r="AE130" s="5">
        <f t="shared" si="18"/>
        <v>0</v>
      </c>
    </row>
    <row r="131" spans="1:31" x14ac:dyDescent="0.35">
      <c r="A131" t="s">
        <v>22</v>
      </c>
      <c r="B131" t="s">
        <v>73</v>
      </c>
      <c r="C131" t="s">
        <v>49</v>
      </c>
      <c r="D131" t="s">
        <v>24</v>
      </c>
      <c r="E131" t="s">
        <v>24</v>
      </c>
      <c r="F131" t="s">
        <v>27</v>
      </c>
      <c r="G131">
        <v>1974</v>
      </c>
      <c r="H131" t="s">
        <v>24</v>
      </c>
      <c r="I131" t="s">
        <v>24</v>
      </c>
      <c r="J131" t="s">
        <v>24</v>
      </c>
      <c r="K131" t="s">
        <v>24</v>
      </c>
      <c r="O131">
        <v>0.28697409692028802</v>
      </c>
      <c r="W131" s="5">
        <f t="shared" si="10"/>
        <v>0</v>
      </c>
      <c r="X131" s="5">
        <f t="shared" si="11"/>
        <v>0</v>
      </c>
      <c r="Y131" s="5">
        <f t="shared" si="12"/>
        <v>0.2754951330434765</v>
      </c>
      <c r="Z131" s="5">
        <f t="shared" si="13"/>
        <v>0</v>
      </c>
      <c r="AA131" s="5">
        <f t="shared" si="14"/>
        <v>0</v>
      </c>
      <c r="AB131" s="5">
        <f t="shared" si="15"/>
        <v>0</v>
      </c>
      <c r="AC131" s="5">
        <f t="shared" si="16"/>
        <v>0</v>
      </c>
      <c r="AD131" s="5">
        <f t="shared" si="17"/>
        <v>0</v>
      </c>
      <c r="AE131" s="5">
        <f t="shared" si="18"/>
        <v>0</v>
      </c>
    </row>
    <row r="132" spans="1:31" x14ac:dyDescent="0.35">
      <c r="A132" t="s">
        <v>22</v>
      </c>
      <c r="B132" t="s">
        <v>73</v>
      </c>
      <c r="C132" t="s">
        <v>49</v>
      </c>
      <c r="D132" t="s">
        <v>24</v>
      </c>
      <c r="E132" t="s">
        <v>24</v>
      </c>
      <c r="F132" t="s">
        <v>27</v>
      </c>
      <c r="G132">
        <v>1975</v>
      </c>
      <c r="H132" t="s">
        <v>24</v>
      </c>
      <c r="I132" t="s">
        <v>24</v>
      </c>
      <c r="J132" t="s">
        <v>24</v>
      </c>
      <c r="K132" t="s">
        <v>24</v>
      </c>
      <c r="O132">
        <v>0.30374953488352502</v>
      </c>
      <c r="W132" s="5">
        <f t="shared" si="10"/>
        <v>0</v>
      </c>
      <c r="X132" s="5">
        <f t="shared" si="11"/>
        <v>0</v>
      </c>
      <c r="Y132" s="5">
        <f t="shared" si="12"/>
        <v>0.291599553488184</v>
      </c>
      <c r="Z132" s="5">
        <f t="shared" si="13"/>
        <v>0</v>
      </c>
      <c r="AA132" s="5">
        <f t="shared" si="14"/>
        <v>0</v>
      </c>
      <c r="AB132" s="5">
        <f t="shared" si="15"/>
        <v>0</v>
      </c>
      <c r="AC132" s="5">
        <f t="shared" si="16"/>
        <v>0</v>
      </c>
      <c r="AD132" s="5">
        <f t="shared" si="17"/>
        <v>0</v>
      </c>
      <c r="AE132" s="5">
        <f t="shared" si="18"/>
        <v>0</v>
      </c>
    </row>
    <row r="133" spans="1:31" x14ac:dyDescent="0.35">
      <c r="A133" t="s">
        <v>22</v>
      </c>
      <c r="B133" t="s">
        <v>73</v>
      </c>
      <c r="C133" t="s">
        <v>49</v>
      </c>
      <c r="D133" t="s">
        <v>24</v>
      </c>
      <c r="E133" t="s">
        <v>24</v>
      </c>
      <c r="F133" t="s">
        <v>27</v>
      </c>
      <c r="G133">
        <v>1983</v>
      </c>
      <c r="H133" t="s">
        <v>24</v>
      </c>
      <c r="I133" t="s">
        <v>24</v>
      </c>
      <c r="J133" t="s">
        <v>24</v>
      </c>
      <c r="K133" t="s">
        <v>24</v>
      </c>
      <c r="O133">
        <v>0.32179576337999999</v>
      </c>
      <c r="W133" s="5">
        <f t="shared" si="10"/>
        <v>0</v>
      </c>
      <c r="X133" s="5">
        <f t="shared" si="11"/>
        <v>0</v>
      </c>
      <c r="Y133" s="5">
        <f t="shared" si="12"/>
        <v>0.30892393284479996</v>
      </c>
      <c r="Z133" s="5">
        <f t="shared" si="13"/>
        <v>0</v>
      </c>
      <c r="AA133" s="5">
        <f t="shared" si="14"/>
        <v>0</v>
      </c>
      <c r="AB133" s="5">
        <f t="shared" si="15"/>
        <v>0</v>
      </c>
      <c r="AC133" s="5">
        <f t="shared" si="16"/>
        <v>0</v>
      </c>
      <c r="AD133" s="5">
        <f t="shared" si="17"/>
        <v>0</v>
      </c>
      <c r="AE133" s="5">
        <f t="shared" si="18"/>
        <v>0</v>
      </c>
    </row>
    <row r="134" spans="1:31" x14ac:dyDescent="0.35">
      <c r="A134" t="s">
        <v>22</v>
      </c>
      <c r="B134" t="s">
        <v>73</v>
      </c>
      <c r="C134" t="s">
        <v>49</v>
      </c>
      <c r="D134" t="s">
        <v>24</v>
      </c>
      <c r="E134" t="s">
        <v>24</v>
      </c>
      <c r="F134" t="s">
        <v>27</v>
      </c>
      <c r="G134">
        <v>1989</v>
      </c>
      <c r="H134" t="s">
        <v>24</v>
      </c>
      <c r="I134" t="s">
        <v>24</v>
      </c>
      <c r="J134" t="s">
        <v>24</v>
      </c>
      <c r="K134" t="s">
        <v>24</v>
      </c>
      <c r="N134">
        <v>0.31892083759461198</v>
      </c>
      <c r="W134" s="5">
        <f t="shared" si="10"/>
        <v>0</v>
      </c>
      <c r="X134" s="5">
        <f t="shared" si="11"/>
        <v>0.3061640040908275</v>
      </c>
      <c r="Y134" s="5">
        <f t="shared" si="12"/>
        <v>0</v>
      </c>
      <c r="Z134" s="5">
        <f t="shared" si="13"/>
        <v>0</v>
      </c>
      <c r="AA134" s="5">
        <f t="shared" si="14"/>
        <v>0</v>
      </c>
      <c r="AB134" s="5">
        <f t="shared" si="15"/>
        <v>0</v>
      </c>
      <c r="AC134" s="5">
        <f t="shared" si="16"/>
        <v>0</v>
      </c>
      <c r="AD134" s="5">
        <f t="shared" si="17"/>
        <v>0</v>
      </c>
      <c r="AE134" s="5">
        <f t="shared" si="18"/>
        <v>0</v>
      </c>
    </row>
    <row r="135" spans="1:31" x14ac:dyDescent="0.35">
      <c r="A135" t="s">
        <v>22</v>
      </c>
      <c r="B135" t="s">
        <v>73</v>
      </c>
      <c r="C135" t="s">
        <v>49</v>
      </c>
      <c r="D135" t="s">
        <v>24</v>
      </c>
      <c r="E135" t="s">
        <v>24</v>
      </c>
      <c r="F135" t="s">
        <v>27</v>
      </c>
      <c r="G135">
        <v>1990</v>
      </c>
      <c r="H135" t="s">
        <v>24</v>
      </c>
      <c r="I135" t="s">
        <v>24</v>
      </c>
      <c r="J135" t="s">
        <v>24</v>
      </c>
      <c r="K135" t="s">
        <v>24</v>
      </c>
      <c r="M135">
        <v>0.332846406421208</v>
      </c>
      <c r="O135">
        <v>0.31906491309283103</v>
      </c>
      <c r="T135">
        <v>0.295772061617536</v>
      </c>
      <c r="W135" s="5">
        <f t="shared" si="10"/>
        <v>0.31953255016435966</v>
      </c>
      <c r="X135" s="5">
        <f t="shared" si="11"/>
        <v>0</v>
      </c>
      <c r="Y135" s="5">
        <f t="shared" si="12"/>
        <v>0.30630231656911777</v>
      </c>
      <c r="Z135" s="5">
        <f t="shared" si="13"/>
        <v>0</v>
      </c>
      <c r="AA135" s="5">
        <f t="shared" si="14"/>
        <v>0</v>
      </c>
      <c r="AB135" s="5">
        <f t="shared" si="15"/>
        <v>0</v>
      </c>
      <c r="AC135" s="5">
        <f t="shared" si="16"/>
        <v>0</v>
      </c>
      <c r="AD135" s="5">
        <f t="shared" si="17"/>
        <v>0.28394117915283457</v>
      </c>
      <c r="AE135" s="5">
        <f t="shared" si="18"/>
        <v>0</v>
      </c>
    </row>
    <row r="136" spans="1:31" x14ac:dyDescent="0.35">
      <c r="A136" t="s">
        <v>22</v>
      </c>
      <c r="B136" t="s">
        <v>73</v>
      </c>
      <c r="C136" t="s">
        <v>49</v>
      </c>
      <c r="D136" t="s">
        <v>24</v>
      </c>
      <c r="E136" t="s">
        <v>24</v>
      </c>
      <c r="F136" t="s">
        <v>27</v>
      </c>
      <c r="G136">
        <v>1991</v>
      </c>
      <c r="H136" t="s">
        <v>24</v>
      </c>
      <c r="I136" t="s">
        <v>24</v>
      </c>
      <c r="J136" t="s">
        <v>24</v>
      </c>
      <c r="K136" t="s">
        <v>24</v>
      </c>
      <c r="Q136">
        <v>0.31553380794418601</v>
      </c>
      <c r="W136" s="5">
        <f t="shared" si="10"/>
        <v>0</v>
      </c>
      <c r="X136" s="5">
        <f t="shared" si="11"/>
        <v>0</v>
      </c>
      <c r="Y136" s="5">
        <f t="shared" si="12"/>
        <v>0</v>
      </c>
      <c r="Z136" s="5">
        <f t="shared" si="13"/>
        <v>0</v>
      </c>
      <c r="AA136" s="5">
        <f t="shared" si="14"/>
        <v>0.30291245562641855</v>
      </c>
      <c r="AB136" s="5">
        <f t="shared" si="15"/>
        <v>0</v>
      </c>
      <c r="AC136" s="5">
        <f t="shared" si="16"/>
        <v>0</v>
      </c>
      <c r="AD136" s="5">
        <f t="shared" si="17"/>
        <v>0</v>
      </c>
      <c r="AE136" s="5">
        <f t="shared" si="18"/>
        <v>0</v>
      </c>
    </row>
    <row r="137" spans="1:31" x14ac:dyDescent="0.35">
      <c r="A137" t="s">
        <v>22</v>
      </c>
      <c r="B137" t="s">
        <v>73</v>
      </c>
      <c r="C137" t="s">
        <v>49</v>
      </c>
      <c r="D137" t="s">
        <v>24</v>
      </c>
      <c r="E137" t="s">
        <v>24</v>
      </c>
      <c r="F137" t="s">
        <v>27</v>
      </c>
      <c r="G137">
        <v>1992</v>
      </c>
      <c r="H137" t="s">
        <v>24</v>
      </c>
      <c r="I137" t="s">
        <v>24</v>
      </c>
      <c r="J137" t="s">
        <v>24</v>
      </c>
      <c r="K137" t="s">
        <v>24</v>
      </c>
      <c r="N137">
        <v>0.28932696921159201</v>
      </c>
      <c r="W137" s="5">
        <f t="shared" si="10"/>
        <v>0</v>
      </c>
      <c r="X137" s="5">
        <f t="shared" si="11"/>
        <v>0.27775389044312832</v>
      </c>
      <c r="Y137" s="5">
        <f t="shared" si="12"/>
        <v>0</v>
      </c>
      <c r="Z137" s="5">
        <f t="shared" si="13"/>
        <v>0</v>
      </c>
      <c r="AA137" s="5">
        <f t="shared" si="14"/>
        <v>0</v>
      </c>
      <c r="AB137" s="5">
        <f t="shared" si="15"/>
        <v>0</v>
      </c>
      <c r="AC137" s="5">
        <f t="shared" si="16"/>
        <v>0</v>
      </c>
      <c r="AD137" s="5">
        <f t="shared" si="17"/>
        <v>0</v>
      </c>
      <c r="AE137" s="5">
        <f t="shared" si="18"/>
        <v>0</v>
      </c>
    </row>
    <row r="138" spans="1:31" x14ac:dyDescent="0.35">
      <c r="A138" t="s">
        <v>22</v>
      </c>
      <c r="B138" t="s">
        <v>73</v>
      </c>
      <c r="C138" t="s">
        <v>50</v>
      </c>
      <c r="D138" t="s">
        <v>24</v>
      </c>
      <c r="E138" t="s">
        <v>24</v>
      </c>
      <c r="F138" t="s">
        <v>27</v>
      </c>
      <c r="G138">
        <v>1943</v>
      </c>
      <c r="H138" t="s">
        <v>24</v>
      </c>
      <c r="I138" t="s">
        <v>24</v>
      </c>
      <c r="J138" t="s">
        <v>24</v>
      </c>
      <c r="K138" t="s">
        <v>24</v>
      </c>
      <c r="P138">
        <v>0.27281270219174503</v>
      </c>
      <c r="W138" s="5">
        <f t="shared" si="10"/>
        <v>0</v>
      </c>
      <c r="X138" s="5">
        <f t="shared" si="11"/>
        <v>0</v>
      </c>
      <c r="Y138" s="5">
        <f t="shared" si="12"/>
        <v>0</v>
      </c>
      <c r="Z138" s="5">
        <f t="shared" si="13"/>
        <v>0.26190019410407522</v>
      </c>
      <c r="AA138" s="5">
        <f t="shared" si="14"/>
        <v>0</v>
      </c>
      <c r="AB138" s="5">
        <f t="shared" si="15"/>
        <v>0</v>
      </c>
      <c r="AC138" s="5">
        <f t="shared" si="16"/>
        <v>0</v>
      </c>
      <c r="AD138" s="5">
        <f t="shared" si="17"/>
        <v>0</v>
      </c>
      <c r="AE138" s="5">
        <f t="shared" si="18"/>
        <v>0</v>
      </c>
    </row>
    <row r="139" spans="1:31" x14ac:dyDescent="0.35">
      <c r="A139" t="s">
        <v>22</v>
      </c>
      <c r="B139" t="s">
        <v>73</v>
      </c>
      <c r="C139" t="s">
        <v>50</v>
      </c>
      <c r="D139" t="s">
        <v>24</v>
      </c>
      <c r="E139" t="s">
        <v>24</v>
      </c>
      <c r="F139" t="s">
        <v>27</v>
      </c>
      <c r="G139">
        <v>1944</v>
      </c>
      <c r="H139" t="s">
        <v>24</v>
      </c>
      <c r="I139" t="s">
        <v>24</v>
      </c>
      <c r="J139" t="s">
        <v>24</v>
      </c>
      <c r="K139" t="s">
        <v>24</v>
      </c>
      <c r="T139">
        <v>0.27281270219174503</v>
      </c>
      <c r="W139" s="5">
        <f t="shared" si="10"/>
        <v>0</v>
      </c>
      <c r="X139" s="5">
        <f t="shared" si="11"/>
        <v>0</v>
      </c>
      <c r="Y139" s="5">
        <f t="shared" si="12"/>
        <v>0</v>
      </c>
      <c r="Z139" s="5">
        <f t="shared" si="13"/>
        <v>0</v>
      </c>
      <c r="AA139" s="5">
        <f t="shared" si="14"/>
        <v>0</v>
      </c>
      <c r="AB139" s="5">
        <f t="shared" si="15"/>
        <v>0</v>
      </c>
      <c r="AC139" s="5">
        <f t="shared" si="16"/>
        <v>0</v>
      </c>
      <c r="AD139" s="5">
        <f t="shared" si="17"/>
        <v>0.26190019410407522</v>
      </c>
      <c r="AE139" s="5">
        <f t="shared" si="18"/>
        <v>0</v>
      </c>
    </row>
    <row r="140" spans="1:31" x14ac:dyDescent="0.35">
      <c r="A140" t="s">
        <v>22</v>
      </c>
      <c r="B140" t="s">
        <v>73</v>
      </c>
      <c r="C140" t="s">
        <v>50</v>
      </c>
      <c r="D140" t="s">
        <v>24</v>
      </c>
      <c r="E140" t="s">
        <v>24</v>
      </c>
      <c r="F140" t="s">
        <v>27</v>
      </c>
      <c r="G140">
        <v>1945</v>
      </c>
      <c r="H140" t="s">
        <v>24</v>
      </c>
      <c r="I140" t="s">
        <v>24</v>
      </c>
      <c r="J140" t="s">
        <v>24</v>
      </c>
      <c r="K140" t="s">
        <v>24</v>
      </c>
      <c r="T140">
        <v>0.27281270219174503</v>
      </c>
      <c r="W140" s="5">
        <f t="shared" si="10"/>
        <v>0</v>
      </c>
      <c r="X140" s="5">
        <f t="shared" si="11"/>
        <v>0</v>
      </c>
      <c r="Y140" s="5">
        <f t="shared" si="12"/>
        <v>0</v>
      </c>
      <c r="Z140" s="5">
        <f t="shared" si="13"/>
        <v>0</v>
      </c>
      <c r="AA140" s="5">
        <f t="shared" si="14"/>
        <v>0</v>
      </c>
      <c r="AB140" s="5">
        <f t="shared" si="15"/>
        <v>0</v>
      </c>
      <c r="AC140" s="5">
        <f t="shared" si="16"/>
        <v>0</v>
      </c>
      <c r="AD140" s="5">
        <f t="shared" si="17"/>
        <v>0.26190019410407522</v>
      </c>
      <c r="AE140" s="5">
        <f t="shared" si="18"/>
        <v>0</v>
      </c>
    </row>
    <row r="141" spans="1:31" x14ac:dyDescent="0.35">
      <c r="A141" t="s">
        <v>22</v>
      </c>
      <c r="B141" t="s">
        <v>73</v>
      </c>
      <c r="C141" t="s">
        <v>50</v>
      </c>
      <c r="D141" t="s">
        <v>24</v>
      </c>
      <c r="E141" t="s">
        <v>24</v>
      </c>
      <c r="F141" t="s">
        <v>27</v>
      </c>
      <c r="G141">
        <v>1947</v>
      </c>
      <c r="H141" t="s">
        <v>24</v>
      </c>
      <c r="I141" t="s">
        <v>24</v>
      </c>
      <c r="J141" t="s">
        <v>24</v>
      </c>
      <c r="K141" t="s">
        <v>24</v>
      </c>
      <c r="N141">
        <v>0.27281270219174503</v>
      </c>
      <c r="W141" s="5">
        <f t="shared" si="10"/>
        <v>0</v>
      </c>
      <c r="X141" s="5">
        <f t="shared" si="11"/>
        <v>0.26190019410407522</v>
      </c>
      <c r="Y141" s="5">
        <f t="shared" si="12"/>
        <v>0</v>
      </c>
      <c r="Z141" s="5">
        <f t="shared" si="13"/>
        <v>0</v>
      </c>
      <c r="AA141" s="5">
        <f t="shared" si="14"/>
        <v>0</v>
      </c>
      <c r="AB141" s="5">
        <f t="shared" si="15"/>
        <v>0</v>
      </c>
      <c r="AC141" s="5">
        <f t="shared" si="16"/>
        <v>0</v>
      </c>
      <c r="AD141" s="5">
        <f t="shared" si="17"/>
        <v>0</v>
      </c>
      <c r="AE141" s="5">
        <f t="shared" si="18"/>
        <v>0</v>
      </c>
    </row>
    <row r="142" spans="1:31" x14ac:dyDescent="0.35">
      <c r="A142" t="s">
        <v>22</v>
      </c>
      <c r="B142" t="s">
        <v>73</v>
      </c>
      <c r="C142" t="s">
        <v>50</v>
      </c>
      <c r="D142" t="s">
        <v>24</v>
      </c>
      <c r="E142" t="s">
        <v>24</v>
      </c>
      <c r="F142" t="s">
        <v>27</v>
      </c>
      <c r="G142">
        <v>1949</v>
      </c>
      <c r="H142" t="s">
        <v>24</v>
      </c>
      <c r="I142" t="s">
        <v>24</v>
      </c>
      <c r="J142" t="s">
        <v>24</v>
      </c>
      <c r="K142" t="s">
        <v>24</v>
      </c>
      <c r="O142">
        <v>0.27825324805471902</v>
      </c>
      <c r="Q142">
        <v>0.28374540785643698</v>
      </c>
      <c r="W142" s="5">
        <f t="shared" si="10"/>
        <v>0</v>
      </c>
      <c r="X142" s="5">
        <f t="shared" si="11"/>
        <v>0</v>
      </c>
      <c r="Y142" s="5">
        <f t="shared" si="12"/>
        <v>0.26712311813253026</v>
      </c>
      <c r="Z142" s="5">
        <f t="shared" si="13"/>
        <v>0</v>
      </c>
      <c r="AA142" s="5">
        <f t="shared" si="14"/>
        <v>0.27239559154217952</v>
      </c>
      <c r="AB142" s="5">
        <f t="shared" si="15"/>
        <v>0</v>
      </c>
      <c r="AC142" s="5">
        <f t="shared" si="16"/>
        <v>0</v>
      </c>
      <c r="AD142" s="5">
        <f t="shared" si="17"/>
        <v>0</v>
      </c>
      <c r="AE142" s="5">
        <f t="shared" si="18"/>
        <v>0</v>
      </c>
    </row>
    <row r="143" spans="1:31" x14ac:dyDescent="0.35">
      <c r="A143" t="s">
        <v>22</v>
      </c>
      <c r="B143" t="s">
        <v>73</v>
      </c>
      <c r="C143" t="s">
        <v>50</v>
      </c>
      <c r="D143" t="s">
        <v>24</v>
      </c>
      <c r="E143" t="s">
        <v>24</v>
      </c>
      <c r="F143" t="s">
        <v>27</v>
      </c>
      <c r="G143">
        <v>1950</v>
      </c>
      <c r="H143" t="s">
        <v>24</v>
      </c>
      <c r="I143" t="s">
        <v>24</v>
      </c>
      <c r="J143" t="s">
        <v>24</v>
      </c>
      <c r="K143" t="s">
        <v>24</v>
      </c>
      <c r="Q143">
        <v>0.30081149575069499</v>
      </c>
      <c r="W143" s="5">
        <f t="shared" ref="W143:W206" si="19">M143*$W$2</f>
        <v>0</v>
      </c>
      <c r="X143" s="5">
        <f t="shared" ref="X143:X206" si="20">N143*$W$2</f>
        <v>0</v>
      </c>
      <c r="Y143" s="5">
        <f t="shared" ref="Y143:Y206" si="21">O143*$W$2</f>
        <v>0</v>
      </c>
      <c r="Z143" s="5">
        <f t="shared" ref="Z143:Z206" si="22">P143*$W$2</f>
        <v>0</v>
      </c>
      <c r="AA143" s="5">
        <f t="shared" ref="AA143:AA206" si="23">Q143*$W$2</f>
        <v>0.28877903592066717</v>
      </c>
      <c r="AB143" s="5">
        <f t="shared" ref="AB143:AB206" si="24">R143*$W$2</f>
        <v>0</v>
      </c>
      <c r="AC143" s="5">
        <f t="shared" ref="AC143:AC206" si="25">S143*$W$2</f>
        <v>0</v>
      </c>
      <c r="AD143" s="5">
        <f t="shared" ref="AD143:AD206" si="26">T143*$W$2</f>
        <v>0</v>
      </c>
      <c r="AE143" s="5">
        <f t="shared" ref="AE143:AE206" si="27">U143*$W$2</f>
        <v>0</v>
      </c>
    </row>
    <row r="144" spans="1:31" x14ac:dyDescent="0.35">
      <c r="A144" t="s">
        <v>22</v>
      </c>
      <c r="B144" t="s">
        <v>73</v>
      </c>
      <c r="C144" t="s">
        <v>50</v>
      </c>
      <c r="D144" t="s">
        <v>24</v>
      </c>
      <c r="E144" t="s">
        <v>24</v>
      </c>
      <c r="F144" t="s">
        <v>27</v>
      </c>
      <c r="G144">
        <v>1951</v>
      </c>
      <c r="H144" t="s">
        <v>24</v>
      </c>
      <c r="I144" t="s">
        <v>24</v>
      </c>
      <c r="J144" t="s">
        <v>24</v>
      </c>
      <c r="K144" t="s">
        <v>24</v>
      </c>
      <c r="N144">
        <v>0.33204148599463601</v>
      </c>
      <c r="Q144">
        <v>0.325820898967012</v>
      </c>
      <c r="S144">
        <v>0.33030298622833698</v>
      </c>
      <c r="W144" s="5">
        <f t="shared" si="19"/>
        <v>0</v>
      </c>
      <c r="X144" s="5">
        <f t="shared" si="20"/>
        <v>0.31875982655485058</v>
      </c>
      <c r="Y144" s="5">
        <f t="shared" si="21"/>
        <v>0</v>
      </c>
      <c r="Z144" s="5">
        <f t="shared" si="22"/>
        <v>0</v>
      </c>
      <c r="AA144" s="5">
        <f t="shared" si="23"/>
        <v>0.31278806300833151</v>
      </c>
      <c r="AB144" s="5">
        <f t="shared" si="24"/>
        <v>0</v>
      </c>
      <c r="AC144" s="5">
        <f t="shared" si="25"/>
        <v>0.31709086677920351</v>
      </c>
      <c r="AD144" s="5">
        <f t="shared" si="26"/>
        <v>0</v>
      </c>
      <c r="AE144" s="5">
        <f t="shared" si="27"/>
        <v>0</v>
      </c>
    </row>
    <row r="145" spans="1:31" x14ac:dyDescent="0.35">
      <c r="A145" t="s">
        <v>22</v>
      </c>
      <c r="B145" t="s">
        <v>73</v>
      </c>
      <c r="C145" t="s">
        <v>50</v>
      </c>
      <c r="D145" t="s">
        <v>24</v>
      </c>
      <c r="E145" t="s">
        <v>24</v>
      </c>
      <c r="F145" t="s">
        <v>27</v>
      </c>
      <c r="G145">
        <v>1952</v>
      </c>
      <c r="H145" t="s">
        <v>24</v>
      </c>
      <c r="I145" t="s">
        <v>24</v>
      </c>
      <c r="J145" t="s">
        <v>24</v>
      </c>
      <c r="K145" t="s">
        <v>24</v>
      </c>
      <c r="Q145">
        <v>0.31731315196901899</v>
      </c>
      <c r="W145" s="5">
        <f t="shared" si="19"/>
        <v>0</v>
      </c>
      <c r="X145" s="5">
        <f t="shared" si="20"/>
        <v>0</v>
      </c>
      <c r="Y145" s="5">
        <f t="shared" si="21"/>
        <v>0</v>
      </c>
      <c r="Z145" s="5">
        <f t="shared" si="22"/>
        <v>0</v>
      </c>
      <c r="AA145" s="5">
        <f t="shared" si="23"/>
        <v>0.30462062589025823</v>
      </c>
      <c r="AB145" s="5">
        <f t="shared" si="24"/>
        <v>0</v>
      </c>
      <c r="AC145" s="5">
        <f t="shared" si="25"/>
        <v>0</v>
      </c>
      <c r="AD145" s="5">
        <f t="shared" si="26"/>
        <v>0</v>
      </c>
      <c r="AE145" s="5">
        <f t="shared" si="27"/>
        <v>0</v>
      </c>
    </row>
    <row r="146" spans="1:31" x14ac:dyDescent="0.35">
      <c r="A146" t="s">
        <v>22</v>
      </c>
      <c r="B146" t="s">
        <v>73</v>
      </c>
      <c r="C146" t="s">
        <v>50</v>
      </c>
      <c r="D146" t="s">
        <v>24</v>
      </c>
      <c r="E146" t="s">
        <v>24</v>
      </c>
      <c r="F146" t="s">
        <v>27</v>
      </c>
      <c r="G146">
        <v>1953</v>
      </c>
      <c r="H146" t="s">
        <v>24</v>
      </c>
      <c r="I146" t="s">
        <v>24</v>
      </c>
      <c r="J146" t="s">
        <v>24</v>
      </c>
      <c r="K146" t="s">
        <v>24</v>
      </c>
      <c r="N146">
        <v>0.33271473039016403</v>
      </c>
      <c r="W146" s="5">
        <f t="shared" si="19"/>
        <v>0</v>
      </c>
      <c r="X146" s="5">
        <f t="shared" si="20"/>
        <v>0.31940614117455746</v>
      </c>
      <c r="Y146" s="5">
        <f t="shared" si="21"/>
        <v>0</v>
      </c>
      <c r="Z146" s="5">
        <f t="shared" si="22"/>
        <v>0</v>
      </c>
      <c r="AA146" s="5">
        <f t="shared" si="23"/>
        <v>0</v>
      </c>
      <c r="AB146" s="5">
        <f t="shared" si="24"/>
        <v>0</v>
      </c>
      <c r="AC146" s="5">
        <f t="shared" si="25"/>
        <v>0</v>
      </c>
      <c r="AD146" s="5">
        <f t="shared" si="26"/>
        <v>0</v>
      </c>
      <c r="AE146" s="5">
        <f t="shared" si="27"/>
        <v>0</v>
      </c>
    </row>
    <row r="147" spans="1:31" x14ac:dyDescent="0.35">
      <c r="A147" t="s">
        <v>22</v>
      </c>
      <c r="B147" t="s">
        <v>73</v>
      </c>
      <c r="C147" t="s">
        <v>50</v>
      </c>
      <c r="D147" t="s">
        <v>24</v>
      </c>
      <c r="E147" t="s">
        <v>24</v>
      </c>
      <c r="F147" t="s">
        <v>27</v>
      </c>
      <c r="G147">
        <v>1954</v>
      </c>
      <c r="H147" t="s">
        <v>24</v>
      </c>
      <c r="I147" t="s">
        <v>24</v>
      </c>
      <c r="J147" t="s">
        <v>24</v>
      </c>
      <c r="K147" t="s">
        <v>24</v>
      </c>
      <c r="P147">
        <v>0.269557016737619</v>
      </c>
      <c r="Q147">
        <v>0.28161444869864799</v>
      </c>
      <c r="T147">
        <v>0.28288940043237798</v>
      </c>
      <c r="W147" s="5">
        <f t="shared" si="19"/>
        <v>0</v>
      </c>
      <c r="X147" s="5">
        <f t="shared" si="20"/>
        <v>0</v>
      </c>
      <c r="Y147" s="5">
        <f t="shared" si="21"/>
        <v>0</v>
      </c>
      <c r="Z147" s="5">
        <f t="shared" si="22"/>
        <v>0.25877473606811424</v>
      </c>
      <c r="AA147" s="5">
        <f t="shared" si="23"/>
        <v>0.27034987075070205</v>
      </c>
      <c r="AB147" s="5">
        <f t="shared" si="24"/>
        <v>0</v>
      </c>
      <c r="AC147" s="5">
        <f t="shared" si="25"/>
        <v>0</v>
      </c>
      <c r="AD147" s="5">
        <f t="shared" si="26"/>
        <v>0.27157382441508288</v>
      </c>
      <c r="AE147" s="5">
        <f t="shared" si="27"/>
        <v>0</v>
      </c>
    </row>
    <row r="148" spans="1:31" x14ac:dyDescent="0.35">
      <c r="A148" t="s">
        <v>22</v>
      </c>
      <c r="B148" t="s">
        <v>73</v>
      </c>
      <c r="C148" t="s">
        <v>50</v>
      </c>
      <c r="D148" t="s">
        <v>24</v>
      </c>
      <c r="E148" t="s">
        <v>24</v>
      </c>
      <c r="F148" t="s">
        <v>27</v>
      </c>
      <c r="G148">
        <v>1955</v>
      </c>
      <c r="H148" t="s">
        <v>24</v>
      </c>
      <c r="I148" t="s">
        <v>24</v>
      </c>
      <c r="J148" t="s">
        <v>24</v>
      </c>
      <c r="K148" t="s">
        <v>24</v>
      </c>
      <c r="O148">
        <v>0.31404932019158699</v>
      </c>
      <c r="T148">
        <v>0.260482616403169</v>
      </c>
      <c r="W148" s="5">
        <f t="shared" si="19"/>
        <v>0</v>
      </c>
      <c r="X148" s="5">
        <f t="shared" si="20"/>
        <v>0</v>
      </c>
      <c r="Y148" s="5">
        <f t="shared" si="21"/>
        <v>0.30148734738392352</v>
      </c>
      <c r="Z148" s="5">
        <f t="shared" si="22"/>
        <v>0</v>
      </c>
      <c r="AA148" s="5">
        <f t="shared" si="23"/>
        <v>0</v>
      </c>
      <c r="AB148" s="5">
        <f t="shared" si="24"/>
        <v>0</v>
      </c>
      <c r="AC148" s="5">
        <f t="shared" si="25"/>
        <v>0</v>
      </c>
      <c r="AD148" s="5">
        <f t="shared" si="26"/>
        <v>0.25006331174704222</v>
      </c>
      <c r="AE148" s="5">
        <f t="shared" si="27"/>
        <v>0</v>
      </c>
    </row>
    <row r="149" spans="1:31" x14ac:dyDescent="0.35">
      <c r="A149" t="s">
        <v>22</v>
      </c>
      <c r="B149" t="s">
        <v>73</v>
      </c>
      <c r="C149" t="s">
        <v>50</v>
      </c>
      <c r="D149" t="s">
        <v>24</v>
      </c>
      <c r="E149" t="s">
        <v>24</v>
      </c>
      <c r="F149" t="s">
        <v>27</v>
      </c>
      <c r="G149">
        <v>1956</v>
      </c>
      <c r="H149" t="s">
        <v>24</v>
      </c>
      <c r="I149" t="s">
        <v>24</v>
      </c>
      <c r="J149" t="s">
        <v>24</v>
      </c>
      <c r="K149" t="s">
        <v>24</v>
      </c>
      <c r="N149">
        <v>0.33030298622833698</v>
      </c>
      <c r="W149" s="5">
        <f t="shared" si="19"/>
        <v>0</v>
      </c>
      <c r="X149" s="5">
        <f t="shared" si="20"/>
        <v>0.31709086677920351</v>
      </c>
      <c r="Y149" s="5">
        <f t="shared" si="21"/>
        <v>0</v>
      </c>
      <c r="Z149" s="5">
        <f t="shared" si="22"/>
        <v>0</v>
      </c>
      <c r="AA149" s="5">
        <f t="shared" si="23"/>
        <v>0</v>
      </c>
      <c r="AB149" s="5">
        <f t="shared" si="24"/>
        <v>0</v>
      </c>
      <c r="AC149" s="5">
        <f t="shared" si="25"/>
        <v>0</v>
      </c>
      <c r="AD149" s="5">
        <f t="shared" si="26"/>
        <v>0</v>
      </c>
      <c r="AE149" s="5">
        <f t="shared" si="27"/>
        <v>0</v>
      </c>
    </row>
    <row r="150" spans="1:31" x14ac:dyDescent="0.35">
      <c r="A150" t="s">
        <v>22</v>
      </c>
      <c r="B150" t="s">
        <v>73</v>
      </c>
      <c r="C150" t="s">
        <v>50</v>
      </c>
      <c r="D150" t="s">
        <v>24</v>
      </c>
      <c r="E150" t="s">
        <v>24</v>
      </c>
      <c r="F150" t="s">
        <v>27</v>
      </c>
      <c r="G150">
        <v>1957</v>
      </c>
      <c r="H150" t="s">
        <v>24</v>
      </c>
      <c r="I150" t="s">
        <v>24</v>
      </c>
      <c r="J150" t="s">
        <v>24</v>
      </c>
      <c r="K150" t="s">
        <v>24</v>
      </c>
      <c r="P150">
        <v>0.276861847860569</v>
      </c>
      <c r="R150">
        <v>0.288812718991241</v>
      </c>
      <c r="W150" s="5">
        <f t="shared" si="19"/>
        <v>0</v>
      </c>
      <c r="X150" s="5">
        <f t="shared" si="20"/>
        <v>0</v>
      </c>
      <c r="Y150" s="5">
        <f t="shared" si="21"/>
        <v>0</v>
      </c>
      <c r="Z150" s="5">
        <f t="shared" si="22"/>
        <v>0.26578737394614621</v>
      </c>
      <c r="AA150" s="5">
        <f t="shared" si="23"/>
        <v>0</v>
      </c>
      <c r="AB150" s="5">
        <f t="shared" si="24"/>
        <v>0.27726021023159136</v>
      </c>
      <c r="AC150" s="5">
        <f t="shared" si="25"/>
        <v>0</v>
      </c>
      <c r="AD150" s="5">
        <f t="shared" si="26"/>
        <v>0</v>
      </c>
      <c r="AE150" s="5">
        <f t="shared" si="27"/>
        <v>0</v>
      </c>
    </row>
    <row r="151" spans="1:31" x14ac:dyDescent="0.35">
      <c r="A151" t="s">
        <v>22</v>
      </c>
      <c r="B151" t="s">
        <v>73</v>
      </c>
      <c r="C151" t="s">
        <v>50</v>
      </c>
      <c r="D151" t="s">
        <v>24</v>
      </c>
      <c r="E151" t="s">
        <v>24</v>
      </c>
      <c r="F151" t="s">
        <v>27</v>
      </c>
      <c r="G151">
        <v>1958</v>
      </c>
      <c r="H151" t="s">
        <v>24</v>
      </c>
      <c r="I151" t="s">
        <v>24</v>
      </c>
      <c r="J151" t="s">
        <v>24</v>
      </c>
      <c r="K151" t="s">
        <v>24</v>
      </c>
      <c r="P151">
        <v>0.322069115137472</v>
      </c>
      <c r="W151" s="5">
        <f t="shared" si="19"/>
        <v>0</v>
      </c>
      <c r="X151" s="5">
        <f t="shared" si="20"/>
        <v>0</v>
      </c>
      <c r="Y151" s="5">
        <f t="shared" si="21"/>
        <v>0</v>
      </c>
      <c r="Z151" s="5">
        <f t="shared" si="22"/>
        <v>0.30918635053197313</v>
      </c>
      <c r="AA151" s="5">
        <f t="shared" si="23"/>
        <v>0</v>
      </c>
      <c r="AB151" s="5">
        <f t="shared" si="24"/>
        <v>0</v>
      </c>
      <c r="AC151" s="5">
        <f t="shared" si="25"/>
        <v>0</v>
      </c>
      <c r="AD151" s="5">
        <f t="shared" si="26"/>
        <v>0</v>
      </c>
      <c r="AE151" s="5">
        <f t="shared" si="27"/>
        <v>0</v>
      </c>
    </row>
    <row r="152" spans="1:31" x14ac:dyDescent="0.35">
      <c r="A152" t="s">
        <v>22</v>
      </c>
      <c r="B152" t="s">
        <v>73</v>
      </c>
      <c r="C152" t="s">
        <v>50</v>
      </c>
      <c r="D152" t="s">
        <v>24</v>
      </c>
      <c r="E152" t="s">
        <v>24</v>
      </c>
      <c r="F152" t="s">
        <v>27</v>
      </c>
      <c r="G152">
        <v>1959</v>
      </c>
      <c r="H152" t="s">
        <v>24</v>
      </c>
      <c r="I152" t="s">
        <v>24</v>
      </c>
      <c r="J152" t="s">
        <v>24</v>
      </c>
      <c r="K152" t="s">
        <v>24</v>
      </c>
      <c r="T152">
        <v>0.31057194329756499</v>
      </c>
      <c r="W152" s="5">
        <f t="shared" si="19"/>
        <v>0</v>
      </c>
      <c r="X152" s="5">
        <f t="shared" si="20"/>
        <v>0</v>
      </c>
      <c r="Y152" s="5">
        <f t="shared" si="21"/>
        <v>0</v>
      </c>
      <c r="Z152" s="5">
        <f t="shared" si="22"/>
        <v>0</v>
      </c>
      <c r="AA152" s="5">
        <f t="shared" si="23"/>
        <v>0</v>
      </c>
      <c r="AB152" s="5">
        <f t="shared" si="24"/>
        <v>0</v>
      </c>
      <c r="AC152" s="5">
        <f t="shared" si="25"/>
        <v>0</v>
      </c>
      <c r="AD152" s="5">
        <f t="shared" si="26"/>
        <v>0.2981490655656624</v>
      </c>
      <c r="AE152" s="5">
        <f t="shared" si="27"/>
        <v>0</v>
      </c>
    </row>
    <row r="153" spans="1:31" x14ac:dyDescent="0.35">
      <c r="A153" t="s">
        <v>22</v>
      </c>
      <c r="B153" t="s">
        <v>73</v>
      </c>
      <c r="C153" t="s">
        <v>50</v>
      </c>
      <c r="D153" t="s">
        <v>24</v>
      </c>
      <c r="E153" t="s">
        <v>24</v>
      </c>
      <c r="F153" t="s">
        <v>27</v>
      </c>
      <c r="G153">
        <v>1960</v>
      </c>
      <c r="H153" t="s">
        <v>24</v>
      </c>
      <c r="I153" t="s">
        <v>24</v>
      </c>
      <c r="J153" t="s">
        <v>24</v>
      </c>
      <c r="K153" t="s">
        <v>24</v>
      </c>
      <c r="P153">
        <v>0.27969854712143599</v>
      </c>
      <c r="R153">
        <v>0.313057089438671</v>
      </c>
      <c r="W153" s="5">
        <f t="shared" si="19"/>
        <v>0</v>
      </c>
      <c r="X153" s="5">
        <f t="shared" si="20"/>
        <v>0</v>
      </c>
      <c r="Y153" s="5">
        <f t="shared" si="21"/>
        <v>0</v>
      </c>
      <c r="Z153" s="5">
        <f t="shared" si="22"/>
        <v>0.26851060523657855</v>
      </c>
      <c r="AA153" s="5">
        <f t="shared" si="23"/>
        <v>0</v>
      </c>
      <c r="AB153" s="5">
        <f t="shared" si="24"/>
        <v>0.30053480586112413</v>
      </c>
      <c r="AC153" s="5">
        <f t="shared" si="25"/>
        <v>0</v>
      </c>
      <c r="AD153" s="5">
        <f t="shared" si="26"/>
        <v>0</v>
      </c>
      <c r="AE153" s="5">
        <f t="shared" si="27"/>
        <v>0</v>
      </c>
    </row>
    <row r="154" spans="1:31" x14ac:dyDescent="0.35">
      <c r="A154" t="s">
        <v>22</v>
      </c>
      <c r="B154" t="s">
        <v>73</v>
      </c>
      <c r="C154" t="s">
        <v>50</v>
      </c>
      <c r="D154" t="s">
        <v>24</v>
      </c>
      <c r="E154" t="s">
        <v>24</v>
      </c>
      <c r="F154" t="s">
        <v>27</v>
      </c>
      <c r="G154">
        <v>1961</v>
      </c>
      <c r="H154" t="s">
        <v>24</v>
      </c>
      <c r="I154" t="s">
        <v>24</v>
      </c>
      <c r="J154" t="s">
        <v>24</v>
      </c>
      <c r="K154" t="s">
        <v>24</v>
      </c>
      <c r="O154">
        <v>0.33030298622833698</v>
      </c>
      <c r="T154">
        <v>0.240304385555036</v>
      </c>
      <c r="W154" s="5">
        <f t="shared" si="19"/>
        <v>0</v>
      </c>
      <c r="X154" s="5">
        <f t="shared" si="20"/>
        <v>0</v>
      </c>
      <c r="Y154" s="5">
        <f t="shared" si="21"/>
        <v>0.31709086677920351</v>
      </c>
      <c r="Z154" s="5">
        <f t="shared" si="22"/>
        <v>0</v>
      </c>
      <c r="AA154" s="5">
        <f t="shared" si="23"/>
        <v>0</v>
      </c>
      <c r="AB154" s="5">
        <f t="shared" si="24"/>
        <v>0</v>
      </c>
      <c r="AC154" s="5">
        <f t="shared" si="25"/>
        <v>0</v>
      </c>
      <c r="AD154" s="5">
        <f t="shared" si="26"/>
        <v>0.23069221013283456</v>
      </c>
      <c r="AE154" s="5">
        <f t="shared" si="27"/>
        <v>0</v>
      </c>
    </row>
    <row r="155" spans="1:31" x14ac:dyDescent="0.35">
      <c r="A155" t="s">
        <v>22</v>
      </c>
      <c r="B155" t="s">
        <v>73</v>
      </c>
      <c r="C155" t="s">
        <v>50</v>
      </c>
      <c r="D155" t="s">
        <v>24</v>
      </c>
      <c r="E155" t="s">
        <v>24</v>
      </c>
      <c r="F155" t="s">
        <v>27</v>
      </c>
      <c r="G155">
        <v>1962</v>
      </c>
      <c r="H155" t="s">
        <v>24</v>
      </c>
      <c r="I155" t="s">
        <v>24</v>
      </c>
      <c r="J155" t="s">
        <v>24</v>
      </c>
      <c r="K155" t="s">
        <v>24</v>
      </c>
      <c r="T155">
        <v>0.29318002189891901</v>
      </c>
      <c r="W155" s="5">
        <f t="shared" si="19"/>
        <v>0</v>
      </c>
      <c r="X155" s="5">
        <f t="shared" si="20"/>
        <v>0</v>
      </c>
      <c r="Y155" s="5">
        <f t="shared" si="21"/>
        <v>0</v>
      </c>
      <c r="Z155" s="5">
        <f t="shared" si="22"/>
        <v>0</v>
      </c>
      <c r="AA155" s="5">
        <f t="shared" si="23"/>
        <v>0</v>
      </c>
      <c r="AB155" s="5">
        <f t="shared" si="24"/>
        <v>0</v>
      </c>
      <c r="AC155" s="5">
        <f t="shared" si="25"/>
        <v>0</v>
      </c>
      <c r="AD155" s="5">
        <f t="shared" si="26"/>
        <v>0.28145282102296226</v>
      </c>
      <c r="AE155" s="5">
        <f t="shared" si="27"/>
        <v>0</v>
      </c>
    </row>
    <row r="156" spans="1:31" x14ac:dyDescent="0.35">
      <c r="A156" t="s">
        <v>22</v>
      </c>
      <c r="B156" t="s">
        <v>73</v>
      </c>
      <c r="C156" t="s">
        <v>50</v>
      </c>
      <c r="D156" t="s">
        <v>24</v>
      </c>
      <c r="E156" t="s">
        <v>24</v>
      </c>
      <c r="F156" t="s">
        <v>27</v>
      </c>
      <c r="G156">
        <v>1963</v>
      </c>
      <c r="H156" t="s">
        <v>24</v>
      </c>
      <c r="I156" t="s">
        <v>24</v>
      </c>
      <c r="J156" t="s">
        <v>24</v>
      </c>
      <c r="K156" t="s">
        <v>24</v>
      </c>
      <c r="P156">
        <v>0.27081922816519999</v>
      </c>
      <c r="W156" s="5">
        <f t="shared" si="19"/>
        <v>0</v>
      </c>
      <c r="X156" s="5">
        <f t="shared" si="20"/>
        <v>0</v>
      </c>
      <c r="Y156" s="5">
        <f t="shared" si="21"/>
        <v>0</v>
      </c>
      <c r="Z156" s="5">
        <f t="shared" si="22"/>
        <v>0.25998645903859197</v>
      </c>
      <c r="AA156" s="5">
        <f t="shared" si="23"/>
        <v>0</v>
      </c>
      <c r="AB156" s="5">
        <f t="shared" si="24"/>
        <v>0</v>
      </c>
      <c r="AC156" s="5">
        <f t="shared" si="25"/>
        <v>0</v>
      </c>
      <c r="AD156" s="5">
        <f t="shared" si="26"/>
        <v>0</v>
      </c>
      <c r="AE156" s="5">
        <f t="shared" si="27"/>
        <v>0</v>
      </c>
    </row>
    <row r="157" spans="1:31" x14ac:dyDescent="0.35">
      <c r="A157" t="s">
        <v>22</v>
      </c>
      <c r="B157" t="s">
        <v>73</v>
      </c>
      <c r="C157" t="s">
        <v>50</v>
      </c>
      <c r="D157" t="s">
        <v>24</v>
      </c>
      <c r="E157" t="s">
        <v>24</v>
      </c>
      <c r="F157" t="s">
        <v>27</v>
      </c>
      <c r="G157">
        <v>1965</v>
      </c>
      <c r="H157" t="s">
        <v>24</v>
      </c>
      <c r="I157" t="s">
        <v>24</v>
      </c>
      <c r="J157" t="s">
        <v>24</v>
      </c>
      <c r="K157" t="s">
        <v>24</v>
      </c>
      <c r="N157">
        <v>0.33030298622833698</v>
      </c>
      <c r="O157">
        <v>0.33030298622833698</v>
      </c>
      <c r="P157">
        <v>0.24795249781147499</v>
      </c>
      <c r="W157" s="5">
        <f t="shared" si="19"/>
        <v>0</v>
      </c>
      <c r="X157" s="5">
        <f t="shared" si="20"/>
        <v>0.31709086677920351</v>
      </c>
      <c r="Y157" s="5">
        <f t="shared" si="21"/>
        <v>0.31709086677920351</v>
      </c>
      <c r="Z157" s="5">
        <f t="shared" si="22"/>
        <v>0.23803439789901598</v>
      </c>
      <c r="AA157" s="5">
        <f t="shared" si="23"/>
        <v>0</v>
      </c>
      <c r="AB157" s="5">
        <f t="shared" si="24"/>
        <v>0</v>
      </c>
      <c r="AC157" s="5">
        <f t="shared" si="25"/>
        <v>0</v>
      </c>
      <c r="AD157" s="5">
        <f t="shared" si="26"/>
        <v>0</v>
      </c>
      <c r="AE157" s="5">
        <f t="shared" si="27"/>
        <v>0</v>
      </c>
    </row>
    <row r="158" spans="1:31" x14ac:dyDescent="0.35">
      <c r="A158" t="s">
        <v>22</v>
      </c>
      <c r="B158" t="s">
        <v>73</v>
      </c>
      <c r="C158" t="s">
        <v>50</v>
      </c>
      <c r="D158" t="s">
        <v>24</v>
      </c>
      <c r="E158" t="s">
        <v>24</v>
      </c>
      <c r="F158" t="s">
        <v>27</v>
      </c>
      <c r="G158">
        <v>1966</v>
      </c>
      <c r="H158" t="s">
        <v>24</v>
      </c>
      <c r="I158" t="s">
        <v>24</v>
      </c>
      <c r="J158" t="s">
        <v>24</v>
      </c>
      <c r="K158" t="s">
        <v>24</v>
      </c>
      <c r="R158">
        <v>0.28473984269705599</v>
      </c>
      <c r="W158" s="5">
        <f t="shared" si="19"/>
        <v>0</v>
      </c>
      <c r="X158" s="5">
        <f t="shared" si="20"/>
        <v>0</v>
      </c>
      <c r="Y158" s="5">
        <f t="shared" si="21"/>
        <v>0</v>
      </c>
      <c r="Z158" s="5">
        <f t="shared" si="22"/>
        <v>0</v>
      </c>
      <c r="AA158" s="5">
        <f t="shared" si="23"/>
        <v>0</v>
      </c>
      <c r="AB158" s="5">
        <f t="shared" si="24"/>
        <v>0.27335024898917376</v>
      </c>
      <c r="AC158" s="5">
        <f t="shared" si="25"/>
        <v>0</v>
      </c>
      <c r="AD158" s="5">
        <f t="shared" si="26"/>
        <v>0</v>
      </c>
      <c r="AE158" s="5">
        <f t="shared" si="27"/>
        <v>0</v>
      </c>
    </row>
    <row r="159" spans="1:31" x14ac:dyDescent="0.35">
      <c r="A159" t="s">
        <v>22</v>
      </c>
      <c r="B159" t="s">
        <v>73</v>
      </c>
      <c r="C159" t="s">
        <v>50</v>
      </c>
      <c r="D159" t="s">
        <v>24</v>
      </c>
      <c r="E159" t="s">
        <v>24</v>
      </c>
      <c r="F159" t="s">
        <v>27</v>
      </c>
      <c r="G159">
        <v>1967</v>
      </c>
      <c r="H159" t="s">
        <v>24</v>
      </c>
      <c r="I159" t="s">
        <v>24</v>
      </c>
      <c r="J159" t="s">
        <v>24</v>
      </c>
      <c r="K159" t="s">
        <v>24</v>
      </c>
      <c r="R159">
        <v>0.313057089438671</v>
      </c>
      <c r="W159" s="5">
        <f t="shared" si="19"/>
        <v>0</v>
      </c>
      <c r="X159" s="5">
        <f t="shared" si="20"/>
        <v>0</v>
      </c>
      <c r="Y159" s="5">
        <f t="shared" si="21"/>
        <v>0</v>
      </c>
      <c r="Z159" s="5">
        <f t="shared" si="22"/>
        <v>0</v>
      </c>
      <c r="AA159" s="5">
        <f t="shared" si="23"/>
        <v>0</v>
      </c>
      <c r="AB159" s="5">
        <f t="shared" si="24"/>
        <v>0.30053480586112413</v>
      </c>
      <c r="AC159" s="5">
        <f t="shared" si="25"/>
        <v>0</v>
      </c>
      <c r="AD159" s="5">
        <f t="shared" si="26"/>
        <v>0</v>
      </c>
      <c r="AE159" s="5">
        <f t="shared" si="27"/>
        <v>0</v>
      </c>
    </row>
    <row r="160" spans="1:31" x14ac:dyDescent="0.35">
      <c r="A160" t="s">
        <v>22</v>
      </c>
      <c r="B160" t="s">
        <v>73</v>
      </c>
      <c r="C160" t="s">
        <v>50</v>
      </c>
      <c r="D160" t="s">
        <v>24</v>
      </c>
      <c r="E160" t="s">
        <v>24</v>
      </c>
      <c r="F160" t="s">
        <v>27</v>
      </c>
      <c r="G160">
        <v>1968</v>
      </c>
      <c r="H160" t="s">
        <v>24</v>
      </c>
      <c r="I160" t="s">
        <v>24</v>
      </c>
      <c r="J160" t="s">
        <v>24</v>
      </c>
      <c r="K160" t="s">
        <v>24</v>
      </c>
      <c r="O160">
        <v>0.25856081045961599</v>
      </c>
      <c r="T160">
        <v>0.28540668073615899</v>
      </c>
      <c r="W160" s="5">
        <f t="shared" si="19"/>
        <v>0</v>
      </c>
      <c r="X160" s="5">
        <f t="shared" si="20"/>
        <v>0</v>
      </c>
      <c r="Y160" s="5">
        <f t="shared" si="21"/>
        <v>0.24821837804123134</v>
      </c>
      <c r="Z160" s="5">
        <f t="shared" si="22"/>
        <v>0</v>
      </c>
      <c r="AA160" s="5">
        <f t="shared" si="23"/>
        <v>0</v>
      </c>
      <c r="AB160" s="5">
        <f t="shared" si="24"/>
        <v>0</v>
      </c>
      <c r="AC160" s="5">
        <f t="shared" si="25"/>
        <v>0</v>
      </c>
      <c r="AD160" s="5">
        <f t="shared" si="26"/>
        <v>0.2739904135067126</v>
      </c>
      <c r="AE160" s="5">
        <f t="shared" si="27"/>
        <v>0</v>
      </c>
    </row>
    <row r="161" spans="1:31" x14ac:dyDescent="0.35">
      <c r="A161" t="s">
        <v>22</v>
      </c>
      <c r="B161" t="s">
        <v>73</v>
      </c>
      <c r="C161" t="s">
        <v>50</v>
      </c>
      <c r="D161" t="s">
        <v>24</v>
      </c>
      <c r="E161" t="s">
        <v>24</v>
      </c>
      <c r="F161" t="s">
        <v>27</v>
      </c>
      <c r="G161">
        <v>1970</v>
      </c>
      <c r="H161" t="s">
        <v>24</v>
      </c>
      <c r="I161" t="s">
        <v>24</v>
      </c>
      <c r="J161" t="s">
        <v>24</v>
      </c>
      <c r="K161" t="s">
        <v>24</v>
      </c>
      <c r="N161">
        <v>0.23731290596575</v>
      </c>
      <c r="W161" s="5">
        <f t="shared" si="19"/>
        <v>0</v>
      </c>
      <c r="X161" s="5">
        <f t="shared" si="20"/>
        <v>0.22782038972711999</v>
      </c>
      <c r="Y161" s="5">
        <f t="shared" si="21"/>
        <v>0</v>
      </c>
      <c r="Z161" s="5">
        <f t="shared" si="22"/>
        <v>0</v>
      </c>
      <c r="AA161" s="5">
        <f t="shared" si="23"/>
        <v>0</v>
      </c>
      <c r="AB161" s="5">
        <f t="shared" si="24"/>
        <v>0</v>
      </c>
      <c r="AC161" s="5">
        <f t="shared" si="25"/>
        <v>0</v>
      </c>
      <c r="AD161" s="5">
        <f t="shared" si="26"/>
        <v>0</v>
      </c>
      <c r="AE161" s="5">
        <f t="shared" si="27"/>
        <v>0</v>
      </c>
    </row>
    <row r="162" spans="1:31" x14ac:dyDescent="0.35">
      <c r="A162" t="s">
        <v>22</v>
      </c>
      <c r="B162" t="s">
        <v>73</v>
      </c>
      <c r="C162" t="s">
        <v>50</v>
      </c>
      <c r="D162" t="s">
        <v>24</v>
      </c>
      <c r="E162" t="s">
        <v>24</v>
      </c>
      <c r="F162" t="s">
        <v>27</v>
      </c>
      <c r="G162">
        <v>1971</v>
      </c>
      <c r="H162" t="s">
        <v>24</v>
      </c>
      <c r="I162" t="s">
        <v>24</v>
      </c>
      <c r="J162" t="s">
        <v>24</v>
      </c>
      <c r="K162" t="s">
        <v>24</v>
      </c>
      <c r="O162">
        <v>0.33030298622833698</v>
      </c>
      <c r="P162">
        <v>0.250225289644461</v>
      </c>
      <c r="W162" s="5">
        <f t="shared" si="19"/>
        <v>0</v>
      </c>
      <c r="X162" s="5">
        <f t="shared" si="20"/>
        <v>0</v>
      </c>
      <c r="Y162" s="5">
        <f t="shared" si="21"/>
        <v>0.31709086677920351</v>
      </c>
      <c r="Z162" s="5">
        <f t="shared" si="22"/>
        <v>0.24021627805868256</v>
      </c>
      <c r="AA162" s="5">
        <f t="shared" si="23"/>
        <v>0</v>
      </c>
      <c r="AB162" s="5">
        <f t="shared" si="24"/>
        <v>0</v>
      </c>
      <c r="AC162" s="5">
        <f t="shared" si="25"/>
        <v>0</v>
      </c>
      <c r="AD162" s="5">
        <f t="shared" si="26"/>
        <v>0</v>
      </c>
      <c r="AE162" s="5">
        <f t="shared" si="27"/>
        <v>0</v>
      </c>
    </row>
    <row r="163" spans="1:31" x14ac:dyDescent="0.35">
      <c r="A163" t="s">
        <v>22</v>
      </c>
      <c r="B163" t="s">
        <v>73</v>
      </c>
      <c r="C163" t="s">
        <v>50</v>
      </c>
      <c r="D163" t="s">
        <v>24</v>
      </c>
      <c r="E163" t="s">
        <v>24</v>
      </c>
      <c r="F163" t="s">
        <v>27</v>
      </c>
      <c r="G163">
        <v>1973</v>
      </c>
      <c r="H163" t="s">
        <v>24</v>
      </c>
      <c r="I163" t="s">
        <v>24</v>
      </c>
      <c r="J163" t="s">
        <v>24</v>
      </c>
      <c r="K163" t="s">
        <v>24</v>
      </c>
      <c r="O163">
        <v>0.28942218356399402</v>
      </c>
      <c r="P163">
        <v>0.25788408969781701</v>
      </c>
      <c r="W163" s="5">
        <f t="shared" si="19"/>
        <v>0</v>
      </c>
      <c r="X163" s="5">
        <f t="shared" si="20"/>
        <v>0</v>
      </c>
      <c r="Y163" s="5">
        <f t="shared" si="21"/>
        <v>0.27784529622143422</v>
      </c>
      <c r="Z163" s="5">
        <f t="shared" si="22"/>
        <v>0.24756872610990432</v>
      </c>
      <c r="AA163" s="5">
        <f t="shared" si="23"/>
        <v>0</v>
      </c>
      <c r="AB163" s="5">
        <f t="shared" si="24"/>
        <v>0</v>
      </c>
      <c r="AC163" s="5">
        <f t="shared" si="25"/>
        <v>0</v>
      </c>
      <c r="AD163" s="5">
        <f t="shared" si="26"/>
        <v>0</v>
      </c>
      <c r="AE163" s="5">
        <f t="shared" si="27"/>
        <v>0</v>
      </c>
    </row>
    <row r="164" spans="1:31" x14ac:dyDescent="0.35">
      <c r="A164" t="s">
        <v>22</v>
      </c>
      <c r="B164" t="s">
        <v>73</v>
      </c>
      <c r="C164" t="s">
        <v>50</v>
      </c>
      <c r="D164" t="s">
        <v>24</v>
      </c>
      <c r="E164" t="s">
        <v>24</v>
      </c>
      <c r="F164" t="s">
        <v>27</v>
      </c>
      <c r="G164">
        <v>1976</v>
      </c>
      <c r="H164" t="s">
        <v>24</v>
      </c>
      <c r="I164" t="s">
        <v>24</v>
      </c>
      <c r="J164" t="s">
        <v>24</v>
      </c>
      <c r="K164" t="s">
        <v>24</v>
      </c>
      <c r="T164">
        <v>0.31566571752760397</v>
      </c>
      <c r="W164" s="5">
        <f t="shared" si="19"/>
        <v>0</v>
      </c>
      <c r="X164" s="5">
        <f t="shared" si="20"/>
        <v>0</v>
      </c>
      <c r="Y164" s="5">
        <f t="shared" si="21"/>
        <v>0</v>
      </c>
      <c r="Z164" s="5">
        <f t="shared" si="22"/>
        <v>0</v>
      </c>
      <c r="AA164" s="5">
        <f t="shared" si="23"/>
        <v>0</v>
      </c>
      <c r="AB164" s="5">
        <f t="shared" si="24"/>
        <v>0</v>
      </c>
      <c r="AC164" s="5">
        <f t="shared" si="25"/>
        <v>0</v>
      </c>
      <c r="AD164" s="5">
        <f t="shared" si="26"/>
        <v>0.30303908882649983</v>
      </c>
      <c r="AE164" s="5">
        <f t="shared" si="27"/>
        <v>0</v>
      </c>
    </row>
    <row r="165" spans="1:31" x14ac:dyDescent="0.35">
      <c r="A165" t="s">
        <v>22</v>
      </c>
      <c r="B165" t="s">
        <v>73</v>
      </c>
      <c r="C165" t="s">
        <v>50</v>
      </c>
      <c r="D165" t="s">
        <v>24</v>
      </c>
      <c r="E165" t="s">
        <v>24</v>
      </c>
      <c r="F165" t="s">
        <v>27</v>
      </c>
      <c r="G165">
        <v>1978</v>
      </c>
      <c r="H165" t="s">
        <v>24</v>
      </c>
      <c r="I165" t="s">
        <v>24</v>
      </c>
      <c r="J165" t="s">
        <v>24</v>
      </c>
      <c r="K165" t="s">
        <v>24</v>
      </c>
      <c r="U165">
        <v>0.33030298622833698</v>
      </c>
      <c r="W165" s="5">
        <f t="shared" si="19"/>
        <v>0</v>
      </c>
      <c r="X165" s="5">
        <f t="shared" si="20"/>
        <v>0</v>
      </c>
      <c r="Y165" s="5">
        <f t="shared" si="21"/>
        <v>0</v>
      </c>
      <c r="Z165" s="5">
        <f t="shared" si="22"/>
        <v>0</v>
      </c>
      <c r="AA165" s="5">
        <f t="shared" si="23"/>
        <v>0</v>
      </c>
      <c r="AB165" s="5">
        <f t="shared" si="24"/>
        <v>0</v>
      </c>
      <c r="AC165" s="5">
        <f t="shared" si="25"/>
        <v>0</v>
      </c>
      <c r="AD165" s="5">
        <f t="shared" si="26"/>
        <v>0</v>
      </c>
      <c r="AE165" s="5">
        <f t="shared" si="27"/>
        <v>0.31709086677920351</v>
      </c>
    </row>
    <row r="166" spans="1:31" x14ac:dyDescent="0.35">
      <c r="A166" t="s">
        <v>22</v>
      </c>
      <c r="B166" t="s">
        <v>73</v>
      </c>
      <c r="C166" t="s">
        <v>50</v>
      </c>
      <c r="D166" t="s">
        <v>24</v>
      </c>
      <c r="E166" t="s">
        <v>24</v>
      </c>
      <c r="F166" t="s">
        <v>27</v>
      </c>
      <c r="G166">
        <v>1982</v>
      </c>
      <c r="H166" t="s">
        <v>24</v>
      </c>
      <c r="I166" t="s">
        <v>24</v>
      </c>
      <c r="J166" t="s">
        <v>24</v>
      </c>
      <c r="K166" t="s">
        <v>24</v>
      </c>
      <c r="O166">
        <v>0.29165147648560003</v>
      </c>
      <c r="W166" s="5">
        <f t="shared" si="19"/>
        <v>0</v>
      </c>
      <c r="X166" s="5">
        <f t="shared" si="20"/>
        <v>0</v>
      </c>
      <c r="Y166" s="5">
        <f t="shared" si="21"/>
        <v>0.279985417426176</v>
      </c>
      <c r="Z166" s="5">
        <f t="shared" si="22"/>
        <v>0</v>
      </c>
      <c r="AA166" s="5">
        <f t="shared" si="23"/>
        <v>0</v>
      </c>
      <c r="AB166" s="5">
        <f t="shared" si="24"/>
        <v>0</v>
      </c>
      <c r="AC166" s="5">
        <f t="shared" si="25"/>
        <v>0</v>
      </c>
      <c r="AD166" s="5">
        <f t="shared" si="26"/>
        <v>0</v>
      </c>
      <c r="AE166" s="5">
        <f t="shared" si="27"/>
        <v>0</v>
      </c>
    </row>
    <row r="167" spans="1:31" x14ac:dyDescent="0.35">
      <c r="A167" t="s">
        <v>22</v>
      </c>
      <c r="B167" t="s">
        <v>73</v>
      </c>
      <c r="C167" t="s">
        <v>50</v>
      </c>
      <c r="D167" t="s">
        <v>24</v>
      </c>
      <c r="E167" t="s">
        <v>24</v>
      </c>
      <c r="F167" t="s">
        <v>27</v>
      </c>
      <c r="G167">
        <v>1983</v>
      </c>
      <c r="H167" t="s">
        <v>24</v>
      </c>
      <c r="I167" t="s">
        <v>24</v>
      </c>
      <c r="J167" t="s">
        <v>24</v>
      </c>
      <c r="K167" t="s">
        <v>24</v>
      </c>
      <c r="U167">
        <v>0.33030298622833698</v>
      </c>
      <c r="W167" s="5">
        <f t="shared" si="19"/>
        <v>0</v>
      </c>
      <c r="X167" s="5">
        <f t="shared" si="20"/>
        <v>0</v>
      </c>
      <c r="Y167" s="5">
        <f t="shared" si="21"/>
        <v>0</v>
      </c>
      <c r="Z167" s="5">
        <f t="shared" si="22"/>
        <v>0</v>
      </c>
      <c r="AA167" s="5">
        <f t="shared" si="23"/>
        <v>0</v>
      </c>
      <c r="AB167" s="5">
        <f t="shared" si="24"/>
        <v>0</v>
      </c>
      <c r="AC167" s="5">
        <f t="shared" si="25"/>
        <v>0</v>
      </c>
      <c r="AD167" s="5">
        <f t="shared" si="26"/>
        <v>0</v>
      </c>
      <c r="AE167" s="5">
        <f t="shared" si="27"/>
        <v>0.31709086677920351</v>
      </c>
    </row>
    <row r="168" spans="1:31" x14ac:dyDescent="0.35">
      <c r="A168" t="s">
        <v>22</v>
      </c>
      <c r="B168" t="s">
        <v>73</v>
      </c>
      <c r="C168" t="s">
        <v>50</v>
      </c>
      <c r="D168" t="s">
        <v>24</v>
      </c>
      <c r="E168" t="s">
        <v>24</v>
      </c>
      <c r="F168" t="s">
        <v>27</v>
      </c>
      <c r="G168">
        <v>1985</v>
      </c>
      <c r="H168" t="s">
        <v>24</v>
      </c>
      <c r="I168" t="s">
        <v>24</v>
      </c>
      <c r="J168" t="s">
        <v>24</v>
      </c>
      <c r="K168" t="s">
        <v>24</v>
      </c>
      <c r="Q168">
        <v>0.289621649540105</v>
      </c>
      <c r="W168" s="5">
        <f t="shared" si="19"/>
        <v>0</v>
      </c>
      <c r="X168" s="5">
        <f t="shared" si="20"/>
        <v>0</v>
      </c>
      <c r="Y168" s="5">
        <f t="shared" si="21"/>
        <v>0</v>
      </c>
      <c r="Z168" s="5">
        <f t="shared" si="22"/>
        <v>0</v>
      </c>
      <c r="AA168" s="5">
        <f t="shared" si="23"/>
        <v>0.27803678355850081</v>
      </c>
      <c r="AB168" s="5">
        <f t="shared" si="24"/>
        <v>0</v>
      </c>
      <c r="AC168" s="5">
        <f t="shared" si="25"/>
        <v>0</v>
      </c>
      <c r="AD168" s="5">
        <f t="shared" si="26"/>
        <v>0</v>
      </c>
      <c r="AE168" s="5">
        <f t="shared" si="27"/>
        <v>0</v>
      </c>
    </row>
    <row r="169" spans="1:31" x14ac:dyDescent="0.35">
      <c r="A169" t="s">
        <v>22</v>
      </c>
      <c r="B169" t="s">
        <v>73</v>
      </c>
      <c r="C169" t="s">
        <v>50</v>
      </c>
      <c r="D169" t="s">
        <v>24</v>
      </c>
      <c r="E169" t="s">
        <v>24</v>
      </c>
      <c r="F169" t="s">
        <v>27</v>
      </c>
      <c r="G169">
        <v>1986</v>
      </c>
      <c r="H169" t="s">
        <v>24</v>
      </c>
      <c r="I169" t="s">
        <v>24</v>
      </c>
      <c r="J169" t="s">
        <v>24</v>
      </c>
      <c r="K169" t="s">
        <v>24</v>
      </c>
      <c r="N169">
        <v>0.33030298622833698</v>
      </c>
      <c r="W169" s="5">
        <f t="shared" si="19"/>
        <v>0</v>
      </c>
      <c r="X169" s="5">
        <f t="shared" si="20"/>
        <v>0.31709086677920351</v>
      </c>
      <c r="Y169" s="5">
        <f t="shared" si="21"/>
        <v>0</v>
      </c>
      <c r="Z169" s="5">
        <f t="shared" si="22"/>
        <v>0</v>
      </c>
      <c r="AA169" s="5">
        <f t="shared" si="23"/>
        <v>0</v>
      </c>
      <c r="AB169" s="5">
        <f t="shared" si="24"/>
        <v>0</v>
      </c>
      <c r="AC169" s="5">
        <f t="shared" si="25"/>
        <v>0</v>
      </c>
      <c r="AD169" s="5">
        <f t="shared" si="26"/>
        <v>0</v>
      </c>
      <c r="AE169" s="5">
        <f t="shared" si="27"/>
        <v>0</v>
      </c>
    </row>
    <row r="170" spans="1:31" x14ac:dyDescent="0.35">
      <c r="A170" t="s">
        <v>22</v>
      </c>
      <c r="B170" t="s">
        <v>73</v>
      </c>
      <c r="C170" t="s">
        <v>50</v>
      </c>
      <c r="D170" t="s">
        <v>24</v>
      </c>
      <c r="E170" t="s">
        <v>24</v>
      </c>
      <c r="F170" t="s">
        <v>27</v>
      </c>
      <c r="G170">
        <v>1987</v>
      </c>
      <c r="H170" t="s">
        <v>24</v>
      </c>
      <c r="I170" t="s">
        <v>24</v>
      </c>
      <c r="J170" t="s">
        <v>24</v>
      </c>
      <c r="K170" t="s">
        <v>24</v>
      </c>
      <c r="N170">
        <v>0.25276461295418601</v>
      </c>
      <c r="Q170">
        <v>0.32191113479037498</v>
      </c>
      <c r="U170">
        <v>0.31311618897028898</v>
      </c>
      <c r="W170" s="5">
        <f t="shared" si="19"/>
        <v>0</v>
      </c>
      <c r="X170" s="5">
        <f t="shared" si="20"/>
        <v>0.24265402843601855</v>
      </c>
      <c r="Y170" s="5">
        <f t="shared" si="21"/>
        <v>0</v>
      </c>
      <c r="Z170" s="5">
        <f t="shared" si="22"/>
        <v>0</v>
      </c>
      <c r="AA170" s="5">
        <f t="shared" si="23"/>
        <v>0.30903468939875994</v>
      </c>
      <c r="AB170" s="5">
        <f t="shared" si="24"/>
        <v>0</v>
      </c>
      <c r="AC170" s="5">
        <f t="shared" si="25"/>
        <v>0</v>
      </c>
      <c r="AD170" s="5">
        <f t="shared" si="26"/>
        <v>0</v>
      </c>
      <c r="AE170" s="5">
        <f t="shared" si="27"/>
        <v>0.30059154141147743</v>
      </c>
    </row>
    <row r="171" spans="1:31" x14ac:dyDescent="0.35">
      <c r="A171" t="s">
        <v>22</v>
      </c>
      <c r="B171" t="s">
        <v>73</v>
      </c>
      <c r="C171" t="s">
        <v>50</v>
      </c>
      <c r="D171" t="s">
        <v>24</v>
      </c>
      <c r="E171" t="s">
        <v>24</v>
      </c>
      <c r="F171" t="s">
        <v>27</v>
      </c>
      <c r="G171">
        <v>1988</v>
      </c>
      <c r="H171" t="s">
        <v>24</v>
      </c>
      <c r="I171" t="s">
        <v>24</v>
      </c>
      <c r="J171" t="s">
        <v>24</v>
      </c>
      <c r="K171" t="s">
        <v>24</v>
      </c>
      <c r="N171">
        <v>0.30223560169298003</v>
      </c>
      <c r="Q171">
        <v>0.319752624719636</v>
      </c>
      <c r="W171" s="5">
        <f t="shared" si="19"/>
        <v>0</v>
      </c>
      <c r="X171" s="5">
        <f t="shared" si="20"/>
        <v>0.29014617762526079</v>
      </c>
      <c r="Y171" s="5">
        <f t="shared" si="21"/>
        <v>0</v>
      </c>
      <c r="Z171" s="5">
        <f t="shared" si="22"/>
        <v>0</v>
      </c>
      <c r="AA171" s="5">
        <f t="shared" si="23"/>
        <v>0.30696251973085054</v>
      </c>
      <c r="AB171" s="5">
        <f t="shared" si="24"/>
        <v>0</v>
      </c>
      <c r="AC171" s="5">
        <f t="shared" si="25"/>
        <v>0</v>
      </c>
      <c r="AD171" s="5">
        <f t="shared" si="26"/>
        <v>0</v>
      </c>
      <c r="AE171" s="5">
        <f t="shared" si="27"/>
        <v>0</v>
      </c>
    </row>
    <row r="172" spans="1:31" x14ac:dyDescent="0.35">
      <c r="A172" t="s">
        <v>22</v>
      </c>
      <c r="B172" t="s">
        <v>73</v>
      </c>
      <c r="C172" t="s">
        <v>50</v>
      </c>
      <c r="D172" t="s">
        <v>24</v>
      </c>
      <c r="E172" t="s">
        <v>24</v>
      </c>
      <c r="F172" t="s">
        <v>27</v>
      </c>
      <c r="G172">
        <v>1989</v>
      </c>
      <c r="H172" t="s">
        <v>24</v>
      </c>
      <c r="I172" t="s">
        <v>24</v>
      </c>
      <c r="J172" t="s">
        <v>24</v>
      </c>
      <c r="K172" t="s">
        <v>24</v>
      </c>
      <c r="N172">
        <v>0.31152826438992298</v>
      </c>
      <c r="U172">
        <v>0.28520211571665999</v>
      </c>
      <c r="W172" s="5">
        <f t="shared" si="19"/>
        <v>0</v>
      </c>
      <c r="X172" s="5">
        <f t="shared" si="20"/>
        <v>0.29906713381432604</v>
      </c>
      <c r="Y172" s="5">
        <f t="shared" si="21"/>
        <v>0</v>
      </c>
      <c r="Z172" s="5">
        <f t="shared" si="22"/>
        <v>0</v>
      </c>
      <c r="AA172" s="5">
        <f t="shared" si="23"/>
        <v>0</v>
      </c>
      <c r="AB172" s="5">
        <f t="shared" si="24"/>
        <v>0</v>
      </c>
      <c r="AC172" s="5">
        <f t="shared" si="25"/>
        <v>0</v>
      </c>
      <c r="AD172" s="5">
        <f t="shared" si="26"/>
        <v>0</v>
      </c>
      <c r="AE172" s="5">
        <f t="shared" si="27"/>
        <v>0.27379403108799355</v>
      </c>
    </row>
    <row r="173" spans="1:31" x14ac:dyDescent="0.35">
      <c r="A173" t="s">
        <v>22</v>
      </c>
      <c r="B173" t="s">
        <v>73</v>
      </c>
      <c r="C173" t="s">
        <v>50</v>
      </c>
      <c r="D173" t="s">
        <v>24</v>
      </c>
      <c r="E173" t="s">
        <v>24</v>
      </c>
      <c r="F173" t="s">
        <v>27</v>
      </c>
      <c r="G173">
        <v>1990</v>
      </c>
      <c r="H173" t="s">
        <v>24</v>
      </c>
      <c r="I173" t="s">
        <v>24</v>
      </c>
      <c r="J173" t="s">
        <v>24</v>
      </c>
      <c r="K173" t="s">
        <v>24</v>
      </c>
      <c r="M173">
        <v>0.31907434372892801</v>
      </c>
      <c r="N173">
        <v>0.27298578199052098</v>
      </c>
      <c r="Q173">
        <v>0.31514040852021102</v>
      </c>
      <c r="U173">
        <v>0.26124867970360599</v>
      </c>
      <c r="W173" s="5">
        <f t="shared" si="19"/>
        <v>0.30631136997977088</v>
      </c>
      <c r="X173" s="5">
        <f t="shared" si="20"/>
        <v>0.26206635071090012</v>
      </c>
      <c r="Y173" s="5">
        <f t="shared" si="21"/>
        <v>0</v>
      </c>
      <c r="Z173" s="5">
        <f t="shared" si="22"/>
        <v>0</v>
      </c>
      <c r="AA173" s="5">
        <f t="shared" si="23"/>
        <v>0.30253479217940255</v>
      </c>
      <c r="AB173" s="5">
        <f t="shared" si="24"/>
        <v>0</v>
      </c>
      <c r="AC173" s="5">
        <f t="shared" si="25"/>
        <v>0</v>
      </c>
      <c r="AD173" s="5">
        <f t="shared" si="26"/>
        <v>0</v>
      </c>
      <c r="AE173" s="5">
        <f t="shared" si="27"/>
        <v>0.25079873251546175</v>
      </c>
    </row>
    <row r="174" spans="1:31" x14ac:dyDescent="0.35">
      <c r="A174" t="s">
        <v>22</v>
      </c>
      <c r="B174" t="s">
        <v>73</v>
      </c>
      <c r="C174" t="s">
        <v>50</v>
      </c>
      <c r="D174" t="s">
        <v>24</v>
      </c>
      <c r="E174" t="s">
        <v>24</v>
      </c>
      <c r="F174" t="s">
        <v>27</v>
      </c>
      <c r="G174">
        <v>1991</v>
      </c>
      <c r="H174" t="s">
        <v>24</v>
      </c>
      <c r="I174" t="s">
        <v>24</v>
      </c>
      <c r="J174" t="s">
        <v>24</v>
      </c>
      <c r="K174" t="s">
        <v>24</v>
      </c>
      <c r="N174">
        <v>0.30845263237422199</v>
      </c>
      <c r="S174">
        <v>0.32809394607450798</v>
      </c>
      <c r="W174" s="5">
        <f t="shared" si="19"/>
        <v>0</v>
      </c>
      <c r="X174" s="5">
        <f t="shared" si="20"/>
        <v>0.29611452707925312</v>
      </c>
      <c r="Y174" s="5">
        <f t="shared" si="21"/>
        <v>0</v>
      </c>
      <c r="Z174" s="5">
        <f t="shared" si="22"/>
        <v>0</v>
      </c>
      <c r="AA174" s="5">
        <f t="shared" si="23"/>
        <v>0</v>
      </c>
      <c r="AB174" s="5">
        <f t="shared" si="24"/>
        <v>0</v>
      </c>
      <c r="AC174" s="5">
        <f t="shared" si="25"/>
        <v>0.31497018823152767</v>
      </c>
      <c r="AD174" s="5">
        <f t="shared" si="26"/>
        <v>0</v>
      </c>
      <c r="AE174" s="5">
        <f t="shared" si="27"/>
        <v>0</v>
      </c>
    </row>
    <row r="175" spans="1:31" x14ac:dyDescent="0.35">
      <c r="A175" t="s">
        <v>22</v>
      </c>
      <c r="B175" t="s">
        <v>73</v>
      </c>
      <c r="C175" t="s">
        <v>50</v>
      </c>
      <c r="D175" t="s">
        <v>24</v>
      </c>
      <c r="E175" t="s">
        <v>24</v>
      </c>
      <c r="F175" t="s">
        <v>27</v>
      </c>
      <c r="G175">
        <v>1992</v>
      </c>
      <c r="H175" t="s">
        <v>24</v>
      </c>
      <c r="I175" t="s">
        <v>24</v>
      </c>
      <c r="J175" t="s">
        <v>24</v>
      </c>
      <c r="K175" t="s">
        <v>24</v>
      </c>
      <c r="N175">
        <v>0.33567867011146202</v>
      </c>
      <c r="Q175">
        <v>0.31030480230207202</v>
      </c>
      <c r="W175" s="5">
        <f t="shared" si="19"/>
        <v>0</v>
      </c>
      <c r="X175" s="5">
        <f t="shared" si="20"/>
        <v>0.32225152330700352</v>
      </c>
      <c r="Y175" s="5">
        <f t="shared" si="21"/>
        <v>0</v>
      </c>
      <c r="Z175" s="5">
        <f t="shared" si="22"/>
        <v>0</v>
      </c>
      <c r="AA175" s="5">
        <f t="shared" si="23"/>
        <v>0.29789261020998914</v>
      </c>
      <c r="AB175" s="5">
        <f t="shared" si="24"/>
        <v>0</v>
      </c>
      <c r="AC175" s="5">
        <f t="shared" si="25"/>
        <v>0</v>
      </c>
      <c r="AD175" s="5">
        <f t="shared" si="26"/>
        <v>0</v>
      </c>
      <c r="AE175" s="5">
        <f t="shared" si="27"/>
        <v>0</v>
      </c>
    </row>
    <row r="176" spans="1:31" x14ac:dyDescent="0.35">
      <c r="A176" t="s">
        <v>22</v>
      </c>
      <c r="B176" t="s">
        <v>73</v>
      </c>
      <c r="C176" t="s">
        <v>50</v>
      </c>
      <c r="D176" t="s">
        <v>24</v>
      </c>
      <c r="E176" t="s">
        <v>24</v>
      </c>
      <c r="F176" t="s">
        <v>27</v>
      </c>
      <c r="G176">
        <v>1993</v>
      </c>
      <c r="H176" t="s">
        <v>24</v>
      </c>
      <c r="I176" t="s">
        <v>24</v>
      </c>
      <c r="J176" t="s">
        <v>24</v>
      </c>
      <c r="K176" t="s">
        <v>24</v>
      </c>
      <c r="N176">
        <v>0.31876137796031001</v>
      </c>
      <c r="U176">
        <v>0.30016909525699498</v>
      </c>
      <c r="W176" s="5">
        <f t="shared" si="19"/>
        <v>0</v>
      </c>
      <c r="X176" s="5">
        <f t="shared" si="20"/>
        <v>0.30601092284189763</v>
      </c>
      <c r="Y176" s="5">
        <f t="shared" si="21"/>
        <v>0</v>
      </c>
      <c r="Z176" s="5">
        <f t="shared" si="22"/>
        <v>0</v>
      </c>
      <c r="AA176" s="5">
        <f t="shared" si="23"/>
        <v>0</v>
      </c>
      <c r="AB176" s="5">
        <f t="shared" si="24"/>
        <v>0</v>
      </c>
      <c r="AC176" s="5">
        <f t="shared" si="25"/>
        <v>0</v>
      </c>
      <c r="AD176" s="5">
        <f t="shared" si="26"/>
        <v>0</v>
      </c>
      <c r="AE176" s="5">
        <f t="shared" si="27"/>
        <v>0.28816233144671516</v>
      </c>
    </row>
    <row r="177" spans="1:31" x14ac:dyDescent="0.35">
      <c r="A177" t="s">
        <v>22</v>
      </c>
      <c r="B177" t="s">
        <v>73</v>
      </c>
      <c r="C177" t="s">
        <v>50</v>
      </c>
      <c r="D177" t="s">
        <v>24</v>
      </c>
      <c r="E177" t="s">
        <v>24</v>
      </c>
      <c r="F177" t="s">
        <v>27</v>
      </c>
      <c r="G177">
        <v>1994</v>
      </c>
      <c r="H177" t="s">
        <v>24</v>
      </c>
      <c r="I177" t="s">
        <v>24</v>
      </c>
      <c r="J177" t="s">
        <v>24</v>
      </c>
      <c r="K177" t="s">
        <v>24</v>
      </c>
      <c r="Q177">
        <v>0.33935704610453798</v>
      </c>
      <c r="W177" s="5">
        <f t="shared" si="19"/>
        <v>0</v>
      </c>
      <c r="X177" s="5">
        <f t="shared" si="20"/>
        <v>0</v>
      </c>
      <c r="Y177" s="5">
        <f t="shared" si="21"/>
        <v>0</v>
      </c>
      <c r="Z177" s="5">
        <f t="shared" si="22"/>
        <v>0</v>
      </c>
      <c r="AA177" s="5">
        <f t="shared" si="23"/>
        <v>0.32578276426035646</v>
      </c>
      <c r="AB177" s="5">
        <f t="shared" si="24"/>
        <v>0</v>
      </c>
      <c r="AC177" s="5">
        <f t="shared" si="25"/>
        <v>0</v>
      </c>
      <c r="AD177" s="5">
        <f t="shared" si="26"/>
        <v>0</v>
      </c>
      <c r="AE177" s="5">
        <f t="shared" si="27"/>
        <v>0</v>
      </c>
    </row>
    <row r="178" spans="1:31" x14ac:dyDescent="0.35">
      <c r="A178" t="s">
        <v>22</v>
      </c>
      <c r="B178" t="s">
        <v>73</v>
      </c>
      <c r="C178" t="s">
        <v>50</v>
      </c>
      <c r="D178" t="s">
        <v>24</v>
      </c>
      <c r="E178" t="s">
        <v>24</v>
      </c>
      <c r="F178" t="s">
        <v>27</v>
      </c>
      <c r="G178">
        <v>1995</v>
      </c>
      <c r="H178" t="s">
        <v>24</v>
      </c>
      <c r="I178" t="s">
        <v>24</v>
      </c>
      <c r="J178" t="s">
        <v>24</v>
      </c>
      <c r="K178" t="s">
        <v>24</v>
      </c>
      <c r="Q178">
        <v>0.30075112593702802</v>
      </c>
      <c r="T178">
        <v>0.27484499481448998</v>
      </c>
      <c r="W178" s="5">
        <f t="shared" si="19"/>
        <v>0</v>
      </c>
      <c r="X178" s="5">
        <f t="shared" si="20"/>
        <v>0</v>
      </c>
      <c r="Y178" s="5">
        <f t="shared" si="21"/>
        <v>0</v>
      </c>
      <c r="Z178" s="5">
        <f t="shared" si="22"/>
        <v>0</v>
      </c>
      <c r="AA178" s="5">
        <f t="shared" si="23"/>
        <v>0.2887210808995469</v>
      </c>
      <c r="AB178" s="5">
        <f t="shared" si="24"/>
        <v>0</v>
      </c>
      <c r="AC178" s="5">
        <f t="shared" si="25"/>
        <v>0</v>
      </c>
      <c r="AD178" s="5">
        <f t="shared" si="26"/>
        <v>0.2638511950219104</v>
      </c>
      <c r="AE178" s="5">
        <f t="shared" si="27"/>
        <v>0</v>
      </c>
    </row>
    <row r="179" spans="1:31" x14ac:dyDescent="0.35">
      <c r="A179" t="s">
        <v>22</v>
      </c>
      <c r="B179" t="s">
        <v>73</v>
      </c>
      <c r="C179" t="s">
        <v>50</v>
      </c>
      <c r="D179" t="s">
        <v>24</v>
      </c>
      <c r="E179" t="s">
        <v>24</v>
      </c>
      <c r="F179" t="s">
        <v>27</v>
      </c>
      <c r="G179">
        <v>1996</v>
      </c>
      <c r="H179" t="s">
        <v>24</v>
      </c>
      <c r="I179" t="s">
        <v>24</v>
      </c>
      <c r="J179" t="s">
        <v>24</v>
      </c>
      <c r="K179" t="s">
        <v>24</v>
      </c>
      <c r="O179">
        <v>0.31628991418690799</v>
      </c>
      <c r="W179" s="5">
        <f t="shared" si="19"/>
        <v>0</v>
      </c>
      <c r="X179" s="5">
        <f t="shared" si="20"/>
        <v>0</v>
      </c>
      <c r="Y179" s="5">
        <f t="shared" si="21"/>
        <v>0.30363831761943166</v>
      </c>
      <c r="Z179" s="5">
        <f t="shared" si="22"/>
        <v>0</v>
      </c>
      <c r="AA179" s="5">
        <f t="shared" si="23"/>
        <v>0</v>
      </c>
      <c r="AB179" s="5">
        <f t="shared" si="24"/>
        <v>0</v>
      </c>
      <c r="AC179" s="5">
        <f t="shared" si="25"/>
        <v>0</v>
      </c>
      <c r="AD179" s="5">
        <f t="shared" si="26"/>
        <v>0</v>
      </c>
      <c r="AE179" s="5">
        <f t="shared" si="27"/>
        <v>0</v>
      </c>
    </row>
    <row r="180" spans="1:31" x14ac:dyDescent="0.35">
      <c r="A180" t="s">
        <v>22</v>
      </c>
      <c r="B180" t="s">
        <v>73</v>
      </c>
      <c r="C180" t="s">
        <v>50</v>
      </c>
      <c r="D180" t="s">
        <v>24</v>
      </c>
      <c r="E180" t="s">
        <v>24</v>
      </c>
      <c r="F180" t="s">
        <v>27</v>
      </c>
      <c r="G180">
        <v>1999</v>
      </c>
      <c r="H180" t="s">
        <v>24</v>
      </c>
      <c r="I180" t="s">
        <v>24</v>
      </c>
      <c r="J180" t="s">
        <v>24</v>
      </c>
      <c r="K180" t="s">
        <v>24</v>
      </c>
      <c r="O180">
        <v>0.33030298622833698</v>
      </c>
      <c r="Q180">
        <v>0.31117292311522099</v>
      </c>
      <c r="W180" s="5">
        <f t="shared" si="19"/>
        <v>0</v>
      </c>
      <c r="X180" s="5">
        <f t="shared" si="20"/>
        <v>0</v>
      </c>
      <c r="Y180" s="5">
        <f t="shared" si="21"/>
        <v>0.31709086677920351</v>
      </c>
      <c r="Z180" s="5">
        <f t="shared" si="22"/>
        <v>0</v>
      </c>
      <c r="AA180" s="5">
        <f t="shared" si="23"/>
        <v>0.29872600619061213</v>
      </c>
      <c r="AB180" s="5">
        <f t="shared" si="24"/>
        <v>0</v>
      </c>
      <c r="AC180" s="5">
        <f t="shared" si="25"/>
        <v>0</v>
      </c>
      <c r="AD180" s="5">
        <f t="shared" si="26"/>
        <v>0</v>
      </c>
      <c r="AE180" s="5">
        <f t="shared" si="27"/>
        <v>0</v>
      </c>
    </row>
    <row r="181" spans="1:31" x14ac:dyDescent="0.35">
      <c r="A181" t="s">
        <v>22</v>
      </c>
      <c r="B181" t="s">
        <v>73</v>
      </c>
      <c r="C181" t="s">
        <v>51</v>
      </c>
      <c r="D181" t="s">
        <v>24</v>
      </c>
      <c r="E181" t="s">
        <v>24</v>
      </c>
      <c r="F181" t="s">
        <v>27</v>
      </c>
      <c r="G181">
        <v>1966</v>
      </c>
      <c r="H181" t="s">
        <v>24</v>
      </c>
      <c r="I181" t="s">
        <v>24</v>
      </c>
      <c r="J181" t="s">
        <v>24</v>
      </c>
      <c r="K181" t="s">
        <v>24</v>
      </c>
      <c r="P181">
        <v>0.29922152533159602</v>
      </c>
      <c r="W181" s="5">
        <f t="shared" si="19"/>
        <v>0</v>
      </c>
      <c r="X181" s="5">
        <f t="shared" si="20"/>
        <v>0</v>
      </c>
      <c r="Y181" s="5">
        <f t="shared" si="21"/>
        <v>0</v>
      </c>
      <c r="Z181" s="5">
        <f t="shared" si="22"/>
        <v>0.28725266431833218</v>
      </c>
      <c r="AA181" s="5">
        <f t="shared" si="23"/>
        <v>0</v>
      </c>
      <c r="AB181" s="5">
        <f t="shared" si="24"/>
        <v>0</v>
      </c>
      <c r="AC181" s="5">
        <f t="shared" si="25"/>
        <v>0</v>
      </c>
      <c r="AD181" s="5">
        <f t="shared" si="26"/>
        <v>0</v>
      </c>
      <c r="AE181" s="5">
        <f t="shared" si="27"/>
        <v>0</v>
      </c>
    </row>
    <row r="182" spans="1:31" x14ac:dyDescent="0.35">
      <c r="A182" t="s">
        <v>22</v>
      </c>
      <c r="B182" t="s">
        <v>73</v>
      </c>
      <c r="C182" t="s">
        <v>51</v>
      </c>
      <c r="D182" t="s">
        <v>24</v>
      </c>
      <c r="E182" t="s">
        <v>24</v>
      </c>
      <c r="F182" t="s">
        <v>27</v>
      </c>
      <c r="G182">
        <v>1970</v>
      </c>
      <c r="H182" t="s">
        <v>24</v>
      </c>
      <c r="I182" t="s">
        <v>24</v>
      </c>
      <c r="J182" t="s">
        <v>24</v>
      </c>
      <c r="K182" t="s">
        <v>24</v>
      </c>
      <c r="P182">
        <v>0.32007525324843</v>
      </c>
      <c r="W182" s="5">
        <f t="shared" si="19"/>
        <v>0</v>
      </c>
      <c r="X182" s="5">
        <f t="shared" si="20"/>
        <v>0</v>
      </c>
      <c r="Y182" s="5">
        <f t="shared" si="21"/>
        <v>0</v>
      </c>
      <c r="Z182" s="5">
        <f t="shared" si="22"/>
        <v>0.30727224311849277</v>
      </c>
      <c r="AA182" s="5">
        <f t="shared" si="23"/>
        <v>0</v>
      </c>
      <c r="AB182" s="5">
        <f t="shared" si="24"/>
        <v>0</v>
      </c>
      <c r="AC182" s="5">
        <f t="shared" si="25"/>
        <v>0</v>
      </c>
      <c r="AD182" s="5">
        <f t="shared" si="26"/>
        <v>0</v>
      </c>
      <c r="AE182" s="5">
        <f t="shared" si="27"/>
        <v>0</v>
      </c>
    </row>
    <row r="183" spans="1:31" x14ac:dyDescent="0.35">
      <c r="A183" t="s">
        <v>22</v>
      </c>
      <c r="B183" t="s">
        <v>73</v>
      </c>
      <c r="C183" t="s">
        <v>51</v>
      </c>
      <c r="D183" t="s">
        <v>24</v>
      </c>
      <c r="E183" t="s">
        <v>24</v>
      </c>
      <c r="F183" t="s">
        <v>27</v>
      </c>
      <c r="G183">
        <v>1971</v>
      </c>
      <c r="H183" t="s">
        <v>24</v>
      </c>
      <c r="I183" t="s">
        <v>24</v>
      </c>
      <c r="J183" t="s">
        <v>24</v>
      </c>
      <c r="K183" t="s">
        <v>24</v>
      </c>
      <c r="S183">
        <v>0.31018291745127902</v>
      </c>
      <c r="W183" s="5">
        <f t="shared" si="19"/>
        <v>0</v>
      </c>
      <c r="X183" s="5">
        <f t="shared" si="20"/>
        <v>0</v>
      </c>
      <c r="Y183" s="5">
        <f t="shared" si="21"/>
        <v>0</v>
      </c>
      <c r="Z183" s="5">
        <f t="shared" si="22"/>
        <v>0</v>
      </c>
      <c r="AA183" s="5">
        <f t="shared" si="23"/>
        <v>0</v>
      </c>
      <c r="AB183" s="5">
        <f t="shared" si="24"/>
        <v>0</v>
      </c>
      <c r="AC183" s="5">
        <f t="shared" si="25"/>
        <v>0.29777560075322784</v>
      </c>
      <c r="AD183" s="5">
        <f t="shared" si="26"/>
        <v>0</v>
      </c>
      <c r="AE183" s="5">
        <f t="shared" si="27"/>
        <v>0</v>
      </c>
    </row>
    <row r="184" spans="1:31" x14ac:dyDescent="0.35">
      <c r="A184" t="s">
        <v>22</v>
      </c>
      <c r="B184" t="s">
        <v>73</v>
      </c>
      <c r="C184" t="s">
        <v>51</v>
      </c>
      <c r="D184" t="s">
        <v>24</v>
      </c>
      <c r="E184" t="s">
        <v>24</v>
      </c>
      <c r="F184" t="s">
        <v>27</v>
      </c>
      <c r="G184">
        <v>1972</v>
      </c>
      <c r="H184" t="s">
        <v>24</v>
      </c>
      <c r="I184" t="s">
        <v>24</v>
      </c>
      <c r="J184" t="s">
        <v>24</v>
      </c>
      <c r="K184" t="s">
        <v>24</v>
      </c>
      <c r="S184">
        <v>0.31216926858306798</v>
      </c>
      <c r="W184" s="5">
        <f t="shared" si="19"/>
        <v>0</v>
      </c>
      <c r="X184" s="5">
        <f t="shared" si="20"/>
        <v>0</v>
      </c>
      <c r="Y184" s="5">
        <f t="shared" si="21"/>
        <v>0</v>
      </c>
      <c r="Z184" s="5">
        <f t="shared" si="22"/>
        <v>0</v>
      </c>
      <c r="AA184" s="5">
        <f t="shared" si="23"/>
        <v>0</v>
      </c>
      <c r="AB184" s="5">
        <f t="shared" si="24"/>
        <v>0</v>
      </c>
      <c r="AC184" s="5">
        <f t="shared" si="25"/>
        <v>0.29968249783974527</v>
      </c>
      <c r="AD184" s="5">
        <f t="shared" si="26"/>
        <v>0</v>
      </c>
      <c r="AE184" s="5">
        <f t="shared" si="27"/>
        <v>0</v>
      </c>
    </row>
    <row r="185" spans="1:31" x14ac:dyDescent="0.35">
      <c r="A185" t="s">
        <v>22</v>
      </c>
      <c r="B185" t="s">
        <v>73</v>
      </c>
      <c r="C185" t="s">
        <v>51</v>
      </c>
      <c r="D185" t="s">
        <v>24</v>
      </c>
      <c r="E185" t="s">
        <v>24</v>
      </c>
      <c r="F185" t="s">
        <v>27</v>
      </c>
      <c r="G185">
        <v>1975</v>
      </c>
      <c r="H185" t="s">
        <v>24</v>
      </c>
      <c r="I185" t="s">
        <v>24</v>
      </c>
      <c r="J185" t="s">
        <v>24</v>
      </c>
      <c r="K185" t="s">
        <v>24</v>
      </c>
      <c r="P185">
        <v>0.30962002312689602</v>
      </c>
      <c r="W185" s="5">
        <f t="shared" si="19"/>
        <v>0</v>
      </c>
      <c r="X185" s="5">
        <f t="shared" si="20"/>
        <v>0</v>
      </c>
      <c r="Y185" s="5">
        <f t="shared" si="21"/>
        <v>0</v>
      </c>
      <c r="Z185" s="5">
        <f t="shared" si="22"/>
        <v>0.29723522220182014</v>
      </c>
      <c r="AA185" s="5">
        <f t="shared" si="23"/>
        <v>0</v>
      </c>
      <c r="AB185" s="5">
        <f t="shared" si="24"/>
        <v>0</v>
      </c>
      <c r="AC185" s="5">
        <f t="shared" si="25"/>
        <v>0</v>
      </c>
      <c r="AD185" s="5">
        <f t="shared" si="26"/>
        <v>0</v>
      </c>
      <c r="AE185" s="5">
        <f t="shared" si="27"/>
        <v>0</v>
      </c>
    </row>
    <row r="186" spans="1:31" x14ac:dyDescent="0.35">
      <c r="A186" t="s">
        <v>22</v>
      </c>
      <c r="B186" t="s">
        <v>73</v>
      </c>
      <c r="C186" t="s">
        <v>51</v>
      </c>
      <c r="D186" t="s">
        <v>24</v>
      </c>
      <c r="E186" t="s">
        <v>24</v>
      </c>
      <c r="F186" t="s">
        <v>27</v>
      </c>
      <c r="G186">
        <v>1977</v>
      </c>
      <c r="H186" t="s">
        <v>24</v>
      </c>
      <c r="I186" t="s">
        <v>24</v>
      </c>
      <c r="J186" t="s">
        <v>24</v>
      </c>
      <c r="K186" t="s">
        <v>24</v>
      </c>
      <c r="P186">
        <v>0.32007525324843</v>
      </c>
      <c r="S186">
        <v>0.29641437412104898</v>
      </c>
      <c r="W186" s="5">
        <f t="shared" si="19"/>
        <v>0</v>
      </c>
      <c r="X186" s="5">
        <f t="shared" si="20"/>
        <v>0</v>
      </c>
      <c r="Y186" s="5">
        <f t="shared" si="21"/>
        <v>0</v>
      </c>
      <c r="Z186" s="5">
        <f t="shared" si="22"/>
        <v>0.30727224311849277</v>
      </c>
      <c r="AA186" s="5">
        <f t="shared" si="23"/>
        <v>0</v>
      </c>
      <c r="AB186" s="5">
        <f t="shared" si="24"/>
        <v>0</v>
      </c>
      <c r="AC186" s="5">
        <f t="shared" si="25"/>
        <v>0.28455779915620699</v>
      </c>
      <c r="AD186" s="5">
        <f t="shared" si="26"/>
        <v>0</v>
      </c>
      <c r="AE186" s="5">
        <f t="shared" si="27"/>
        <v>0</v>
      </c>
    </row>
    <row r="187" spans="1:31" x14ac:dyDescent="0.35">
      <c r="A187" t="s">
        <v>22</v>
      </c>
      <c r="B187" t="s">
        <v>73</v>
      </c>
      <c r="C187" t="s">
        <v>51</v>
      </c>
      <c r="D187" t="s">
        <v>24</v>
      </c>
      <c r="E187" t="s">
        <v>24</v>
      </c>
      <c r="F187" t="s">
        <v>27</v>
      </c>
      <c r="G187">
        <v>1978</v>
      </c>
      <c r="H187" t="s">
        <v>24</v>
      </c>
      <c r="I187" t="s">
        <v>24</v>
      </c>
      <c r="J187" t="s">
        <v>24</v>
      </c>
      <c r="K187" t="s">
        <v>24</v>
      </c>
      <c r="S187">
        <v>0.304617235750894</v>
      </c>
      <c r="W187" s="5">
        <f t="shared" si="19"/>
        <v>0</v>
      </c>
      <c r="X187" s="5">
        <f t="shared" si="20"/>
        <v>0</v>
      </c>
      <c r="Y187" s="5">
        <f t="shared" si="21"/>
        <v>0</v>
      </c>
      <c r="Z187" s="5">
        <f t="shared" si="22"/>
        <v>0</v>
      </c>
      <c r="AA187" s="5">
        <f t="shared" si="23"/>
        <v>0</v>
      </c>
      <c r="AB187" s="5">
        <f t="shared" si="24"/>
        <v>0</v>
      </c>
      <c r="AC187" s="5">
        <f t="shared" si="25"/>
        <v>0.29243254632085824</v>
      </c>
      <c r="AD187" s="5">
        <f t="shared" si="26"/>
        <v>0</v>
      </c>
      <c r="AE187" s="5">
        <f t="shared" si="27"/>
        <v>0</v>
      </c>
    </row>
    <row r="188" spans="1:31" x14ac:dyDescent="0.35">
      <c r="A188" t="s">
        <v>22</v>
      </c>
      <c r="B188" t="s">
        <v>73</v>
      </c>
      <c r="C188" t="s">
        <v>51</v>
      </c>
      <c r="D188" t="s">
        <v>24</v>
      </c>
      <c r="E188" t="s">
        <v>24</v>
      </c>
      <c r="F188" t="s">
        <v>27</v>
      </c>
      <c r="G188">
        <v>1979</v>
      </c>
      <c r="H188" t="s">
        <v>24</v>
      </c>
      <c r="I188" t="s">
        <v>24</v>
      </c>
      <c r="J188" t="s">
        <v>24</v>
      </c>
      <c r="K188" t="s">
        <v>24</v>
      </c>
      <c r="S188">
        <v>0.31642454329390901</v>
      </c>
      <c r="W188" s="5">
        <f t="shared" si="19"/>
        <v>0</v>
      </c>
      <c r="X188" s="5">
        <f t="shared" si="20"/>
        <v>0</v>
      </c>
      <c r="Y188" s="5">
        <f t="shared" si="21"/>
        <v>0</v>
      </c>
      <c r="Z188" s="5">
        <f t="shared" si="22"/>
        <v>0</v>
      </c>
      <c r="AA188" s="5">
        <f t="shared" si="23"/>
        <v>0</v>
      </c>
      <c r="AB188" s="5">
        <f t="shared" si="24"/>
        <v>0</v>
      </c>
      <c r="AC188" s="5">
        <f t="shared" si="25"/>
        <v>0.30376756156215262</v>
      </c>
      <c r="AD188" s="5">
        <f t="shared" si="26"/>
        <v>0</v>
      </c>
      <c r="AE188" s="5">
        <f t="shared" si="27"/>
        <v>0</v>
      </c>
    </row>
    <row r="189" spans="1:31" x14ac:dyDescent="0.35">
      <c r="A189" t="s">
        <v>22</v>
      </c>
      <c r="B189" t="s">
        <v>73</v>
      </c>
      <c r="C189" t="s">
        <v>52</v>
      </c>
      <c r="D189" t="s">
        <v>24</v>
      </c>
      <c r="E189" t="s">
        <v>24</v>
      </c>
      <c r="F189" t="s">
        <v>27</v>
      </c>
      <c r="G189">
        <v>1979</v>
      </c>
      <c r="H189" t="s">
        <v>24</v>
      </c>
      <c r="I189" t="s">
        <v>24</v>
      </c>
      <c r="J189" t="s">
        <v>24</v>
      </c>
      <c r="K189" t="s">
        <v>24</v>
      </c>
      <c r="P189">
        <v>0.30415565334535299</v>
      </c>
      <c r="W189" s="5">
        <f t="shared" si="19"/>
        <v>0</v>
      </c>
      <c r="X189" s="5">
        <f t="shared" si="20"/>
        <v>0</v>
      </c>
      <c r="Y189" s="5">
        <f t="shared" si="21"/>
        <v>0</v>
      </c>
      <c r="Z189" s="5">
        <f t="shared" si="22"/>
        <v>0.29198942721153887</v>
      </c>
      <c r="AA189" s="5">
        <f t="shared" si="23"/>
        <v>0</v>
      </c>
      <c r="AB189" s="5">
        <f t="shared" si="24"/>
        <v>0</v>
      </c>
      <c r="AC189" s="5">
        <f t="shared" si="25"/>
        <v>0</v>
      </c>
      <c r="AD189" s="5">
        <f t="shared" si="26"/>
        <v>0</v>
      </c>
      <c r="AE189" s="5">
        <f t="shared" si="27"/>
        <v>0</v>
      </c>
    </row>
    <row r="190" spans="1:31" x14ac:dyDescent="0.35">
      <c r="A190" t="s">
        <v>22</v>
      </c>
      <c r="B190" t="s">
        <v>73</v>
      </c>
      <c r="C190" t="s">
        <v>52</v>
      </c>
      <c r="D190" t="s">
        <v>24</v>
      </c>
      <c r="E190" t="s">
        <v>24</v>
      </c>
      <c r="F190" t="s">
        <v>27</v>
      </c>
      <c r="G190">
        <v>1980</v>
      </c>
      <c r="H190" t="s">
        <v>24</v>
      </c>
      <c r="I190" t="s">
        <v>24</v>
      </c>
      <c r="J190" t="s">
        <v>24</v>
      </c>
      <c r="K190" t="s">
        <v>24</v>
      </c>
      <c r="T190">
        <v>0.30165508087707898</v>
      </c>
      <c r="W190" s="5">
        <f t="shared" si="19"/>
        <v>0</v>
      </c>
      <c r="X190" s="5">
        <f t="shared" si="20"/>
        <v>0</v>
      </c>
      <c r="Y190" s="5">
        <f t="shared" si="21"/>
        <v>0</v>
      </c>
      <c r="Z190" s="5">
        <f t="shared" si="22"/>
        <v>0</v>
      </c>
      <c r="AA190" s="5">
        <f t="shared" si="23"/>
        <v>0</v>
      </c>
      <c r="AB190" s="5">
        <f t="shared" si="24"/>
        <v>0</v>
      </c>
      <c r="AC190" s="5">
        <f t="shared" si="25"/>
        <v>0</v>
      </c>
      <c r="AD190" s="5">
        <f t="shared" si="26"/>
        <v>0.28958887764199581</v>
      </c>
      <c r="AE190" s="5">
        <f t="shared" si="27"/>
        <v>0</v>
      </c>
    </row>
    <row r="191" spans="1:31" x14ac:dyDescent="0.35">
      <c r="A191" t="s">
        <v>22</v>
      </c>
      <c r="B191" t="s">
        <v>73</v>
      </c>
      <c r="C191" t="s">
        <v>52</v>
      </c>
      <c r="D191" t="s">
        <v>24</v>
      </c>
      <c r="E191" t="s">
        <v>24</v>
      </c>
      <c r="F191" t="s">
        <v>27</v>
      </c>
      <c r="G191">
        <v>1981</v>
      </c>
      <c r="H191" t="s">
        <v>24</v>
      </c>
      <c r="I191" t="s">
        <v>24</v>
      </c>
      <c r="J191" t="s">
        <v>24</v>
      </c>
      <c r="K191" t="s">
        <v>24</v>
      </c>
      <c r="P191">
        <v>0.30540579254801298</v>
      </c>
      <c r="S191">
        <v>0.29864539426584302</v>
      </c>
      <c r="T191">
        <v>0.31154225097064903</v>
      </c>
      <c r="W191" s="5">
        <f t="shared" si="19"/>
        <v>0</v>
      </c>
      <c r="X191" s="5">
        <f t="shared" si="20"/>
        <v>0</v>
      </c>
      <c r="Y191" s="5">
        <f t="shared" si="21"/>
        <v>0</v>
      </c>
      <c r="Z191" s="5">
        <f t="shared" si="22"/>
        <v>0.29318956084609243</v>
      </c>
      <c r="AA191" s="5">
        <f t="shared" si="23"/>
        <v>0</v>
      </c>
      <c r="AB191" s="5">
        <f t="shared" si="24"/>
        <v>0</v>
      </c>
      <c r="AC191" s="5">
        <f t="shared" si="25"/>
        <v>0.28669957849520927</v>
      </c>
      <c r="AD191" s="5">
        <f t="shared" si="26"/>
        <v>0.29908056093182306</v>
      </c>
      <c r="AE191" s="5">
        <f t="shared" si="27"/>
        <v>0</v>
      </c>
    </row>
    <row r="192" spans="1:31" x14ac:dyDescent="0.35">
      <c r="A192" t="s">
        <v>22</v>
      </c>
      <c r="B192" t="s">
        <v>73</v>
      </c>
      <c r="C192" t="s">
        <v>52</v>
      </c>
      <c r="D192" t="s">
        <v>24</v>
      </c>
      <c r="E192" t="s">
        <v>24</v>
      </c>
      <c r="F192" t="s">
        <v>27</v>
      </c>
      <c r="G192">
        <v>1982</v>
      </c>
      <c r="H192" t="s">
        <v>24</v>
      </c>
      <c r="I192" t="s">
        <v>24</v>
      </c>
      <c r="J192" t="s">
        <v>24</v>
      </c>
      <c r="K192" t="s">
        <v>24</v>
      </c>
      <c r="S192">
        <v>0.293583607922354</v>
      </c>
      <c r="T192">
        <v>0.292000879247092</v>
      </c>
      <c r="W192" s="5">
        <f t="shared" si="19"/>
        <v>0</v>
      </c>
      <c r="X192" s="5">
        <f t="shared" si="20"/>
        <v>0</v>
      </c>
      <c r="Y192" s="5">
        <f t="shared" si="21"/>
        <v>0</v>
      </c>
      <c r="Z192" s="5">
        <f t="shared" si="22"/>
        <v>0</v>
      </c>
      <c r="AA192" s="5">
        <f t="shared" si="23"/>
        <v>0</v>
      </c>
      <c r="AB192" s="5">
        <f t="shared" si="24"/>
        <v>0</v>
      </c>
      <c r="AC192" s="5">
        <f t="shared" si="25"/>
        <v>0.28184026360545983</v>
      </c>
      <c r="AD192" s="5">
        <f t="shared" si="26"/>
        <v>0.28032084407720831</v>
      </c>
      <c r="AE192" s="5">
        <f t="shared" si="27"/>
        <v>0</v>
      </c>
    </row>
    <row r="193" spans="1:31" x14ac:dyDescent="0.35">
      <c r="A193" t="s">
        <v>22</v>
      </c>
      <c r="B193" t="s">
        <v>73</v>
      </c>
      <c r="C193" t="s">
        <v>52</v>
      </c>
      <c r="D193" t="s">
        <v>24</v>
      </c>
      <c r="E193" t="s">
        <v>24</v>
      </c>
      <c r="F193" t="s">
        <v>27</v>
      </c>
      <c r="G193">
        <v>1984</v>
      </c>
      <c r="H193" t="s">
        <v>24</v>
      </c>
      <c r="I193" t="s">
        <v>24</v>
      </c>
      <c r="J193" t="s">
        <v>24</v>
      </c>
      <c r="K193" t="s">
        <v>24</v>
      </c>
      <c r="P193">
        <v>0.31054989760479801</v>
      </c>
      <c r="W193" s="5">
        <f t="shared" si="19"/>
        <v>0</v>
      </c>
      <c r="X193" s="5">
        <f t="shared" si="20"/>
        <v>0</v>
      </c>
      <c r="Y193" s="5">
        <f t="shared" si="21"/>
        <v>0</v>
      </c>
      <c r="Z193" s="5">
        <f t="shared" si="22"/>
        <v>0.2981279017006061</v>
      </c>
      <c r="AA193" s="5">
        <f t="shared" si="23"/>
        <v>0</v>
      </c>
      <c r="AB193" s="5">
        <f t="shared" si="24"/>
        <v>0</v>
      </c>
      <c r="AC193" s="5">
        <f t="shared" si="25"/>
        <v>0</v>
      </c>
      <c r="AD193" s="5">
        <f t="shared" si="26"/>
        <v>0</v>
      </c>
      <c r="AE193" s="5">
        <f t="shared" si="27"/>
        <v>0</v>
      </c>
    </row>
    <row r="194" spans="1:31" x14ac:dyDescent="0.35">
      <c r="A194" t="s">
        <v>22</v>
      </c>
      <c r="B194" t="s">
        <v>73</v>
      </c>
      <c r="C194" t="s">
        <v>52</v>
      </c>
      <c r="D194" t="s">
        <v>24</v>
      </c>
      <c r="E194" t="s">
        <v>24</v>
      </c>
      <c r="F194" t="s">
        <v>27</v>
      </c>
      <c r="G194">
        <v>1985</v>
      </c>
      <c r="H194" t="s">
        <v>24</v>
      </c>
      <c r="I194" t="s">
        <v>24</v>
      </c>
      <c r="J194" t="s">
        <v>24</v>
      </c>
      <c r="K194" t="s">
        <v>24</v>
      </c>
      <c r="S194">
        <v>0.32916318049065102</v>
      </c>
      <c r="W194" s="5">
        <f t="shared" si="19"/>
        <v>0</v>
      </c>
      <c r="X194" s="5">
        <f t="shared" si="20"/>
        <v>0</v>
      </c>
      <c r="Y194" s="5">
        <f t="shared" si="21"/>
        <v>0</v>
      </c>
      <c r="Z194" s="5">
        <f t="shared" si="22"/>
        <v>0</v>
      </c>
      <c r="AA194" s="5">
        <f t="shared" si="23"/>
        <v>0</v>
      </c>
      <c r="AB194" s="5">
        <f t="shared" si="24"/>
        <v>0</v>
      </c>
      <c r="AC194" s="5">
        <f t="shared" si="25"/>
        <v>0.31599665327102494</v>
      </c>
      <c r="AD194" s="5">
        <f t="shared" si="26"/>
        <v>0</v>
      </c>
      <c r="AE194" s="5">
        <f t="shared" si="27"/>
        <v>0</v>
      </c>
    </row>
    <row r="195" spans="1:31" x14ac:dyDescent="0.35">
      <c r="A195" t="s">
        <v>22</v>
      </c>
      <c r="B195" t="s">
        <v>73</v>
      </c>
      <c r="C195" t="s">
        <v>52</v>
      </c>
      <c r="D195" t="s">
        <v>24</v>
      </c>
      <c r="E195" t="s">
        <v>24</v>
      </c>
      <c r="F195" t="s">
        <v>27</v>
      </c>
      <c r="G195">
        <v>1986</v>
      </c>
      <c r="H195" t="s">
        <v>24</v>
      </c>
      <c r="I195" t="s">
        <v>24</v>
      </c>
      <c r="J195" t="s">
        <v>24</v>
      </c>
      <c r="K195" t="s">
        <v>24</v>
      </c>
      <c r="P195">
        <v>0.304508502131137</v>
      </c>
      <c r="S195">
        <v>0.329639141353401</v>
      </c>
      <c r="W195" s="5">
        <f t="shared" si="19"/>
        <v>0</v>
      </c>
      <c r="X195" s="5">
        <f t="shared" si="20"/>
        <v>0</v>
      </c>
      <c r="Y195" s="5">
        <f t="shared" si="21"/>
        <v>0</v>
      </c>
      <c r="Z195" s="5">
        <f t="shared" si="22"/>
        <v>0.29232816204589152</v>
      </c>
      <c r="AA195" s="5">
        <f t="shared" si="23"/>
        <v>0</v>
      </c>
      <c r="AB195" s="5">
        <f t="shared" si="24"/>
        <v>0</v>
      </c>
      <c r="AC195" s="5">
        <f t="shared" si="25"/>
        <v>0.31645357569926497</v>
      </c>
      <c r="AD195" s="5">
        <f t="shared" si="26"/>
        <v>0</v>
      </c>
      <c r="AE195" s="5">
        <f t="shared" si="27"/>
        <v>0</v>
      </c>
    </row>
    <row r="196" spans="1:31" x14ac:dyDescent="0.35">
      <c r="A196" t="s">
        <v>22</v>
      </c>
      <c r="B196" t="s">
        <v>73</v>
      </c>
      <c r="C196" t="s">
        <v>52</v>
      </c>
      <c r="D196" t="s">
        <v>24</v>
      </c>
      <c r="E196" t="s">
        <v>24</v>
      </c>
      <c r="F196" t="s">
        <v>27</v>
      </c>
      <c r="G196">
        <v>1990</v>
      </c>
      <c r="H196" t="s">
        <v>24</v>
      </c>
      <c r="I196" t="s">
        <v>24</v>
      </c>
      <c r="J196" t="s">
        <v>24</v>
      </c>
      <c r="K196" t="s">
        <v>24</v>
      </c>
      <c r="S196">
        <v>0.35930528323486499</v>
      </c>
      <c r="W196" s="5">
        <f t="shared" si="19"/>
        <v>0</v>
      </c>
      <c r="X196" s="5">
        <f t="shared" si="20"/>
        <v>0</v>
      </c>
      <c r="Y196" s="5">
        <f t="shared" si="21"/>
        <v>0</v>
      </c>
      <c r="Z196" s="5">
        <f t="shared" si="22"/>
        <v>0</v>
      </c>
      <c r="AA196" s="5">
        <f t="shared" si="23"/>
        <v>0</v>
      </c>
      <c r="AB196" s="5">
        <f t="shared" si="24"/>
        <v>0</v>
      </c>
      <c r="AC196" s="5">
        <f t="shared" si="25"/>
        <v>0.3449330719054704</v>
      </c>
      <c r="AD196" s="5">
        <f t="shared" si="26"/>
        <v>0</v>
      </c>
      <c r="AE196" s="5">
        <f t="shared" si="27"/>
        <v>0</v>
      </c>
    </row>
    <row r="197" spans="1:31" x14ac:dyDescent="0.35">
      <c r="A197" t="s">
        <v>22</v>
      </c>
      <c r="B197" t="s">
        <v>73</v>
      </c>
      <c r="C197" t="s">
        <v>52</v>
      </c>
      <c r="D197" t="s">
        <v>24</v>
      </c>
      <c r="E197" t="s">
        <v>24</v>
      </c>
      <c r="F197" t="s">
        <v>27</v>
      </c>
      <c r="G197">
        <v>1991</v>
      </c>
      <c r="H197" t="s">
        <v>24</v>
      </c>
      <c r="I197" t="s">
        <v>24</v>
      </c>
      <c r="J197" t="s">
        <v>24</v>
      </c>
      <c r="K197" t="s">
        <v>24</v>
      </c>
      <c r="S197">
        <v>0.329247614326661</v>
      </c>
      <c r="W197" s="5">
        <f t="shared" si="19"/>
        <v>0</v>
      </c>
      <c r="X197" s="5">
        <f t="shared" si="20"/>
        <v>0</v>
      </c>
      <c r="Y197" s="5">
        <f t="shared" si="21"/>
        <v>0</v>
      </c>
      <c r="Z197" s="5">
        <f t="shared" si="22"/>
        <v>0</v>
      </c>
      <c r="AA197" s="5">
        <f t="shared" si="23"/>
        <v>0</v>
      </c>
      <c r="AB197" s="5">
        <f t="shared" si="24"/>
        <v>0</v>
      </c>
      <c r="AC197" s="5">
        <f t="shared" si="25"/>
        <v>0.31607770975359456</v>
      </c>
      <c r="AD197" s="5">
        <f t="shared" si="26"/>
        <v>0</v>
      </c>
      <c r="AE197" s="5">
        <f t="shared" si="27"/>
        <v>0</v>
      </c>
    </row>
    <row r="198" spans="1:31" x14ac:dyDescent="0.35">
      <c r="A198" t="s">
        <v>22</v>
      </c>
      <c r="B198" t="s">
        <v>73</v>
      </c>
      <c r="C198" t="s">
        <v>52</v>
      </c>
      <c r="D198" t="s">
        <v>24</v>
      </c>
      <c r="E198" t="s">
        <v>24</v>
      </c>
      <c r="F198" t="s">
        <v>27</v>
      </c>
      <c r="G198">
        <v>2002</v>
      </c>
      <c r="H198" t="s">
        <v>24</v>
      </c>
      <c r="I198" t="s">
        <v>24</v>
      </c>
      <c r="J198" t="s">
        <v>24</v>
      </c>
      <c r="K198" t="s">
        <v>24</v>
      </c>
      <c r="R198">
        <v>0.340706086492435</v>
      </c>
      <c r="W198" s="5">
        <f t="shared" si="19"/>
        <v>0</v>
      </c>
      <c r="X198" s="5">
        <f t="shared" si="20"/>
        <v>0</v>
      </c>
      <c r="Y198" s="5">
        <f t="shared" si="21"/>
        <v>0</v>
      </c>
      <c r="Z198" s="5">
        <f t="shared" si="22"/>
        <v>0</v>
      </c>
      <c r="AA198" s="5">
        <f t="shared" si="23"/>
        <v>0</v>
      </c>
      <c r="AB198" s="5">
        <f t="shared" si="24"/>
        <v>0.32707784303273757</v>
      </c>
      <c r="AC198" s="5">
        <f t="shared" si="25"/>
        <v>0</v>
      </c>
      <c r="AD198" s="5">
        <f t="shared" si="26"/>
        <v>0</v>
      </c>
      <c r="AE198" s="5">
        <f t="shared" si="27"/>
        <v>0</v>
      </c>
    </row>
    <row r="199" spans="1:31" x14ac:dyDescent="0.35">
      <c r="A199" t="s">
        <v>22</v>
      </c>
      <c r="B199" t="s">
        <v>73</v>
      </c>
      <c r="C199" t="s">
        <v>53</v>
      </c>
      <c r="D199" t="s">
        <v>24</v>
      </c>
      <c r="E199" t="s">
        <v>24</v>
      </c>
      <c r="F199" t="s">
        <v>27</v>
      </c>
      <c r="G199">
        <v>1954</v>
      </c>
      <c r="H199" t="s">
        <v>24</v>
      </c>
      <c r="I199" t="s">
        <v>24</v>
      </c>
      <c r="J199" t="s">
        <v>24</v>
      </c>
      <c r="K199" t="s">
        <v>24</v>
      </c>
      <c r="P199">
        <v>0.28471608467930898</v>
      </c>
      <c r="W199" s="5">
        <f t="shared" si="19"/>
        <v>0</v>
      </c>
      <c r="X199" s="5">
        <f t="shared" si="20"/>
        <v>0</v>
      </c>
      <c r="Y199" s="5">
        <f t="shared" si="21"/>
        <v>0</v>
      </c>
      <c r="Z199" s="5">
        <f t="shared" si="22"/>
        <v>0.2733274412921366</v>
      </c>
      <c r="AA199" s="5">
        <f t="shared" si="23"/>
        <v>0</v>
      </c>
      <c r="AB199" s="5">
        <f t="shared" si="24"/>
        <v>0</v>
      </c>
      <c r="AC199" s="5">
        <f t="shared" si="25"/>
        <v>0</v>
      </c>
      <c r="AD199" s="5">
        <f t="shared" si="26"/>
        <v>0</v>
      </c>
      <c r="AE199" s="5">
        <f t="shared" si="27"/>
        <v>0</v>
      </c>
    </row>
    <row r="200" spans="1:31" x14ac:dyDescent="0.35">
      <c r="A200" t="s">
        <v>22</v>
      </c>
      <c r="B200" t="s">
        <v>73</v>
      </c>
      <c r="C200" t="s">
        <v>53</v>
      </c>
      <c r="D200" t="s">
        <v>24</v>
      </c>
      <c r="E200" t="s">
        <v>24</v>
      </c>
      <c r="F200" t="s">
        <v>27</v>
      </c>
      <c r="G200">
        <v>1958</v>
      </c>
      <c r="H200" t="s">
        <v>24</v>
      </c>
      <c r="I200" t="s">
        <v>24</v>
      </c>
      <c r="J200" t="s">
        <v>24</v>
      </c>
      <c r="K200" t="s">
        <v>24</v>
      </c>
      <c r="T200">
        <v>0.24750288495550299</v>
      </c>
      <c r="W200" s="5">
        <f t="shared" si="19"/>
        <v>0</v>
      </c>
      <c r="X200" s="5">
        <f t="shared" si="20"/>
        <v>0</v>
      </c>
      <c r="Y200" s="5">
        <f t="shared" si="21"/>
        <v>0</v>
      </c>
      <c r="Z200" s="5">
        <f t="shared" si="22"/>
        <v>0</v>
      </c>
      <c r="AA200" s="5">
        <f t="shared" si="23"/>
        <v>0</v>
      </c>
      <c r="AB200" s="5">
        <f t="shared" si="24"/>
        <v>0</v>
      </c>
      <c r="AC200" s="5">
        <f t="shared" si="25"/>
        <v>0</v>
      </c>
      <c r="AD200" s="5">
        <f t="shared" si="26"/>
        <v>0.23760276955728285</v>
      </c>
      <c r="AE200" s="5">
        <f t="shared" si="27"/>
        <v>0</v>
      </c>
    </row>
    <row r="201" spans="1:31" x14ac:dyDescent="0.35">
      <c r="A201" t="s">
        <v>22</v>
      </c>
      <c r="B201" t="s">
        <v>73</v>
      </c>
      <c r="C201" t="s">
        <v>53</v>
      </c>
      <c r="D201" t="s">
        <v>24</v>
      </c>
      <c r="E201" t="s">
        <v>24</v>
      </c>
      <c r="F201" t="s">
        <v>27</v>
      </c>
      <c r="G201">
        <v>1963</v>
      </c>
      <c r="H201" t="s">
        <v>24</v>
      </c>
      <c r="I201" t="s">
        <v>24</v>
      </c>
      <c r="J201" t="s">
        <v>24</v>
      </c>
      <c r="K201" t="s">
        <v>24</v>
      </c>
      <c r="P201">
        <v>0.29969456129294902</v>
      </c>
      <c r="W201" s="5">
        <f t="shared" si="19"/>
        <v>0</v>
      </c>
      <c r="X201" s="5">
        <f t="shared" si="20"/>
        <v>0</v>
      </c>
      <c r="Y201" s="5">
        <f t="shared" si="21"/>
        <v>0</v>
      </c>
      <c r="Z201" s="5">
        <f t="shared" si="22"/>
        <v>0.28770677884123103</v>
      </c>
      <c r="AA201" s="5">
        <f t="shared" si="23"/>
        <v>0</v>
      </c>
      <c r="AB201" s="5">
        <f t="shared" si="24"/>
        <v>0</v>
      </c>
      <c r="AC201" s="5">
        <f t="shared" si="25"/>
        <v>0</v>
      </c>
      <c r="AD201" s="5">
        <f t="shared" si="26"/>
        <v>0</v>
      </c>
      <c r="AE201" s="5">
        <f t="shared" si="27"/>
        <v>0</v>
      </c>
    </row>
    <row r="202" spans="1:31" x14ac:dyDescent="0.35">
      <c r="A202" t="s">
        <v>22</v>
      </c>
      <c r="B202" t="s">
        <v>73</v>
      </c>
      <c r="C202" t="s">
        <v>55</v>
      </c>
      <c r="D202" t="s">
        <v>24</v>
      </c>
      <c r="E202" t="s">
        <v>24</v>
      </c>
      <c r="F202" t="s">
        <v>27</v>
      </c>
      <c r="G202">
        <v>1951</v>
      </c>
      <c r="H202" t="s">
        <v>24</v>
      </c>
      <c r="I202" t="s">
        <v>24</v>
      </c>
      <c r="J202" t="s">
        <v>24</v>
      </c>
      <c r="K202" t="s">
        <v>24</v>
      </c>
      <c r="R202">
        <v>0.28538281131400201</v>
      </c>
      <c r="W202" s="5">
        <f t="shared" si="19"/>
        <v>0</v>
      </c>
      <c r="X202" s="5">
        <f t="shared" si="20"/>
        <v>0</v>
      </c>
      <c r="Y202" s="5">
        <f t="shared" si="21"/>
        <v>0</v>
      </c>
      <c r="Z202" s="5">
        <f t="shared" si="22"/>
        <v>0</v>
      </c>
      <c r="AA202" s="5">
        <f t="shared" si="23"/>
        <v>0</v>
      </c>
      <c r="AB202" s="5">
        <f t="shared" si="24"/>
        <v>0.27396749886144189</v>
      </c>
      <c r="AC202" s="5">
        <f t="shared" si="25"/>
        <v>0</v>
      </c>
      <c r="AD202" s="5">
        <f t="shared" si="26"/>
        <v>0</v>
      </c>
      <c r="AE202" s="5">
        <f t="shared" si="27"/>
        <v>0</v>
      </c>
    </row>
    <row r="203" spans="1:31" x14ac:dyDescent="0.35">
      <c r="A203" t="s">
        <v>22</v>
      </c>
      <c r="B203" t="s">
        <v>73</v>
      </c>
      <c r="C203" t="s">
        <v>55</v>
      </c>
      <c r="D203" t="s">
        <v>24</v>
      </c>
      <c r="E203" t="s">
        <v>24</v>
      </c>
      <c r="F203" t="s">
        <v>27</v>
      </c>
      <c r="G203">
        <v>1952</v>
      </c>
      <c r="H203" t="s">
        <v>24</v>
      </c>
      <c r="I203" t="s">
        <v>24</v>
      </c>
      <c r="J203" t="s">
        <v>24</v>
      </c>
      <c r="K203" t="s">
        <v>24</v>
      </c>
      <c r="O203">
        <v>0.318556848058827</v>
      </c>
      <c r="R203">
        <v>0.29294510873213803</v>
      </c>
      <c r="W203" s="5">
        <f t="shared" si="19"/>
        <v>0</v>
      </c>
      <c r="X203" s="5">
        <f t="shared" si="20"/>
        <v>0</v>
      </c>
      <c r="Y203" s="5">
        <f t="shared" si="21"/>
        <v>0.30581457413647389</v>
      </c>
      <c r="Z203" s="5">
        <f t="shared" si="22"/>
        <v>0</v>
      </c>
      <c r="AA203" s="5">
        <f t="shared" si="23"/>
        <v>0</v>
      </c>
      <c r="AB203" s="5">
        <f t="shared" si="24"/>
        <v>0.28122730438285248</v>
      </c>
      <c r="AC203" s="5">
        <f t="shared" si="25"/>
        <v>0</v>
      </c>
      <c r="AD203" s="5">
        <f t="shared" si="26"/>
        <v>0</v>
      </c>
      <c r="AE203" s="5">
        <f t="shared" si="27"/>
        <v>0</v>
      </c>
    </row>
    <row r="204" spans="1:31" x14ac:dyDescent="0.35">
      <c r="A204" t="s">
        <v>22</v>
      </c>
      <c r="B204" t="s">
        <v>73</v>
      </c>
      <c r="C204" t="s">
        <v>55</v>
      </c>
      <c r="D204" t="s">
        <v>24</v>
      </c>
      <c r="E204" t="s">
        <v>24</v>
      </c>
      <c r="F204" t="s">
        <v>27</v>
      </c>
      <c r="G204">
        <v>1953</v>
      </c>
      <c r="H204" t="s">
        <v>24</v>
      </c>
      <c r="I204" t="s">
        <v>24</v>
      </c>
      <c r="J204" t="s">
        <v>24</v>
      </c>
      <c r="K204" t="s">
        <v>24</v>
      </c>
      <c r="O204">
        <v>0.31526469992193301</v>
      </c>
      <c r="P204">
        <v>0.291501988286478</v>
      </c>
      <c r="R204">
        <v>0.30933934139076402</v>
      </c>
      <c r="W204" s="5">
        <f t="shared" si="19"/>
        <v>0</v>
      </c>
      <c r="X204" s="5">
        <f t="shared" si="20"/>
        <v>0</v>
      </c>
      <c r="Y204" s="5">
        <f t="shared" si="21"/>
        <v>0.3026541119250557</v>
      </c>
      <c r="Z204" s="5">
        <f t="shared" si="22"/>
        <v>0.27984190875501885</v>
      </c>
      <c r="AA204" s="5">
        <f t="shared" si="23"/>
        <v>0</v>
      </c>
      <c r="AB204" s="5">
        <f t="shared" si="24"/>
        <v>0.29696576773513345</v>
      </c>
      <c r="AC204" s="5">
        <f t="shared" si="25"/>
        <v>0</v>
      </c>
      <c r="AD204" s="5">
        <f t="shared" si="26"/>
        <v>0</v>
      </c>
      <c r="AE204" s="5">
        <f t="shared" si="27"/>
        <v>0</v>
      </c>
    </row>
    <row r="205" spans="1:31" x14ac:dyDescent="0.35">
      <c r="A205" t="s">
        <v>22</v>
      </c>
      <c r="B205" t="s">
        <v>73</v>
      </c>
      <c r="C205" t="s">
        <v>55</v>
      </c>
      <c r="D205" t="s">
        <v>24</v>
      </c>
      <c r="E205" t="s">
        <v>24</v>
      </c>
      <c r="F205" t="s">
        <v>27</v>
      </c>
      <c r="G205">
        <v>1954</v>
      </c>
      <c r="H205" t="s">
        <v>24</v>
      </c>
      <c r="I205" t="s">
        <v>24</v>
      </c>
      <c r="J205" t="s">
        <v>24</v>
      </c>
      <c r="K205" t="s">
        <v>24</v>
      </c>
      <c r="O205">
        <v>0.31683980166016001</v>
      </c>
      <c r="P205">
        <v>0.300327607365034</v>
      </c>
      <c r="W205" s="5">
        <f t="shared" si="19"/>
        <v>0</v>
      </c>
      <c r="X205" s="5">
        <f t="shared" si="20"/>
        <v>0</v>
      </c>
      <c r="Y205" s="5">
        <f t="shared" si="21"/>
        <v>0.30416620959375362</v>
      </c>
      <c r="Z205" s="5">
        <f t="shared" si="22"/>
        <v>0.2883145030704326</v>
      </c>
      <c r="AA205" s="5">
        <f t="shared" si="23"/>
        <v>0</v>
      </c>
      <c r="AB205" s="5">
        <f t="shared" si="24"/>
        <v>0</v>
      </c>
      <c r="AC205" s="5">
        <f t="shared" si="25"/>
        <v>0</v>
      </c>
      <c r="AD205" s="5">
        <f t="shared" si="26"/>
        <v>0</v>
      </c>
      <c r="AE205" s="5">
        <f t="shared" si="27"/>
        <v>0</v>
      </c>
    </row>
    <row r="206" spans="1:31" x14ac:dyDescent="0.35">
      <c r="A206" t="s">
        <v>22</v>
      </c>
      <c r="B206" t="s">
        <v>73</v>
      </c>
      <c r="C206" t="s">
        <v>55</v>
      </c>
      <c r="D206" t="s">
        <v>24</v>
      </c>
      <c r="E206" t="s">
        <v>24</v>
      </c>
      <c r="F206" t="s">
        <v>27</v>
      </c>
      <c r="G206">
        <v>1955</v>
      </c>
      <c r="H206" t="s">
        <v>24</v>
      </c>
      <c r="I206" t="s">
        <v>24</v>
      </c>
      <c r="J206" t="s">
        <v>24</v>
      </c>
      <c r="K206" t="s">
        <v>24</v>
      </c>
      <c r="O206">
        <v>0.32195473368946398</v>
      </c>
      <c r="W206" s="5">
        <f t="shared" si="19"/>
        <v>0</v>
      </c>
      <c r="X206" s="5">
        <f t="shared" si="20"/>
        <v>0</v>
      </c>
      <c r="Y206" s="5">
        <f t="shared" si="21"/>
        <v>0.30907654434188542</v>
      </c>
      <c r="Z206" s="5">
        <f t="shared" si="22"/>
        <v>0</v>
      </c>
      <c r="AA206" s="5">
        <f t="shared" si="23"/>
        <v>0</v>
      </c>
      <c r="AB206" s="5">
        <f t="shared" si="24"/>
        <v>0</v>
      </c>
      <c r="AC206" s="5">
        <f t="shared" si="25"/>
        <v>0</v>
      </c>
      <c r="AD206" s="5">
        <f t="shared" si="26"/>
        <v>0</v>
      </c>
      <c r="AE206" s="5">
        <f t="shared" si="27"/>
        <v>0</v>
      </c>
    </row>
    <row r="207" spans="1:31" x14ac:dyDescent="0.35">
      <c r="A207" t="s">
        <v>22</v>
      </c>
      <c r="B207" t="s">
        <v>73</v>
      </c>
      <c r="C207" t="s">
        <v>55</v>
      </c>
      <c r="D207" t="s">
        <v>24</v>
      </c>
      <c r="E207" t="s">
        <v>24</v>
      </c>
      <c r="F207" t="s">
        <v>27</v>
      </c>
      <c r="G207">
        <v>1956</v>
      </c>
      <c r="H207" t="s">
        <v>24</v>
      </c>
      <c r="I207" t="s">
        <v>24</v>
      </c>
      <c r="J207" t="s">
        <v>24</v>
      </c>
      <c r="K207" t="s">
        <v>24</v>
      </c>
      <c r="O207">
        <v>0.32648032326333498</v>
      </c>
      <c r="R207">
        <v>0.34791214058742997</v>
      </c>
      <c r="W207" s="5">
        <f t="shared" ref="W207:W222" si="28">M207*$W$2</f>
        <v>0</v>
      </c>
      <c r="X207" s="5">
        <f t="shared" ref="X207:X270" si="29">N207*$W$2</f>
        <v>0</v>
      </c>
      <c r="Y207" s="5">
        <f t="shared" ref="Y207:Y270" si="30">O207*$W$2</f>
        <v>0.31342111033280157</v>
      </c>
      <c r="Z207" s="5">
        <f t="shared" ref="Z207:Z270" si="31">P207*$W$2</f>
        <v>0</v>
      </c>
      <c r="AA207" s="5">
        <f t="shared" ref="AA207:AA270" si="32">Q207*$W$2</f>
        <v>0</v>
      </c>
      <c r="AB207" s="5">
        <f t="shared" ref="AB207:AB270" si="33">R207*$W$2</f>
        <v>0.33399565496393274</v>
      </c>
      <c r="AC207" s="5">
        <f t="shared" ref="AC207:AC270" si="34">S207*$W$2</f>
        <v>0</v>
      </c>
      <c r="AD207" s="5">
        <f t="shared" ref="AD207:AD270" si="35">T207*$W$2</f>
        <v>0</v>
      </c>
      <c r="AE207" s="5">
        <f t="shared" ref="AE207:AE270" si="36">U207*$W$2</f>
        <v>0</v>
      </c>
    </row>
    <row r="208" spans="1:31" x14ac:dyDescent="0.35">
      <c r="A208" t="s">
        <v>22</v>
      </c>
      <c r="B208" t="s">
        <v>73</v>
      </c>
      <c r="C208" t="s">
        <v>55</v>
      </c>
      <c r="D208" t="s">
        <v>24</v>
      </c>
      <c r="E208" t="s">
        <v>24</v>
      </c>
      <c r="F208" t="s">
        <v>27</v>
      </c>
      <c r="G208">
        <v>1957</v>
      </c>
      <c r="H208" t="s">
        <v>24</v>
      </c>
      <c r="I208" t="s">
        <v>24</v>
      </c>
      <c r="J208" t="s">
        <v>24</v>
      </c>
      <c r="K208" t="s">
        <v>24</v>
      </c>
      <c r="N208">
        <v>0.332261175743088</v>
      </c>
      <c r="O208">
        <v>0.33706218032211699</v>
      </c>
      <c r="P208">
        <v>0.295234666454535</v>
      </c>
      <c r="R208">
        <v>0.34791214058742997</v>
      </c>
      <c r="W208" s="5">
        <f t="shared" si="28"/>
        <v>0</v>
      </c>
      <c r="X208" s="5">
        <f t="shared" si="29"/>
        <v>0.31897072871336446</v>
      </c>
      <c r="Y208" s="5">
        <f t="shared" si="30"/>
        <v>0.32357969310923229</v>
      </c>
      <c r="Z208" s="5">
        <f t="shared" si="31"/>
        <v>0.28342527979635357</v>
      </c>
      <c r="AA208" s="5">
        <f t="shared" si="32"/>
        <v>0</v>
      </c>
      <c r="AB208" s="5">
        <f t="shared" si="33"/>
        <v>0.33399565496393274</v>
      </c>
      <c r="AC208" s="5">
        <f t="shared" si="34"/>
        <v>0</v>
      </c>
      <c r="AD208" s="5">
        <f t="shared" si="35"/>
        <v>0</v>
      </c>
      <c r="AE208" s="5">
        <f t="shared" si="36"/>
        <v>0</v>
      </c>
    </row>
    <row r="209" spans="1:31" x14ac:dyDescent="0.35">
      <c r="A209" t="s">
        <v>22</v>
      </c>
      <c r="B209" t="s">
        <v>73</v>
      </c>
      <c r="C209" t="s">
        <v>55</v>
      </c>
      <c r="D209" t="s">
        <v>24</v>
      </c>
      <c r="E209" t="s">
        <v>24</v>
      </c>
      <c r="F209" t="s">
        <v>27</v>
      </c>
      <c r="G209">
        <v>1958</v>
      </c>
      <c r="H209" t="s">
        <v>24</v>
      </c>
      <c r="I209" t="s">
        <v>24</v>
      </c>
      <c r="J209" t="s">
        <v>24</v>
      </c>
      <c r="K209" t="s">
        <v>24</v>
      </c>
      <c r="N209">
        <v>0.332261175743088</v>
      </c>
      <c r="O209">
        <v>0.31831599262028698</v>
      </c>
      <c r="P209">
        <v>0.29145219293487501</v>
      </c>
      <c r="R209">
        <v>0.32043593528796299</v>
      </c>
      <c r="W209" s="5">
        <f t="shared" si="28"/>
        <v>0</v>
      </c>
      <c r="X209" s="5">
        <f t="shared" si="29"/>
        <v>0.31897072871336446</v>
      </c>
      <c r="Y209" s="5">
        <f t="shared" si="30"/>
        <v>0.3055833529154755</v>
      </c>
      <c r="Z209" s="5">
        <f t="shared" si="31"/>
        <v>0.27979410521747999</v>
      </c>
      <c r="AA209" s="5">
        <f t="shared" si="32"/>
        <v>0</v>
      </c>
      <c r="AB209" s="5">
        <f t="shared" si="33"/>
        <v>0.30761849787644446</v>
      </c>
      <c r="AC209" s="5">
        <f t="shared" si="34"/>
        <v>0</v>
      </c>
      <c r="AD209" s="5">
        <f t="shared" si="35"/>
        <v>0</v>
      </c>
      <c r="AE209" s="5">
        <f t="shared" si="36"/>
        <v>0</v>
      </c>
    </row>
    <row r="210" spans="1:31" x14ac:dyDescent="0.35">
      <c r="A210" t="s">
        <v>22</v>
      </c>
      <c r="B210" t="s">
        <v>73</v>
      </c>
      <c r="C210" t="s">
        <v>55</v>
      </c>
      <c r="D210" t="s">
        <v>24</v>
      </c>
      <c r="E210" t="s">
        <v>24</v>
      </c>
      <c r="F210" t="s">
        <v>27</v>
      </c>
      <c r="G210">
        <v>1959</v>
      </c>
      <c r="H210" t="s">
        <v>24</v>
      </c>
      <c r="I210" t="s">
        <v>24</v>
      </c>
      <c r="J210" t="s">
        <v>24</v>
      </c>
      <c r="K210" t="s">
        <v>24</v>
      </c>
      <c r="N210">
        <v>0.33444303389998198</v>
      </c>
      <c r="O210">
        <v>0.32227297189632298</v>
      </c>
      <c r="P210">
        <v>0.30706894840309401</v>
      </c>
      <c r="R210">
        <v>0.33395834408453401</v>
      </c>
      <c r="T210">
        <v>0.30683757621941299</v>
      </c>
      <c r="W210" s="5">
        <f t="shared" si="28"/>
        <v>0</v>
      </c>
      <c r="X210" s="5">
        <f t="shared" si="29"/>
        <v>0.32106531254398268</v>
      </c>
      <c r="Y210" s="5">
        <f t="shared" si="30"/>
        <v>0.30938205302047006</v>
      </c>
      <c r="Z210" s="5">
        <f t="shared" si="31"/>
        <v>0.29478619046697024</v>
      </c>
      <c r="AA210" s="5">
        <f t="shared" si="32"/>
        <v>0</v>
      </c>
      <c r="AB210" s="5">
        <f t="shared" si="33"/>
        <v>0.32060001032115265</v>
      </c>
      <c r="AC210" s="5">
        <f t="shared" si="34"/>
        <v>0</v>
      </c>
      <c r="AD210" s="5">
        <f t="shared" si="35"/>
        <v>0.29456407317063643</v>
      </c>
      <c r="AE210" s="5">
        <f t="shared" si="36"/>
        <v>0</v>
      </c>
    </row>
    <row r="211" spans="1:31" x14ac:dyDescent="0.35">
      <c r="A211" t="s">
        <v>22</v>
      </c>
      <c r="B211" t="s">
        <v>73</v>
      </c>
      <c r="C211" t="s">
        <v>55</v>
      </c>
      <c r="D211" t="s">
        <v>24</v>
      </c>
      <c r="E211" t="s">
        <v>24</v>
      </c>
      <c r="F211" t="s">
        <v>27</v>
      </c>
      <c r="G211">
        <v>1960</v>
      </c>
      <c r="H211" t="s">
        <v>24</v>
      </c>
      <c r="I211" t="s">
        <v>24</v>
      </c>
      <c r="J211" t="s">
        <v>24</v>
      </c>
      <c r="K211" t="s">
        <v>24</v>
      </c>
      <c r="N211">
        <v>0.333202057892932</v>
      </c>
      <c r="O211">
        <v>0.30986994595782102</v>
      </c>
      <c r="P211">
        <v>0.309544385176449</v>
      </c>
      <c r="W211" s="5">
        <f t="shared" si="28"/>
        <v>0</v>
      </c>
      <c r="X211" s="5">
        <f t="shared" si="29"/>
        <v>0.3198739755772147</v>
      </c>
      <c r="Y211" s="5">
        <f t="shared" si="30"/>
        <v>0.29747514811950815</v>
      </c>
      <c r="Z211" s="5">
        <f t="shared" si="31"/>
        <v>0.29716260976939102</v>
      </c>
      <c r="AA211" s="5">
        <f t="shared" si="32"/>
        <v>0</v>
      </c>
      <c r="AB211" s="5">
        <f t="shared" si="33"/>
        <v>0</v>
      </c>
      <c r="AC211" s="5">
        <f t="shared" si="34"/>
        <v>0</v>
      </c>
      <c r="AD211" s="5">
        <f t="shared" si="35"/>
        <v>0</v>
      </c>
      <c r="AE211" s="5">
        <f t="shared" si="36"/>
        <v>0</v>
      </c>
    </row>
    <row r="212" spans="1:31" x14ac:dyDescent="0.35">
      <c r="A212" t="s">
        <v>22</v>
      </c>
      <c r="B212" t="s">
        <v>73</v>
      </c>
      <c r="C212" t="s">
        <v>55</v>
      </c>
      <c r="D212" t="s">
        <v>24</v>
      </c>
      <c r="E212" t="s">
        <v>24</v>
      </c>
      <c r="F212" t="s">
        <v>27</v>
      </c>
      <c r="G212">
        <v>1961</v>
      </c>
      <c r="H212" t="s">
        <v>24</v>
      </c>
      <c r="I212" t="s">
        <v>24</v>
      </c>
      <c r="J212" t="s">
        <v>24</v>
      </c>
      <c r="K212" t="s">
        <v>24</v>
      </c>
      <c r="O212">
        <v>0.348560662607247</v>
      </c>
      <c r="P212">
        <v>0.30619959195124102</v>
      </c>
      <c r="T212">
        <v>0.307090794255237</v>
      </c>
      <c r="W212" s="5">
        <f t="shared" si="28"/>
        <v>0</v>
      </c>
      <c r="X212" s="5">
        <f t="shared" si="29"/>
        <v>0</v>
      </c>
      <c r="Y212" s="5">
        <f t="shared" si="30"/>
        <v>0.3346182361029571</v>
      </c>
      <c r="Z212" s="5">
        <f t="shared" si="31"/>
        <v>0.29395160827319139</v>
      </c>
      <c r="AA212" s="5">
        <f t="shared" si="32"/>
        <v>0</v>
      </c>
      <c r="AB212" s="5">
        <f t="shared" si="33"/>
        <v>0</v>
      </c>
      <c r="AC212" s="5">
        <f t="shared" si="34"/>
        <v>0</v>
      </c>
      <c r="AD212" s="5">
        <f t="shared" si="35"/>
        <v>0.29480716248502753</v>
      </c>
      <c r="AE212" s="5">
        <f t="shared" si="36"/>
        <v>0</v>
      </c>
    </row>
    <row r="213" spans="1:31" x14ac:dyDescent="0.35">
      <c r="A213" t="s">
        <v>22</v>
      </c>
      <c r="B213" t="s">
        <v>73</v>
      </c>
      <c r="C213" t="s">
        <v>55</v>
      </c>
      <c r="D213" t="s">
        <v>24</v>
      </c>
      <c r="E213" t="s">
        <v>24</v>
      </c>
      <c r="F213" t="s">
        <v>27</v>
      </c>
      <c r="G213">
        <v>1962</v>
      </c>
      <c r="H213" t="s">
        <v>24</v>
      </c>
      <c r="I213" t="s">
        <v>24</v>
      </c>
      <c r="J213" t="s">
        <v>24</v>
      </c>
      <c r="K213" t="s">
        <v>24</v>
      </c>
      <c r="O213">
        <v>0.31430889777334597</v>
      </c>
      <c r="W213" s="5">
        <f t="shared" si="28"/>
        <v>0</v>
      </c>
      <c r="X213" s="5">
        <f t="shared" si="29"/>
        <v>0</v>
      </c>
      <c r="Y213" s="5">
        <f t="shared" si="30"/>
        <v>0.30173654186241211</v>
      </c>
      <c r="Z213" s="5">
        <f t="shared" si="31"/>
        <v>0</v>
      </c>
      <c r="AA213" s="5">
        <f t="shared" si="32"/>
        <v>0</v>
      </c>
      <c r="AB213" s="5">
        <f t="shared" si="33"/>
        <v>0</v>
      </c>
      <c r="AC213" s="5">
        <f t="shared" si="34"/>
        <v>0</v>
      </c>
      <c r="AD213" s="5">
        <f t="shared" si="35"/>
        <v>0</v>
      </c>
      <c r="AE213" s="5">
        <f t="shared" si="36"/>
        <v>0</v>
      </c>
    </row>
    <row r="214" spans="1:31" x14ac:dyDescent="0.35">
      <c r="A214" t="s">
        <v>22</v>
      </c>
      <c r="B214" t="s">
        <v>73</v>
      </c>
      <c r="C214" t="s">
        <v>55</v>
      </c>
      <c r="D214" t="s">
        <v>24</v>
      </c>
      <c r="E214" t="s">
        <v>24</v>
      </c>
      <c r="F214" t="s">
        <v>27</v>
      </c>
      <c r="G214">
        <v>1963</v>
      </c>
      <c r="H214" t="s">
        <v>24</v>
      </c>
      <c r="I214" t="s">
        <v>24</v>
      </c>
      <c r="J214" t="s">
        <v>24</v>
      </c>
      <c r="K214" t="s">
        <v>24</v>
      </c>
      <c r="O214">
        <v>0.33100104607442898</v>
      </c>
      <c r="P214">
        <v>0.320586459496572</v>
      </c>
      <c r="W214" s="5">
        <f t="shared" si="28"/>
        <v>0</v>
      </c>
      <c r="X214" s="5">
        <f t="shared" si="29"/>
        <v>0</v>
      </c>
      <c r="Y214" s="5">
        <f t="shared" si="30"/>
        <v>0.31776100423145182</v>
      </c>
      <c r="Z214" s="5">
        <f t="shared" si="31"/>
        <v>0.30776300111670912</v>
      </c>
      <c r="AA214" s="5">
        <f t="shared" si="32"/>
        <v>0</v>
      </c>
      <c r="AB214" s="5">
        <f t="shared" si="33"/>
        <v>0</v>
      </c>
      <c r="AC214" s="5">
        <f t="shared" si="34"/>
        <v>0</v>
      </c>
      <c r="AD214" s="5">
        <f t="shared" si="35"/>
        <v>0</v>
      </c>
      <c r="AE214" s="5">
        <f t="shared" si="36"/>
        <v>0</v>
      </c>
    </row>
    <row r="215" spans="1:31" x14ac:dyDescent="0.35">
      <c r="A215" t="s">
        <v>22</v>
      </c>
      <c r="B215" t="s">
        <v>73</v>
      </c>
      <c r="C215" t="s">
        <v>55</v>
      </c>
      <c r="D215" t="s">
        <v>24</v>
      </c>
      <c r="E215" t="s">
        <v>24</v>
      </c>
      <c r="F215" t="s">
        <v>27</v>
      </c>
      <c r="G215">
        <v>1964</v>
      </c>
      <c r="H215" t="s">
        <v>24</v>
      </c>
      <c r="I215" t="s">
        <v>24</v>
      </c>
      <c r="J215" t="s">
        <v>24</v>
      </c>
      <c r="K215" t="s">
        <v>24</v>
      </c>
      <c r="O215">
        <v>0.34386451338354701</v>
      </c>
      <c r="P215">
        <v>0.29775267736063998</v>
      </c>
      <c r="T215">
        <v>0.307477362619755</v>
      </c>
      <c r="W215" s="5">
        <f t="shared" si="28"/>
        <v>0</v>
      </c>
      <c r="X215" s="5">
        <f t="shared" si="29"/>
        <v>0</v>
      </c>
      <c r="Y215" s="5">
        <f t="shared" si="30"/>
        <v>0.33010993284820511</v>
      </c>
      <c r="Z215" s="5">
        <f t="shared" si="31"/>
        <v>0.28584257026621435</v>
      </c>
      <c r="AA215" s="5">
        <f t="shared" si="32"/>
        <v>0</v>
      </c>
      <c r="AB215" s="5">
        <f t="shared" si="33"/>
        <v>0</v>
      </c>
      <c r="AC215" s="5">
        <f t="shared" si="34"/>
        <v>0</v>
      </c>
      <c r="AD215" s="5">
        <f t="shared" si="35"/>
        <v>0.29517826811496478</v>
      </c>
      <c r="AE215" s="5">
        <f t="shared" si="36"/>
        <v>0</v>
      </c>
    </row>
    <row r="216" spans="1:31" x14ac:dyDescent="0.35">
      <c r="A216" t="s">
        <v>22</v>
      </c>
      <c r="B216" t="s">
        <v>73</v>
      </c>
      <c r="C216" t="s">
        <v>55</v>
      </c>
      <c r="D216" t="s">
        <v>24</v>
      </c>
      <c r="E216" t="s">
        <v>24</v>
      </c>
      <c r="F216" t="s">
        <v>27</v>
      </c>
      <c r="G216">
        <v>1965</v>
      </c>
      <c r="H216" t="s">
        <v>24</v>
      </c>
      <c r="I216" t="s">
        <v>24</v>
      </c>
      <c r="J216" t="s">
        <v>24</v>
      </c>
      <c r="K216" t="s">
        <v>24</v>
      </c>
      <c r="O216">
        <v>0.32687777000102802</v>
      </c>
      <c r="W216" s="5">
        <f t="shared" si="28"/>
        <v>0</v>
      </c>
      <c r="X216" s="5">
        <f t="shared" si="29"/>
        <v>0</v>
      </c>
      <c r="Y216" s="5">
        <f t="shared" si="30"/>
        <v>0.31380265920098688</v>
      </c>
      <c r="Z216" s="5">
        <f t="shared" si="31"/>
        <v>0</v>
      </c>
      <c r="AA216" s="5">
        <f t="shared" si="32"/>
        <v>0</v>
      </c>
      <c r="AB216" s="5">
        <f t="shared" si="33"/>
        <v>0</v>
      </c>
      <c r="AC216" s="5">
        <f t="shared" si="34"/>
        <v>0</v>
      </c>
      <c r="AD216" s="5">
        <f t="shared" si="35"/>
        <v>0</v>
      </c>
      <c r="AE216" s="5">
        <f t="shared" si="36"/>
        <v>0</v>
      </c>
    </row>
    <row r="217" spans="1:31" x14ac:dyDescent="0.35">
      <c r="A217" t="s">
        <v>22</v>
      </c>
      <c r="B217" t="s">
        <v>73</v>
      </c>
      <c r="C217" t="s">
        <v>55</v>
      </c>
      <c r="D217" t="s">
        <v>24</v>
      </c>
      <c r="E217" t="s">
        <v>24</v>
      </c>
      <c r="F217" t="s">
        <v>27</v>
      </c>
      <c r="G217">
        <v>1966</v>
      </c>
      <c r="H217" t="s">
        <v>24</v>
      </c>
      <c r="I217" t="s">
        <v>24</v>
      </c>
      <c r="J217" t="s">
        <v>24</v>
      </c>
      <c r="K217" t="s">
        <v>24</v>
      </c>
      <c r="P217">
        <v>0.30711207586009498</v>
      </c>
      <c r="W217" s="5">
        <f t="shared" si="28"/>
        <v>0</v>
      </c>
      <c r="X217" s="5">
        <f t="shared" si="29"/>
        <v>0</v>
      </c>
      <c r="Y217" s="5">
        <f t="shared" si="30"/>
        <v>0</v>
      </c>
      <c r="Z217" s="5">
        <f t="shared" si="31"/>
        <v>0.29482759282569115</v>
      </c>
      <c r="AA217" s="5">
        <f t="shared" si="32"/>
        <v>0</v>
      </c>
      <c r="AB217" s="5">
        <f t="shared" si="33"/>
        <v>0</v>
      </c>
      <c r="AC217" s="5">
        <f t="shared" si="34"/>
        <v>0</v>
      </c>
      <c r="AD217" s="5">
        <f t="shared" si="35"/>
        <v>0</v>
      </c>
      <c r="AE217" s="5">
        <f t="shared" si="36"/>
        <v>0</v>
      </c>
    </row>
    <row r="218" spans="1:31" x14ac:dyDescent="0.35">
      <c r="A218" t="s">
        <v>22</v>
      </c>
      <c r="B218" t="s">
        <v>73</v>
      </c>
      <c r="C218" t="s">
        <v>55</v>
      </c>
      <c r="D218" t="s">
        <v>24</v>
      </c>
      <c r="E218" t="s">
        <v>24</v>
      </c>
      <c r="F218" t="s">
        <v>27</v>
      </c>
      <c r="G218">
        <v>1967</v>
      </c>
      <c r="H218" t="s">
        <v>24</v>
      </c>
      <c r="I218" t="s">
        <v>24</v>
      </c>
      <c r="J218" t="s">
        <v>24</v>
      </c>
      <c r="K218" t="s">
        <v>24</v>
      </c>
      <c r="O218">
        <v>0.35530219438583099</v>
      </c>
      <c r="P218">
        <v>0.32470459876548002</v>
      </c>
      <c r="W218" s="5">
        <f t="shared" si="28"/>
        <v>0</v>
      </c>
      <c r="X218" s="5">
        <f t="shared" si="29"/>
        <v>0</v>
      </c>
      <c r="Y218" s="5">
        <f t="shared" si="30"/>
        <v>0.34109010661039774</v>
      </c>
      <c r="Z218" s="5">
        <f t="shared" si="31"/>
        <v>0.31171641481486079</v>
      </c>
      <c r="AA218" s="5">
        <f t="shared" si="32"/>
        <v>0</v>
      </c>
      <c r="AB218" s="5">
        <f t="shared" si="33"/>
        <v>0</v>
      </c>
      <c r="AC218" s="5">
        <f t="shared" si="34"/>
        <v>0</v>
      </c>
      <c r="AD218" s="5">
        <f t="shared" si="35"/>
        <v>0</v>
      </c>
      <c r="AE218" s="5">
        <f t="shared" si="36"/>
        <v>0</v>
      </c>
    </row>
    <row r="219" spans="1:31" x14ac:dyDescent="0.35">
      <c r="A219" t="s">
        <v>22</v>
      </c>
      <c r="B219" t="s">
        <v>73</v>
      </c>
      <c r="C219" t="s">
        <v>55</v>
      </c>
      <c r="D219" t="s">
        <v>24</v>
      </c>
      <c r="E219" t="s">
        <v>24</v>
      </c>
      <c r="F219" t="s">
        <v>27</v>
      </c>
      <c r="G219">
        <v>1968</v>
      </c>
      <c r="H219" t="s">
        <v>24</v>
      </c>
      <c r="I219" t="s">
        <v>24</v>
      </c>
      <c r="J219" t="s">
        <v>24</v>
      </c>
      <c r="K219" t="s">
        <v>24</v>
      </c>
      <c r="M219">
        <v>0.33731932333743703</v>
      </c>
      <c r="O219">
        <v>0.332003483126251</v>
      </c>
      <c r="P219">
        <v>0.33320857546074301</v>
      </c>
      <c r="T219">
        <v>0.29447033783927501</v>
      </c>
      <c r="W219" s="5">
        <f t="shared" si="28"/>
        <v>0.32382655040393954</v>
      </c>
      <c r="X219" s="5">
        <f t="shared" si="29"/>
        <v>0</v>
      </c>
      <c r="Y219" s="5">
        <f t="shared" si="30"/>
        <v>0.31872334380120093</v>
      </c>
      <c r="Z219" s="5">
        <f t="shared" si="31"/>
        <v>0.31988023244231328</v>
      </c>
      <c r="AA219" s="5">
        <f t="shared" si="32"/>
        <v>0</v>
      </c>
      <c r="AB219" s="5">
        <f t="shared" si="33"/>
        <v>0</v>
      </c>
      <c r="AC219" s="5">
        <f t="shared" si="34"/>
        <v>0</v>
      </c>
      <c r="AD219" s="5">
        <f t="shared" si="35"/>
        <v>0.28269152432570399</v>
      </c>
      <c r="AE219" s="5">
        <f t="shared" si="36"/>
        <v>0</v>
      </c>
    </row>
    <row r="220" spans="1:31" x14ac:dyDescent="0.35">
      <c r="A220" t="s">
        <v>22</v>
      </c>
      <c r="B220" t="s">
        <v>73</v>
      </c>
      <c r="C220" t="s">
        <v>55</v>
      </c>
      <c r="D220" t="s">
        <v>24</v>
      </c>
      <c r="E220" t="s">
        <v>24</v>
      </c>
      <c r="F220" t="s">
        <v>27</v>
      </c>
      <c r="G220">
        <v>1969</v>
      </c>
      <c r="H220" t="s">
        <v>24</v>
      </c>
      <c r="I220" t="s">
        <v>24</v>
      </c>
      <c r="J220" t="s">
        <v>24</v>
      </c>
      <c r="K220" t="s">
        <v>24</v>
      </c>
      <c r="O220">
        <v>0.35457225882916599</v>
      </c>
      <c r="P220">
        <v>0.32950774117848802</v>
      </c>
      <c r="W220" s="5">
        <f t="shared" si="28"/>
        <v>0</v>
      </c>
      <c r="X220" s="5">
        <f t="shared" si="29"/>
        <v>0</v>
      </c>
      <c r="Y220" s="5">
        <f t="shared" si="30"/>
        <v>0.34038936847599932</v>
      </c>
      <c r="Z220" s="5">
        <f t="shared" si="31"/>
        <v>0.31632743153134851</v>
      </c>
      <c r="AA220" s="5">
        <f t="shared" si="32"/>
        <v>0</v>
      </c>
      <c r="AB220" s="5">
        <f t="shared" si="33"/>
        <v>0</v>
      </c>
      <c r="AC220" s="5">
        <f t="shared" si="34"/>
        <v>0</v>
      </c>
      <c r="AD220" s="5">
        <f t="shared" si="35"/>
        <v>0</v>
      </c>
      <c r="AE220" s="5">
        <f t="shared" si="36"/>
        <v>0</v>
      </c>
    </row>
    <row r="221" spans="1:31" x14ac:dyDescent="0.35">
      <c r="A221" t="s">
        <v>22</v>
      </c>
      <c r="B221" t="s">
        <v>73</v>
      </c>
      <c r="C221" t="s">
        <v>55</v>
      </c>
      <c r="D221" t="s">
        <v>24</v>
      </c>
      <c r="E221" t="s">
        <v>24</v>
      </c>
      <c r="F221" t="s">
        <v>27</v>
      </c>
      <c r="G221">
        <v>1970</v>
      </c>
      <c r="H221" t="s">
        <v>24</v>
      </c>
      <c r="I221" t="s">
        <v>24</v>
      </c>
      <c r="J221" t="s">
        <v>24</v>
      </c>
      <c r="K221" t="s">
        <v>24</v>
      </c>
      <c r="P221">
        <v>0.34660459876907201</v>
      </c>
      <c r="W221" s="5">
        <f t="shared" si="28"/>
        <v>0</v>
      </c>
      <c r="X221" s="5">
        <f t="shared" si="29"/>
        <v>0</v>
      </c>
      <c r="Y221" s="5">
        <f t="shared" si="30"/>
        <v>0</v>
      </c>
      <c r="Z221" s="5">
        <f t="shared" si="31"/>
        <v>0.33274041481830913</v>
      </c>
      <c r="AA221" s="5">
        <f t="shared" si="32"/>
        <v>0</v>
      </c>
      <c r="AB221" s="5">
        <f t="shared" si="33"/>
        <v>0</v>
      </c>
      <c r="AC221" s="5">
        <f t="shared" si="34"/>
        <v>0</v>
      </c>
      <c r="AD221" s="5">
        <f t="shared" si="35"/>
        <v>0</v>
      </c>
      <c r="AE221" s="5">
        <f t="shared" si="36"/>
        <v>0</v>
      </c>
    </row>
    <row r="222" spans="1:31" x14ac:dyDescent="0.35">
      <c r="A222" t="s">
        <v>22</v>
      </c>
      <c r="B222" t="s">
        <v>73</v>
      </c>
      <c r="C222" t="s">
        <v>55</v>
      </c>
      <c r="D222" t="s">
        <v>24</v>
      </c>
      <c r="E222" t="s">
        <v>24</v>
      </c>
      <c r="F222" t="s">
        <v>27</v>
      </c>
      <c r="G222">
        <v>1971</v>
      </c>
      <c r="H222" t="s">
        <v>24</v>
      </c>
      <c r="I222" t="s">
        <v>24</v>
      </c>
      <c r="J222" t="s">
        <v>24</v>
      </c>
      <c r="K222" t="s">
        <v>24</v>
      </c>
      <c r="P222">
        <v>0.347703356856438</v>
      </c>
      <c r="W222" s="5">
        <f t="shared" si="28"/>
        <v>0</v>
      </c>
      <c r="X222" s="5">
        <f t="shared" si="29"/>
        <v>0</v>
      </c>
      <c r="Y222" s="5">
        <f t="shared" si="30"/>
        <v>0</v>
      </c>
      <c r="Z222" s="5">
        <f t="shared" si="31"/>
        <v>0.33379522258218047</v>
      </c>
      <c r="AA222" s="5">
        <f t="shared" si="32"/>
        <v>0</v>
      </c>
      <c r="AB222" s="5">
        <f t="shared" si="33"/>
        <v>0</v>
      </c>
      <c r="AC222" s="5">
        <f t="shared" si="34"/>
        <v>0</v>
      </c>
      <c r="AD222" s="5">
        <f t="shared" si="35"/>
        <v>0</v>
      </c>
      <c r="AE222" s="5">
        <f t="shared" si="36"/>
        <v>0</v>
      </c>
    </row>
    <row r="223" spans="1:31" x14ac:dyDescent="0.35">
      <c r="A223" t="s">
        <v>22</v>
      </c>
      <c r="B223" t="s">
        <v>73</v>
      </c>
      <c r="C223" t="s">
        <v>55</v>
      </c>
      <c r="D223" t="s">
        <v>24</v>
      </c>
      <c r="E223" t="s">
        <v>24</v>
      </c>
      <c r="F223" t="s">
        <v>27</v>
      </c>
      <c r="G223">
        <v>1972</v>
      </c>
      <c r="H223" t="s">
        <v>24</v>
      </c>
      <c r="I223" t="s">
        <v>24</v>
      </c>
      <c r="J223" t="s">
        <v>24</v>
      </c>
      <c r="K223" t="s">
        <v>24</v>
      </c>
      <c r="O223">
        <v>0.30612023637584301</v>
      </c>
      <c r="P223">
        <v>0.34929935700811499</v>
      </c>
      <c r="T223">
        <v>0.31124302801027698</v>
      </c>
      <c r="W223" s="5">
        <f>M223*$W$2</f>
        <v>0</v>
      </c>
      <c r="X223" s="5">
        <f t="shared" si="29"/>
        <v>0</v>
      </c>
      <c r="Y223" s="5">
        <f t="shared" si="30"/>
        <v>0.29387542692080926</v>
      </c>
      <c r="Z223" s="5">
        <f t="shared" si="31"/>
        <v>0.33532738272779039</v>
      </c>
      <c r="AA223" s="5">
        <f t="shared" si="32"/>
        <v>0</v>
      </c>
      <c r="AB223" s="5">
        <f t="shared" si="33"/>
        <v>0</v>
      </c>
      <c r="AC223" s="5">
        <f t="shared" si="34"/>
        <v>0</v>
      </c>
      <c r="AD223" s="5">
        <f t="shared" si="35"/>
        <v>0.29879330688986588</v>
      </c>
      <c r="AE223" s="5">
        <f t="shared" si="36"/>
        <v>0</v>
      </c>
    </row>
    <row r="224" spans="1:31" x14ac:dyDescent="0.35">
      <c r="A224" t="s">
        <v>22</v>
      </c>
      <c r="B224" t="s">
        <v>73</v>
      </c>
      <c r="C224" t="s">
        <v>55</v>
      </c>
      <c r="D224" t="s">
        <v>24</v>
      </c>
      <c r="E224" t="s">
        <v>24</v>
      </c>
      <c r="F224" t="s">
        <v>27</v>
      </c>
      <c r="G224">
        <v>1973</v>
      </c>
      <c r="H224" t="s">
        <v>24</v>
      </c>
      <c r="I224" t="s">
        <v>24</v>
      </c>
      <c r="J224" t="s">
        <v>24</v>
      </c>
      <c r="K224" t="s">
        <v>24</v>
      </c>
      <c r="P224">
        <v>0.341985719849553</v>
      </c>
      <c r="W224" s="5">
        <f t="shared" ref="W224:W262" si="37">M224*$W$2</f>
        <v>0</v>
      </c>
      <c r="X224" s="5">
        <f t="shared" si="29"/>
        <v>0</v>
      </c>
      <c r="Y224" s="5">
        <f t="shared" si="30"/>
        <v>0</v>
      </c>
      <c r="Z224" s="5">
        <f t="shared" si="31"/>
        <v>0.32830629105557085</v>
      </c>
      <c r="AA224" s="5">
        <f t="shared" si="32"/>
        <v>0</v>
      </c>
      <c r="AB224" s="5">
        <f t="shared" si="33"/>
        <v>0</v>
      </c>
      <c r="AC224" s="5">
        <f t="shared" si="34"/>
        <v>0</v>
      </c>
      <c r="AD224" s="5">
        <f t="shared" si="35"/>
        <v>0</v>
      </c>
      <c r="AE224" s="5">
        <f t="shared" si="36"/>
        <v>0</v>
      </c>
    </row>
    <row r="225" spans="1:31" x14ac:dyDescent="0.35">
      <c r="A225" t="s">
        <v>22</v>
      </c>
      <c r="B225" t="s">
        <v>73</v>
      </c>
      <c r="C225" t="s">
        <v>55</v>
      </c>
      <c r="D225" t="s">
        <v>24</v>
      </c>
      <c r="E225" t="s">
        <v>24</v>
      </c>
      <c r="F225" t="s">
        <v>27</v>
      </c>
      <c r="G225">
        <v>1974</v>
      </c>
      <c r="H225" t="s">
        <v>24</v>
      </c>
      <c r="I225" t="s">
        <v>24</v>
      </c>
      <c r="J225" t="s">
        <v>24</v>
      </c>
      <c r="K225" t="s">
        <v>24</v>
      </c>
      <c r="S225">
        <v>0.30956384603842102</v>
      </c>
      <c r="W225" s="5">
        <f t="shared" si="37"/>
        <v>0</v>
      </c>
      <c r="X225" s="5">
        <f t="shared" si="29"/>
        <v>0</v>
      </c>
      <c r="Y225" s="5">
        <f t="shared" si="30"/>
        <v>0</v>
      </c>
      <c r="Z225" s="5">
        <f t="shared" si="31"/>
        <v>0</v>
      </c>
      <c r="AA225" s="5">
        <f t="shared" si="32"/>
        <v>0</v>
      </c>
      <c r="AB225" s="5">
        <f t="shared" si="33"/>
        <v>0</v>
      </c>
      <c r="AC225" s="5">
        <f t="shared" si="34"/>
        <v>0.29718129219688416</v>
      </c>
      <c r="AD225" s="5">
        <f t="shared" si="35"/>
        <v>0</v>
      </c>
      <c r="AE225" s="5">
        <f t="shared" si="36"/>
        <v>0</v>
      </c>
    </row>
    <row r="226" spans="1:31" x14ac:dyDescent="0.35">
      <c r="A226" t="s">
        <v>22</v>
      </c>
      <c r="B226" t="s">
        <v>73</v>
      </c>
      <c r="C226" t="s">
        <v>55</v>
      </c>
      <c r="D226" t="s">
        <v>24</v>
      </c>
      <c r="E226" t="s">
        <v>24</v>
      </c>
      <c r="F226" t="s">
        <v>27</v>
      </c>
      <c r="G226">
        <v>1975</v>
      </c>
      <c r="H226" t="s">
        <v>24</v>
      </c>
      <c r="I226" t="s">
        <v>24</v>
      </c>
      <c r="J226" t="s">
        <v>24</v>
      </c>
      <c r="K226" t="s">
        <v>24</v>
      </c>
      <c r="P226">
        <v>0.31142851828799101</v>
      </c>
      <c r="S226">
        <v>0.31528432734745598</v>
      </c>
      <c r="W226" s="5">
        <f t="shared" si="37"/>
        <v>0</v>
      </c>
      <c r="X226" s="5">
        <f t="shared" si="29"/>
        <v>0</v>
      </c>
      <c r="Y226" s="5">
        <f t="shared" si="30"/>
        <v>0</v>
      </c>
      <c r="Z226" s="5">
        <f t="shared" si="31"/>
        <v>0.29897137755647135</v>
      </c>
      <c r="AA226" s="5">
        <f t="shared" si="32"/>
        <v>0</v>
      </c>
      <c r="AB226" s="5">
        <f t="shared" si="33"/>
        <v>0</v>
      </c>
      <c r="AC226" s="5">
        <f t="shared" si="34"/>
        <v>0.30267295425355772</v>
      </c>
      <c r="AD226" s="5">
        <f t="shared" si="35"/>
        <v>0</v>
      </c>
      <c r="AE226" s="5">
        <f t="shared" si="36"/>
        <v>0</v>
      </c>
    </row>
    <row r="227" spans="1:31" x14ac:dyDescent="0.35">
      <c r="A227" t="s">
        <v>22</v>
      </c>
      <c r="B227" t="s">
        <v>73</v>
      </c>
      <c r="C227" t="s">
        <v>55</v>
      </c>
      <c r="D227" t="s">
        <v>24</v>
      </c>
      <c r="E227" t="s">
        <v>24</v>
      </c>
      <c r="F227" t="s">
        <v>27</v>
      </c>
      <c r="G227">
        <v>1976</v>
      </c>
      <c r="H227" t="s">
        <v>24</v>
      </c>
      <c r="I227" t="s">
        <v>24</v>
      </c>
      <c r="J227" t="s">
        <v>24</v>
      </c>
      <c r="K227" t="s">
        <v>24</v>
      </c>
      <c r="P227">
        <v>0.35019727779982701</v>
      </c>
      <c r="W227" s="5">
        <f t="shared" si="37"/>
        <v>0</v>
      </c>
      <c r="X227" s="5">
        <f t="shared" si="29"/>
        <v>0</v>
      </c>
      <c r="Y227" s="5">
        <f t="shared" si="30"/>
        <v>0</v>
      </c>
      <c r="Z227" s="5">
        <f t="shared" si="31"/>
        <v>0.33618938668783394</v>
      </c>
      <c r="AA227" s="5">
        <f t="shared" si="32"/>
        <v>0</v>
      </c>
      <c r="AB227" s="5">
        <f t="shared" si="33"/>
        <v>0</v>
      </c>
      <c r="AC227" s="5">
        <f t="shared" si="34"/>
        <v>0</v>
      </c>
      <c r="AD227" s="5">
        <f t="shared" si="35"/>
        <v>0</v>
      </c>
      <c r="AE227" s="5">
        <f t="shared" si="36"/>
        <v>0</v>
      </c>
    </row>
    <row r="228" spans="1:31" x14ac:dyDescent="0.35">
      <c r="A228" t="s">
        <v>22</v>
      </c>
      <c r="B228" t="s">
        <v>73</v>
      </c>
      <c r="C228" t="s">
        <v>55</v>
      </c>
      <c r="D228" t="s">
        <v>24</v>
      </c>
      <c r="E228" t="s">
        <v>24</v>
      </c>
      <c r="F228" t="s">
        <v>27</v>
      </c>
      <c r="G228">
        <v>1977</v>
      </c>
      <c r="H228" t="s">
        <v>24</v>
      </c>
      <c r="I228" t="s">
        <v>24</v>
      </c>
      <c r="J228" t="s">
        <v>24</v>
      </c>
      <c r="K228" t="s">
        <v>24</v>
      </c>
      <c r="O228">
        <v>0.31932643410832101</v>
      </c>
      <c r="P228">
        <v>0.33348002877410399</v>
      </c>
      <c r="W228" s="5">
        <f t="shared" si="37"/>
        <v>0</v>
      </c>
      <c r="X228" s="5">
        <f t="shared" si="29"/>
        <v>0</v>
      </c>
      <c r="Y228" s="5">
        <f t="shared" si="30"/>
        <v>0.30655337674398814</v>
      </c>
      <c r="Z228" s="5">
        <f t="shared" si="31"/>
        <v>0.32014082762313983</v>
      </c>
      <c r="AA228" s="5">
        <f t="shared" si="32"/>
        <v>0</v>
      </c>
      <c r="AB228" s="5">
        <f t="shared" si="33"/>
        <v>0</v>
      </c>
      <c r="AC228" s="5">
        <f t="shared" si="34"/>
        <v>0</v>
      </c>
      <c r="AD228" s="5">
        <f t="shared" si="35"/>
        <v>0</v>
      </c>
      <c r="AE228" s="5">
        <f t="shared" si="36"/>
        <v>0</v>
      </c>
    </row>
    <row r="229" spans="1:31" x14ac:dyDescent="0.35">
      <c r="A229" t="s">
        <v>22</v>
      </c>
      <c r="B229" t="s">
        <v>73</v>
      </c>
      <c r="C229" t="s">
        <v>55</v>
      </c>
      <c r="D229" t="s">
        <v>24</v>
      </c>
      <c r="E229" t="s">
        <v>24</v>
      </c>
      <c r="F229" t="s">
        <v>27</v>
      </c>
      <c r="G229">
        <v>1978</v>
      </c>
      <c r="H229" t="s">
        <v>24</v>
      </c>
      <c r="I229" t="s">
        <v>24</v>
      </c>
      <c r="J229" t="s">
        <v>24</v>
      </c>
      <c r="K229" t="s">
        <v>24</v>
      </c>
      <c r="O229">
        <v>0.31083278146124199</v>
      </c>
      <c r="P229">
        <v>0.312283543047636</v>
      </c>
      <c r="S229">
        <v>0.30342542013885099</v>
      </c>
      <c r="W229" s="5">
        <f t="shared" si="37"/>
        <v>0</v>
      </c>
      <c r="X229" s="5">
        <f t="shared" si="29"/>
        <v>0</v>
      </c>
      <c r="Y229" s="5">
        <f t="shared" si="30"/>
        <v>0.29839947020279228</v>
      </c>
      <c r="Z229" s="5">
        <f t="shared" si="31"/>
        <v>0.29979220132573053</v>
      </c>
      <c r="AA229" s="5">
        <f t="shared" si="32"/>
        <v>0</v>
      </c>
      <c r="AB229" s="5">
        <f t="shared" si="33"/>
        <v>0</v>
      </c>
      <c r="AC229" s="5">
        <f t="shared" si="34"/>
        <v>0.29128840333329692</v>
      </c>
      <c r="AD229" s="5">
        <f t="shared" si="35"/>
        <v>0</v>
      </c>
      <c r="AE229" s="5">
        <f t="shared" si="36"/>
        <v>0</v>
      </c>
    </row>
    <row r="230" spans="1:31" x14ac:dyDescent="0.35">
      <c r="A230" t="s">
        <v>22</v>
      </c>
      <c r="B230" t="s">
        <v>73</v>
      </c>
      <c r="C230" t="s">
        <v>55</v>
      </c>
      <c r="D230" t="s">
        <v>24</v>
      </c>
      <c r="E230" t="s">
        <v>24</v>
      </c>
      <c r="F230" t="s">
        <v>27</v>
      </c>
      <c r="G230">
        <v>1979</v>
      </c>
      <c r="H230" t="s">
        <v>24</v>
      </c>
      <c r="I230" t="s">
        <v>24</v>
      </c>
      <c r="J230" t="s">
        <v>24</v>
      </c>
      <c r="K230" t="s">
        <v>24</v>
      </c>
      <c r="P230">
        <v>0.31833623383252901</v>
      </c>
      <c r="S230">
        <v>0.338322652675145</v>
      </c>
      <c r="W230" s="5">
        <f t="shared" si="37"/>
        <v>0</v>
      </c>
      <c r="X230" s="5">
        <f t="shared" si="29"/>
        <v>0</v>
      </c>
      <c r="Y230" s="5">
        <f t="shared" si="30"/>
        <v>0</v>
      </c>
      <c r="Z230" s="5">
        <f t="shared" si="31"/>
        <v>0.30560278447922784</v>
      </c>
      <c r="AA230" s="5">
        <f t="shared" si="32"/>
        <v>0</v>
      </c>
      <c r="AB230" s="5">
        <f t="shared" si="33"/>
        <v>0</v>
      </c>
      <c r="AC230" s="5">
        <f t="shared" si="34"/>
        <v>0.32478974656813919</v>
      </c>
      <c r="AD230" s="5">
        <f t="shared" si="35"/>
        <v>0</v>
      </c>
      <c r="AE230" s="5">
        <f t="shared" si="36"/>
        <v>0</v>
      </c>
    </row>
    <row r="231" spans="1:31" x14ac:dyDescent="0.35">
      <c r="A231" t="s">
        <v>22</v>
      </c>
      <c r="B231" t="s">
        <v>73</v>
      </c>
      <c r="C231" t="s">
        <v>55</v>
      </c>
      <c r="D231" t="s">
        <v>24</v>
      </c>
      <c r="E231" t="s">
        <v>24</v>
      </c>
      <c r="F231" t="s">
        <v>27</v>
      </c>
      <c r="G231">
        <v>1980</v>
      </c>
      <c r="H231" t="s">
        <v>24</v>
      </c>
      <c r="I231" t="s">
        <v>24</v>
      </c>
      <c r="J231" t="s">
        <v>24</v>
      </c>
      <c r="K231" t="s">
        <v>24</v>
      </c>
      <c r="O231">
        <v>0.35911621499489799</v>
      </c>
      <c r="P231">
        <v>0.32003344095463199</v>
      </c>
      <c r="S231">
        <v>0.34078920152616798</v>
      </c>
      <c r="W231" s="5">
        <f t="shared" si="37"/>
        <v>0</v>
      </c>
      <c r="X231" s="5">
        <f t="shared" si="29"/>
        <v>0</v>
      </c>
      <c r="Y231" s="5">
        <f t="shared" si="30"/>
        <v>0.34475156639510207</v>
      </c>
      <c r="Z231" s="5">
        <f t="shared" si="31"/>
        <v>0.30723210331644668</v>
      </c>
      <c r="AA231" s="5">
        <f t="shared" si="32"/>
        <v>0</v>
      </c>
      <c r="AB231" s="5">
        <f t="shared" si="33"/>
        <v>0</v>
      </c>
      <c r="AC231" s="5">
        <f t="shared" si="34"/>
        <v>0.32715763346512128</v>
      </c>
      <c r="AD231" s="5">
        <f t="shared" si="35"/>
        <v>0</v>
      </c>
      <c r="AE231" s="5">
        <f t="shared" si="36"/>
        <v>0</v>
      </c>
    </row>
    <row r="232" spans="1:31" x14ac:dyDescent="0.35">
      <c r="A232" t="s">
        <v>22</v>
      </c>
      <c r="B232" t="s">
        <v>73</v>
      </c>
      <c r="C232" t="s">
        <v>55</v>
      </c>
      <c r="D232" t="s">
        <v>24</v>
      </c>
      <c r="E232" t="s">
        <v>24</v>
      </c>
      <c r="F232" t="s">
        <v>27</v>
      </c>
      <c r="G232">
        <v>1981</v>
      </c>
      <c r="H232" t="s">
        <v>24</v>
      </c>
      <c r="I232" t="s">
        <v>24</v>
      </c>
      <c r="J232" t="s">
        <v>24</v>
      </c>
      <c r="K232" t="s">
        <v>24</v>
      </c>
      <c r="O232">
        <v>0.33277962501282599</v>
      </c>
      <c r="P232">
        <v>0.329025385679444</v>
      </c>
      <c r="W232" s="5">
        <f t="shared" si="37"/>
        <v>0</v>
      </c>
      <c r="X232" s="5">
        <f t="shared" si="29"/>
        <v>0</v>
      </c>
      <c r="Y232" s="5">
        <f t="shared" si="30"/>
        <v>0.31946844001231295</v>
      </c>
      <c r="Z232" s="5">
        <f t="shared" si="31"/>
        <v>0.31586437025226621</v>
      </c>
      <c r="AA232" s="5">
        <f t="shared" si="32"/>
        <v>0</v>
      </c>
      <c r="AB232" s="5">
        <f t="shared" si="33"/>
        <v>0</v>
      </c>
      <c r="AC232" s="5">
        <f t="shared" si="34"/>
        <v>0</v>
      </c>
      <c r="AD232" s="5">
        <f t="shared" si="35"/>
        <v>0</v>
      </c>
      <c r="AE232" s="5">
        <f t="shared" si="36"/>
        <v>0</v>
      </c>
    </row>
    <row r="233" spans="1:31" x14ac:dyDescent="0.35">
      <c r="A233" t="s">
        <v>22</v>
      </c>
      <c r="B233" t="s">
        <v>73</v>
      </c>
      <c r="C233" t="s">
        <v>55</v>
      </c>
      <c r="D233" t="s">
        <v>24</v>
      </c>
      <c r="E233" t="s">
        <v>24</v>
      </c>
      <c r="F233" t="s">
        <v>27</v>
      </c>
      <c r="G233">
        <v>1982</v>
      </c>
      <c r="H233" t="s">
        <v>24</v>
      </c>
      <c r="I233" t="s">
        <v>24</v>
      </c>
      <c r="J233" t="s">
        <v>24</v>
      </c>
      <c r="K233" t="s">
        <v>24</v>
      </c>
      <c r="O233">
        <v>0.32931116337401201</v>
      </c>
      <c r="P233">
        <v>0.31804792655306102</v>
      </c>
      <c r="W233" s="5">
        <f t="shared" si="37"/>
        <v>0</v>
      </c>
      <c r="X233" s="5">
        <f t="shared" si="29"/>
        <v>0</v>
      </c>
      <c r="Y233" s="5">
        <f t="shared" si="30"/>
        <v>0.31613871683905154</v>
      </c>
      <c r="Z233" s="5">
        <f t="shared" si="31"/>
        <v>0.30532600949093858</v>
      </c>
      <c r="AA233" s="5">
        <f t="shared" si="32"/>
        <v>0</v>
      </c>
      <c r="AB233" s="5">
        <f t="shared" si="33"/>
        <v>0</v>
      </c>
      <c r="AC233" s="5">
        <f t="shared" si="34"/>
        <v>0</v>
      </c>
      <c r="AD233" s="5">
        <f t="shared" si="35"/>
        <v>0</v>
      </c>
      <c r="AE233" s="5">
        <f t="shared" si="36"/>
        <v>0</v>
      </c>
    </row>
    <row r="234" spans="1:31" x14ac:dyDescent="0.35">
      <c r="A234" t="s">
        <v>22</v>
      </c>
      <c r="B234" t="s">
        <v>73</v>
      </c>
      <c r="C234" t="s">
        <v>55</v>
      </c>
      <c r="D234" t="s">
        <v>24</v>
      </c>
      <c r="E234" t="s">
        <v>24</v>
      </c>
      <c r="F234" t="s">
        <v>27</v>
      </c>
      <c r="G234">
        <v>1983</v>
      </c>
      <c r="H234" t="s">
        <v>24</v>
      </c>
      <c r="I234" t="s">
        <v>24</v>
      </c>
      <c r="J234" t="s">
        <v>24</v>
      </c>
      <c r="K234" t="s">
        <v>24</v>
      </c>
      <c r="P234">
        <v>0.31772088220498301</v>
      </c>
      <c r="W234" s="5">
        <f t="shared" si="37"/>
        <v>0</v>
      </c>
      <c r="X234" s="5">
        <f t="shared" si="29"/>
        <v>0</v>
      </c>
      <c r="Y234" s="5">
        <f t="shared" si="30"/>
        <v>0</v>
      </c>
      <c r="Z234" s="5">
        <f t="shared" si="31"/>
        <v>0.30501204691678369</v>
      </c>
      <c r="AA234" s="5">
        <f t="shared" si="32"/>
        <v>0</v>
      </c>
      <c r="AB234" s="5">
        <f t="shared" si="33"/>
        <v>0</v>
      </c>
      <c r="AC234" s="5">
        <f t="shared" si="34"/>
        <v>0</v>
      </c>
      <c r="AD234" s="5">
        <f t="shared" si="35"/>
        <v>0</v>
      </c>
      <c r="AE234" s="5">
        <f t="shared" si="36"/>
        <v>0</v>
      </c>
    </row>
    <row r="235" spans="1:31" x14ac:dyDescent="0.35">
      <c r="A235" t="s">
        <v>22</v>
      </c>
      <c r="B235" t="s">
        <v>73</v>
      </c>
      <c r="C235" t="s">
        <v>55</v>
      </c>
      <c r="D235" t="s">
        <v>24</v>
      </c>
      <c r="E235" t="s">
        <v>24</v>
      </c>
      <c r="F235" t="s">
        <v>27</v>
      </c>
      <c r="G235">
        <v>1984</v>
      </c>
      <c r="H235" t="s">
        <v>24</v>
      </c>
      <c r="I235" t="s">
        <v>24</v>
      </c>
      <c r="J235" t="s">
        <v>24</v>
      </c>
      <c r="K235" t="s">
        <v>24</v>
      </c>
      <c r="O235">
        <v>0.34762859361058701</v>
      </c>
      <c r="W235" s="5">
        <f t="shared" si="37"/>
        <v>0</v>
      </c>
      <c r="X235" s="5">
        <f t="shared" si="29"/>
        <v>0</v>
      </c>
      <c r="Y235" s="5">
        <f t="shared" si="30"/>
        <v>0.33372344986616354</v>
      </c>
      <c r="Z235" s="5">
        <f t="shared" si="31"/>
        <v>0</v>
      </c>
      <c r="AA235" s="5">
        <f t="shared" si="32"/>
        <v>0</v>
      </c>
      <c r="AB235" s="5">
        <f t="shared" si="33"/>
        <v>0</v>
      </c>
      <c r="AC235" s="5">
        <f t="shared" si="34"/>
        <v>0</v>
      </c>
      <c r="AD235" s="5">
        <f t="shared" si="35"/>
        <v>0</v>
      </c>
      <c r="AE235" s="5">
        <f t="shared" si="36"/>
        <v>0</v>
      </c>
    </row>
    <row r="236" spans="1:31" x14ac:dyDescent="0.35">
      <c r="A236" t="s">
        <v>22</v>
      </c>
      <c r="B236" t="s">
        <v>73</v>
      </c>
      <c r="C236" t="s">
        <v>55</v>
      </c>
      <c r="D236" t="s">
        <v>24</v>
      </c>
      <c r="E236" t="s">
        <v>24</v>
      </c>
      <c r="F236" t="s">
        <v>27</v>
      </c>
      <c r="G236">
        <v>1985</v>
      </c>
      <c r="H236" t="s">
        <v>24</v>
      </c>
      <c r="I236" t="s">
        <v>24</v>
      </c>
      <c r="J236" t="s">
        <v>24</v>
      </c>
      <c r="K236" t="s">
        <v>24</v>
      </c>
      <c r="O236">
        <v>0.33447516202759298</v>
      </c>
      <c r="W236" s="5">
        <f t="shared" si="37"/>
        <v>0</v>
      </c>
      <c r="X236" s="5">
        <f t="shared" si="29"/>
        <v>0</v>
      </c>
      <c r="Y236" s="5">
        <f t="shared" si="30"/>
        <v>0.32109615554648924</v>
      </c>
      <c r="Z236" s="5">
        <f t="shared" si="31"/>
        <v>0</v>
      </c>
      <c r="AA236" s="5">
        <f t="shared" si="32"/>
        <v>0</v>
      </c>
      <c r="AB236" s="5">
        <f t="shared" si="33"/>
        <v>0</v>
      </c>
      <c r="AC236" s="5">
        <f t="shared" si="34"/>
        <v>0</v>
      </c>
      <c r="AD236" s="5">
        <f t="shared" si="35"/>
        <v>0</v>
      </c>
      <c r="AE236" s="5">
        <f t="shared" si="36"/>
        <v>0</v>
      </c>
    </row>
    <row r="237" spans="1:31" x14ac:dyDescent="0.35">
      <c r="A237" t="s">
        <v>22</v>
      </c>
      <c r="B237" t="s">
        <v>73</v>
      </c>
      <c r="C237" t="s">
        <v>55</v>
      </c>
      <c r="D237" t="s">
        <v>24</v>
      </c>
      <c r="E237" t="s">
        <v>24</v>
      </c>
      <c r="F237" t="s">
        <v>27</v>
      </c>
      <c r="G237">
        <v>1988</v>
      </c>
      <c r="H237" t="s">
        <v>24</v>
      </c>
      <c r="I237" t="s">
        <v>24</v>
      </c>
      <c r="J237" t="s">
        <v>24</v>
      </c>
      <c r="K237" t="s">
        <v>24</v>
      </c>
      <c r="S237">
        <v>0.33738602678282698</v>
      </c>
      <c r="W237" s="5">
        <f t="shared" si="37"/>
        <v>0</v>
      </c>
      <c r="X237" s="5">
        <f t="shared" si="29"/>
        <v>0</v>
      </c>
      <c r="Y237" s="5">
        <f t="shared" si="30"/>
        <v>0</v>
      </c>
      <c r="Z237" s="5">
        <f t="shared" si="31"/>
        <v>0</v>
      </c>
      <c r="AA237" s="5">
        <f t="shared" si="32"/>
        <v>0</v>
      </c>
      <c r="AB237" s="5">
        <f t="shared" si="33"/>
        <v>0</v>
      </c>
      <c r="AC237" s="5">
        <f t="shared" si="34"/>
        <v>0.32389058571151391</v>
      </c>
      <c r="AD237" s="5">
        <f t="shared" si="35"/>
        <v>0</v>
      </c>
      <c r="AE237" s="5">
        <f t="shared" si="36"/>
        <v>0</v>
      </c>
    </row>
    <row r="238" spans="1:31" x14ac:dyDescent="0.35">
      <c r="A238" t="s">
        <v>22</v>
      </c>
      <c r="B238" t="s">
        <v>73</v>
      </c>
      <c r="C238" t="s">
        <v>55</v>
      </c>
      <c r="D238" t="s">
        <v>24</v>
      </c>
      <c r="E238" t="s">
        <v>24</v>
      </c>
      <c r="F238" t="s">
        <v>27</v>
      </c>
      <c r="G238">
        <v>1992</v>
      </c>
      <c r="H238" t="s">
        <v>24</v>
      </c>
      <c r="I238" t="s">
        <v>24</v>
      </c>
      <c r="J238" t="s">
        <v>24</v>
      </c>
      <c r="K238" t="s">
        <v>24</v>
      </c>
      <c r="S238">
        <v>0.30998567177339398</v>
      </c>
      <c r="W238" s="5">
        <f t="shared" si="37"/>
        <v>0</v>
      </c>
      <c r="X238" s="5">
        <f t="shared" si="29"/>
        <v>0</v>
      </c>
      <c r="Y238" s="5">
        <f t="shared" si="30"/>
        <v>0</v>
      </c>
      <c r="Z238" s="5">
        <f t="shared" si="31"/>
        <v>0</v>
      </c>
      <c r="AA238" s="5">
        <f t="shared" si="32"/>
        <v>0</v>
      </c>
      <c r="AB238" s="5">
        <f t="shared" si="33"/>
        <v>0</v>
      </c>
      <c r="AC238" s="5">
        <f t="shared" si="34"/>
        <v>0.29758624490245822</v>
      </c>
      <c r="AD238" s="5">
        <f t="shared" si="35"/>
        <v>0</v>
      </c>
      <c r="AE238" s="5">
        <f t="shared" si="36"/>
        <v>0</v>
      </c>
    </row>
    <row r="239" spans="1:31" x14ac:dyDescent="0.35">
      <c r="A239" t="s">
        <v>22</v>
      </c>
      <c r="B239" t="s">
        <v>73</v>
      </c>
      <c r="C239" t="s">
        <v>55</v>
      </c>
      <c r="D239" t="s">
        <v>24</v>
      </c>
      <c r="E239" t="s">
        <v>24</v>
      </c>
      <c r="F239" t="s">
        <v>27</v>
      </c>
      <c r="G239">
        <v>2001</v>
      </c>
      <c r="H239" t="s">
        <v>24</v>
      </c>
      <c r="I239" t="s">
        <v>24</v>
      </c>
      <c r="J239" t="s">
        <v>24</v>
      </c>
      <c r="K239" t="s">
        <v>24</v>
      </c>
      <c r="P239">
        <v>0.304834936115912</v>
      </c>
      <c r="W239" s="5">
        <f t="shared" si="37"/>
        <v>0</v>
      </c>
      <c r="X239" s="5">
        <f t="shared" si="29"/>
        <v>0</v>
      </c>
      <c r="Y239" s="5">
        <f t="shared" si="30"/>
        <v>0</v>
      </c>
      <c r="Z239" s="5">
        <f t="shared" si="31"/>
        <v>0.29264153867127551</v>
      </c>
      <c r="AA239" s="5">
        <f t="shared" si="32"/>
        <v>0</v>
      </c>
      <c r="AB239" s="5">
        <f t="shared" si="33"/>
        <v>0</v>
      </c>
      <c r="AC239" s="5">
        <f t="shared" si="34"/>
        <v>0</v>
      </c>
      <c r="AD239" s="5">
        <f t="shared" si="35"/>
        <v>0</v>
      </c>
      <c r="AE239" s="5">
        <f t="shared" si="36"/>
        <v>0</v>
      </c>
    </row>
    <row r="240" spans="1:31" x14ac:dyDescent="0.35">
      <c r="A240" t="s">
        <v>22</v>
      </c>
      <c r="B240" t="s">
        <v>73</v>
      </c>
      <c r="C240" t="s">
        <v>56</v>
      </c>
      <c r="D240" t="s">
        <v>24</v>
      </c>
      <c r="E240" t="s">
        <v>24</v>
      </c>
      <c r="F240" t="s">
        <v>27</v>
      </c>
      <c r="G240">
        <v>1955</v>
      </c>
      <c r="H240" t="s">
        <v>24</v>
      </c>
      <c r="I240" t="s">
        <v>24</v>
      </c>
      <c r="J240" t="s">
        <v>24</v>
      </c>
      <c r="K240" t="s">
        <v>24</v>
      </c>
      <c r="T240">
        <v>0.30329057638267898</v>
      </c>
      <c r="W240" s="5">
        <f t="shared" si="37"/>
        <v>0</v>
      </c>
      <c r="X240" s="5">
        <f t="shared" si="29"/>
        <v>0</v>
      </c>
      <c r="Y240" s="5">
        <f t="shared" si="30"/>
        <v>0</v>
      </c>
      <c r="Z240" s="5">
        <f t="shared" si="31"/>
        <v>0</v>
      </c>
      <c r="AA240" s="5">
        <f t="shared" si="32"/>
        <v>0</v>
      </c>
      <c r="AB240" s="5">
        <f t="shared" si="33"/>
        <v>0</v>
      </c>
      <c r="AC240" s="5">
        <f t="shared" si="34"/>
        <v>0</v>
      </c>
      <c r="AD240" s="5">
        <f t="shared" si="35"/>
        <v>0.29115895332737179</v>
      </c>
      <c r="AE240" s="5">
        <f t="shared" si="36"/>
        <v>0</v>
      </c>
    </row>
    <row r="241" spans="1:31" x14ac:dyDescent="0.35">
      <c r="A241" t="s">
        <v>22</v>
      </c>
      <c r="B241" t="s">
        <v>73</v>
      </c>
      <c r="C241" t="s">
        <v>56</v>
      </c>
      <c r="D241" t="s">
        <v>24</v>
      </c>
      <c r="E241" t="s">
        <v>24</v>
      </c>
      <c r="F241" t="s">
        <v>27</v>
      </c>
      <c r="G241">
        <v>1960</v>
      </c>
      <c r="H241" t="s">
        <v>24</v>
      </c>
      <c r="I241" t="s">
        <v>24</v>
      </c>
      <c r="J241" t="s">
        <v>24</v>
      </c>
      <c r="K241" t="s">
        <v>24</v>
      </c>
      <c r="P241">
        <v>0.29724061627887799</v>
      </c>
      <c r="W241" s="5">
        <f t="shared" si="37"/>
        <v>0</v>
      </c>
      <c r="X241" s="5">
        <f t="shared" si="29"/>
        <v>0</v>
      </c>
      <c r="Y241" s="5">
        <f t="shared" si="30"/>
        <v>0</v>
      </c>
      <c r="Z241" s="5">
        <f t="shared" si="31"/>
        <v>0.28535099162772287</v>
      </c>
      <c r="AA241" s="5">
        <f t="shared" si="32"/>
        <v>0</v>
      </c>
      <c r="AB241" s="5">
        <f t="shared" si="33"/>
        <v>0</v>
      </c>
      <c r="AC241" s="5">
        <f t="shared" si="34"/>
        <v>0</v>
      </c>
      <c r="AD241" s="5">
        <f t="shared" si="35"/>
        <v>0</v>
      </c>
      <c r="AE241" s="5">
        <f t="shared" si="36"/>
        <v>0</v>
      </c>
    </row>
    <row r="242" spans="1:31" x14ac:dyDescent="0.35">
      <c r="A242" t="s">
        <v>22</v>
      </c>
      <c r="B242" t="s">
        <v>73</v>
      </c>
      <c r="C242" t="s">
        <v>56</v>
      </c>
      <c r="D242" t="s">
        <v>24</v>
      </c>
      <c r="E242" t="s">
        <v>24</v>
      </c>
      <c r="F242" t="s">
        <v>27</v>
      </c>
      <c r="G242">
        <v>1961</v>
      </c>
      <c r="H242" t="s">
        <v>24</v>
      </c>
      <c r="I242" t="s">
        <v>24</v>
      </c>
      <c r="J242" t="s">
        <v>24</v>
      </c>
      <c r="K242" t="s">
        <v>24</v>
      </c>
      <c r="P242">
        <v>0.27665982445934101</v>
      </c>
      <c r="W242" s="5">
        <f t="shared" si="37"/>
        <v>0</v>
      </c>
      <c r="X242" s="5">
        <f t="shared" si="29"/>
        <v>0</v>
      </c>
      <c r="Y242" s="5">
        <f t="shared" si="30"/>
        <v>0</v>
      </c>
      <c r="Z242" s="5">
        <f t="shared" si="31"/>
        <v>0.26559343148096737</v>
      </c>
      <c r="AA242" s="5">
        <f t="shared" si="32"/>
        <v>0</v>
      </c>
      <c r="AB242" s="5">
        <f t="shared" si="33"/>
        <v>0</v>
      </c>
      <c r="AC242" s="5">
        <f t="shared" si="34"/>
        <v>0</v>
      </c>
      <c r="AD242" s="5">
        <f t="shared" si="35"/>
        <v>0</v>
      </c>
      <c r="AE242" s="5">
        <f t="shared" si="36"/>
        <v>0</v>
      </c>
    </row>
    <row r="243" spans="1:31" x14ac:dyDescent="0.35">
      <c r="A243" t="s">
        <v>22</v>
      </c>
      <c r="B243" t="s">
        <v>73</v>
      </c>
      <c r="C243" t="s">
        <v>56</v>
      </c>
      <c r="D243" t="s">
        <v>24</v>
      </c>
      <c r="E243" t="s">
        <v>24</v>
      </c>
      <c r="F243" t="s">
        <v>27</v>
      </c>
      <c r="G243">
        <v>1962</v>
      </c>
      <c r="H243" t="s">
        <v>24</v>
      </c>
      <c r="I243" t="s">
        <v>24</v>
      </c>
      <c r="J243" t="s">
        <v>24</v>
      </c>
      <c r="K243" t="s">
        <v>24</v>
      </c>
      <c r="P243">
        <v>0.31849190543975298</v>
      </c>
      <c r="T243">
        <v>0.31122968577905102</v>
      </c>
      <c r="W243" s="5">
        <f t="shared" si="37"/>
        <v>0</v>
      </c>
      <c r="X243" s="5">
        <f t="shared" si="29"/>
        <v>0</v>
      </c>
      <c r="Y243" s="5">
        <f t="shared" si="30"/>
        <v>0</v>
      </c>
      <c r="Z243" s="5">
        <f t="shared" si="31"/>
        <v>0.30575222922216283</v>
      </c>
      <c r="AA243" s="5">
        <f t="shared" si="32"/>
        <v>0</v>
      </c>
      <c r="AB243" s="5">
        <f t="shared" si="33"/>
        <v>0</v>
      </c>
      <c r="AC243" s="5">
        <f t="shared" si="34"/>
        <v>0</v>
      </c>
      <c r="AD243" s="5">
        <f t="shared" si="35"/>
        <v>0.29878049834788895</v>
      </c>
      <c r="AE243" s="5">
        <f t="shared" si="36"/>
        <v>0</v>
      </c>
    </row>
    <row r="244" spans="1:31" x14ac:dyDescent="0.35">
      <c r="A244" t="s">
        <v>22</v>
      </c>
      <c r="B244" t="s">
        <v>73</v>
      </c>
      <c r="C244" t="s">
        <v>56</v>
      </c>
      <c r="D244" t="s">
        <v>24</v>
      </c>
      <c r="E244" t="s">
        <v>24</v>
      </c>
      <c r="F244" t="s">
        <v>27</v>
      </c>
      <c r="G244">
        <v>1963</v>
      </c>
      <c r="H244" t="s">
        <v>24</v>
      </c>
      <c r="I244" t="s">
        <v>24</v>
      </c>
      <c r="J244" t="s">
        <v>24</v>
      </c>
      <c r="K244" t="s">
        <v>24</v>
      </c>
      <c r="T244">
        <v>0.32063603095960802</v>
      </c>
      <c r="W244" s="5">
        <f t="shared" si="37"/>
        <v>0</v>
      </c>
      <c r="X244" s="5">
        <f t="shared" si="29"/>
        <v>0</v>
      </c>
      <c r="Y244" s="5">
        <f t="shared" si="30"/>
        <v>0</v>
      </c>
      <c r="Z244" s="5">
        <f t="shared" si="31"/>
        <v>0</v>
      </c>
      <c r="AA244" s="5">
        <f t="shared" si="32"/>
        <v>0</v>
      </c>
      <c r="AB244" s="5">
        <f t="shared" si="33"/>
        <v>0</v>
      </c>
      <c r="AC244" s="5">
        <f t="shared" si="34"/>
        <v>0</v>
      </c>
      <c r="AD244" s="5">
        <f t="shared" si="35"/>
        <v>0.30781058972122372</v>
      </c>
      <c r="AE244" s="5">
        <f t="shared" si="36"/>
        <v>0</v>
      </c>
    </row>
    <row r="245" spans="1:31" x14ac:dyDescent="0.35">
      <c r="A245" t="s">
        <v>22</v>
      </c>
      <c r="B245" t="s">
        <v>73</v>
      </c>
      <c r="C245" t="s">
        <v>56</v>
      </c>
      <c r="D245" t="s">
        <v>24</v>
      </c>
      <c r="E245" t="s">
        <v>24</v>
      </c>
      <c r="F245" t="s">
        <v>27</v>
      </c>
      <c r="G245">
        <v>1964</v>
      </c>
      <c r="H245" t="s">
        <v>24</v>
      </c>
      <c r="I245" t="s">
        <v>24</v>
      </c>
      <c r="J245" t="s">
        <v>24</v>
      </c>
      <c r="K245" t="s">
        <v>24</v>
      </c>
      <c r="T245">
        <v>0.30224289414362399</v>
      </c>
      <c r="W245" s="5">
        <f t="shared" si="37"/>
        <v>0</v>
      </c>
      <c r="X245" s="5">
        <f t="shared" si="29"/>
        <v>0</v>
      </c>
      <c r="Y245" s="5">
        <f t="shared" si="30"/>
        <v>0</v>
      </c>
      <c r="Z245" s="5">
        <f t="shared" si="31"/>
        <v>0</v>
      </c>
      <c r="AA245" s="5">
        <f t="shared" si="32"/>
        <v>0</v>
      </c>
      <c r="AB245" s="5">
        <f t="shared" si="33"/>
        <v>0</v>
      </c>
      <c r="AC245" s="5">
        <f t="shared" si="34"/>
        <v>0</v>
      </c>
      <c r="AD245" s="5">
        <f t="shared" si="35"/>
        <v>0.29015317837787902</v>
      </c>
      <c r="AE245" s="5">
        <f t="shared" si="36"/>
        <v>0</v>
      </c>
    </row>
    <row r="246" spans="1:31" x14ac:dyDescent="0.35">
      <c r="A246" t="s">
        <v>22</v>
      </c>
      <c r="B246" t="s">
        <v>73</v>
      </c>
      <c r="C246" t="s">
        <v>56</v>
      </c>
      <c r="D246" t="s">
        <v>24</v>
      </c>
      <c r="E246" t="s">
        <v>24</v>
      </c>
      <c r="F246" t="s">
        <v>27</v>
      </c>
      <c r="G246">
        <v>1967</v>
      </c>
      <c r="H246" t="s">
        <v>24</v>
      </c>
      <c r="I246" t="s">
        <v>24</v>
      </c>
      <c r="J246" t="s">
        <v>24</v>
      </c>
      <c r="K246" t="s">
        <v>24</v>
      </c>
      <c r="O246">
        <v>0.30945155299551302</v>
      </c>
      <c r="T246">
        <v>0.32350419746696202</v>
      </c>
      <c r="W246" s="5">
        <f t="shared" si="37"/>
        <v>0</v>
      </c>
      <c r="X246" s="5">
        <f t="shared" si="29"/>
        <v>0</v>
      </c>
      <c r="Y246" s="5">
        <f t="shared" si="30"/>
        <v>0.29707349087569251</v>
      </c>
      <c r="Z246" s="5">
        <f t="shared" si="31"/>
        <v>0</v>
      </c>
      <c r="AA246" s="5">
        <f t="shared" si="32"/>
        <v>0</v>
      </c>
      <c r="AB246" s="5">
        <f t="shared" si="33"/>
        <v>0</v>
      </c>
      <c r="AC246" s="5">
        <f t="shared" si="34"/>
        <v>0</v>
      </c>
      <c r="AD246" s="5">
        <f t="shared" si="35"/>
        <v>0.31056402956828355</v>
      </c>
      <c r="AE246" s="5">
        <f t="shared" si="36"/>
        <v>0</v>
      </c>
    </row>
    <row r="247" spans="1:31" x14ac:dyDescent="0.35">
      <c r="A247" t="s">
        <v>22</v>
      </c>
      <c r="B247" t="s">
        <v>73</v>
      </c>
      <c r="C247" t="s">
        <v>56</v>
      </c>
      <c r="D247" t="s">
        <v>24</v>
      </c>
      <c r="E247" t="s">
        <v>24</v>
      </c>
      <c r="F247" t="s">
        <v>27</v>
      </c>
      <c r="G247">
        <v>1968</v>
      </c>
      <c r="H247" t="s">
        <v>24</v>
      </c>
      <c r="I247" t="s">
        <v>24</v>
      </c>
      <c r="J247" t="s">
        <v>24</v>
      </c>
      <c r="K247" t="s">
        <v>24</v>
      </c>
      <c r="O247">
        <v>0.31052163753585599</v>
      </c>
      <c r="P247">
        <v>0.27883006004915201</v>
      </c>
      <c r="T247">
        <v>0.31867572249827902</v>
      </c>
      <c r="W247" s="5">
        <f t="shared" si="37"/>
        <v>0</v>
      </c>
      <c r="X247" s="5">
        <f t="shared" si="29"/>
        <v>0</v>
      </c>
      <c r="Y247" s="5">
        <f t="shared" si="30"/>
        <v>0.29810077203442176</v>
      </c>
      <c r="Z247" s="5">
        <f t="shared" si="31"/>
        <v>0.26767685764718591</v>
      </c>
      <c r="AA247" s="5">
        <f t="shared" si="32"/>
        <v>0</v>
      </c>
      <c r="AB247" s="5">
        <f t="shared" si="33"/>
        <v>0</v>
      </c>
      <c r="AC247" s="5">
        <f t="shared" si="34"/>
        <v>0</v>
      </c>
      <c r="AD247" s="5">
        <f t="shared" si="35"/>
        <v>0.30592869359834785</v>
      </c>
      <c r="AE247" s="5">
        <f t="shared" si="36"/>
        <v>0</v>
      </c>
    </row>
    <row r="248" spans="1:31" x14ac:dyDescent="0.35">
      <c r="A248" t="s">
        <v>22</v>
      </c>
      <c r="B248" t="s">
        <v>73</v>
      </c>
      <c r="C248" t="s">
        <v>56</v>
      </c>
      <c r="D248" t="s">
        <v>24</v>
      </c>
      <c r="E248" t="s">
        <v>24</v>
      </c>
      <c r="F248" t="s">
        <v>27</v>
      </c>
      <c r="G248">
        <v>1969</v>
      </c>
      <c r="H248" t="s">
        <v>24</v>
      </c>
      <c r="I248" t="s">
        <v>24</v>
      </c>
      <c r="J248" t="s">
        <v>24</v>
      </c>
      <c r="K248" t="s">
        <v>24</v>
      </c>
      <c r="T248">
        <v>0.36770714168981899</v>
      </c>
      <c r="W248" s="5">
        <f t="shared" si="37"/>
        <v>0</v>
      </c>
      <c r="X248" s="5">
        <f t="shared" si="29"/>
        <v>0</v>
      </c>
      <c r="Y248" s="5">
        <f t="shared" si="30"/>
        <v>0</v>
      </c>
      <c r="Z248" s="5">
        <f t="shared" si="31"/>
        <v>0</v>
      </c>
      <c r="AA248" s="5">
        <f t="shared" si="32"/>
        <v>0</v>
      </c>
      <c r="AB248" s="5">
        <f t="shared" si="33"/>
        <v>0</v>
      </c>
      <c r="AC248" s="5">
        <f t="shared" si="34"/>
        <v>0</v>
      </c>
      <c r="AD248" s="5">
        <f t="shared" si="35"/>
        <v>0.35299885602222625</v>
      </c>
      <c r="AE248" s="5">
        <f t="shared" si="36"/>
        <v>0</v>
      </c>
    </row>
    <row r="249" spans="1:31" x14ac:dyDescent="0.35">
      <c r="A249" t="s">
        <v>22</v>
      </c>
      <c r="B249" t="s">
        <v>73</v>
      </c>
      <c r="C249" t="s">
        <v>56</v>
      </c>
      <c r="D249" t="s">
        <v>24</v>
      </c>
      <c r="E249" t="s">
        <v>24</v>
      </c>
      <c r="F249" t="s">
        <v>27</v>
      </c>
      <c r="G249">
        <v>1970</v>
      </c>
      <c r="H249" t="s">
        <v>24</v>
      </c>
      <c r="I249" t="s">
        <v>24</v>
      </c>
      <c r="J249" t="s">
        <v>24</v>
      </c>
      <c r="K249" t="s">
        <v>24</v>
      </c>
      <c r="O249">
        <v>0.34973068308716998</v>
      </c>
      <c r="P249">
        <v>0.31914723857851801</v>
      </c>
      <c r="T249">
        <v>0.36648289924621602</v>
      </c>
      <c r="W249" s="5">
        <f t="shared" si="37"/>
        <v>0</v>
      </c>
      <c r="X249" s="5">
        <f t="shared" si="29"/>
        <v>0</v>
      </c>
      <c r="Y249" s="5">
        <f t="shared" si="30"/>
        <v>0.33574145576368319</v>
      </c>
      <c r="Z249" s="5">
        <f t="shared" si="31"/>
        <v>0.30638134903537728</v>
      </c>
      <c r="AA249" s="5">
        <f t="shared" si="32"/>
        <v>0</v>
      </c>
      <c r="AB249" s="5">
        <f t="shared" si="33"/>
        <v>0</v>
      </c>
      <c r="AC249" s="5">
        <f t="shared" si="34"/>
        <v>0</v>
      </c>
      <c r="AD249" s="5">
        <f t="shared" si="35"/>
        <v>0.35182358327636737</v>
      </c>
      <c r="AE249" s="5">
        <f t="shared" si="36"/>
        <v>0</v>
      </c>
    </row>
    <row r="250" spans="1:31" x14ac:dyDescent="0.35">
      <c r="A250" t="s">
        <v>22</v>
      </c>
      <c r="B250" t="s">
        <v>73</v>
      </c>
      <c r="C250" t="s">
        <v>56</v>
      </c>
      <c r="D250" t="s">
        <v>24</v>
      </c>
      <c r="E250" t="s">
        <v>24</v>
      </c>
      <c r="F250" t="s">
        <v>27</v>
      </c>
      <c r="G250">
        <v>1971</v>
      </c>
      <c r="H250" t="s">
        <v>24</v>
      </c>
      <c r="I250" t="s">
        <v>24</v>
      </c>
      <c r="J250" t="s">
        <v>24</v>
      </c>
      <c r="K250" t="s">
        <v>24</v>
      </c>
      <c r="P250">
        <v>0.33323459715639803</v>
      </c>
      <c r="T250">
        <v>0.32531086322041802</v>
      </c>
      <c r="W250" s="5">
        <f t="shared" si="37"/>
        <v>0</v>
      </c>
      <c r="X250" s="5">
        <f t="shared" si="29"/>
        <v>0</v>
      </c>
      <c r="Y250" s="5">
        <f t="shared" si="30"/>
        <v>0</v>
      </c>
      <c r="Z250" s="5">
        <f t="shared" si="31"/>
        <v>0.3199052132701421</v>
      </c>
      <c r="AA250" s="5">
        <f t="shared" si="32"/>
        <v>0</v>
      </c>
      <c r="AB250" s="5">
        <f t="shared" si="33"/>
        <v>0</v>
      </c>
      <c r="AC250" s="5">
        <f t="shared" si="34"/>
        <v>0</v>
      </c>
      <c r="AD250" s="5">
        <f t="shared" si="35"/>
        <v>0.31229842869160129</v>
      </c>
      <c r="AE250" s="5">
        <f t="shared" si="36"/>
        <v>0</v>
      </c>
    </row>
    <row r="251" spans="1:31" x14ac:dyDescent="0.35">
      <c r="A251" t="s">
        <v>22</v>
      </c>
      <c r="B251" t="s">
        <v>73</v>
      </c>
      <c r="C251" t="s">
        <v>56</v>
      </c>
      <c r="D251" t="s">
        <v>24</v>
      </c>
      <c r="E251" t="s">
        <v>24</v>
      </c>
      <c r="F251" t="s">
        <v>27</v>
      </c>
      <c r="G251">
        <v>1972</v>
      </c>
      <c r="H251" t="s">
        <v>24</v>
      </c>
      <c r="I251" t="s">
        <v>24</v>
      </c>
      <c r="J251" t="s">
        <v>24</v>
      </c>
      <c r="K251" t="s">
        <v>24</v>
      </c>
      <c r="O251">
        <v>0.32476833496468999</v>
      </c>
      <c r="U251">
        <v>0.30045982872955201</v>
      </c>
      <c r="W251" s="5">
        <f t="shared" si="37"/>
        <v>0</v>
      </c>
      <c r="X251" s="5">
        <f t="shared" si="29"/>
        <v>0</v>
      </c>
      <c r="Y251" s="5">
        <f t="shared" si="30"/>
        <v>0.3117776015661024</v>
      </c>
      <c r="Z251" s="5">
        <f t="shared" si="31"/>
        <v>0</v>
      </c>
      <c r="AA251" s="5">
        <f t="shared" si="32"/>
        <v>0</v>
      </c>
      <c r="AB251" s="5">
        <f t="shared" si="33"/>
        <v>0</v>
      </c>
      <c r="AC251" s="5">
        <f t="shared" si="34"/>
        <v>0</v>
      </c>
      <c r="AD251" s="5">
        <f t="shared" si="35"/>
        <v>0</v>
      </c>
      <c r="AE251" s="5">
        <f t="shared" si="36"/>
        <v>0.28844143558036994</v>
      </c>
    </row>
    <row r="252" spans="1:31" x14ac:dyDescent="0.35">
      <c r="A252" t="s">
        <v>22</v>
      </c>
      <c r="B252" t="s">
        <v>73</v>
      </c>
      <c r="C252" t="s">
        <v>56</v>
      </c>
      <c r="D252" t="s">
        <v>24</v>
      </c>
      <c r="E252" t="s">
        <v>24</v>
      </c>
      <c r="F252" t="s">
        <v>27</v>
      </c>
      <c r="G252">
        <v>1973</v>
      </c>
      <c r="H252" t="s">
        <v>24</v>
      </c>
      <c r="I252" t="s">
        <v>24</v>
      </c>
      <c r="J252" t="s">
        <v>24</v>
      </c>
      <c r="K252" t="s">
        <v>24</v>
      </c>
      <c r="O252">
        <v>0.339920452468504</v>
      </c>
      <c r="T252">
        <v>0.33282883802730601</v>
      </c>
      <c r="U252">
        <v>0.30045982872955201</v>
      </c>
      <c r="W252" s="5">
        <f t="shared" si="37"/>
        <v>0</v>
      </c>
      <c r="X252" s="5">
        <f t="shared" si="29"/>
        <v>0</v>
      </c>
      <c r="Y252" s="5">
        <f t="shared" si="30"/>
        <v>0.3263236343697638</v>
      </c>
      <c r="Z252" s="5">
        <f t="shared" si="31"/>
        <v>0</v>
      </c>
      <c r="AA252" s="5">
        <f t="shared" si="32"/>
        <v>0</v>
      </c>
      <c r="AB252" s="5">
        <f t="shared" si="33"/>
        <v>0</v>
      </c>
      <c r="AC252" s="5">
        <f t="shared" si="34"/>
        <v>0</v>
      </c>
      <c r="AD252" s="5">
        <f t="shared" si="35"/>
        <v>0.31951568450621376</v>
      </c>
      <c r="AE252" s="5">
        <f t="shared" si="36"/>
        <v>0.28844143558036994</v>
      </c>
    </row>
    <row r="253" spans="1:31" x14ac:dyDescent="0.35">
      <c r="A253" t="s">
        <v>22</v>
      </c>
      <c r="B253" t="s">
        <v>73</v>
      </c>
      <c r="C253" t="s">
        <v>56</v>
      </c>
      <c r="D253" t="s">
        <v>24</v>
      </c>
      <c r="E253" t="s">
        <v>24</v>
      </c>
      <c r="F253" t="s">
        <v>27</v>
      </c>
      <c r="G253">
        <v>1974</v>
      </c>
      <c r="H253" t="s">
        <v>24</v>
      </c>
      <c r="I253" t="s">
        <v>24</v>
      </c>
      <c r="J253" t="s">
        <v>24</v>
      </c>
      <c r="K253" t="s">
        <v>24</v>
      </c>
      <c r="O253">
        <v>0.320015218501502</v>
      </c>
      <c r="T253">
        <v>0.32761868813987499</v>
      </c>
      <c r="W253" s="5">
        <f t="shared" si="37"/>
        <v>0</v>
      </c>
      <c r="X253" s="5">
        <f t="shared" si="29"/>
        <v>0</v>
      </c>
      <c r="Y253" s="5">
        <f t="shared" si="30"/>
        <v>0.30721460976144188</v>
      </c>
      <c r="Z253" s="5">
        <f t="shared" si="31"/>
        <v>0</v>
      </c>
      <c r="AA253" s="5">
        <f t="shared" si="32"/>
        <v>0</v>
      </c>
      <c r="AB253" s="5">
        <f t="shared" si="33"/>
        <v>0</v>
      </c>
      <c r="AC253" s="5">
        <f t="shared" si="34"/>
        <v>0</v>
      </c>
      <c r="AD253" s="5">
        <f t="shared" si="35"/>
        <v>0.31451394061428001</v>
      </c>
      <c r="AE253" s="5">
        <f t="shared" si="36"/>
        <v>0</v>
      </c>
    </row>
    <row r="254" spans="1:31" x14ac:dyDescent="0.35">
      <c r="A254" t="s">
        <v>22</v>
      </c>
      <c r="B254" t="s">
        <v>73</v>
      </c>
      <c r="C254" t="s">
        <v>56</v>
      </c>
      <c r="D254" t="s">
        <v>24</v>
      </c>
      <c r="E254" t="s">
        <v>24</v>
      </c>
      <c r="F254" t="s">
        <v>27</v>
      </c>
      <c r="G254">
        <v>1975</v>
      </c>
      <c r="H254" t="s">
        <v>24</v>
      </c>
      <c r="I254" t="s">
        <v>24</v>
      </c>
      <c r="J254" t="s">
        <v>24</v>
      </c>
      <c r="K254" t="s">
        <v>24</v>
      </c>
      <c r="O254">
        <v>0.31634170137735401</v>
      </c>
      <c r="P254">
        <v>0.29393765827216101</v>
      </c>
      <c r="T254">
        <v>0.31950528817666102</v>
      </c>
      <c r="W254" s="5">
        <f t="shared" si="37"/>
        <v>0</v>
      </c>
      <c r="X254" s="5">
        <f t="shared" si="29"/>
        <v>0</v>
      </c>
      <c r="Y254" s="5">
        <f t="shared" si="30"/>
        <v>0.30368803332225985</v>
      </c>
      <c r="Z254" s="5">
        <f t="shared" si="31"/>
        <v>0.28218015194127455</v>
      </c>
      <c r="AA254" s="5">
        <f t="shared" si="32"/>
        <v>0</v>
      </c>
      <c r="AB254" s="5">
        <f t="shared" si="33"/>
        <v>0</v>
      </c>
      <c r="AC254" s="5">
        <f t="shared" si="34"/>
        <v>0</v>
      </c>
      <c r="AD254" s="5">
        <f t="shared" si="35"/>
        <v>0.30672507664959459</v>
      </c>
      <c r="AE254" s="5">
        <f t="shared" si="36"/>
        <v>0</v>
      </c>
    </row>
    <row r="255" spans="1:31" x14ac:dyDescent="0.35">
      <c r="A255" t="s">
        <v>22</v>
      </c>
      <c r="B255" t="s">
        <v>73</v>
      </c>
      <c r="C255" t="s">
        <v>56</v>
      </c>
      <c r="D255" t="s">
        <v>24</v>
      </c>
      <c r="E255" t="s">
        <v>24</v>
      </c>
      <c r="F255" t="s">
        <v>27</v>
      </c>
      <c r="G255">
        <v>1976</v>
      </c>
      <c r="H255" t="s">
        <v>24</v>
      </c>
      <c r="I255" t="s">
        <v>24</v>
      </c>
      <c r="J255" t="s">
        <v>24</v>
      </c>
      <c r="K255" t="s">
        <v>24</v>
      </c>
      <c r="O255">
        <v>0.299195289336389</v>
      </c>
      <c r="P255">
        <v>0.31500627918101698</v>
      </c>
      <c r="S255">
        <v>0.310295742009777</v>
      </c>
      <c r="T255">
        <v>0.325814989490747</v>
      </c>
      <c r="W255" s="5">
        <f t="shared" si="37"/>
        <v>0</v>
      </c>
      <c r="X255" s="5">
        <f t="shared" si="29"/>
        <v>0</v>
      </c>
      <c r="Y255" s="5">
        <f t="shared" si="30"/>
        <v>0.28722747776293345</v>
      </c>
      <c r="Z255" s="5">
        <f t="shared" si="31"/>
        <v>0.30240602801377631</v>
      </c>
      <c r="AA255" s="5">
        <f t="shared" si="32"/>
        <v>0</v>
      </c>
      <c r="AB255" s="5">
        <f t="shared" si="33"/>
        <v>0</v>
      </c>
      <c r="AC255" s="5">
        <f t="shared" si="34"/>
        <v>0.29788391232938588</v>
      </c>
      <c r="AD255" s="5">
        <f t="shared" si="35"/>
        <v>0.31278238991111712</v>
      </c>
      <c r="AE255" s="5">
        <f t="shared" si="36"/>
        <v>0</v>
      </c>
    </row>
    <row r="256" spans="1:31" x14ac:dyDescent="0.35">
      <c r="A256" t="s">
        <v>22</v>
      </c>
      <c r="B256" t="s">
        <v>73</v>
      </c>
      <c r="C256" t="s">
        <v>56</v>
      </c>
      <c r="D256" t="s">
        <v>24</v>
      </c>
      <c r="E256" t="s">
        <v>24</v>
      </c>
      <c r="F256" t="s">
        <v>27</v>
      </c>
      <c r="G256">
        <v>1977</v>
      </c>
      <c r="H256" t="s">
        <v>24</v>
      </c>
      <c r="I256" t="s">
        <v>24</v>
      </c>
      <c r="J256" t="s">
        <v>24</v>
      </c>
      <c r="K256" t="s">
        <v>24</v>
      </c>
      <c r="P256">
        <v>0.32647553337940299</v>
      </c>
      <c r="S256">
        <v>0.31616750225690199</v>
      </c>
      <c r="W256" s="5">
        <f t="shared" si="37"/>
        <v>0</v>
      </c>
      <c r="X256" s="5">
        <f t="shared" si="29"/>
        <v>0</v>
      </c>
      <c r="Y256" s="5">
        <f t="shared" si="30"/>
        <v>0</v>
      </c>
      <c r="Z256" s="5">
        <f t="shared" si="31"/>
        <v>0.31341651204422688</v>
      </c>
      <c r="AA256" s="5">
        <f t="shared" si="32"/>
        <v>0</v>
      </c>
      <c r="AB256" s="5">
        <f t="shared" si="33"/>
        <v>0</v>
      </c>
      <c r="AC256" s="5">
        <f t="shared" si="34"/>
        <v>0.30352080216662591</v>
      </c>
      <c r="AD256" s="5">
        <f t="shared" si="35"/>
        <v>0</v>
      </c>
      <c r="AE256" s="5">
        <f t="shared" si="36"/>
        <v>0</v>
      </c>
    </row>
    <row r="257" spans="1:31" x14ac:dyDescent="0.35">
      <c r="A257" t="s">
        <v>22</v>
      </c>
      <c r="B257" t="s">
        <v>73</v>
      </c>
      <c r="C257" t="s">
        <v>56</v>
      </c>
      <c r="D257" t="s">
        <v>24</v>
      </c>
      <c r="E257" t="s">
        <v>24</v>
      </c>
      <c r="F257" t="s">
        <v>27</v>
      </c>
      <c r="G257">
        <v>1978</v>
      </c>
      <c r="H257" t="s">
        <v>24</v>
      </c>
      <c r="I257" t="s">
        <v>24</v>
      </c>
      <c r="J257" t="s">
        <v>24</v>
      </c>
      <c r="K257" t="s">
        <v>24</v>
      </c>
      <c r="O257">
        <v>0.31310079802763902</v>
      </c>
      <c r="P257">
        <v>0.32448861495640102</v>
      </c>
      <c r="R257">
        <v>0.33267292278452298</v>
      </c>
      <c r="S257">
        <v>0.31777048451130802</v>
      </c>
      <c r="T257">
        <v>0.30079875960015501</v>
      </c>
      <c r="W257" s="5">
        <f t="shared" si="37"/>
        <v>0</v>
      </c>
      <c r="X257" s="5">
        <f t="shared" si="29"/>
        <v>0</v>
      </c>
      <c r="Y257" s="5">
        <f t="shared" si="30"/>
        <v>0.30057676610653344</v>
      </c>
      <c r="Z257" s="5">
        <f t="shared" si="31"/>
        <v>0.31150907035814496</v>
      </c>
      <c r="AA257" s="5">
        <f t="shared" si="32"/>
        <v>0</v>
      </c>
      <c r="AB257" s="5">
        <f t="shared" si="33"/>
        <v>0.31936600587314207</v>
      </c>
      <c r="AC257" s="5">
        <f t="shared" si="34"/>
        <v>0.3050596651308557</v>
      </c>
      <c r="AD257" s="5">
        <f t="shared" si="35"/>
        <v>0.28876680921614878</v>
      </c>
      <c r="AE257" s="5">
        <f t="shared" si="36"/>
        <v>0</v>
      </c>
    </row>
    <row r="258" spans="1:31" x14ac:dyDescent="0.35">
      <c r="A258" t="s">
        <v>22</v>
      </c>
      <c r="B258" t="s">
        <v>73</v>
      </c>
      <c r="C258" t="s">
        <v>56</v>
      </c>
      <c r="D258" t="s">
        <v>24</v>
      </c>
      <c r="E258" t="s">
        <v>24</v>
      </c>
      <c r="F258" t="s">
        <v>27</v>
      </c>
      <c r="G258">
        <v>1979</v>
      </c>
      <c r="H258" t="s">
        <v>24</v>
      </c>
      <c r="I258" t="s">
        <v>24</v>
      </c>
      <c r="J258" t="s">
        <v>24</v>
      </c>
      <c r="K258" t="s">
        <v>24</v>
      </c>
      <c r="O258">
        <v>0.29582334415964601</v>
      </c>
      <c r="S258">
        <v>0.333002394738937</v>
      </c>
      <c r="T258">
        <v>0.327035709108144</v>
      </c>
      <c r="W258" s="5">
        <f t="shared" si="37"/>
        <v>0</v>
      </c>
      <c r="X258" s="5">
        <f t="shared" si="29"/>
        <v>0</v>
      </c>
      <c r="Y258" s="5">
        <f t="shared" si="30"/>
        <v>0.28399041039326017</v>
      </c>
      <c r="Z258" s="5">
        <f t="shared" si="31"/>
        <v>0</v>
      </c>
      <c r="AA258" s="5">
        <f t="shared" si="32"/>
        <v>0</v>
      </c>
      <c r="AB258" s="5">
        <f t="shared" si="33"/>
        <v>0</v>
      </c>
      <c r="AC258" s="5">
        <f t="shared" si="34"/>
        <v>0.3196822989493795</v>
      </c>
      <c r="AD258" s="5">
        <f t="shared" si="35"/>
        <v>0.3139542807438182</v>
      </c>
      <c r="AE258" s="5">
        <f t="shared" si="36"/>
        <v>0</v>
      </c>
    </row>
    <row r="259" spans="1:31" x14ac:dyDescent="0.35">
      <c r="A259" t="s">
        <v>22</v>
      </c>
      <c r="B259" t="s">
        <v>73</v>
      </c>
      <c r="C259" t="s">
        <v>56</v>
      </c>
      <c r="D259" t="s">
        <v>24</v>
      </c>
      <c r="E259" t="s">
        <v>24</v>
      </c>
      <c r="F259" t="s">
        <v>27</v>
      </c>
      <c r="G259">
        <v>1980</v>
      </c>
      <c r="H259" t="s">
        <v>24</v>
      </c>
      <c r="I259" t="s">
        <v>24</v>
      </c>
      <c r="J259" t="s">
        <v>24</v>
      </c>
      <c r="K259" t="s">
        <v>24</v>
      </c>
      <c r="O259">
        <v>0.31621928226128398</v>
      </c>
      <c r="P259">
        <v>0.31980527412197901</v>
      </c>
      <c r="S259">
        <v>0.32258931816973302</v>
      </c>
      <c r="T259">
        <v>0.33156755725994003</v>
      </c>
      <c r="U259">
        <v>0.31473180915712201</v>
      </c>
      <c r="W259" s="5">
        <f t="shared" si="37"/>
        <v>0</v>
      </c>
      <c r="X259" s="5">
        <f t="shared" si="29"/>
        <v>0</v>
      </c>
      <c r="Y259" s="5">
        <f t="shared" si="30"/>
        <v>0.3035705109708326</v>
      </c>
      <c r="Z259" s="5">
        <f t="shared" si="31"/>
        <v>0.30701306315709986</v>
      </c>
      <c r="AA259" s="5">
        <f t="shared" si="32"/>
        <v>0</v>
      </c>
      <c r="AB259" s="5">
        <f t="shared" si="33"/>
        <v>0</v>
      </c>
      <c r="AC259" s="5">
        <f t="shared" si="34"/>
        <v>0.30968574544294369</v>
      </c>
      <c r="AD259" s="5">
        <f t="shared" si="35"/>
        <v>0.31830485496954242</v>
      </c>
      <c r="AE259" s="5">
        <f t="shared" si="36"/>
        <v>0.30214253679083714</v>
      </c>
    </row>
    <row r="260" spans="1:31" x14ac:dyDescent="0.35">
      <c r="A260" t="s">
        <v>22</v>
      </c>
      <c r="B260" t="s">
        <v>73</v>
      </c>
      <c r="C260" t="s">
        <v>56</v>
      </c>
      <c r="D260" t="s">
        <v>24</v>
      </c>
      <c r="E260" t="s">
        <v>24</v>
      </c>
      <c r="F260" t="s">
        <v>27</v>
      </c>
      <c r="G260">
        <v>1981</v>
      </c>
      <c r="H260" t="s">
        <v>24</v>
      </c>
      <c r="I260" t="s">
        <v>24</v>
      </c>
      <c r="J260" t="s">
        <v>24</v>
      </c>
      <c r="K260" t="s">
        <v>24</v>
      </c>
      <c r="P260">
        <v>0.325874678617247</v>
      </c>
      <c r="S260">
        <v>0.31240848662224502</v>
      </c>
      <c r="T260">
        <v>0.32453949283525901</v>
      </c>
      <c r="W260" s="5">
        <f t="shared" si="37"/>
        <v>0</v>
      </c>
      <c r="X260" s="5">
        <f t="shared" si="29"/>
        <v>0</v>
      </c>
      <c r="Y260" s="5">
        <f t="shared" si="30"/>
        <v>0</v>
      </c>
      <c r="Z260" s="5">
        <f t="shared" si="31"/>
        <v>0.31283969147255714</v>
      </c>
      <c r="AA260" s="5">
        <f t="shared" si="32"/>
        <v>0</v>
      </c>
      <c r="AB260" s="5">
        <f t="shared" si="33"/>
        <v>0</v>
      </c>
      <c r="AC260" s="5">
        <f t="shared" si="34"/>
        <v>0.2999121471573552</v>
      </c>
      <c r="AD260" s="5">
        <f t="shared" si="35"/>
        <v>0.31155791312184866</v>
      </c>
      <c r="AE260" s="5">
        <f t="shared" si="36"/>
        <v>0</v>
      </c>
    </row>
    <row r="261" spans="1:31" x14ac:dyDescent="0.35">
      <c r="A261" t="s">
        <v>22</v>
      </c>
      <c r="B261" t="s">
        <v>73</v>
      </c>
      <c r="C261" t="s">
        <v>56</v>
      </c>
      <c r="D261" t="s">
        <v>24</v>
      </c>
      <c r="E261" t="s">
        <v>24</v>
      </c>
      <c r="F261" t="s">
        <v>27</v>
      </c>
      <c r="G261">
        <v>1982</v>
      </c>
      <c r="H261" t="s">
        <v>24</v>
      </c>
      <c r="I261" t="s">
        <v>24</v>
      </c>
      <c r="J261" t="s">
        <v>24</v>
      </c>
      <c r="K261" t="s">
        <v>24</v>
      </c>
      <c r="P261">
        <v>0.27516508949935597</v>
      </c>
      <c r="Q261">
        <v>0.33483684377210399</v>
      </c>
      <c r="S261">
        <v>0.32098273241646702</v>
      </c>
      <c r="T261">
        <v>0.36282001859452601</v>
      </c>
      <c r="W261" s="5">
        <f t="shared" si="37"/>
        <v>0</v>
      </c>
      <c r="X261" s="5">
        <f t="shared" si="29"/>
        <v>0</v>
      </c>
      <c r="Y261" s="5">
        <f t="shared" si="30"/>
        <v>0</v>
      </c>
      <c r="Z261" s="5">
        <f t="shared" si="31"/>
        <v>0.26415848591938174</v>
      </c>
      <c r="AA261" s="5">
        <f t="shared" si="32"/>
        <v>0.32144337002121981</v>
      </c>
      <c r="AB261" s="5">
        <f t="shared" si="33"/>
        <v>0</v>
      </c>
      <c r="AC261" s="5">
        <f t="shared" si="34"/>
        <v>0.3081434231198083</v>
      </c>
      <c r="AD261" s="5">
        <f t="shared" si="35"/>
        <v>0.34830721785074498</v>
      </c>
      <c r="AE261" s="5">
        <f t="shared" si="36"/>
        <v>0</v>
      </c>
    </row>
    <row r="262" spans="1:31" x14ac:dyDescent="0.35">
      <c r="A262" t="s">
        <v>22</v>
      </c>
      <c r="B262" t="s">
        <v>73</v>
      </c>
      <c r="C262" t="s">
        <v>56</v>
      </c>
      <c r="D262" t="s">
        <v>24</v>
      </c>
      <c r="E262" t="s">
        <v>24</v>
      </c>
      <c r="F262" t="s">
        <v>27</v>
      </c>
      <c r="G262">
        <v>1983</v>
      </c>
      <c r="H262" t="s">
        <v>24</v>
      </c>
      <c r="I262" t="s">
        <v>24</v>
      </c>
      <c r="J262" t="s">
        <v>24</v>
      </c>
      <c r="K262" t="s">
        <v>24</v>
      </c>
      <c r="P262">
        <v>0.31866363527632902</v>
      </c>
      <c r="S262">
        <v>0.335275033668819</v>
      </c>
      <c r="W262" s="5">
        <f t="shared" si="37"/>
        <v>0</v>
      </c>
      <c r="X262" s="5">
        <f t="shared" si="29"/>
        <v>0</v>
      </c>
      <c r="Y262" s="5">
        <f t="shared" si="30"/>
        <v>0</v>
      </c>
      <c r="Z262" s="5">
        <f t="shared" si="31"/>
        <v>0.30591708986527583</v>
      </c>
      <c r="AA262" s="5">
        <f t="shared" si="32"/>
        <v>0</v>
      </c>
      <c r="AB262" s="5">
        <f t="shared" si="33"/>
        <v>0</v>
      </c>
      <c r="AC262" s="5">
        <f t="shared" si="34"/>
        <v>0.32186403232206623</v>
      </c>
      <c r="AD262" s="5">
        <f t="shared" si="35"/>
        <v>0</v>
      </c>
      <c r="AE262" s="5">
        <f t="shared" si="36"/>
        <v>0</v>
      </c>
    </row>
    <row r="263" spans="1:31" x14ac:dyDescent="0.35">
      <c r="A263" t="s">
        <v>22</v>
      </c>
      <c r="B263" t="s">
        <v>73</v>
      </c>
      <c r="C263" t="s">
        <v>56</v>
      </c>
      <c r="D263" t="s">
        <v>24</v>
      </c>
      <c r="E263" t="s">
        <v>24</v>
      </c>
      <c r="F263" t="s">
        <v>27</v>
      </c>
      <c r="G263">
        <v>1984</v>
      </c>
      <c r="H263" t="s">
        <v>24</v>
      </c>
      <c r="I263" t="s">
        <v>24</v>
      </c>
      <c r="J263" t="s">
        <v>24</v>
      </c>
      <c r="K263" t="s">
        <v>24</v>
      </c>
      <c r="O263">
        <v>0.352257899750337</v>
      </c>
      <c r="Q263">
        <v>0.33045925575068003</v>
      </c>
      <c r="S263">
        <v>0.336986201351127</v>
      </c>
      <c r="T263">
        <v>0.31153407599542199</v>
      </c>
      <c r="W263" s="5">
        <f>M263*$W$2</f>
        <v>0</v>
      </c>
      <c r="X263" s="5">
        <f t="shared" si="29"/>
        <v>0</v>
      </c>
      <c r="Y263" s="5">
        <f t="shared" si="30"/>
        <v>0.33816758376032352</v>
      </c>
      <c r="Z263" s="5">
        <f t="shared" si="31"/>
        <v>0</v>
      </c>
      <c r="AA263" s="5">
        <f t="shared" si="32"/>
        <v>0.31724088552065283</v>
      </c>
      <c r="AB263" s="5">
        <f t="shared" si="33"/>
        <v>0</v>
      </c>
      <c r="AC263" s="5">
        <f t="shared" si="34"/>
        <v>0.32350675329708189</v>
      </c>
      <c r="AD263" s="5">
        <f t="shared" si="35"/>
        <v>0.29907271295560511</v>
      </c>
      <c r="AE263" s="5">
        <f t="shared" si="36"/>
        <v>0</v>
      </c>
    </row>
    <row r="264" spans="1:31" x14ac:dyDescent="0.35">
      <c r="A264" t="s">
        <v>22</v>
      </c>
      <c r="B264" t="s">
        <v>73</v>
      </c>
      <c r="C264" t="s">
        <v>56</v>
      </c>
      <c r="D264" t="s">
        <v>24</v>
      </c>
      <c r="E264" t="s">
        <v>24</v>
      </c>
      <c r="F264" t="s">
        <v>27</v>
      </c>
      <c r="G264">
        <v>1985</v>
      </c>
      <c r="H264" t="s">
        <v>24</v>
      </c>
      <c r="I264" t="s">
        <v>24</v>
      </c>
      <c r="J264" t="s">
        <v>24</v>
      </c>
      <c r="K264" t="s">
        <v>24</v>
      </c>
      <c r="O264">
        <v>0.31389221551665097</v>
      </c>
      <c r="R264">
        <v>0.33481963231486001</v>
      </c>
      <c r="S264">
        <v>0.33891676865033399</v>
      </c>
      <c r="T264">
        <v>0.34119810767738401</v>
      </c>
      <c r="W264" s="5">
        <f t="shared" ref="W264:W312" si="38">M264*$W$2</f>
        <v>0</v>
      </c>
      <c r="X264" s="5">
        <f t="shared" si="29"/>
        <v>0</v>
      </c>
      <c r="Y264" s="5">
        <f t="shared" si="30"/>
        <v>0.30133652689598495</v>
      </c>
      <c r="Z264" s="5">
        <f t="shared" si="31"/>
        <v>0</v>
      </c>
      <c r="AA264" s="5">
        <f t="shared" si="32"/>
        <v>0</v>
      </c>
      <c r="AB264" s="5">
        <f t="shared" si="33"/>
        <v>0.32142684702226559</v>
      </c>
      <c r="AC264" s="5">
        <f t="shared" si="34"/>
        <v>0.32536009790432063</v>
      </c>
      <c r="AD264" s="5">
        <f t="shared" si="35"/>
        <v>0.32755018337028863</v>
      </c>
      <c r="AE264" s="5">
        <f t="shared" si="36"/>
        <v>0</v>
      </c>
    </row>
    <row r="265" spans="1:31" x14ac:dyDescent="0.35">
      <c r="A265" t="s">
        <v>22</v>
      </c>
      <c r="B265" t="s">
        <v>73</v>
      </c>
      <c r="C265" t="s">
        <v>56</v>
      </c>
      <c r="D265" t="s">
        <v>24</v>
      </c>
      <c r="E265" t="s">
        <v>24</v>
      </c>
      <c r="F265" t="s">
        <v>27</v>
      </c>
      <c r="G265">
        <v>1986</v>
      </c>
      <c r="H265" t="s">
        <v>24</v>
      </c>
      <c r="I265" t="s">
        <v>24</v>
      </c>
      <c r="J265" t="s">
        <v>24</v>
      </c>
      <c r="K265" t="s">
        <v>24</v>
      </c>
      <c r="S265">
        <v>0.32606611117656698</v>
      </c>
      <c r="T265">
        <v>0.302082354362741</v>
      </c>
      <c r="W265" s="5">
        <f t="shared" si="38"/>
        <v>0</v>
      </c>
      <c r="X265" s="5">
        <f t="shared" si="29"/>
        <v>0</v>
      </c>
      <c r="Y265" s="5">
        <f t="shared" si="30"/>
        <v>0</v>
      </c>
      <c r="Z265" s="5">
        <f t="shared" si="31"/>
        <v>0</v>
      </c>
      <c r="AA265" s="5">
        <f t="shared" si="32"/>
        <v>0</v>
      </c>
      <c r="AB265" s="5">
        <f t="shared" si="33"/>
        <v>0</v>
      </c>
      <c r="AC265" s="5">
        <f t="shared" si="34"/>
        <v>0.31302346672950426</v>
      </c>
      <c r="AD265" s="5">
        <f t="shared" si="35"/>
        <v>0.28999906018823135</v>
      </c>
      <c r="AE265" s="5">
        <f t="shared" si="36"/>
        <v>0</v>
      </c>
    </row>
    <row r="266" spans="1:31" x14ac:dyDescent="0.35">
      <c r="A266" t="s">
        <v>22</v>
      </c>
      <c r="B266" t="s">
        <v>73</v>
      </c>
      <c r="C266" t="s">
        <v>56</v>
      </c>
      <c r="D266" t="s">
        <v>24</v>
      </c>
      <c r="E266" t="s">
        <v>24</v>
      </c>
      <c r="F266" t="s">
        <v>27</v>
      </c>
      <c r="G266">
        <v>1987</v>
      </c>
      <c r="H266" t="s">
        <v>24</v>
      </c>
      <c r="I266" t="s">
        <v>24</v>
      </c>
      <c r="J266" t="s">
        <v>24</v>
      </c>
      <c r="K266" t="s">
        <v>24</v>
      </c>
      <c r="P266">
        <v>0.33582543793736003</v>
      </c>
      <c r="Q266">
        <v>0.31890862382070301</v>
      </c>
      <c r="W266" s="5">
        <f t="shared" si="38"/>
        <v>0</v>
      </c>
      <c r="X266" s="5">
        <f t="shared" si="29"/>
        <v>0</v>
      </c>
      <c r="Y266" s="5">
        <f t="shared" si="30"/>
        <v>0</v>
      </c>
      <c r="Z266" s="5">
        <f t="shared" si="31"/>
        <v>0.3223924204198656</v>
      </c>
      <c r="AA266" s="5">
        <f t="shared" si="32"/>
        <v>0.30615227886787488</v>
      </c>
      <c r="AB266" s="5">
        <f t="shared" si="33"/>
        <v>0</v>
      </c>
      <c r="AC266" s="5">
        <f t="shared" si="34"/>
        <v>0</v>
      </c>
      <c r="AD266" s="5">
        <f t="shared" si="35"/>
        <v>0</v>
      </c>
      <c r="AE266" s="5">
        <f t="shared" si="36"/>
        <v>0</v>
      </c>
    </row>
    <row r="267" spans="1:31" x14ac:dyDescent="0.35">
      <c r="A267" t="s">
        <v>22</v>
      </c>
      <c r="B267" t="s">
        <v>73</v>
      </c>
      <c r="C267" t="s">
        <v>56</v>
      </c>
      <c r="D267" t="s">
        <v>24</v>
      </c>
      <c r="E267" t="s">
        <v>24</v>
      </c>
      <c r="F267" t="s">
        <v>27</v>
      </c>
      <c r="G267">
        <v>1989</v>
      </c>
      <c r="H267" t="s">
        <v>24</v>
      </c>
      <c r="I267" t="s">
        <v>24</v>
      </c>
      <c r="J267" t="s">
        <v>24</v>
      </c>
      <c r="K267" t="s">
        <v>24</v>
      </c>
      <c r="O267">
        <v>0.34890820806559503</v>
      </c>
      <c r="Q267">
        <v>0.32867677469480999</v>
      </c>
      <c r="R267">
        <v>0.33452421839992402</v>
      </c>
      <c r="W267" s="5">
        <f t="shared" si="38"/>
        <v>0</v>
      </c>
      <c r="X267" s="5">
        <f t="shared" si="29"/>
        <v>0</v>
      </c>
      <c r="Y267" s="5">
        <f t="shared" si="30"/>
        <v>0.33495187974297119</v>
      </c>
      <c r="Z267" s="5">
        <f t="shared" si="31"/>
        <v>0</v>
      </c>
      <c r="AA267" s="5">
        <f t="shared" si="32"/>
        <v>0.31552970370701761</v>
      </c>
      <c r="AB267" s="5">
        <f t="shared" si="33"/>
        <v>0.32114324966392704</v>
      </c>
      <c r="AC267" s="5">
        <f t="shared" si="34"/>
        <v>0</v>
      </c>
      <c r="AD267" s="5">
        <f t="shared" si="35"/>
        <v>0</v>
      </c>
      <c r="AE267" s="5">
        <f t="shared" si="36"/>
        <v>0</v>
      </c>
    </row>
    <row r="268" spans="1:31" x14ac:dyDescent="0.35">
      <c r="A268" t="s">
        <v>22</v>
      </c>
      <c r="B268" t="s">
        <v>73</v>
      </c>
      <c r="C268" t="s">
        <v>56</v>
      </c>
      <c r="D268" t="s">
        <v>24</v>
      </c>
      <c r="E268" t="s">
        <v>24</v>
      </c>
      <c r="F268" t="s">
        <v>27</v>
      </c>
      <c r="G268">
        <v>1990</v>
      </c>
      <c r="H268" t="s">
        <v>24</v>
      </c>
      <c r="I268" t="s">
        <v>24</v>
      </c>
      <c r="J268" t="s">
        <v>24</v>
      </c>
      <c r="K268" t="s">
        <v>24</v>
      </c>
      <c r="T268">
        <v>0.34492290254538699</v>
      </c>
      <c r="W268" s="5">
        <f t="shared" si="38"/>
        <v>0</v>
      </c>
      <c r="X268" s="5">
        <f t="shared" si="29"/>
        <v>0</v>
      </c>
      <c r="Y268" s="5">
        <f t="shared" si="30"/>
        <v>0</v>
      </c>
      <c r="Z268" s="5">
        <f t="shared" si="31"/>
        <v>0</v>
      </c>
      <c r="AA268" s="5">
        <f t="shared" si="32"/>
        <v>0</v>
      </c>
      <c r="AB268" s="5">
        <f t="shared" si="33"/>
        <v>0</v>
      </c>
      <c r="AC268" s="5">
        <f t="shared" si="34"/>
        <v>0</v>
      </c>
      <c r="AD268" s="5">
        <f t="shared" si="35"/>
        <v>0.3311259864435715</v>
      </c>
      <c r="AE268" s="5">
        <f t="shared" si="36"/>
        <v>0</v>
      </c>
    </row>
    <row r="269" spans="1:31" x14ac:dyDescent="0.35">
      <c r="A269" t="s">
        <v>22</v>
      </c>
      <c r="B269" t="s">
        <v>73</v>
      </c>
      <c r="C269" t="s">
        <v>56</v>
      </c>
      <c r="D269" t="s">
        <v>24</v>
      </c>
      <c r="E269" t="s">
        <v>24</v>
      </c>
      <c r="F269" t="s">
        <v>27</v>
      </c>
      <c r="G269">
        <v>1991</v>
      </c>
      <c r="H269" t="s">
        <v>24</v>
      </c>
      <c r="I269" t="s">
        <v>24</v>
      </c>
      <c r="J269" t="s">
        <v>24</v>
      </c>
      <c r="K269" t="s">
        <v>24</v>
      </c>
      <c r="R269">
        <v>0.33651084737765802</v>
      </c>
      <c r="W269" s="5">
        <f t="shared" si="38"/>
        <v>0</v>
      </c>
      <c r="X269" s="5">
        <f t="shared" si="29"/>
        <v>0</v>
      </c>
      <c r="Y269" s="5">
        <f t="shared" si="30"/>
        <v>0</v>
      </c>
      <c r="Z269" s="5">
        <f t="shared" si="31"/>
        <v>0</v>
      </c>
      <c r="AA269" s="5">
        <f t="shared" si="32"/>
        <v>0</v>
      </c>
      <c r="AB269" s="5">
        <f t="shared" si="33"/>
        <v>0.3230504134825517</v>
      </c>
      <c r="AC269" s="5">
        <f t="shared" si="34"/>
        <v>0</v>
      </c>
      <c r="AD269" s="5">
        <f t="shared" si="35"/>
        <v>0</v>
      </c>
      <c r="AE269" s="5">
        <f t="shared" si="36"/>
        <v>0</v>
      </c>
    </row>
    <row r="270" spans="1:31" x14ac:dyDescent="0.35">
      <c r="A270" t="s">
        <v>22</v>
      </c>
      <c r="B270" t="s">
        <v>73</v>
      </c>
      <c r="C270" t="s">
        <v>57</v>
      </c>
      <c r="D270" t="s">
        <v>24</v>
      </c>
      <c r="E270" t="s">
        <v>24</v>
      </c>
      <c r="F270" t="s">
        <v>27</v>
      </c>
      <c r="G270">
        <v>1929</v>
      </c>
      <c r="H270" t="s">
        <v>24</v>
      </c>
      <c r="I270" t="s">
        <v>24</v>
      </c>
      <c r="J270" t="s">
        <v>24</v>
      </c>
      <c r="K270" t="s">
        <v>24</v>
      </c>
      <c r="P270">
        <v>0.26206299630454799</v>
      </c>
      <c r="W270" s="5">
        <f t="shared" si="38"/>
        <v>0</v>
      </c>
      <c r="X270" s="5">
        <f t="shared" si="29"/>
        <v>0</v>
      </c>
      <c r="Y270" s="5">
        <f t="shared" si="30"/>
        <v>0</v>
      </c>
      <c r="Z270" s="5">
        <f t="shared" si="31"/>
        <v>0.25158047645236609</v>
      </c>
      <c r="AA270" s="5">
        <f t="shared" si="32"/>
        <v>0</v>
      </c>
      <c r="AB270" s="5">
        <f t="shared" si="33"/>
        <v>0</v>
      </c>
      <c r="AC270" s="5">
        <f t="shared" si="34"/>
        <v>0</v>
      </c>
      <c r="AD270" s="5">
        <f t="shared" si="35"/>
        <v>0</v>
      </c>
      <c r="AE270" s="5">
        <f t="shared" si="36"/>
        <v>0</v>
      </c>
    </row>
    <row r="271" spans="1:31" x14ac:dyDescent="0.35">
      <c r="A271" t="s">
        <v>22</v>
      </c>
      <c r="B271" t="s">
        <v>73</v>
      </c>
      <c r="C271" t="s">
        <v>57</v>
      </c>
      <c r="D271" t="s">
        <v>24</v>
      </c>
      <c r="E271" t="s">
        <v>24</v>
      </c>
      <c r="F271" t="s">
        <v>27</v>
      </c>
      <c r="G271">
        <v>1930</v>
      </c>
      <c r="H271" t="s">
        <v>24</v>
      </c>
      <c r="I271" t="s">
        <v>24</v>
      </c>
      <c r="J271" t="s">
        <v>24</v>
      </c>
      <c r="K271" t="s">
        <v>24</v>
      </c>
      <c r="P271">
        <v>0.24351553227464401</v>
      </c>
      <c r="W271" s="5">
        <f t="shared" si="38"/>
        <v>0</v>
      </c>
      <c r="X271" s="5">
        <f t="shared" ref="X271:X312" si="39">N271*$W$2</f>
        <v>0</v>
      </c>
      <c r="Y271" s="5">
        <f t="shared" ref="Y271:Y312" si="40">O271*$W$2</f>
        <v>0</v>
      </c>
      <c r="Z271" s="5">
        <f t="shared" ref="Z271:Z312" si="41">P271*$W$2</f>
        <v>0.23377491098365824</v>
      </c>
      <c r="AA271" s="5">
        <f t="shared" ref="AA271:AA312" si="42">Q271*$W$2</f>
        <v>0</v>
      </c>
      <c r="AB271" s="5">
        <f t="shared" ref="AB271:AB312" si="43">R271*$W$2</f>
        <v>0</v>
      </c>
      <c r="AC271" s="5">
        <f t="shared" ref="AC271:AC312" si="44">S271*$W$2</f>
        <v>0</v>
      </c>
      <c r="AD271" s="5">
        <f t="shared" ref="AD271:AD312" si="45">T271*$W$2</f>
        <v>0</v>
      </c>
      <c r="AE271" s="5">
        <f t="shared" ref="AE271:AE312" si="46">U271*$W$2</f>
        <v>0</v>
      </c>
    </row>
    <row r="272" spans="1:31" x14ac:dyDescent="0.35">
      <c r="A272" t="s">
        <v>22</v>
      </c>
      <c r="B272" t="s">
        <v>73</v>
      </c>
      <c r="C272" t="s">
        <v>57</v>
      </c>
      <c r="D272" t="s">
        <v>24</v>
      </c>
      <c r="E272" t="s">
        <v>24</v>
      </c>
      <c r="F272" t="s">
        <v>27</v>
      </c>
      <c r="G272">
        <v>1949</v>
      </c>
      <c r="H272" t="s">
        <v>24</v>
      </c>
      <c r="I272" t="s">
        <v>24</v>
      </c>
      <c r="J272" t="s">
        <v>24</v>
      </c>
      <c r="K272" t="s">
        <v>24</v>
      </c>
      <c r="O272">
        <v>0.26870795140416698</v>
      </c>
      <c r="P272">
        <v>0.27281270219174503</v>
      </c>
      <c r="W272" s="5">
        <f t="shared" si="38"/>
        <v>0</v>
      </c>
      <c r="X272" s="5">
        <f t="shared" si="39"/>
        <v>0</v>
      </c>
      <c r="Y272" s="5">
        <f t="shared" si="40"/>
        <v>0.25795963334800032</v>
      </c>
      <c r="Z272" s="5">
        <f t="shared" si="41"/>
        <v>0.26190019410407522</v>
      </c>
      <c r="AA272" s="5">
        <f t="shared" si="42"/>
        <v>0</v>
      </c>
      <c r="AB272" s="5">
        <f t="shared" si="43"/>
        <v>0</v>
      </c>
      <c r="AC272" s="5">
        <f t="shared" si="44"/>
        <v>0</v>
      </c>
      <c r="AD272" s="5">
        <f t="shared" si="45"/>
        <v>0</v>
      </c>
      <c r="AE272" s="5">
        <f t="shared" si="46"/>
        <v>0</v>
      </c>
    </row>
    <row r="273" spans="1:31" x14ac:dyDescent="0.35">
      <c r="A273" t="s">
        <v>22</v>
      </c>
      <c r="B273" t="s">
        <v>73</v>
      </c>
      <c r="C273" t="s">
        <v>57</v>
      </c>
      <c r="D273" t="s">
        <v>24</v>
      </c>
      <c r="E273" t="s">
        <v>24</v>
      </c>
      <c r="F273" t="s">
        <v>27</v>
      </c>
      <c r="G273">
        <v>1950</v>
      </c>
      <c r="H273" t="s">
        <v>24</v>
      </c>
      <c r="I273" t="s">
        <v>24</v>
      </c>
      <c r="J273" t="s">
        <v>24</v>
      </c>
      <c r="K273" t="s">
        <v>24</v>
      </c>
      <c r="N273">
        <v>0.30990121468363602</v>
      </c>
      <c r="P273">
        <v>0.25136463304213702</v>
      </c>
      <c r="W273" s="5">
        <f t="shared" si="38"/>
        <v>0</v>
      </c>
      <c r="X273" s="5">
        <f t="shared" si="39"/>
        <v>0.29750516609629057</v>
      </c>
      <c r="Y273" s="5">
        <f t="shared" si="40"/>
        <v>0</v>
      </c>
      <c r="Z273" s="5">
        <f t="shared" si="41"/>
        <v>0.24131004772045153</v>
      </c>
      <c r="AA273" s="5">
        <f t="shared" si="42"/>
        <v>0</v>
      </c>
      <c r="AB273" s="5">
        <f t="shared" si="43"/>
        <v>0</v>
      </c>
      <c r="AC273" s="5">
        <f t="shared" si="44"/>
        <v>0</v>
      </c>
      <c r="AD273" s="5">
        <f t="shared" si="45"/>
        <v>0</v>
      </c>
      <c r="AE273" s="5">
        <f t="shared" si="46"/>
        <v>0</v>
      </c>
    </row>
    <row r="274" spans="1:31" x14ac:dyDescent="0.35">
      <c r="A274" t="s">
        <v>22</v>
      </c>
      <c r="B274" t="s">
        <v>73</v>
      </c>
      <c r="C274" t="s">
        <v>57</v>
      </c>
      <c r="D274" t="s">
        <v>24</v>
      </c>
      <c r="E274" t="s">
        <v>24</v>
      </c>
      <c r="F274" t="s">
        <v>27</v>
      </c>
      <c r="G274">
        <v>1951</v>
      </c>
      <c r="H274" t="s">
        <v>24</v>
      </c>
      <c r="I274" t="s">
        <v>24</v>
      </c>
      <c r="J274" t="s">
        <v>24</v>
      </c>
      <c r="K274" t="s">
        <v>24</v>
      </c>
      <c r="O274">
        <v>0.29155288724970901</v>
      </c>
      <c r="W274" s="5">
        <f t="shared" si="38"/>
        <v>0</v>
      </c>
      <c r="X274" s="5">
        <f t="shared" si="39"/>
        <v>0</v>
      </c>
      <c r="Y274" s="5">
        <f t="shared" si="40"/>
        <v>0.27989077175972066</v>
      </c>
      <c r="Z274" s="5">
        <f t="shared" si="41"/>
        <v>0</v>
      </c>
      <c r="AA274" s="5">
        <f t="shared" si="42"/>
        <v>0</v>
      </c>
      <c r="AB274" s="5">
        <f t="shared" si="43"/>
        <v>0</v>
      </c>
      <c r="AC274" s="5">
        <f t="shared" si="44"/>
        <v>0</v>
      </c>
      <c r="AD274" s="5">
        <f t="shared" si="45"/>
        <v>0</v>
      </c>
      <c r="AE274" s="5">
        <f t="shared" si="46"/>
        <v>0</v>
      </c>
    </row>
    <row r="275" spans="1:31" x14ac:dyDescent="0.35">
      <c r="A275" t="s">
        <v>22</v>
      </c>
      <c r="B275" t="s">
        <v>73</v>
      </c>
      <c r="C275" t="s">
        <v>57</v>
      </c>
      <c r="D275" t="s">
        <v>24</v>
      </c>
      <c r="E275" t="s">
        <v>24</v>
      </c>
      <c r="F275" t="s">
        <v>27</v>
      </c>
      <c r="G275">
        <v>1952</v>
      </c>
      <c r="H275" t="s">
        <v>24</v>
      </c>
      <c r="I275" t="s">
        <v>24</v>
      </c>
      <c r="J275" t="s">
        <v>24</v>
      </c>
      <c r="K275" t="s">
        <v>24</v>
      </c>
      <c r="P275">
        <v>0.27388412191038702</v>
      </c>
      <c r="W275" s="5">
        <f t="shared" si="38"/>
        <v>0</v>
      </c>
      <c r="X275" s="5">
        <f t="shared" si="39"/>
        <v>0</v>
      </c>
      <c r="Y275" s="5">
        <f t="shared" si="40"/>
        <v>0</v>
      </c>
      <c r="Z275" s="5">
        <f t="shared" si="41"/>
        <v>0.26292875703397156</v>
      </c>
      <c r="AA275" s="5">
        <f t="shared" si="42"/>
        <v>0</v>
      </c>
      <c r="AB275" s="5">
        <f t="shared" si="43"/>
        <v>0</v>
      </c>
      <c r="AC275" s="5">
        <f t="shared" si="44"/>
        <v>0</v>
      </c>
      <c r="AD275" s="5">
        <f t="shared" si="45"/>
        <v>0</v>
      </c>
      <c r="AE275" s="5">
        <f t="shared" si="46"/>
        <v>0</v>
      </c>
    </row>
    <row r="276" spans="1:31" x14ac:dyDescent="0.35">
      <c r="A276" t="s">
        <v>22</v>
      </c>
      <c r="B276" t="s">
        <v>73</v>
      </c>
      <c r="C276" t="s">
        <v>57</v>
      </c>
      <c r="D276" t="s">
        <v>24</v>
      </c>
      <c r="E276" t="s">
        <v>24</v>
      </c>
      <c r="F276" t="s">
        <v>27</v>
      </c>
      <c r="G276">
        <v>1953</v>
      </c>
      <c r="H276" t="s">
        <v>24</v>
      </c>
      <c r="I276" t="s">
        <v>24</v>
      </c>
      <c r="J276" t="s">
        <v>24</v>
      </c>
      <c r="K276" t="s">
        <v>24</v>
      </c>
      <c r="O276">
        <v>0.31282749127993398</v>
      </c>
      <c r="P276">
        <v>0.27101280874287298</v>
      </c>
      <c r="W276" s="5">
        <f t="shared" si="38"/>
        <v>0</v>
      </c>
      <c r="X276" s="5">
        <f t="shared" si="39"/>
        <v>0</v>
      </c>
      <c r="Y276" s="5">
        <f t="shared" si="40"/>
        <v>0.30031439162873663</v>
      </c>
      <c r="Z276" s="5">
        <f t="shared" si="41"/>
        <v>0.26017229639315803</v>
      </c>
      <c r="AA276" s="5">
        <f t="shared" si="42"/>
        <v>0</v>
      </c>
      <c r="AB276" s="5">
        <f t="shared" si="43"/>
        <v>0</v>
      </c>
      <c r="AC276" s="5">
        <f t="shared" si="44"/>
        <v>0</v>
      </c>
      <c r="AD276" s="5">
        <f t="shared" si="45"/>
        <v>0</v>
      </c>
      <c r="AE276" s="5">
        <f t="shared" si="46"/>
        <v>0</v>
      </c>
    </row>
    <row r="277" spans="1:31" x14ac:dyDescent="0.35">
      <c r="A277" t="s">
        <v>22</v>
      </c>
      <c r="B277" t="s">
        <v>73</v>
      </c>
      <c r="C277" t="s">
        <v>57</v>
      </c>
      <c r="D277" t="s">
        <v>24</v>
      </c>
      <c r="E277" t="s">
        <v>24</v>
      </c>
      <c r="F277" t="s">
        <v>27</v>
      </c>
      <c r="G277">
        <v>1954</v>
      </c>
      <c r="H277" t="s">
        <v>24</v>
      </c>
      <c r="I277" t="s">
        <v>24</v>
      </c>
      <c r="J277" t="s">
        <v>24</v>
      </c>
      <c r="K277" t="s">
        <v>24</v>
      </c>
      <c r="O277">
        <v>0.280541358268668</v>
      </c>
      <c r="P277">
        <v>0.27162380445136303</v>
      </c>
      <c r="W277" s="5">
        <f t="shared" si="38"/>
        <v>0</v>
      </c>
      <c r="X277" s="5">
        <f t="shared" si="39"/>
        <v>0</v>
      </c>
      <c r="Y277" s="5">
        <f t="shared" si="40"/>
        <v>0.26931970393792126</v>
      </c>
      <c r="Z277" s="5">
        <f t="shared" si="41"/>
        <v>0.26075885227330847</v>
      </c>
      <c r="AA277" s="5">
        <f t="shared" si="42"/>
        <v>0</v>
      </c>
      <c r="AB277" s="5">
        <f t="shared" si="43"/>
        <v>0</v>
      </c>
      <c r="AC277" s="5">
        <f t="shared" si="44"/>
        <v>0</v>
      </c>
      <c r="AD277" s="5">
        <f t="shared" si="45"/>
        <v>0</v>
      </c>
      <c r="AE277" s="5">
        <f t="shared" si="46"/>
        <v>0</v>
      </c>
    </row>
    <row r="278" spans="1:31" x14ac:dyDescent="0.35">
      <c r="A278" t="s">
        <v>22</v>
      </c>
      <c r="B278" t="s">
        <v>73</v>
      </c>
      <c r="C278" t="s">
        <v>57</v>
      </c>
      <c r="D278" t="s">
        <v>24</v>
      </c>
      <c r="E278" t="s">
        <v>24</v>
      </c>
      <c r="F278" t="s">
        <v>27</v>
      </c>
      <c r="G278">
        <v>1955</v>
      </c>
      <c r="H278" t="s">
        <v>24</v>
      </c>
      <c r="I278" t="s">
        <v>24</v>
      </c>
      <c r="J278" t="s">
        <v>24</v>
      </c>
      <c r="K278" t="s">
        <v>24</v>
      </c>
      <c r="P278">
        <v>0.30907857594112798</v>
      </c>
      <c r="W278" s="5">
        <f t="shared" si="38"/>
        <v>0</v>
      </c>
      <c r="X278" s="5">
        <f t="shared" si="39"/>
        <v>0</v>
      </c>
      <c r="Y278" s="5">
        <f t="shared" si="40"/>
        <v>0</v>
      </c>
      <c r="Z278" s="5">
        <f t="shared" si="41"/>
        <v>0.29671543290348285</v>
      </c>
      <c r="AA278" s="5">
        <f t="shared" si="42"/>
        <v>0</v>
      </c>
      <c r="AB278" s="5">
        <f t="shared" si="43"/>
        <v>0</v>
      </c>
      <c r="AC278" s="5">
        <f t="shared" si="44"/>
        <v>0</v>
      </c>
      <c r="AD278" s="5">
        <f t="shared" si="45"/>
        <v>0</v>
      </c>
      <c r="AE278" s="5">
        <f t="shared" si="46"/>
        <v>0</v>
      </c>
    </row>
    <row r="279" spans="1:31" x14ac:dyDescent="0.35">
      <c r="A279" t="s">
        <v>22</v>
      </c>
      <c r="B279" t="s">
        <v>73</v>
      </c>
      <c r="C279" t="s">
        <v>57</v>
      </c>
      <c r="D279" t="s">
        <v>24</v>
      </c>
      <c r="E279" t="s">
        <v>24</v>
      </c>
      <c r="F279" t="s">
        <v>27</v>
      </c>
      <c r="G279">
        <v>1957</v>
      </c>
      <c r="H279" t="s">
        <v>24</v>
      </c>
      <c r="I279" t="s">
        <v>24</v>
      </c>
      <c r="J279" t="s">
        <v>24</v>
      </c>
      <c r="K279" t="s">
        <v>24</v>
      </c>
      <c r="N279">
        <v>0.33030298622833698</v>
      </c>
      <c r="P279">
        <v>0.28553590485234698</v>
      </c>
      <c r="W279" s="5">
        <f t="shared" si="38"/>
        <v>0</v>
      </c>
      <c r="X279" s="5">
        <f t="shared" si="39"/>
        <v>0.31709086677920351</v>
      </c>
      <c r="Y279" s="5">
        <f t="shared" si="40"/>
        <v>0</v>
      </c>
      <c r="Z279" s="5">
        <f t="shared" si="41"/>
        <v>0.27411446865825306</v>
      </c>
      <c r="AA279" s="5">
        <f t="shared" si="42"/>
        <v>0</v>
      </c>
      <c r="AB279" s="5">
        <f t="shared" si="43"/>
        <v>0</v>
      </c>
      <c r="AC279" s="5">
        <f t="shared" si="44"/>
        <v>0</v>
      </c>
      <c r="AD279" s="5">
        <f t="shared" si="45"/>
        <v>0</v>
      </c>
      <c r="AE279" s="5">
        <f t="shared" si="46"/>
        <v>0</v>
      </c>
    </row>
    <row r="280" spans="1:31" x14ac:dyDescent="0.35">
      <c r="A280" t="s">
        <v>22</v>
      </c>
      <c r="B280" t="s">
        <v>73</v>
      </c>
      <c r="C280" t="s">
        <v>57</v>
      </c>
      <c r="D280" t="s">
        <v>24</v>
      </c>
      <c r="E280" t="s">
        <v>24</v>
      </c>
      <c r="F280" t="s">
        <v>27</v>
      </c>
      <c r="G280">
        <v>1958</v>
      </c>
      <c r="H280" t="s">
        <v>24</v>
      </c>
      <c r="I280" t="s">
        <v>24</v>
      </c>
      <c r="J280" t="s">
        <v>24</v>
      </c>
      <c r="K280" t="s">
        <v>24</v>
      </c>
      <c r="O280">
        <v>0.28645826717261302</v>
      </c>
      <c r="P280">
        <v>0.261702554528981</v>
      </c>
      <c r="W280" s="5">
        <f t="shared" si="38"/>
        <v>0</v>
      </c>
      <c r="X280" s="5">
        <f t="shared" si="39"/>
        <v>0</v>
      </c>
      <c r="Y280" s="5">
        <f t="shared" si="40"/>
        <v>0.27499993648570847</v>
      </c>
      <c r="Z280" s="5">
        <f t="shared" si="41"/>
        <v>0.25123445234782177</v>
      </c>
      <c r="AA280" s="5">
        <f t="shared" si="42"/>
        <v>0</v>
      </c>
      <c r="AB280" s="5">
        <f t="shared" si="43"/>
        <v>0</v>
      </c>
      <c r="AC280" s="5">
        <f t="shared" si="44"/>
        <v>0</v>
      </c>
      <c r="AD280" s="5">
        <f t="shared" si="45"/>
        <v>0</v>
      </c>
      <c r="AE280" s="5">
        <f t="shared" si="46"/>
        <v>0</v>
      </c>
    </row>
    <row r="281" spans="1:31" x14ac:dyDescent="0.35">
      <c r="A281" t="s">
        <v>22</v>
      </c>
      <c r="B281" t="s">
        <v>73</v>
      </c>
      <c r="C281" t="s">
        <v>57</v>
      </c>
      <c r="D281" t="s">
        <v>24</v>
      </c>
      <c r="E281" t="s">
        <v>24</v>
      </c>
      <c r="F281" t="s">
        <v>27</v>
      </c>
      <c r="G281">
        <v>1959</v>
      </c>
      <c r="H281" t="s">
        <v>24</v>
      </c>
      <c r="I281" t="s">
        <v>24</v>
      </c>
      <c r="J281" t="s">
        <v>24</v>
      </c>
      <c r="K281" t="s">
        <v>24</v>
      </c>
      <c r="P281">
        <v>0.27314753305848599</v>
      </c>
      <c r="W281" s="5">
        <f t="shared" si="38"/>
        <v>0</v>
      </c>
      <c r="X281" s="5">
        <f t="shared" si="39"/>
        <v>0</v>
      </c>
      <c r="Y281" s="5">
        <f t="shared" si="40"/>
        <v>0</v>
      </c>
      <c r="Z281" s="5">
        <f t="shared" si="41"/>
        <v>0.26222163173614654</v>
      </c>
      <c r="AA281" s="5">
        <f t="shared" si="42"/>
        <v>0</v>
      </c>
      <c r="AB281" s="5">
        <f t="shared" si="43"/>
        <v>0</v>
      </c>
      <c r="AC281" s="5">
        <f t="shared" si="44"/>
        <v>0</v>
      </c>
      <c r="AD281" s="5">
        <f t="shared" si="45"/>
        <v>0</v>
      </c>
      <c r="AE281" s="5">
        <f t="shared" si="46"/>
        <v>0</v>
      </c>
    </row>
    <row r="282" spans="1:31" x14ac:dyDescent="0.35">
      <c r="A282" t="s">
        <v>22</v>
      </c>
      <c r="B282" t="s">
        <v>73</v>
      </c>
      <c r="C282" t="s">
        <v>57</v>
      </c>
      <c r="D282" t="s">
        <v>24</v>
      </c>
      <c r="E282" t="s">
        <v>24</v>
      </c>
      <c r="F282" t="s">
        <v>27</v>
      </c>
      <c r="G282">
        <v>1960</v>
      </c>
      <c r="H282" t="s">
        <v>24</v>
      </c>
      <c r="I282" t="s">
        <v>24</v>
      </c>
      <c r="J282" t="s">
        <v>24</v>
      </c>
      <c r="K282" t="s">
        <v>24</v>
      </c>
      <c r="O282">
        <v>0.30905916808998402</v>
      </c>
      <c r="P282">
        <v>0.30421355501835101</v>
      </c>
      <c r="W282" s="5">
        <f t="shared" si="38"/>
        <v>0</v>
      </c>
      <c r="X282" s="5">
        <f t="shared" si="39"/>
        <v>0</v>
      </c>
      <c r="Y282" s="5">
        <f t="shared" si="40"/>
        <v>0.29669680136638465</v>
      </c>
      <c r="Z282" s="5">
        <f t="shared" si="41"/>
        <v>0.29204501281761697</v>
      </c>
      <c r="AA282" s="5">
        <f t="shared" si="42"/>
        <v>0</v>
      </c>
      <c r="AB282" s="5">
        <f t="shared" si="43"/>
        <v>0</v>
      </c>
      <c r="AC282" s="5">
        <f t="shared" si="44"/>
        <v>0</v>
      </c>
      <c r="AD282" s="5">
        <f t="shared" si="45"/>
        <v>0</v>
      </c>
      <c r="AE282" s="5">
        <f t="shared" si="46"/>
        <v>0</v>
      </c>
    </row>
    <row r="283" spans="1:31" x14ac:dyDescent="0.35">
      <c r="A283" t="s">
        <v>22</v>
      </c>
      <c r="B283" t="s">
        <v>73</v>
      </c>
      <c r="C283" t="s">
        <v>57</v>
      </c>
      <c r="D283" t="s">
        <v>24</v>
      </c>
      <c r="E283" t="s">
        <v>24</v>
      </c>
      <c r="F283" t="s">
        <v>27</v>
      </c>
      <c r="G283">
        <v>1961</v>
      </c>
      <c r="H283" t="s">
        <v>24</v>
      </c>
      <c r="I283" t="s">
        <v>24</v>
      </c>
      <c r="J283" t="s">
        <v>24</v>
      </c>
      <c r="K283" t="s">
        <v>24</v>
      </c>
      <c r="O283">
        <v>0.246110513875335</v>
      </c>
      <c r="W283" s="5">
        <f t="shared" si="38"/>
        <v>0</v>
      </c>
      <c r="X283" s="5">
        <f t="shared" si="39"/>
        <v>0</v>
      </c>
      <c r="Y283" s="5">
        <f t="shared" si="40"/>
        <v>0.23626609332032159</v>
      </c>
      <c r="Z283" s="5">
        <f t="shared" si="41"/>
        <v>0</v>
      </c>
      <c r="AA283" s="5">
        <f t="shared" si="42"/>
        <v>0</v>
      </c>
      <c r="AB283" s="5">
        <f t="shared" si="43"/>
        <v>0</v>
      </c>
      <c r="AC283" s="5">
        <f t="shared" si="44"/>
        <v>0</v>
      </c>
      <c r="AD283" s="5">
        <f t="shared" si="45"/>
        <v>0</v>
      </c>
      <c r="AE283" s="5">
        <f t="shared" si="46"/>
        <v>0</v>
      </c>
    </row>
    <row r="284" spans="1:31" x14ac:dyDescent="0.35">
      <c r="A284" t="s">
        <v>22</v>
      </c>
      <c r="B284" t="s">
        <v>73</v>
      </c>
      <c r="C284" t="s">
        <v>57</v>
      </c>
      <c r="D284" t="s">
        <v>24</v>
      </c>
      <c r="E284" t="s">
        <v>24</v>
      </c>
      <c r="F284" t="s">
        <v>27</v>
      </c>
      <c r="G284">
        <v>1962</v>
      </c>
      <c r="H284" t="s">
        <v>24</v>
      </c>
      <c r="I284" t="s">
        <v>24</v>
      </c>
      <c r="J284" t="s">
        <v>24</v>
      </c>
      <c r="K284" t="s">
        <v>24</v>
      </c>
      <c r="P284">
        <v>0.33562725237351398</v>
      </c>
      <c r="W284" s="5">
        <f t="shared" si="38"/>
        <v>0</v>
      </c>
      <c r="X284" s="5">
        <f t="shared" si="39"/>
        <v>0</v>
      </c>
      <c r="Y284" s="5">
        <f t="shared" si="40"/>
        <v>0</v>
      </c>
      <c r="Z284" s="5">
        <f t="shared" si="41"/>
        <v>0.3222021622785734</v>
      </c>
      <c r="AA284" s="5">
        <f t="shared" si="42"/>
        <v>0</v>
      </c>
      <c r="AB284" s="5">
        <f t="shared" si="43"/>
        <v>0</v>
      </c>
      <c r="AC284" s="5">
        <f t="shared" si="44"/>
        <v>0</v>
      </c>
      <c r="AD284" s="5">
        <f t="shared" si="45"/>
        <v>0</v>
      </c>
      <c r="AE284" s="5">
        <f t="shared" si="46"/>
        <v>0</v>
      </c>
    </row>
    <row r="285" spans="1:31" x14ac:dyDescent="0.35">
      <c r="A285" t="s">
        <v>22</v>
      </c>
      <c r="B285" t="s">
        <v>73</v>
      </c>
      <c r="C285" t="s">
        <v>57</v>
      </c>
      <c r="D285" t="s">
        <v>24</v>
      </c>
      <c r="E285" t="s">
        <v>24</v>
      </c>
      <c r="F285" t="s">
        <v>27</v>
      </c>
      <c r="G285">
        <v>1963</v>
      </c>
      <c r="H285" t="s">
        <v>24</v>
      </c>
      <c r="I285" t="s">
        <v>24</v>
      </c>
      <c r="J285" t="s">
        <v>24</v>
      </c>
      <c r="K285" t="s">
        <v>24</v>
      </c>
      <c r="P285">
        <v>0.33030298622833698</v>
      </c>
      <c r="W285" s="5">
        <f t="shared" si="38"/>
        <v>0</v>
      </c>
      <c r="X285" s="5">
        <f t="shared" si="39"/>
        <v>0</v>
      </c>
      <c r="Y285" s="5">
        <f t="shared" si="40"/>
        <v>0</v>
      </c>
      <c r="Z285" s="5">
        <f t="shared" si="41"/>
        <v>0.31709086677920351</v>
      </c>
      <c r="AA285" s="5">
        <f t="shared" si="42"/>
        <v>0</v>
      </c>
      <c r="AB285" s="5">
        <f t="shared" si="43"/>
        <v>0</v>
      </c>
      <c r="AC285" s="5">
        <f t="shared" si="44"/>
        <v>0</v>
      </c>
      <c r="AD285" s="5">
        <f t="shared" si="45"/>
        <v>0</v>
      </c>
      <c r="AE285" s="5">
        <f t="shared" si="46"/>
        <v>0</v>
      </c>
    </row>
    <row r="286" spans="1:31" x14ac:dyDescent="0.35">
      <c r="A286" t="s">
        <v>22</v>
      </c>
      <c r="B286" t="s">
        <v>73</v>
      </c>
      <c r="C286" t="s">
        <v>57</v>
      </c>
      <c r="D286" t="s">
        <v>24</v>
      </c>
      <c r="E286" t="s">
        <v>24</v>
      </c>
      <c r="F286" t="s">
        <v>27</v>
      </c>
      <c r="G286">
        <v>1964</v>
      </c>
      <c r="H286" t="s">
        <v>24</v>
      </c>
      <c r="I286" t="s">
        <v>24</v>
      </c>
      <c r="J286" t="s">
        <v>24</v>
      </c>
      <c r="K286" t="s">
        <v>24</v>
      </c>
      <c r="O286">
        <v>0.28027287678698298</v>
      </c>
      <c r="P286">
        <v>0.30332292795263199</v>
      </c>
      <c r="W286" s="5">
        <f t="shared" si="38"/>
        <v>0</v>
      </c>
      <c r="X286" s="5">
        <f t="shared" si="39"/>
        <v>0</v>
      </c>
      <c r="Y286" s="5">
        <f t="shared" si="40"/>
        <v>0.26906196171550367</v>
      </c>
      <c r="Z286" s="5">
        <f t="shared" si="41"/>
        <v>0.29119001083452672</v>
      </c>
      <c r="AA286" s="5">
        <f t="shared" si="42"/>
        <v>0</v>
      </c>
      <c r="AB286" s="5">
        <f t="shared" si="43"/>
        <v>0</v>
      </c>
      <c r="AC286" s="5">
        <f t="shared" si="44"/>
        <v>0</v>
      </c>
      <c r="AD286" s="5">
        <f t="shared" si="45"/>
        <v>0</v>
      </c>
      <c r="AE286" s="5">
        <f t="shared" si="46"/>
        <v>0</v>
      </c>
    </row>
    <row r="287" spans="1:31" x14ac:dyDescent="0.35">
      <c r="A287" t="s">
        <v>22</v>
      </c>
      <c r="B287" t="s">
        <v>73</v>
      </c>
      <c r="C287" t="s">
        <v>57</v>
      </c>
      <c r="D287" t="s">
        <v>24</v>
      </c>
      <c r="E287" t="s">
        <v>24</v>
      </c>
      <c r="F287" t="s">
        <v>27</v>
      </c>
      <c r="G287">
        <v>1965</v>
      </c>
      <c r="H287" t="s">
        <v>24</v>
      </c>
      <c r="I287" t="s">
        <v>24</v>
      </c>
      <c r="J287" t="s">
        <v>24</v>
      </c>
      <c r="K287" t="s">
        <v>24</v>
      </c>
      <c r="P287">
        <v>0.29232607512049302</v>
      </c>
      <c r="W287" s="5">
        <f t="shared" si="38"/>
        <v>0</v>
      </c>
      <c r="X287" s="5">
        <f t="shared" si="39"/>
        <v>0</v>
      </c>
      <c r="Y287" s="5">
        <f t="shared" si="40"/>
        <v>0</v>
      </c>
      <c r="Z287" s="5">
        <f t="shared" si="41"/>
        <v>0.28063303211567331</v>
      </c>
      <c r="AA287" s="5">
        <f t="shared" si="42"/>
        <v>0</v>
      </c>
      <c r="AB287" s="5">
        <f t="shared" si="43"/>
        <v>0</v>
      </c>
      <c r="AC287" s="5">
        <f t="shared" si="44"/>
        <v>0</v>
      </c>
      <c r="AD287" s="5">
        <f t="shared" si="45"/>
        <v>0</v>
      </c>
      <c r="AE287" s="5">
        <f t="shared" si="46"/>
        <v>0</v>
      </c>
    </row>
    <row r="288" spans="1:31" x14ac:dyDescent="0.35">
      <c r="A288" t="s">
        <v>22</v>
      </c>
      <c r="B288" t="s">
        <v>73</v>
      </c>
      <c r="C288" t="s">
        <v>57</v>
      </c>
      <c r="D288" t="s">
        <v>24</v>
      </c>
      <c r="E288" t="s">
        <v>24</v>
      </c>
      <c r="F288" t="s">
        <v>27</v>
      </c>
      <c r="G288">
        <v>1967</v>
      </c>
      <c r="H288" t="s">
        <v>24</v>
      </c>
      <c r="I288" t="s">
        <v>24</v>
      </c>
      <c r="J288" t="s">
        <v>24</v>
      </c>
      <c r="K288" t="s">
        <v>24</v>
      </c>
      <c r="P288">
        <v>0.25534354964259198</v>
      </c>
      <c r="W288" s="5">
        <f t="shared" si="38"/>
        <v>0</v>
      </c>
      <c r="X288" s="5">
        <f t="shared" si="39"/>
        <v>0</v>
      </c>
      <c r="Y288" s="5">
        <f t="shared" si="40"/>
        <v>0</v>
      </c>
      <c r="Z288" s="5">
        <f t="shared" si="41"/>
        <v>0.2451298076568883</v>
      </c>
      <c r="AA288" s="5">
        <f t="shared" si="42"/>
        <v>0</v>
      </c>
      <c r="AB288" s="5">
        <f t="shared" si="43"/>
        <v>0</v>
      </c>
      <c r="AC288" s="5">
        <f t="shared" si="44"/>
        <v>0</v>
      </c>
      <c r="AD288" s="5">
        <f t="shared" si="45"/>
        <v>0</v>
      </c>
      <c r="AE288" s="5">
        <f t="shared" si="46"/>
        <v>0</v>
      </c>
    </row>
    <row r="289" spans="1:31" x14ac:dyDescent="0.35">
      <c r="A289" t="s">
        <v>22</v>
      </c>
      <c r="B289" t="s">
        <v>73</v>
      </c>
      <c r="C289" t="s">
        <v>57</v>
      </c>
      <c r="D289" t="s">
        <v>24</v>
      </c>
      <c r="E289" t="s">
        <v>24</v>
      </c>
      <c r="F289" t="s">
        <v>27</v>
      </c>
      <c r="G289">
        <v>1968</v>
      </c>
      <c r="H289" t="s">
        <v>24</v>
      </c>
      <c r="I289" t="s">
        <v>24</v>
      </c>
      <c r="J289" t="s">
        <v>24</v>
      </c>
      <c r="K289" t="s">
        <v>24</v>
      </c>
      <c r="O289">
        <v>0.27272629985643598</v>
      </c>
      <c r="W289" s="5">
        <f t="shared" si="38"/>
        <v>0</v>
      </c>
      <c r="X289" s="5">
        <f t="shared" si="39"/>
        <v>0</v>
      </c>
      <c r="Y289" s="5">
        <f t="shared" si="40"/>
        <v>0.26181724786217853</v>
      </c>
      <c r="Z289" s="5">
        <f t="shared" si="41"/>
        <v>0</v>
      </c>
      <c r="AA289" s="5">
        <f t="shared" si="42"/>
        <v>0</v>
      </c>
      <c r="AB289" s="5">
        <f t="shared" si="43"/>
        <v>0</v>
      </c>
      <c r="AC289" s="5">
        <f t="shared" si="44"/>
        <v>0</v>
      </c>
      <c r="AD289" s="5">
        <f t="shared" si="45"/>
        <v>0</v>
      </c>
      <c r="AE289" s="5">
        <f t="shared" si="46"/>
        <v>0</v>
      </c>
    </row>
    <row r="290" spans="1:31" x14ac:dyDescent="0.35">
      <c r="A290" t="s">
        <v>22</v>
      </c>
      <c r="B290" t="s">
        <v>73</v>
      </c>
      <c r="C290" t="s">
        <v>57</v>
      </c>
      <c r="D290" t="s">
        <v>24</v>
      </c>
      <c r="E290" t="s">
        <v>24</v>
      </c>
      <c r="F290" t="s">
        <v>27</v>
      </c>
      <c r="G290">
        <v>1969</v>
      </c>
      <c r="H290" t="s">
        <v>24</v>
      </c>
      <c r="I290" t="s">
        <v>24</v>
      </c>
      <c r="J290" t="s">
        <v>24</v>
      </c>
      <c r="K290" t="s">
        <v>24</v>
      </c>
      <c r="P290">
        <v>0.223334136715853</v>
      </c>
      <c r="W290" s="5">
        <f t="shared" si="38"/>
        <v>0</v>
      </c>
      <c r="X290" s="5">
        <f t="shared" si="39"/>
        <v>0</v>
      </c>
      <c r="Y290" s="5">
        <f t="shared" si="40"/>
        <v>0</v>
      </c>
      <c r="Z290" s="5">
        <f t="shared" si="41"/>
        <v>0.21440077124721887</v>
      </c>
      <c r="AA290" s="5">
        <f t="shared" si="42"/>
        <v>0</v>
      </c>
      <c r="AB290" s="5">
        <f t="shared" si="43"/>
        <v>0</v>
      </c>
      <c r="AC290" s="5">
        <f t="shared" si="44"/>
        <v>0</v>
      </c>
      <c r="AD290" s="5">
        <f t="shared" si="45"/>
        <v>0</v>
      </c>
      <c r="AE290" s="5">
        <f t="shared" si="46"/>
        <v>0</v>
      </c>
    </row>
    <row r="291" spans="1:31" x14ac:dyDescent="0.35">
      <c r="A291" t="s">
        <v>22</v>
      </c>
      <c r="B291" t="s">
        <v>73</v>
      </c>
      <c r="C291" t="s">
        <v>57</v>
      </c>
      <c r="D291" t="s">
        <v>24</v>
      </c>
      <c r="E291" t="s">
        <v>24</v>
      </c>
      <c r="F291" t="s">
        <v>27</v>
      </c>
      <c r="G291">
        <v>1970</v>
      </c>
      <c r="H291" t="s">
        <v>24</v>
      </c>
      <c r="I291" t="s">
        <v>24</v>
      </c>
      <c r="J291" t="s">
        <v>24</v>
      </c>
      <c r="K291" t="s">
        <v>24</v>
      </c>
      <c r="O291">
        <v>0.26546773571507098</v>
      </c>
      <c r="P291">
        <v>0.29292834362447601</v>
      </c>
      <c r="W291" s="5">
        <f t="shared" si="38"/>
        <v>0</v>
      </c>
      <c r="X291" s="5">
        <f t="shared" si="39"/>
        <v>0</v>
      </c>
      <c r="Y291" s="5">
        <f t="shared" si="40"/>
        <v>0.25484902628646816</v>
      </c>
      <c r="Z291" s="5">
        <f t="shared" si="41"/>
        <v>0.28121120987949694</v>
      </c>
      <c r="AA291" s="5">
        <f t="shared" si="42"/>
        <v>0</v>
      </c>
      <c r="AB291" s="5">
        <f t="shared" si="43"/>
        <v>0</v>
      </c>
      <c r="AC291" s="5">
        <f t="shared" si="44"/>
        <v>0</v>
      </c>
      <c r="AD291" s="5">
        <f t="shared" si="45"/>
        <v>0</v>
      </c>
      <c r="AE291" s="5">
        <f t="shared" si="46"/>
        <v>0</v>
      </c>
    </row>
    <row r="292" spans="1:31" x14ac:dyDescent="0.35">
      <c r="A292" t="s">
        <v>22</v>
      </c>
      <c r="B292" t="s">
        <v>73</v>
      </c>
      <c r="C292" t="s">
        <v>57</v>
      </c>
      <c r="D292" t="s">
        <v>24</v>
      </c>
      <c r="E292" t="s">
        <v>24</v>
      </c>
      <c r="F292" t="s">
        <v>27</v>
      </c>
      <c r="G292">
        <v>1978</v>
      </c>
      <c r="H292" t="s">
        <v>24</v>
      </c>
      <c r="I292" t="s">
        <v>24</v>
      </c>
      <c r="J292" t="s">
        <v>24</v>
      </c>
      <c r="K292" t="s">
        <v>24</v>
      </c>
      <c r="O292">
        <v>0.279412264063993</v>
      </c>
      <c r="W292" s="5">
        <f t="shared" si="38"/>
        <v>0</v>
      </c>
      <c r="X292" s="5">
        <f t="shared" si="39"/>
        <v>0</v>
      </c>
      <c r="Y292" s="5">
        <f t="shared" si="40"/>
        <v>0.26823577350143329</v>
      </c>
      <c r="Z292" s="5">
        <f t="shared" si="41"/>
        <v>0</v>
      </c>
      <c r="AA292" s="5">
        <f t="shared" si="42"/>
        <v>0</v>
      </c>
      <c r="AB292" s="5">
        <f t="shared" si="43"/>
        <v>0</v>
      </c>
      <c r="AC292" s="5">
        <f t="shared" si="44"/>
        <v>0</v>
      </c>
      <c r="AD292" s="5">
        <f t="shared" si="45"/>
        <v>0</v>
      </c>
      <c r="AE292" s="5">
        <f t="shared" si="46"/>
        <v>0</v>
      </c>
    </row>
    <row r="293" spans="1:31" x14ac:dyDescent="0.35">
      <c r="A293" t="s">
        <v>22</v>
      </c>
      <c r="B293" t="s">
        <v>73</v>
      </c>
      <c r="C293" t="s">
        <v>57</v>
      </c>
      <c r="D293" t="s">
        <v>24</v>
      </c>
      <c r="E293" t="s">
        <v>24</v>
      </c>
      <c r="F293" t="s">
        <v>27</v>
      </c>
      <c r="G293">
        <v>1979</v>
      </c>
      <c r="H293" t="s">
        <v>24</v>
      </c>
      <c r="I293" t="s">
        <v>24</v>
      </c>
      <c r="J293" t="s">
        <v>24</v>
      </c>
      <c r="K293" t="s">
        <v>24</v>
      </c>
      <c r="O293">
        <v>0.28485869228495803</v>
      </c>
      <c r="W293" s="5">
        <f t="shared" si="38"/>
        <v>0</v>
      </c>
      <c r="X293" s="5">
        <f t="shared" si="39"/>
        <v>0</v>
      </c>
      <c r="Y293" s="5">
        <f t="shared" si="40"/>
        <v>0.27346434459355967</v>
      </c>
      <c r="Z293" s="5">
        <f t="shared" si="41"/>
        <v>0</v>
      </c>
      <c r="AA293" s="5">
        <f t="shared" si="42"/>
        <v>0</v>
      </c>
      <c r="AB293" s="5">
        <f t="shared" si="43"/>
        <v>0</v>
      </c>
      <c r="AC293" s="5">
        <f t="shared" si="44"/>
        <v>0</v>
      </c>
      <c r="AD293" s="5">
        <f t="shared" si="45"/>
        <v>0</v>
      </c>
      <c r="AE293" s="5">
        <f t="shared" si="46"/>
        <v>0</v>
      </c>
    </row>
    <row r="294" spans="1:31" x14ac:dyDescent="0.35">
      <c r="A294" t="s">
        <v>22</v>
      </c>
      <c r="B294" t="s">
        <v>73</v>
      </c>
      <c r="C294" t="s">
        <v>57</v>
      </c>
      <c r="D294" t="s">
        <v>24</v>
      </c>
      <c r="E294" t="s">
        <v>24</v>
      </c>
      <c r="F294" t="s">
        <v>27</v>
      </c>
      <c r="G294">
        <v>1981</v>
      </c>
      <c r="H294" t="s">
        <v>24</v>
      </c>
      <c r="I294" t="s">
        <v>24</v>
      </c>
      <c r="J294" t="s">
        <v>24</v>
      </c>
      <c r="K294" t="s">
        <v>24</v>
      </c>
      <c r="P294">
        <v>0.307416421160497</v>
      </c>
      <c r="W294" s="5">
        <f t="shared" si="38"/>
        <v>0</v>
      </c>
      <c r="X294" s="5">
        <f t="shared" si="39"/>
        <v>0</v>
      </c>
      <c r="Y294" s="5">
        <f t="shared" si="40"/>
        <v>0</v>
      </c>
      <c r="Z294" s="5">
        <f t="shared" si="41"/>
        <v>0.2951197643140771</v>
      </c>
      <c r="AA294" s="5">
        <f t="shared" si="42"/>
        <v>0</v>
      </c>
      <c r="AB294" s="5">
        <f t="shared" si="43"/>
        <v>0</v>
      </c>
      <c r="AC294" s="5">
        <f t="shared" si="44"/>
        <v>0</v>
      </c>
      <c r="AD294" s="5">
        <f t="shared" si="45"/>
        <v>0</v>
      </c>
      <c r="AE294" s="5">
        <f t="shared" si="46"/>
        <v>0</v>
      </c>
    </row>
    <row r="295" spans="1:31" x14ac:dyDescent="0.35">
      <c r="A295" t="s">
        <v>22</v>
      </c>
      <c r="B295" t="s">
        <v>73</v>
      </c>
      <c r="C295" t="s">
        <v>57</v>
      </c>
      <c r="D295" t="s">
        <v>24</v>
      </c>
      <c r="E295" t="s">
        <v>24</v>
      </c>
      <c r="F295" t="s">
        <v>27</v>
      </c>
      <c r="G295">
        <v>1982</v>
      </c>
      <c r="H295" t="s">
        <v>24</v>
      </c>
      <c r="I295" t="s">
        <v>24</v>
      </c>
      <c r="J295" t="s">
        <v>24</v>
      </c>
      <c r="K295" t="s">
        <v>24</v>
      </c>
      <c r="P295">
        <v>0.33030298622833698</v>
      </c>
      <c r="W295" s="5">
        <f t="shared" si="38"/>
        <v>0</v>
      </c>
      <c r="X295" s="5">
        <f t="shared" si="39"/>
        <v>0</v>
      </c>
      <c r="Y295" s="5">
        <f t="shared" si="40"/>
        <v>0</v>
      </c>
      <c r="Z295" s="5">
        <f t="shared" si="41"/>
        <v>0.31709086677920351</v>
      </c>
      <c r="AA295" s="5">
        <f t="shared" si="42"/>
        <v>0</v>
      </c>
      <c r="AB295" s="5">
        <f t="shared" si="43"/>
        <v>0</v>
      </c>
      <c r="AC295" s="5">
        <f t="shared" si="44"/>
        <v>0</v>
      </c>
      <c r="AD295" s="5">
        <f t="shared" si="45"/>
        <v>0</v>
      </c>
      <c r="AE295" s="5">
        <f t="shared" si="46"/>
        <v>0</v>
      </c>
    </row>
    <row r="296" spans="1:31" x14ac:dyDescent="0.35">
      <c r="A296" t="s">
        <v>22</v>
      </c>
      <c r="B296" t="s">
        <v>73</v>
      </c>
      <c r="C296" t="s">
        <v>57</v>
      </c>
      <c r="D296" t="s">
        <v>24</v>
      </c>
      <c r="E296" t="s">
        <v>24</v>
      </c>
      <c r="F296" t="s">
        <v>27</v>
      </c>
      <c r="G296">
        <v>1983</v>
      </c>
      <c r="H296" t="s">
        <v>24</v>
      </c>
      <c r="I296" t="s">
        <v>24</v>
      </c>
      <c r="J296" t="s">
        <v>24</v>
      </c>
      <c r="K296" t="s">
        <v>24</v>
      </c>
      <c r="O296">
        <v>0.28353321768853501</v>
      </c>
      <c r="W296" s="5">
        <f t="shared" si="38"/>
        <v>0</v>
      </c>
      <c r="X296" s="5">
        <f t="shared" si="39"/>
        <v>0</v>
      </c>
      <c r="Y296" s="5">
        <f t="shared" si="40"/>
        <v>0.27219188898099361</v>
      </c>
      <c r="Z296" s="5">
        <f t="shared" si="41"/>
        <v>0</v>
      </c>
      <c r="AA296" s="5">
        <f t="shared" si="42"/>
        <v>0</v>
      </c>
      <c r="AB296" s="5">
        <f t="shared" si="43"/>
        <v>0</v>
      </c>
      <c r="AC296" s="5">
        <f t="shared" si="44"/>
        <v>0</v>
      </c>
      <c r="AD296" s="5">
        <f t="shared" si="45"/>
        <v>0</v>
      </c>
      <c r="AE296" s="5">
        <f t="shared" si="46"/>
        <v>0</v>
      </c>
    </row>
    <row r="297" spans="1:31" x14ac:dyDescent="0.35">
      <c r="A297" t="s">
        <v>22</v>
      </c>
      <c r="B297" t="s">
        <v>73</v>
      </c>
      <c r="C297" t="s">
        <v>58</v>
      </c>
      <c r="D297" t="s">
        <v>24</v>
      </c>
      <c r="E297" t="s">
        <v>24</v>
      </c>
      <c r="F297" t="s">
        <v>27</v>
      </c>
      <c r="G297">
        <v>1948</v>
      </c>
      <c r="H297" t="s">
        <v>24</v>
      </c>
      <c r="I297" t="s">
        <v>24</v>
      </c>
      <c r="J297" t="s">
        <v>24</v>
      </c>
      <c r="K297" t="s">
        <v>24</v>
      </c>
      <c r="T297">
        <v>0.235332570681484</v>
      </c>
      <c r="W297" s="5">
        <f t="shared" si="38"/>
        <v>0</v>
      </c>
      <c r="X297" s="5">
        <f t="shared" si="39"/>
        <v>0</v>
      </c>
      <c r="Y297" s="5">
        <f t="shared" si="40"/>
        <v>0</v>
      </c>
      <c r="Z297" s="5">
        <f t="shared" si="41"/>
        <v>0</v>
      </c>
      <c r="AA297" s="5">
        <f t="shared" si="42"/>
        <v>0</v>
      </c>
      <c r="AB297" s="5">
        <f t="shared" si="43"/>
        <v>0</v>
      </c>
      <c r="AC297" s="5">
        <f t="shared" si="44"/>
        <v>0</v>
      </c>
      <c r="AD297" s="5">
        <f t="shared" si="45"/>
        <v>0.22591926785422464</v>
      </c>
      <c r="AE297" s="5">
        <f t="shared" si="46"/>
        <v>0</v>
      </c>
    </row>
    <row r="298" spans="1:31" x14ac:dyDescent="0.35">
      <c r="A298" t="s">
        <v>22</v>
      </c>
      <c r="B298" t="s">
        <v>73</v>
      </c>
      <c r="C298" t="s">
        <v>58</v>
      </c>
      <c r="D298" t="s">
        <v>24</v>
      </c>
      <c r="E298" t="s">
        <v>24</v>
      </c>
      <c r="F298" t="s">
        <v>27</v>
      </c>
      <c r="G298">
        <v>1949</v>
      </c>
      <c r="H298" t="s">
        <v>24</v>
      </c>
      <c r="I298" t="s">
        <v>24</v>
      </c>
      <c r="J298" t="s">
        <v>24</v>
      </c>
      <c r="K298" t="s">
        <v>24</v>
      </c>
      <c r="T298">
        <v>0.235332570681484</v>
      </c>
      <c r="W298" s="5">
        <f t="shared" si="38"/>
        <v>0</v>
      </c>
      <c r="X298" s="5">
        <f t="shared" si="39"/>
        <v>0</v>
      </c>
      <c r="Y298" s="5">
        <f t="shared" si="40"/>
        <v>0</v>
      </c>
      <c r="Z298" s="5">
        <f t="shared" si="41"/>
        <v>0</v>
      </c>
      <c r="AA298" s="5">
        <f t="shared" si="42"/>
        <v>0</v>
      </c>
      <c r="AB298" s="5">
        <f t="shared" si="43"/>
        <v>0</v>
      </c>
      <c r="AC298" s="5">
        <f t="shared" si="44"/>
        <v>0</v>
      </c>
      <c r="AD298" s="5">
        <f t="shared" si="45"/>
        <v>0.22591926785422464</v>
      </c>
      <c r="AE298" s="5">
        <f t="shared" si="46"/>
        <v>0</v>
      </c>
    </row>
    <row r="299" spans="1:31" x14ac:dyDescent="0.35">
      <c r="A299" t="s">
        <v>22</v>
      </c>
      <c r="B299" t="s">
        <v>73</v>
      </c>
      <c r="C299" t="s">
        <v>58</v>
      </c>
      <c r="D299" t="s">
        <v>24</v>
      </c>
      <c r="E299" t="s">
        <v>24</v>
      </c>
      <c r="F299" t="s">
        <v>27</v>
      </c>
      <c r="G299">
        <v>1951</v>
      </c>
      <c r="H299" t="s">
        <v>24</v>
      </c>
      <c r="I299" t="s">
        <v>24</v>
      </c>
      <c r="J299" t="s">
        <v>24</v>
      </c>
      <c r="K299" t="s">
        <v>24</v>
      </c>
      <c r="T299">
        <v>0.28898393249335302</v>
      </c>
      <c r="W299" s="5">
        <f t="shared" si="38"/>
        <v>0</v>
      </c>
      <c r="X299" s="5">
        <f t="shared" si="39"/>
        <v>0</v>
      </c>
      <c r="Y299" s="5">
        <f t="shared" si="40"/>
        <v>0</v>
      </c>
      <c r="Z299" s="5">
        <f t="shared" si="41"/>
        <v>0</v>
      </c>
      <c r="AA299" s="5">
        <f t="shared" si="42"/>
        <v>0</v>
      </c>
      <c r="AB299" s="5">
        <f t="shared" si="43"/>
        <v>0</v>
      </c>
      <c r="AC299" s="5">
        <f t="shared" si="44"/>
        <v>0</v>
      </c>
      <c r="AD299" s="5">
        <f t="shared" si="45"/>
        <v>0.27742457519361891</v>
      </c>
      <c r="AE299" s="5">
        <f t="shared" si="46"/>
        <v>0</v>
      </c>
    </row>
    <row r="300" spans="1:31" x14ac:dyDescent="0.35">
      <c r="A300" t="s">
        <v>22</v>
      </c>
      <c r="B300" t="s">
        <v>73</v>
      </c>
      <c r="C300" t="s">
        <v>58</v>
      </c>
      <c r="D300" t="s">
        <v>24</v>
      </c>
      <c r="E300" t="s">
        <v>24</v>
      </c>
      <c r="F300" t="s">
        <v>27</v>
      </c>
      <c r="G300">
        <v>1952</v>
      </c>
      <c r="H300" t="s">
        <v>24</v>
      </c>
      <c r="I300" t="s">
        <v>24</v>
      </c>
      <c r="J300" t="s">
        <v>24</v>
      </c>
      <c r="K300" t="s">
        <v>24</v>
      </c>
      <c r="T300">
        <v>0.23696682464454999</v>
      </c>
      <c r="W300" s="5">
        <f t="shared" si="38"/>
        <v>0</v>
      </c>
      <c r="X300" s="5">
        <f t="shared" si="39"/>
        <v>0</v>
      </c>
      <c r="Y300" s="5">
        <f t="shared" si="40"/>
        <v>0</v>
      </c>
      <c r="Z300" s="5">
        <f t="shared" si="41"/>
        <v>0</v>
      </c>
      <c r="AA300" s="5">
        <f t="shared" si="42"/>
        <v>0</v>
      </c>
      <c r="AB300" s="5">
        <f t="shared" si="43"/>
        <v>0</v>
      </c>
      <c r="AC300" s="5">
        <f t="shared" si="44"/>
        <v>0</v>
      </c>
      <c r="AD300" s="5">
        <f t="shared" si="45"/>
        <v>0.22748815165876798</v>
      </c>
      <c r="AE300" s="5">
        <f t="shared" si="46"/>
        <v>0</v>
      </c>
    </row>
    <row r="301" spans="1:31" x14ac:dyDescent="0.35">
      <c r="A301" t="s">
        <v>22</v>
      </c>
      <c r="B301" t="s">
        <v>73</v>
      </c>
      <c r="C301" t="s">
        <v>58</v>
      </c>
      <c r="D301" t="s">
        <v>24</v>
      </c>
      <c r="E301" t="s">
        <v>24</v>
      </c>
      <c r="F301" t="s">
        <v>27</v>
      </c>
      <c r="G301">
        <v>1955</v>
      </c>
      <c r="H301" t="s">
        <v>24</v>
      </c>
      <c r="I301" t="s">
        <v>24</v>
      </c>
      <c r="J301" t="s">
        <v>24</v>
      </c>
      <c r="K301" t="s">
        <v>24</v>
      </c>
      <c r="P301">
        <v>0.27603649569984101</v>
      </c>
      <c r="W301" s="5">
        <f t="shared" si="38"/>
        <v>0</v>
      </c>
      <c r="X301" s="5">
        <f t="shared" si="39"/>
        <v>0</v>
      </c>
      <c r="Y301" s="5">
        <f t="shared" si="40"/>
        <v>0</v>
      </c>
      <c r="Z301" s="5">
        <f t="shared" si="41"/>
        <v>0.26499503587184736</v>
      </c>
      <c r="AA301" s="5">
        <f t="shared" si="42"/>
        <v>0</v>
      </c>
      <c r="AB301" s="5">
        <f t="shared" si="43"/>
        <v>0</v>
      </c>
      <c r="AC301" s="5">
        <f t="shared" si="44"/>
        <v>0</v>
      </c>
      <c r="AD301" s="5">
        <f t="shared" si="45"/>
        <v>0</v>
      </c>
      <c r="AE301" s="5">
        <f t="shared" si="46"/>
        <v>0</v>
      </c>
    </row>
    <row r="302" spans="1:31" x14ac:dyDescent="0.35">
      <c r="A302" t="s">
        <v>22</v>
      </c>
      <c r="B302" t="s">
        <v>73</v>
      </c>
      <c r="C302" t="s">
        <v>58</v>
      </c>
      <c r="D302" t="s">
        <v>24</v>
      </c>
      <c r="E302" t="s">
        <v>24</v>
      </c>
      <c r="F302" t="s">
        <v>27</v>
      </c>
      <c r="G302">
        <v>1957</v>
      </c>
      <c r="H302" t="s">
        <v>24</v>
      </c>
      <c r="I302" t="s">
        <v>24</v>
      </c>
      <c r="J302" t="s">
        <v>24</v>
      </c>
      <c r="K302" t="s">
        <v>24</v>
      </c>
      <c r="P302">
        <v>0.26503473979662301</v>
      </c>
      <c r="W302" s="5">
        <f t="shared" si="38"/>
        <v>0</v>
      </c>
      <c r="X302" s="5">
        <f t="shared" si="39"/>
        <v>0</v>
      </c>
      <c r="Y302" s="5">
        <f t="shared" si="40"/>
        <v>0</v>
      </c>
      <c r="Z302" s="5">
        <f t="shared" si="41"/>
        <v>0.2544333502047581</v>
      </c>
      <c r="AA302" s="5">
        <f t="shared" si="42"/>
        <v>0</v>
      </c>
      <c r="AB302" s="5">
        <f t="shared" si="43"/>
        <v>0</v>
      </c>
      <c r="AC302" s="5">
        <f t="shared" si="44"/>
        <v>0</v>
      </c>
      <c r="AD302" s="5">
        <f t="shared" si="45"/>
        <v>0</v>
      </c>
      <c r="AE302" s="5">
        <f t="shared" si="46"/>
        <v>0</v>
      </c>
    </row>
    <row r="303" spans="1:31" x14ac:dyDescent="0.35">
      <c r="A303" t="s">
        <v>22</v>
      </c>
      <c r="B303" t="s">
        <v>73</v>
      </c>
      <c r="C303" t="s">
        <v>58</v>
      </c>
      <c r="D303" t="s">
        <v>24</v>
      </c>
      <c r="E303" t="s">
        <v>24</v>
      </c>
      <c r="F303" t="s">
        <v>27</v>
      </c>
      <c r="G303">
        <v>1958</v>
      </c>
      <c r="H303" t="s">
        <v>24</v>
      </c>
      <c r="I303" t="s">
        <v>24</v>
      </c>
      <c r="J303" t="s">
        <v>24</v>
      </c>
      <c r="K303" t="s">
        <v>24</v>
      </c>
      <c r="P303">
        <v>0.27630139877583099</v>
      </c>
      <c r="W303" s="5">
        <f t="shared" si="38"/>
        <v>0</v>
      </c>
      <c r="X303" s="5">
        <f t="shared" si="39"/>
        <v>0</v>
      </c>
      <c r="Y303" s="5">
        <f t="shared" si="40"/>
        <v>0</v>
      </c>
      <c r="Z303" s="5">
        <f t="shared" si="41"/>
        <v>0.26524934282479773</v>
      </c>
      <c r="AA303" s="5">
        <f t="shared" si="42"/>
        <v>0</v>
      </c>
      <c r="AB303" s="5">
        <f t="shared" si="43"/>
        <v>0</v>
      </c>
      <c r="AC303" s="5">
        <f t="shared" si="44"/>
        <v>0</v>
      </c>
      <c r="AD303" s="5">
        <f t="shared" si="45"/>
        <v>0</v>
      </c>
      <c r="AE303" s="5">
        <f t="shared" si="46"/>
        <v>0</v>
      </c>
    </row>
    <row r="304" spans="1:31" x14ac:dyDescent="0.35">
      <c r="A304" t="s">
        <v>22</v>
      </c>
      <c r="B304" t="s">
        <v>73</v>
      </c>
      <c r="C304" t="s">
        <v>58</v>
      </c>
      <c r="D304" t="s">
        <v>24</v>
      </c>
      <c r="E304" t="s">
        <v>24</v>
      </c>
      <c r="F304" t="s">
        <v>27</v>
      </c>
      <c r="G304">
        <v>1959</v>
      </c>
      <c r="H304" t="s">
        <v>24</v>
      </c>
      <c r="I304" t="s">
        <v>24</v>
      </c>
      <c r="J304" t="s">
        <v>24</v>
      </c>
      <c r="K304" t="s">
        <v>24</v>
      </c>
      <c r="P304">
        <v>0.27832971246994398</v>
      </c>
      <c r="W304" s="5">
        <f t="shared" si="38"/>
        <v>0</v>
      </c>
      <c r="X304" s="5">
        <f t="shared" si="39"/>
        <v>0</v>
      </c>
      <c r="Y304" s="5">
        <f t="shared" si="40"/>
        <v>0</v>
      </c>
      <c r="Z304" s="5">
        <f t="shared" si="41"/>
        <v>0.26719652397114624</v>
      </c>
      <c r="AA304" s="5">
        <f t="shared" si="42"/>
        <v>0</v>
      </c>
      <c r="AB304" s="5">
        <f t="shared" si="43"/>
        <v>0</v>
      </c>
      <c r="AC304" s="5">
        <f t="shared" si="44"/>
        <v>0</v>
      </c>
      <c r="AD304" s="5">
        <f t="shared" si="45"/>
        <v>0</v>
      </c>
      <c r="AE304" s="5">
        <f t="shared" si="46"/>
        <v>0</v>
      </c>
    </row>
    <row r="305" spans="1:31" x14ac:dyDescent="0.35">
      <c r="A305" t="s">
        <v>22</v>
      </c>
      <c r="B305" t="s">
        <v>73</v>
      </c>
      <c r="C305" t="s">
        <v>58</v>
      </c>
      <c r="D305" t="s">
        <v>24</v>
      </c>
      <c r="E305" t="s">
        <v>24</v>
      </c>
      <c r="F305" t="s">
        <v>27</v>
      </c>
      <c r="G305">
        <v>1961</v>
      </c>
      <c r="H305" t="s">
        <v>24</v>
      </c>
      <c r="I305" t="s">
        <v>24</v>
      </c>
      <c r="J305" t="s">
        <v>24</v>
      </c>
      <c r="K305" t="s">
        <v>24</v>
      </c>
      <c r="P305">
        <v>0.32901160623753001</v>
      </c>
      <c r="W305" s="5">
        <f t="shared" si="38"/>
        <v>0</v>
      </c>
      <c r="X305" s="5">
        <f t="shared" si="39"/>
        <v>0</v>
      </c>
      <c r="Y305" s="5">
        <f t="shared" si="40"/>
        <v>0</v>
      </c>
      <c r="Z305" s="5">
        <f t="shared" si="41"/>
        <v>0.31585114198802877</v>
      </c>
      <c r="AA305" s="5">
        <f t="shared" si="42"/>
        <v>0</v>
      </c>
      <c r="AB305" s="5">
        <f t="shared" si="43"/>
        <v>0</v>
      </c>
      <c r="AC305" s="5">
        <f t="shared" si="44"/>
        <v>0</v>
      </c>
      <c r="AD305" s="5">
        <f t="shared" si="45"/>
        <v>0</v>
      </c>
      <c r="AE305" s="5">
        <f t="shared" si="46"/>
        <v>0</v>
      </c>
    </row>
    <row r="306" spans="1:31" x14ac:dyDescent="0.35">
      <c r="A306" t="s">
        <v>22</v>
      </c>
      <c r="B306" t="s">
        <v>73</v>
      </c>
      <c r="C306" t="s">
        <v>58</v>
      </c>
      <c r="D306" t="s">
        <v>24</v>
      </c>
      <c r="E306" t="s">
        <v>24</v>
      </c>
      <c r="F306" t="s">
        <v>27</v>
      </c>
      <c r="G306">
        <v>1963</v>
      </c>
      <c r="H306" t="s">
        <v>24</v>
      </c>
      <c r="I306" t="s">
        <v>24</v>
      </c>
      <c r="J306" t="s">
        <v>24</v>
      </c>
      <c r="K306" t="s">
        <v>24</v>
      </c>
      <c r="P306">
        <v>0.24667984348163899</v>
      </c>
      <c r="W306" s="5">
        <f t="shared" si="38"/>
        <v>0</v>
      </c>
      <c r="X306" s="5">
        <f t="shared" si="39"/>
        <v>0</v>
      </c>
      <c r="Y306" s="5">
        <f t="shared" si="40"/>
        <v>0</v>
      </c>
      <c r="Z306" s="5">
        <f t="shared" si="41"/>
        <v>0.23681264974237343</v>
      </c>
      <c r="AA306" s="5">
        <f t="shared" si="42"/>
        <v>0</v>
      </c>
      <c r="AB306" s="5">
        <f t="shared" si="43"/>
        <v>0</v>
      </c>
      <c r="AC306" s="5">
        <f t="shared" si="44"/>
        <v>0</v>
      </c>
      <c r="AD306" s="5">
        <f t="shared" si="45"/>
        <v>0</v>
      </c>
      <c r="AE306" s="5">
        <f t="shared" si="46"/>
        <v>0</v>
      </c>
    </row>
    <row r="307" spans="1:31" x14ac:dyDescent="0.35">
      <c r="A307" t="s">
        <v>22</v>
      </c>
      <c r="B307" t="s">
        <v>73</v>
      </c>
      <c r="C307" t="s">
        <v>58</v>
      </c>
      <c r="D307" t="s">
        <v>24</v>
      </c>
      <c r="E307" t="s">
        <v>24</v>
      </c>
      <c r="F307" t="s">
        <v>27</v>
      </c>
      <c r="G307">
        <v>1964</v>
      </c>
      <c r="H307" t="s">
        <v>24</v>
      </c>
      <c r="I307" t="s">
        <v>24</v>
      </c>
      <c r="J307" t="s">
        <v>24</v>
      </c>
      <c r="K307" t="s">
        <v>24</v>
      </c>
      <c r="P307">
        <v>0.27974440686026503</v>
      </c>
      <c r="W307" s="5">
        <f t="shared" si="38"/>
        <v>0</v>
      </c>
      <c r="X307" s="5">
        <f t="shared" si="39"/>
        <v>0</v>
      </c>
      <c r="Y307" s="5">
        <f t="shared" si="40"/>
        <v>0</v>
      </c>
      <c r="Z307" s="5">
        <f t="shared" si="41"/>
        <v>0.26855463058585444</v>
      </c>
      <c r="AA307" s="5">
        <f t="shared" si="42"/>
        <v>0</v>
      </c>
      <c r="AB307" s="5">
        <f t="shared" si="43"/>
        <v>0</v>
      </c>
      <c r="AC307" s="5">
        <f t="shared" si="44"/>
        <v>0</v>
      </c>
      <c r="AD307" s="5">
        <f t="shared" si="45"/>
        <v>0</v>
      </c>
      <c r="AE307" s="5">
        <f t="shared" si="46"/>
        <v>0</v>
      </c>
    </row>
    <row r="308" spans="1:31" x14ac:dyDescent="0.35">
      <c r="A308" t="s">
        <v>22</v>
      </c>
      <c r="B308" t="s">
        <v>73</v>
      </c>
      <c r="C308" t="s">
        <v>58</v>
      </c>
      <c r="D308" t="s">
        <v>24</v>
      </c>
      <c r="E308" t="s">
        <v>24</v>
      </c>
      <c r="F308" t="s">
        <v>27</v>
      </c>
      <c r="G308">
        <v>1965</v>
      </c>
      <c r="H308" t="s">
        <v>24</v>
      </c>
      <c r="I308" t="s">
        <v>24</v>
      </c>
      <c r="J308" t="s">
        <v>24</v>
      </c>
      <c r="K308" t="s">
        <v>24</v>
      </c>
      <c r="P308">
        <v>0.33489412553203701</v>
      </c>
      <c r="W308" s="5">
        <f t="shared" si="38"/>
        <v>0</v>
      </c>
      <c r="X308" s="5">
        <f t="shared" si="39"/>
        <v>0</v>
      </c>
      <c r="Y308" s="5">
        <f t="shared" si="40"/>
        <v>0</v>
      </c>
      <c r="Z308" s="5">
        <f t="shared" si="41"/>
        <v>0.32149836051075553</v>
      </c>
      <c r="AA308" s="5">
        <f t="shared" si="42"/>
        <v>0</v>
      </c>
      <c r="AB308" s="5">
        <f t="shared" si="43"/>
        <v>0</v>
      </c>
      <c r="AC308" s="5">
        <f t="shared" si="44"/>
        <v>0</v>
      </c>
      <c r="AD308" s="5">
        <f t="shared" si="45"/>
        <v>0</v>
      </c>
      <c r="AE308" s="5">
        <f t="shared" si="46"/>
        <v>0</v>
      </c>
    </row>
    <row r="309" spans="1:31" x14ac:dyDescent="0.35">
      <c r="A309" t="s">
        <v>22</v>
      </c>
      <c r="B309" t="s">
        <v>73</v>
      </c>
      <c r="C309" t="s">
        <v>58</v>
      </c>
      <c r="D309" t="s">
        <v>24</v>
      </c>
      <c r="E309" t="s">
        <v>24</v>
      </c>
      <c r="F309" t="s">
        <v>27</v>
      </c>
      <c r="G309">
        <v>1968</v>
      </c>
      <c r="H309" t="s">
        <v>24</v>
      </c>
      <c r="I309" t="s">
        <v>24</v>
      </c>
      <c r="J309" t="s">
        <v>24</v>
      </c>
      <c r="K309" t="s">
        <v>24</v>
      </c>
      <c r="P309">
        <v>0.26398903565538601</v>
      </c>
      <c r="W309" s="5">
        <f t="shared" si="38"/>
        <v>0</v>
      </c>
      <c r="X309" s="5">
        <f t="shared" si="39"/>
        <v>0</v>
      </c>
      <c r="Y309" s="5">
        <f t="shared" si="40"/>
        <v>0</v>
      </c>
      <c r="Z309" s="5">
        <f t="shared" si="41"/>
        <v>0.25342947422917056</v>
      </c>
      <c r="AA309" s="5">
        <f t="shared" si="42"/>
        <v>0</v>
      </c>
      <c r="AB309" s="5">
        <f t="shared" si="43"/>
        <v>0</v>
      </c>
      <c r="AC309" s="5">
        <f t="shared" si="44"/>
        <v>0</v>
      </c>
      <c r="AD309" s="5">
        <f t="shared" si="45"/>
        <v>0</v>
      </c>
      <c r="AE309" s="5">
        <f t="shared" si="46"/>
        <v>0</v>
      </c>
    </row>
    <row r="310" spans="1:31" x14ac:dyDescent="0.35">
      <c r="A310" t="s">
        <v>22</v>
      </c>
      <c r="B310" t="s">
        <v>73</v>
      </c>
      <c r="C310" t="s">
        <v>58</v>
      </c>
      <c r="D310" t="s">
        <v>24</v>
      </c>
      <c r="E310" t="s">
        <v>24</v>
      </c>
      <c r="F310" t="s">
        <v>27</v>
      </c>
      <c r="G310">
        <v>1969</v>
      </c>
      <c r="H310" t="s">
        <v>24</v>
      </c>
      <c r="I310" t="s">
        <v>24</v>
      </c>
      <c r="J310" t="s">
        <v>24</v>
      </c>
      <c r="K310" t="s">
        <v>24</v>
      </c>
      <c r="T310">
        <v>0.245490811142555</v>
      </c>
      <c r="W310" s="5">
        <f t="shared" si="38"/>
        <v>0</v>
      </c>
      <c r="X310" s="5">
        <f t="shared" si="39"/>
        <v>0</v>
      </c>
      <c r="Y310" s="5">
        <f t="shared" si="40"/>
        <v>0</v>
      </c>
      <c r="Z310" s="5">
        <f t="shared" si="41"/>
        <v>0</v>
      </c>
      <c r="AA310" s="5">
        <f t="shared" si="42"/>
        <v>0</v>
      </c>
      <c r="AB310" s="5">
        <f t="shared" si="43"/>
        <v>0</v>
      </c>
      <c r="AC310" s="5">
        <f t="shared" si="44"/>
        <v>0</v>
      </c>
      <c r="AD310" s="5">
        <f t="shared" si="45"/>
        <v>0.23567117869685278</v>
      </c>
      <c r="AE310" s="5">
        <f t="shared" si="46"/>
        <v>0</v>
      </c>
    </row>
    <row r="311" spans="1:31" x14ac:dyDescent="0.35">
      <c r="A311" t="s">
        <v>22</v>
      </c>
      <c r="B311" t="s">
        <v>73</v>
      </c>
      <c r="C311" t="s">
        <v>58</v>
      </c>
      <c r="D311" t="s">
        <v>24</v>
      </c>
      <c r="E311" t="s">
        <v>24</v>
      </c>
      <c r="F311" t="s">
        <v>27</v>
      </c>
      <c r="G311">
        <v>1974</v>
      </c>
      <c r="H311" t="s">
        <v>24</v>
      </c>
      <c r="I311" t="s">
        <v>24</v>
      </c>
      <c r="J311" t="s">
        <v>24</v>
      </c>
      <c r="K311" t="s">
        <v>24</v>
      </c>
      <c r="P311">
        <v>0.30189527336826699</v>
      </c>
      <c r="W311" s="5">
        <f t="shared" si="38"/>
        <v>0</v>
      </c>
      <c r="X311" s="5">
        <f t="shared" si="39"/>
        <v>0</v>
      </c>
      <c r="Y311" s="5">
        <f t="shared" si="40"/>
        <v>0</v>
      </c>
      <c r="Z311" s="5">
        <f t="shared" si="41"/>
        <v>0.28981946243353629</v>
      </c>
      <c r="AA311" s="5">
        <f t="shared" si="42"/>
        <v>0</v>
      </c>
      <c r="AB311" s="5">
        <f t="shared" si="43"/>
        <v>0</v>
      </c>
      <c r="AC311" s="5">
        <f t="shared" si="44"/>
        <v>0</v>
      </c>
      <c r="AD311" s="5">
        <f t="shared" si="45"/>
        <v>0</v>
      </c>
      <c r="AE311" s="5">
        <f t="shared" si="46"/>
        <v>0</v>
      </c>
    </row>
    <row r="312" spans="1:31" x14ac:dyDescent="0.35">
      <c r="A312" t="s">
        <v>22</v>
      </c>
      <c r="B312" t="s">
        <v>73</v>
      </c>
      <c r="C312" t="s">
        <v>58</v>
      </c>
      <c r="D312" t="s">
        <v>24</v>
      </c>
      <c r="E312" t="s">
        <v>24</v>
      </c>
      <c r="F312" t="s">
        <v>27</v>
      </c>
      <c r="G312">
        <v>1976</v>
      </c>
      <c r="H312" t="s">
        <v>24</v>
      </c>
      <c r="I312" t="s">
        <v>24</v>
      </c>
      <c r="J312" t="s">
        <v>24</v>
      </c>
      <c r="K312" t="s">
        <v>24</v>
      </c>
      <c r="P312">
        <v>0.303993075713275</v>
      </c>
      <c r="W312" s="5">
        <f t="shared" si="38"/>
        <v>0</v>
      </c>
      <c r="X312" s="5">
        <f t="shared" si="39"/>
        <v>0</v>
      </c>
      <c r="Y312" s="5">
        <f t="shared" si="40"/>
        <v>0</v>
      </c>
      <c r="Z312" s="5">
        <f t="shared" si="41"/>
        <v>0.29183335268474397</v>
      </c>
      <c r="AA312" s="5">
        <f t="shared" si="42"/>
        <v>0</v>
      </c>
      <c r="AB312" s="5">
        <f t="shared" si="43"/>
        <v>0</v>
      </c>
      <c r="AC312" s="5">
        <f t="shared" si="44"/>
        <v>0</v>
      </c>
      <c r="AD312" s="5">
        <f t="shared" si="45"/>
        <v>0</v>
      </c>
      <c r="AE312" s="5">
        <f t="shared" si="46"/>
        <v>0</v>
      </c>
    </row>
    <row r="313" spans="1:31" x14ac:dyDescent="0.35">
      <c r="A313" t="s">
        <v>22</v>
      </c>
      <c r="B313" t="s">
        <v>73</v>
      </c>
      <c r="C313" t="s">
        <v>58</v>
      </c>
      <c r="D313" t="s">
        <v>24</v>
      </c>
      <c r="E313" t="s">
        <v>24</v>
      </c>
      <c r="F313" t="s">
        <v>27</v>
      </c>
      <c r="G313">
        <v>1982</v>
      </c>
      <c r="H313" t="s">
        <v>24</v>
      </c>
      <c r="I313" t="s">
        <v>24</v>
      </c>
      <c r="J313" t="s">
        <v>24</v>
      </c>
      <c r="K313" t="s">
        <v>24</v>
      </c>
      <c r="P313">
        <v>0.26398903565538601</v>
      </c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x14ac:dyDescent="0.35">
      <c r="A314" t="s">
        <v>22</v>
      </c>
      <c r="B314" t="s">
        <v>73</v>
      </c>
      <c r="C314" t="s">
        <v>58</v>
      </c>
      <c r="D314" t="s">
        <v>24</v>
      </c>
      <c r="E314" t="s">
        <v>24</v>
      </c>
      <c r="F314" t="s">
        <v>27</v>
      </c>
      <c r="G314">
        <v>1995</v>
      </c>
      <c r="H314" t="s">
        <v>24</v>
      </c>
      <c r="I314" t="s">
        <v>24</v>
      </c>
      <c r="J314" t="s">
        <v>24</v>
      </c>
      <c r="K314" t="s">
        <v>24</v>
      </c>
      <c r="T314">
        <v>0.28810556187787201</v>
      </c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x14ac:dyDescent="0.35">
      <c r="A315" t="s">
        <v>22</v>
      </c>
      <c r="B315" t="s">
        <v>73</v>
      </c>
      <c r="C315" t="s">
        <v>58</v>
      </c>
      <c r="D315" t="s">
        <v>24</v>
      </c>
      <c r="E315" t="s">
        <v>24</v>
      </c>
      <c r="F315" t="s">
        <v>27</v>
      </c>
      <c r="G315">
        <v>2003</v>
      </c>
      <c r="H315" t="s">
        <v>24</v>
      </c>
      <c r="I315" t="s">
        <v>24</v>
      </c>
      <c r="J315" t="s">
        <v>24</v>
      </c>
      <c r="K315" t="s">
        <v>24</v>
      </c>
      <c r="T315">
        <v>0.33030298622833698</v>
      </c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x14ac:dyDescent="0.35">
      <c r="A316" t="s">
        <v>22</v>
      </c>
      <c r="B316" t="s">
        <v>42</v>
      </c>
      <c r="C316" t="s">
        <v>85</v>
      </c>
      <c r="D316" t="s">
        <v>43</v>
      </c>
      <c r="E316" t="s">
        <v>24</v>
      </c>
      <c r="F316" t="s">
        <v>27</v>
      </c>
      <c r="G316">
        <v>2010</v>
      </c>
      <c r="H316" t="s">
        <v>24</v>
      </c>
      <c r="I316" t="s">
        <v>24</v>
      </c>
      <c r="J316" t="s">
        <v>24</v>
      </c>
      <c r="K316" t="s">
        <v>24</v>
      </c>
      <c r="M316">
        <v>130.83336967593601</v>
      </c>
      <c r="N316">
        <v>130.83336967593601</v>
      </c>
      <c r="O316">
        <v>130.83336967593601</v>
      </c>
      <c r="P316">
        <v>130.83336967593601</v>
      </c>
      <c r="Q316">
        <v>130.83336967593601</v>
      </c>
      <c r="R316">
        <v>130.83336967593601</v>
      </c>
      <c r="S316">
        <v>130.83336967593601</v>
      </c>
      <c r="T316">
        <v>130.83336967593601</v>
      </c>
      <c r="U316">
        <v>130.83336967593601</v>
      </c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x14ac:dyDescent="0.35">
      <c r="A317" t="s">
        <v>22</v>
      </c>
      <c r="B317" t="s">
        <v>42</v>
      </c>
      <c r="C317" t="s">
        <v>85</v>
      </c>
      <c r="D317" t="s">
        <v>44</v>
      </c>
      <c r="E317" t="s">
        <v>24</v>
      </c>
      <c r="F317" t="s">
        <v>27</v>
      </c>
      <c r="G317">
        <v>2010</v>
      </c>
      <c r="H317" t="s">
        <v>24</v>
      </c>
      <c r="I317" t="s">
        <v>24</v>
      </c>
      <c r="J317" t="s">
        <v>24</v>
      </c>
      <c r="K317" t="s">
        <v>24</v>
      </c>
      <c r="M317">
        <v>147.50004097223399</v>
      </c>
      <c r="N317">
        <v>147.50004097223399</v>
      </c>
      <c r="O317">
        <v>147.50004097223399</v>
      </c>
      <c r="P317">
        <v>147.50004097223399</v>
      </c>
      <c r="Q317">
        <v>147.50004097223399</v>
      </c>
      <c r="R317">
        <v>147.50004097223399</v>
      </c>
      <c r="S317">
        <v>147.50004097223399</v>
      </c>
      <c r="T317">
        <v>147.50004097223399</v>
      </c>
      <c r="U317">
        <v>147.50004097223399</v>
      </c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x14ac:dyDescent="0.35">
      <c r="A318" t="s">
        <v>22</v>
      </c>
      <c r="B318" t="s">
        <v>42</v>
      </c>
      <c r="C318" t="s">
        <v>47</v>
      </c>
      <c r="D318" t="s">
        <v>43</v>
      </c>
      <c r="E318" t="s">
        <v>24</v>
      </c>
      <c r="F318" t="s">
        <v>27</v>
      </c>
      <c r="G318">
        <v>2010</v>
      </c>
      <c r="H318" t="s">
        <v>24</v>
      </c>
      <c r="I318" t="s">
        <v>24</v>
      </c>
      <c r="J318" t="s">
        <v>24</v>
      </c>
      <c r="K318" t="s">
        <v>24</v>
      </c>
      <c r="L318">
        <v>31.388897608027101</v>
      </c>
      <c r="M318">
        <v>31.388897608027101</v>
      </c>
      <c r="N318">
        <v>31.388897608027101</v>
      </c>
      <c r="O318">
        <v>31.388897608027101</v>
      </c>
      <c r="P318">
        <v>31.388897608027101</v>
      </c>
      <c r="Q318">
        <v>31.388897608027101</v>
      </c>
      <c r="R318">
        <v>31.388897608027101</v>
      </c>
      <c r="S318">
        <v>31.388897608027101</v>
      </c>
      <c r="T318">
        <v>31.388897608027101</v>
      </c>
      <c r="U318">
        <v>31.388897608027101</v>
      </c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x14ac:dyDescent="0.35">
      <c r="A319" t="s">
        <v>22</v>
      </c>
      <c r="B319" t="s">
        <v>42</v>
      </c>
      <c r="C319" t="s">
        <v>47</v>
      </c>
      <c r="D319" t="s">
        <v>44</v>
      </c>
      <c r="E319" t="s">
        <v>24</v>
      </c>
      <c r="F319" t="s">
        <v>27</v>
      </c>
      <c r="G319">
        <v>2010</v>
      </c>
      <c r="H319" t="s">
        <v>24</v>
      </c>
      <c r="I319" t="s">
        <v>24</v>
      </c>
      <c r="J319" t="s">
        <v>24</v>
      </c>
      <c r="K319" t="s">
        <v>24</v>
      </c>
      <c r="L319">
        <v>7524.4465345684803</v>
      </c>
      <c r="M319">
        <v>7524.4465345684803</v>
      </c>
      <c r="N319">
        <v>7524.4465345684803</v>
      </c>
      <c r="O319">
        <v>7524.4465345684803</v>
      </c>
      <c r="P319">
        <v>7524.4465345684803</v>
      </c>
      <c r="Q319">
        <v>7524.4465345684803</v>
      </c>
      <c r="R319">
        <v>7524.4465345684803</v>
      </c>
      <c r="S319">
        <v>7524.4465345684803</v>
      </c>
      <c r="T319">
        <v>7524.4465345684803</v>
      </c>
      <c r="U319">
        <v>7524.4465345684803</v>
      </c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x14ac:dyDescent="0.35">
      <c r="A320" t="s">
        <v>22</v>
      </c>
      <c r="B320" t="s">
        <v>42</v>
      </c>
      <c r="C320" t="s">
        <v>48</v>
      </c>
      <c r="D320" t="s">
        <v>43</v>
      </c>
      <c r="E320" t="s">
        <v>24</v>
      </c>
      <c r="F320" t="s">
        <v>27</v>
      </c>
      <c r="G320">
        <v>2010</v>
      </c>
      <c r="H320" t="s">
        <v>24</v>
      </c>
      <c r="I320" t="s">
        <v>24</v>
      </c>
      <c r="J320" t="s">
        <v>24</v>
      </c>
      <c r="K320" t="s">
        <v>24</v>
      </c>
      <c r="L320">
        <v>130.83336967593601</v>
      </c>
      <c r="M320">
        <v>130.83336967593601</v>
      </c>
      <c r="N320">
        <v>130.83336967593601</v>
      </c>
      <c r="O320">
        <v>130.83336967593601</v>
      </c>
      <c r="P320">
        <v>130.83336967593601</v>
      </c>
      <c r="Q320">
        <v>130.83336967593601</v>
      </c>
      <c r="R320">
        <v>130.83336967593601</v>
      </c>
      <c r="S320">
        <v>130.83336967593601</v>
      </c>
      <c r="T320">
        <v>130.83336967593601</v>
      </c>
      <c r="U320">
        <v>130.83336967593601</v>
      </c>
      <c r="W320" s="5"/>
      <c r="X320" s="5"/>
      <c r="Y320" s="5"/>
      <c r="Z320" s="5"/>
      <c r="AA320" s="5"/>
      <c r="AB320" s="5"/>
      <c r="AC320" s="5"/>
      <c r="AD320" s="5"/>
      <c r="AE320" s="5"/>
    </row>
    <row r="321" spans="1:21" x14ac:dyDescent="0.35">
      <c r="A321" t="s">
        <v>22</v>
      </c>
      <c r="B321" t="s">
        <v>42</v>
      </c>
      <c r="C321" t="s">
        <v>48</v>
      </c>
      <c r="D321" t="s">
        <v>44</v>
      </c>
      <c r="E321" t="s">
        <v>24</v>
      </c>
      <c r="F321" t="s">
        <v>27</v>
      </c>
      <c r="G321">
        <v>2010</v>
      </c>
      <c r="H321" t="s">
        <v>24</v>
      </c>
      <c r="I321" t="s">
        <v>24</v>
      </c>
      <c r="J321" t="s">
        <v>24</v>
      </c>
      <c r="K321" t="s">
        <v>24</v>
      </c>
      <c r="L321">
        <v>147.50004097223399</v>
      </c>
      <c r="M321">
        <v>147.50004097223399</v>
      </c>
      <c r="N321">
        <v>147.50004097223399</v>
      </c>
      <c r="O321">
        <v>147.50004097223399</v>
      </c>
      <c r="P321">
        <v>147.50004097223399</v>
      </c>
      <c r="Q321">
        <v>147.50004097223399</v>
      </c>
      <c r="R321">
        <v>147.50004097223399</v>
      </c>
      <c r="S321">
        <v>147.50004097223399</v>
      </c>
      <c r="T321">
        <v>147.50004097223399</v>
      </c>
      <c r="U321">
        <v>147.50004097223399</v>
      </c>
    </row>
    <row r="322" spans="1:21" x14ac:dyDescent="0.35">
      <c r="A322" t="s">
        <v>22</v>
      </c>
      <c r="B322" t="s">
        <v>42</v>
      </c>
      <c r="C322" t="s">
        <v>49</v>
      </c>
      <c r="D322" t="s">
        <v>43</v>
      </c>
      <c r="E322" t="s">
        <v>24</v>
      </c>
      <c r="F322" t="s">
        <v>27</v>
      </c>
      <c r="G322">
        <v>2010</v>
      </c>
      <c r="H322" t="s">
        <v>24</v>
      </c>
      <c r="I322" t="s">
        <v>24</v>
      </c>
      <c r="J322" t="s">
        <v>24</v>
      </c>
      <c r="K322" t="s">
        <v>24</v>
      </c>
      <c r="L322">
        <v>31.388897608027101</v>
      </c>
      <c r="M322">
        <v>31.388897608027101</v>
      </c>
      <c r="N322">
        <v>31.388897608027101</v>
      </c>
      <c r="O322">
        <v>31.388897608027101</v>
      </c>
      <c r="P322">
        <v>31.388897608027101</v>
      </c>
      <c r="Q322">
        <v>31.388897608027101</v>
      </c>
      <c r="R322">
        <v>31.388897608027101</v>
      </c>
      <c r="S322">
        <v>31.388897608027101</v>
      </c>
      <c r="T322">
        <v>31.388897608027101</v>
      </c>
      <c r="U322">
        <v>31.388897608027101</v>
      </c>
    </row>
    <row r="323" spans="1:21" x14ac:dyDescent="0.35">
      <c r="A323" t="s">
        <v>22</v>
      </c>
      <c r="B323" t="s">
        <v>42</v>
      </c>
      <c r="C323" t="s">
        <v>49</v>
      </c>
      <c r="D323" t="s">
        <v>44</v>
      </c>
      <c r="E323" t="s">
        <v>24</v>
      </c>
      <c r="F323" t="s">
        <v>27</v>
      </c>
      <c r="G323">
        <v>2010</v>
      </c>
      <c r="H323" t="s">
        <v>24</v>
      </c>
      <c r="I323" t="s">
        <v>24</v>
      </c>
      <c r="J323" t="s">
        <v>24</v>
      </c>
      <c r="K323" t="s">
        <v>24</v>
      </c>
      <c r="L323">
        <v>7524.4465345684803</v>
      </c>
      <c r="M323">
        <v>7524.4465345684803</v>
      </c>
      <c r="N323">
        <v>7524.4465345684803</v>
      </c>
      <c r="O323">
        <v>7524.4465345684803</v>
      </c>
      <c r="P323">
        <v>7524.4465345684803</v>
      </c>
      <c r="Q323">
        <v>7524.4465345684803</v>
      </c>
      <c r="R323">
        <v>7524.4465345684803</v>
      </c>
      <c r="S323">
        <v>7524.4465345684803</v>
      </c>
      <c r="T323">
        <v>7524.4465345684803</v>
      </c>
      <c r="U323">
        <v>7524.4465345684803</v>
      </c>
    </row>
    <row r="324" spans="1:21" x14ac:dyDescent="0.35">
      <c r="A324" t="s">
        <v>22</v>
      </c>
      <c r="B324" t="s">
        <v>42</v>
      </c>
      <c r="C324" t="s">
        <v>50</v>
      </c>
      <c r="D324" t="s">
        <v>43</v>
      </c>
      <c r="E324" t="s">
        <v>24</v>
      </c>
      <c r="F324" t="s">
        <v>27</v>
      </c>
      <c r="G324">
        <v>2010</v>
      </c>
      <c r="H324" t="s">
        <v>24</v>
      </c>
      <c r="I324" t="s">
        <v>24</v>
      </c>
      <c r="J324" t="s">
        <v>24</v>
      </c>
      <c r="K324" t="s">
        <v>24</v>
      </c>
      <c r="L324">
        <v>130.83336967593601</v>
      </c>
      <c r="M324">
        <v>130.83336967593601</v>
      </c>
      <c r="N324">
        <v>130.83336967593601</v>
      </c>
      <c r="O324">
        <v>130.83336967593601</v>
      </c>
      <c r="P324">
        <v>130.83336967593601</v>
      </c>
      <c r="Q324">
        <v>130.83336967593601</v>
      </c>
      <c r="R324">
        <v>130.83336967593601</v>
      </c>
      <c r="S324">
        <v>130.83336967593601</v>
      </c>
      <c r="T324">
        <v>130.83336967593601</v>
      </c>
      <c r="U324">
        <v>130.83336967593601</v>
      </c>
    </row>
    <row r="325" spans="1:21" x14ac:dyDescent="0.35">
      <c r="A325" t="s">
        <v>22</v>
      </c>
      <c r="B325" t="s">
        <v>42</v>
      </c>
      <c r="C325" t="s">
        <v>50</v>
      </c>
      <c r="D325" t="s">
        <v>44</v>
      </c>
      <c r="E325" t="s">
        <v>24</v>
      </c>
      <c r="F325" t="s">
        <v>27</v>
      </c>
      <c r="G325">
        <v>2010</v>
      </c>
      <c r="H325" t="s">
        <v>24</v>
      </c>
      <c r="I325" t="s">
        <v>24</v>
      </c>
      <c r="J325" t="s">
        <v>24</v>
      </c>
      <c r="K325" t="s">
        <v>24</v>
      </c>
      <c r="L325">
        <v>147.50004097223399</v>
      </c>
      <c r="M325">
        <v>147.50004097223399</v>
      </c>
      <c r="N325">
        <v>147.50004097223399</v>
      </c>
      <c r="O325">
        <v>147.50004097223399</v>
      </c>
      <c r="P325">
        <v>147.50004097223399</v>
      </c>
      <c r="Q325">
        <v>147.50004097223399</v>
      </c>
      <c r="R325">
        <v>147.50004097223399</v>
      </c>
      <c r="S325">
        <v>147.50004097223399</v>
      </c>
      <c r="T325">
        <v>147.50004097223399</v>
      </c>
      <c r="U325">
        <v>147.50004097223399</v>
      </c>
    </row>
    <row r="326" spans="1:21" x14ac:dyDescent="0.35">
      <c r="A326" t="s">
        <v>22</v>
      </c>
      <c r="B326" t="s">
        <v>42</v>
      </c>
      <c r="C326" t="s">
        <v>86</v>
      </c>
      <c r="D326" t="s">
        <v>43</v>
      </c>
      <c r="E326" t="s">
        <v>24</v>
      </c>
      <c r="F326" t="s">
        <v>27</v>
      </c>
      <c r="G326">
        <v>2010</v>
      </c>
      <c r="H326" t="s">
        <v>24</v>
      </c>
      <c r="I326" t="s">
        <v>24</v>
      </c>
      <c r="J326" t="s">
        <v>24</v>
      </c>
      <c r="K326" t="s">
        <v>24</v>
      </c>
      <c r="M326">
        <v>130.83336967593601</v>
      </c>
      <c r="N326">
        <v>130.83336967593601</v>
      </c>
      <c r="O326">
        <v>130.83336967593601</v>
      </c>
      <c r="P326">
        <v>130.83336967593601</v>
      </c>
      <c r="Q326">
        <v>130.83336967593601</v>
      </c>
      <c r="R326">
        <v>130.83336967593601</v>
      </c>
      <c r="S326">
        <v>130.83336967593601</v>
      </c>
      <c r="T326">
        <v>130.83336967593601</v>
      </c>
      <c r="U326">
        <v>130.83336967593601</v>
      </c>
    </row>
    <row r="327" spans="1:21" x14ac:dyDescent="0.35">
      <c r="A327" t="s">
        <v>22</v>
      </c>
      <c r="B327" t="s">
        <v>42</v>
      </c>
      <c r="C327" t="s">
        <v>86</v>
      </c>
      <c r="D327" t="s">
        <v>44</v>
      </c>
      <c r="E327" t="s">
        <v>24</v>
      </c>
      <c r="F327" t="s">
        <v>27</v>
      </c>
      <c r="G327">
        <v>2010</v>
      </c>
      <c r="H327" t="s">
        <v>24</v>
      </c>
      <c r="I327" t="s">
        <v>24</v>
      </c>
      <c r="J327" t="s">
        <v>24</v>
      </c>
      <c r="K327" t="s">
        <v>24</v>
      </c>
      <c r="M327">
        <v>147.50004097223399</v>
      </c>
      <c r="N327">
        <v>147.50004097223399</v>
      </c>
      <c r="O327">
        <v>147.50004097223399</v>
      </c>
      <c r="P327">
        <v>147.50004097223399</v>
      </c>
      <c r="Q327">
        <v>147.50004097223399</v>
      </c>
      <c r="R327">
        <v>147.50004097223399</v>
      </c>
      <c r="S327">
        <v>147.50004097223399</v>
      </c>
      <c r="T327">
        <v>147.50004097223399</v>
      </c>
      <c r="U327">
        <v>147.50004097223399</v>
      </c>
    </row>
    <row r="328" spans="1:21" x14ac:dyDescent="0.35">
      <c r="A328" t="s">
        <v>22</v>
      </c>
      <c r="B328" t="s">
        <v>42</v>
      </c>
      <c r="C328" t="s">
        <v>51</v>
      </c>
      <c r="D328" t="s">
        <v>43</v>
      </c>
      <c r="E328" t="s">
        <v>24</v>
      </c>
      <c r="F328" t="s">
        <v>27</v>
      </c>
      <c r="G328">
        <v>2010</v>
      </c>
      <c r="H328" t="s">
        <v>24</v>
      </c>
      <c r="I328" t="s">
        <v>24</v>
      </c>
      <c r="J328" t="s">
        <v>24</v>
      </c>
      <c r="K328" t="s">
        <v>24</v>
      </c>
      <c r="L328">
        <v>31.388897608027101</v>
      </c>
      <c r="M328">
        <v>31.388897608027101</v>
      </c>
      <c r="N328">
        <v>31.388897608027101</v>
      </c>
      <c r="O328">
        <v>31.388897608027101</v>
      </c>
      <c r="P328">
        <v>31.388897608027101</v>
      </c>
      <c r="Q328">
        <v>31.388897608027101</v>
      </c>
      <c r="R328">
        <v>31.388897608027101</v>
      </c>
      <c r="S328">
        <v>31.388897608027101</v>
      </c>
      <c r="T328">
        <v>31.388897608027101</v>
      </c>
      <c r="U328">
        <v>31.388897608027101</v>
      </c>
    </row>
    <row r="329" spans="1:21" x14ac:dyDescent="0.35">
      <c r="A329" t="s">
        <v>22</v>
      </c>
      <c r="B329" t="s">
        <v>42</v>
      </c>
      <c r="C329" t="s">
        <v>51</v>
      </c>
      <c r="D329" t="s">
        <v>44</v>
      </c>
      <c r="E329" t="s">
        <v>24</v>
      </c>
      <c r="F329" t="s">
        <v>27</v>
      </c>
      <c r="G329">
        <v>2010</v>
      </c>
      <c r="H329" t="s">
        <v>24</v>
      </c>
      <c r="I329" t="s">
        <v>24</v>
      </c>
      <c r="J329" t="s">
        <v>24</v>
      </c>
      <c r="K329" t="s">
        <v>24</v>
      </c>
      <c r="L329">
        <v>7524.4465345684803</v>
      </c>
      <c r="M329">
        <v>7524.4465345684803</v>
      </c>
      <c r="N329">
        <v>7524.4465345684803</v>
      </c>
      <c r="O329">
        <v>7524.4465345684803</v>
      </c>
      <c r="P329">
        <v>7524.4465345684803</v>
      </c>
      <c r="Q329">
        <v>7524.4465345684803</v>
      </c>
      <c r="R329">
        <v>7524.4465345684803</v>
      </c>
      <c r="S329">
        <v>7524.4465345684803</v>
      </c>
      <c r="T329">
        <v>7524.4465345684803</v>
      </c>
      <c r="U329">
        <v>7524.4465345684803</v>
      </c>
    </row>
    <row r="330" spans="1:21" x14ac:dyDescent="0.35">
      <c r="A330" t="s">
        <v>22</v>
      </c>
      <c r="B330" t="s">
        <v>42</v>
      </c>
      <c r="C330" t="s">
        <v>52</v>
      </c>
      <c r="D330" t="s">
        <v>43</v>
      </c>
      <c r="E330" t="s">
        <v>24</v>
      </c>
      <c r="F330" t="s">
        <v>27</v>
      </c>
      <c r="G330">
        <v>2010</v>
      </c>
      <c r="H330" t="s">
        <v>24</v>
      </c>
      <c r="I330" t="s">
        <v>24</v>
      </c>
      <c r="J330" t="s">
        <v>24</v>
      </c>
      <c r="K330" t="s">
        <v>24</v>
      </c>
      <c r="L330">
        <v>130.83336967593601</v>
      </c>
      <c r="M330">
        <v>130.83336967593601</v>
      </c>
      <c r="N330">
        <v>130.83336967593601</v>
      </c>
      <c r="O330">
        <v>130.83336967593601</v>
      </c>
      <c r="P330">
        <v>130.83336967593601</v>
      </c>
      <c r="Q330">
        <v>130.83336967593601</v>
      </c>
      <c r="R330">
        <v>130.83336967593601</v>
      </c>
      <c r="S330">
        <v>130.83336967593601</v>
      </c>
      <c r="T330">
        <v>130.83336967593601</v>
      </c>
      <c r="U330">
        <v>130.83336967593601</v>
      </c>
    </row>
    <row r="331" spans="1:21" x14ac:dyDescent="0.35">
      <c r="A331" t="s">
        <v>22</v>
      </c>
      <c r="B331" t="s">
        <v>42</v>
      </c>
      <c r="C331" t="s">
        <v>52</v>
      </c>
      <c r="D331" t="s">
        <v>44</v>
      </c>
      <c r="E331" t="s">
        <v>24</v>
      </c>
      <c r="F331" t="s">
        <v>27</v>
      </c>
      <c r="G331">
        <v>2010</v>
      </c>
      <c r="H331" t="s">
        <v>24</v>
      </c>
      <c r="I331" t="s">
        <v>24</v>
      </c>
      <c r="J331" t="s">
        <v>24</v>
      </c>
      <c r="K331" t="s">
        <v>24</v>
      </c>
      <c r="L331">
        <v>147.50004097223399</v>
      </c>
      <c r="M331">
        <v>147.50004097223399</v>
      </c>
      <c r="N331">
        <v>147.50004097223399</v>
      </c>
      <c r="O331">
        <v>147.50004097223399</v>
      </c>
      <c r="P331">
        <v>147.50004097223399</v>
      </c>
      <c r="Q331">
        <v>147.50004097223399</v>
      </c>
      <c r="R331">
        <v>147.50004097223399</v>
      </c>
      <c r="S331">
        <v>147.50004097223399</v>
      </c>
      <c r="T331">
        <v>147.50004097223399</v>
      </c>
      <c r="U331">
        <v>147.50004097223399</v>
      </c>
    </row>
    <row r="332" spans="1:21" x14ac:dyDescent="0.35">
      <c r="A332" t="s">
        <v>22</v>
      </c>
      <c r="B332" t="s">
        <v>42</v>
      </c>
      <c r="C332" t="s">
        <v>53</v>
      </c>
      <c r="D332" t="s">
        <v>43</v>
      </c>
      <c r="E332" t="s">
        <v>24</v>
      </c>
      <c r="F332" t="s">
        <v>27</v>
      </c>
      <c r="G332">
        <v>2010</v>
      </c>
      <c r="H332" t="s">
        <v>24</v>
      </c>
      <c r="I332" t="s">
        <v>24</v>
      </c>
      <c r="J332" t="s">
        <v>24</v>
      </c>
      <c r="K332" t="s">
        <v>24</v>
      </c>
      <c r="L332">
        <v>31.388897608027101</v>
      </c>
      <c r="M332">
        <v>31.388897608027101</v>
      </c>
      <c r="N332">
        <v>31.388897608027101</v>
      </c>
      <c r="O332">
        <v>31.388897608027101</v>
      </c>
      <c r="P332">
        <v>31.388897608027101</v>
      </c>
      <c r="Q332">
        <v>31.388897608027101</v>
      </c>
      <c r="R332">
        <v>31.388897608027101</v>
      </c>
      <c r="S332">
        <v>31.388897608027101</v>
      </c>
      <c r="T332">
        <v>31.388897608027101</v>
      </c>
      <c r="U332">
        <v>31.388897608027101</v>
      </c>
    </row>
    <row r="333" spans="1:21" x14ac:dyDescent="0.35">
      <c r="A333" t="s">
        <v>22</v>
      </c>
      <c r="B333" t="s">
        <v>42</v>
      </c>
      <c r="C333" t="s">
        <v>53</v>
      </c>
      <c r="D333" t="s">
        <v>44</v>
      </c>
      <c r="E333" t="s">
        <v>24</v>
      </c>
      <c r="F333" t="s">
        <v>27</v>
      </c>
      <c r="G333">
        <v>2010</v>
      </c>
      <c r="H333" t="s">
        <v>24</v>
      </c>
      <c r="I333" t="s">
        <v>24</v>
      </c>
      <c r="J333" t="s">
        <v>24</v>
      </c>
      <c r="K333" t="s">
        <v>24</v>
      </c>
      <c r="L333">
        <v>7524.4465345684803</v>
      </c>
      <c r="M333">
        <v>7524.4465345684803</v>
      </c>
      <c r="N333">
        <v>7524.4465345684803</v>
      </c>
      <c r="O333">
        <v>7524.4465345684803</v>
      </c>
      <c r="P333">
        <v>7524.4465345684803</v>
      </c>
      <c r="Q333">
        <v>7524.4465345684803</v>
      </c>
      <c r="R333">
        <v>7524.4465345684803</v>
      </c>
      <c r="S333">
        <v>7524.4465345684803</v>
      </c>
      <c r="T333">
        <v>7524.4465345684803</v>
      </c>
      <c r="U333">
        <v>7524.4465345684803</v>
      </c>
    </row>
    <row r="334" spans="1:21" x14ac:dyDescent="0.35">
      <c r="A334" t="s">
        <v>22</v>
      </c>
      <c r="B334" t="s">
        <v>42</v>
      </c>
      <c r="C334" t="s">
        <v>54</v>
      </c>
      <c r="D334" t="s">
        <v>43</v>
      </c>
      <c r="E334" t="s">
        <v>24</v>
      </c>
      <c r="F334" t="s">
        <v>27</v>
      </c>
      <c r="G334">
        <v>2010</v>
      </c>
      <c r="H334" t="s">
        <v>24</v>
      </c>
      <c r="I334" t="s">
        <v>24</v>
      </c>
      <c r="J334" t="s">
        <v>24</v>
      </c>
      <c r="K334" t="s">
        <v>24</v>
      </c>
      <c r="L334">
        <v>130.83336967593601</v>
      </c>
      <c r="M334">
        <v>130.83336967593601</v>
      </c>
      <c r="N334">
        <v>130.83336967593601</v>
      </c>
      <c r="O334">
        <v>130.83336967593601</v>
      </c>
      <c r="P334">
        <v>130.83336967593601</v>
      </c>
      <c r="Q334">
        <v>130.83336967593601</v>
      </c>
      <c r="R334">
        <v>130.83336967593601</v>
      </c>
      <c r="S334">
        <v>130.83336967593601</v>
      </c>
      <c r="T334">
        <v>130.83336967593601</v>
      </c>
      <c r="U334">
        <v>130.83336967593601</v>
      </c>
    </row>
    <row r="335" spans="1:21" x14ac:dyDescent="0.35">
      <c r="A335" t="s">
        <v>22</v>
      </c>
      <c r="B335" t="s">
        <v>42</v>
      </c>
      <c r="C335" t="s">
        <v>54</v>
      </c>
      <c r="D335" t="s">
        <v>44</v>
      </c>
      <c r="E335" t="s">
        <v>24</v>
      </c>
      <c r="F335" t="s">
        <v>27</v>
      </c>
      <c r="G335">
        <v>2010</v>
      </c>
      <c r="H335" t="s">
        <v>24</v>
      </c>
      <c r="I335" t="s">
        <v>24</v>
      </c>
      <c r="J335" t="s">
        <v>24</v>
      </c>
      <c r="K335" t="s">
        <v>24</v>
      </c>
      <c r="L335">
        <v>147.50004097223399</v>
      </c>
      <c r="M335">
        <v>147.50004097223399</v>
      </c>
      <c r="N335">
        <v>147.50004097223399</v>
      </c>
      <c r="O335">
        <v>147.50004097223399</v>
      </c>
      <c r="P335">
        <v>147.50004097223399</v>
      </c>
      <c r="Q335">
        <v>147.50004097223399</v>
      </c>
      <c r="R335">
        <v>147.50004097223399</v>
      </c>
      <c r="S335">
        <v>147.50004097223399</v>
      </c>
      <c r="T335">
        <v>147.50004097223399</v>
      </c>
      <c r="U335">
        <v>147.50004097223399</v>
      </c>
    </row>
    <row r="336" spans="1:21" x14ac:dyDescent="0.35">
      <c r="A336" t="s">
        <v>22</v>
      </c>
      <c r="B336" t="s">
        <v>42</v>
      </c>
      <c r="C336" t="s">
        <v>87</v>
      </c>
      <c r="D336" t="s">
        <v>43</v>
      </c>
      <c r="E336" t="s">
        <v>24</v>
      </c>
      <c r="F336" t="s">
        <v>27</v>
      </c>
      <c r="G336">
        <v>2010</v>
      </c>
      <c r="H336" t="s">
        <v>24</v>
      </c>
      <c r="I336" t="s">
        <v>24</v>
      </c>
      <c r="J336" t="s">
        <v>24</v>
      </c>
      <c r="K336" t="s">
        <v>24</v>
      </c>
      <c r="M336">
        <v>130.83336967593601</v>
      </c>
      <c r="N336">
        <v>130.83336967593601</v>
      </c>
      <c r="O336">
        <v>130.83336967593601</v>
      </c>
      <c r="P336">
        <v>130.83336967593601</v>
      </c>
      <c r="Q336">
        <v>130.83336967593601</v>
      </c>
      <c r="R336">
        <v>130.83336967593601</v>
      </c>
      <c r="S336">
        <v>130.83336967593601</v>
      </c>
      <c r="T336">
        <v>130.83336967593601</v>
      </c>
      <c r="U336">
        <v>130.83336967593601</v>
      </c>
    </row>
    <row r="337" spans="1:21" x14ac:dyDescent="0.35">
      <c r="A337" t="s">
        <v>22</v>
      </c>
      <c r="B337" t="s">
        <v>42</v>
      </c>
      <c r="C337" t="s">
        <v>87</v>
      </c>
      <c r="D337" t="s">
        <v>44</v>
      </c>
      <c r="E337" t="s">
        <v>24</v>
      </c>
      <c r="F337" t="s">
        <v>27</v>
      </c>
      <c r="G337">
        <v>2010</v>
      </c>
      <c r="H337" t="s">
        <v>24</v>
      </c>
      <c r="I337" t="s">
        <v>24</v>
      </c>
      <c r="J337" t="s">
        <v>24</v>
      </c>
      <c r="K337" t="s">
        <v>24</v>
      </c>
      <c r="M337">
        <v>147.50004097223399</v>
      </c>
      <c r="N337">
        <v>147.50004097223399</v>
      </c>
      <c r="O337">
        <v>147.50004097223399</v>
      </c>
      <c r="P337">
        <v>147.50004097223399</v>
      </c>
      <c r="Q337">
        <v>147.50004097223399</v>
      </c>
      <c r="R337">
        <v>147.50004097223399</v>
      </c>
      <c r="S337">
        <v>147.50004097223399</v>
      </c>
      <c r="T337">
        <v>147.50004097223399</v>
      </c>
      <c r="U337">
        <v>147.50004097223399</v>
      </c>
    </row>
    <row r="338" spans="1:21" x14ac:dyDescent="0.35">
      <c r="A338" t="s">
        <v>22</v>
      </c>
      <c r="B338" t="s">
        <v>42</v>
      </c>
      <c r="C338" t="s">
        <v>55</v>
      </c>
      <c r="D338" t="s">
        <v>43</v>
      </c>
      <c r="E338" t="s">
        <v>24</v>
      </c>
      <c r="F338" t="s">
        <v>27</v>
      </c>
      <c r="G338">
        <v>2010</v>
      </c>
      <c r="H338" t="s">
        <v>24</v>
      </c>
      <c r="I338" t="s">
        <v>24</v>
      </c>
      <c r="J338" t="s">
        <v>24</v>
      </c>
      <c r="K338" t="s">
        <v>24</v>
      </c>
      <c r="L338">
        <v>31.388897608027101</v>
      </c>
      <c r="M338">
        <v>31.388897608027101</v>
      </c>
      <c r="N338">
        <v>31.388897608027101</v>
      </c>
      <c r="O338">
        <v>31.388897608027101</v>
      </c>
      <c r="P338">
        <v>31.388897608027101</v>
      </c>
      <c r="Q338">
        <v>31.388897608027101</v>
      </c>
      <c r="R338">
        <v>31.388897608027101</v>
      </c>
      <c r="S338">
        <v>31.388897608027101</v>
      </c>
      <c r="T338">
        <v>31.388897608027101</v>
      </c>
      <c r="U338">
        <v>31.388897608027101</v>
      </c>
    </row>
    <row r="339" spans="1:21" x14ac:dyDescent="0.35">
      <c r="A339" t="s">
        <v>22</v>
      </c>
      <c r="B339" t="s">
        <v>42</v>
      </c>
      <c r="C339" t="s">
        <v>55</v>
      </c>
      <c r="D339" t="s">
        <v>44</v>
      </c>
      <c r="E339" t="s">
        <v>24</v>
      </c>
      <c r="F339" t="s">
        <v>27</v>
      </c>
      <c r="G339">
        <v>2010</v>
      </c>
      <c r="H339" t="s">
        <v>24</v>
      </c>
      <c r="I339" t="s">
        <v>24</v>
      </c>
      <c r="J339" t="s">
        <v>24</v>
      </c>
      <c r="K339" t="s">
        <v>24</v>
      </c>
      <c r="L339">
        <v>7524.4465345684803</v>
      </c>
      <c r="M339">
        <v>7524.4465345684803</v>
      </c>
      <c r="N339">
        <v>7524.4465345684803</v>
      </c>
      <c r="O339">
        <v>7524.4465345684803</v>
      </c>
      <c r="P339">
        <v>7524.4465345684803</v>
      </c>
      <c r="Q339">
        <v>7524.4465345684803</v>
      </c>
      <c r="R339">
        <v>7524.4465345684803</v>
      </c>
      <c r="S339">
        <v>7524.4465345684803</v>
      </c>
      <c r="T339">
        <v>7524.4465345684803</v>
      </c>
      <c r="U339">
        <v>7524.4465345684803</v>
      </c>
    </row>
    <row r="340" spans="1:21" x14ac:dyDescent="0.35">
      <c r="A340" t="s">
        <v>22</v>
      </c>
      <c r="B340" t="s">
        <v>42</v>
      </c>
      <c r="C340" t="s">
        <v>56</v>
      </c>
      <c r="D340" t="s">
        <v>43</v>
      </c>
      <c r="E340" t="s">
        <v>24</v>
      </c>
      <c r="F340" t="s">
        <v>27</v>
      </c>
      <c r="G340">
        <v>2010</v>
      </c>
      <c r="H340" t="s">
        <v>24</v>
      </c>
      <c r="I340" t="s">
        <v>24</v>
      </c>
      <c r="J340" t="s">
        <v>24</v>
      </c>
      <c r="K340" t="s">
        <v>24</v>
      </c>
      <c r="L340">
        <v>130.83336967593601</v>
      </c>
      <c r="M340">
        <v>130.83336967593601</v>
      </c>
      <c r="N340">
        <v>130.83336967593601</v>
      </c>
      <c r="O340">
        <v>130.83336967593601</v>
      </c>
      <c r="P340">
        <v>130.83336967593601</v>
      </c>
      <c r="Q340">
        <v>130.83336967593601</v>
      </c>
      <c r="R340">
        <v>130.83336967593601</v>
      </c>
      <c r="S340">
        <v>130.83336967593601</v>
      </c>
      <c r="T340">
        <v>130.83336967593601</v>
      </c>
      <c r="U340">
        <v>130.83336967593601</v>
      </c>
    </row>
    <row r="341" spans="1:21" x14ac:dyDescent="0.35">
      <c r="A341" t="s">
        <v>22</v>
      </c>
      <c r="B341" t="s">
        <v>42</v>
      </c>
      <c r="C341" t="s">
        <v>56</v>
      </c>
      <c r="D341" t="s">
        <v>44</v>
      </c>
      <c r="E341" t="s">
        <v>24</v>
      </c>
      <c r="F341" t="s">
        <v>27</v>
      </c>
      <c r="G341">
        <v>2010</v>
      </c>
      <c r="H341" t="s">
        <v>24</v>
      </c>
      <c r="I341" t="s">
        <v>24</v>
      </c>
      <c r="J341" t="s">
        <v>24</v>
      </c>
      <c r="K341" t="s">
        <v>24</v>
      </c>
      <c r="L341">
        <v>147.50004097223399</v>
      </c>
      <c r="M341">
        <v>147.50004097223399</v>
      </c>
      <c r="N341">
        <v>147.50004097223399</v>
      </c>
      <c r="O341">
        <v>147.50004097223399</v>
      </c>
      <c r="P341">
        <v>147.50004097223399</v>
      </c>
      <c r="Q341">
        <v>147.50004097223399</v>
      </c>
      <c r="R341">
        <v>147.50004097223399</v>
      </c>
      <c r="S341">
        <v>147.50004097223399</v>
      </c>
      <c r="T341">
        <v>147.50004097223399</v>
      </c>
      <c r="U341">
        <v>147.50004097223399</v>
      </c>
    </row>
    <row r="342" spans="1:21" x14ac:dyDescent="0.35">
      <c r="A342" t="s">
        <v>22</v>
      </c>
      <c r="B342" t="s">
        <v>42</v>
      </c>
      <c r="C342" t="s">
        <v>57</v>
      </c>
      <c r="D342" t="s">
        <v>43</v>
      </c>
      <c r="E342" t="s">
        <v>24</v>
      </c>
      <c r="F342" t="s">
        <v>27</v>
      </c>
      <c r="G342">
        <v>2010</v>
      </c>
      <c r="H342" t="s">
        <v>24</v>
      </c>
      <c r="I342" t="s">
        <v>24</v>
      </c>
      <c r="J342" t="s">
        <v>24</v>
      </c>
      <c r="K342" t="s">
        <v>24</v>
      </c>
      <c r="L342">
        <v>31.388897608027101</v>
      </c>
      <c r="M342">
        <v>31.388897608027101</v>
      </c>
      <c r="N342">
        <v>31.388897608027101</v>
      </c>
      <c r="O342">
        <v>31.388897608027101</v>
      </c>
      <c r="P342">
        <v>31.388897608027101</v>
      </c>
      <c r="Q342">
        <v>31.388897608027101</v>
      </c>
      <c r="R342">
        <v>31.388897608027101</v>
      </c>
      <c r="S342">
        <v>31.388897608027101</v>
      </c>
      <c r="T342">
        <v>31.388897608027101</v>
      </c>
      <c r="U342">
        <v>31.388897608027101</v>
      </c>
    </row>
    <row r="343" spans="1:21" x14ac:dyDescent="0.35">
      <c r="A343" t="s">
        <v>22</v>
      </c>
      <c r="B343" t="s">
        <v>42</v>
      </c>
      <c r="C343" t="s">
        <v>57</v>
      </c>
      <c r="D343" t="s">
        <v>44</v>
      </c>
      <c r="E343" t="s">
        <v>24</v>
      </c>
      <c r="F343" t="s">
        <v>27</v>
      </c>
      <c r="G343">
        <v>2010</v>
      </c>
      <c r="H343" t="s">
        <v>24</v>
      </c>
      <c r="I343" t="s">
        <v>24</v>
      </c>
      <c r="J343" t="s">
        <v>24</v>
      </c>
      <c r="K343" t="s">
        <v>24</v>
      </c>
      <c r="L343">
        <v>7524.4465345684803</v>
      </c>
      <c r="M343">
        <v>7524.4465345684803</v>
      </c>
      <c r="N343">
        <v>7524.4465345684803</v>
      </c>
      <c r="O343">
        <v>7524.4465345684803</v>
      </c>
      <c r="P343">
        <v>7524.4465345684803</v>
      </c>
      <c r="Q343">
        <v>7524.4465345684803</v>
      </c>
      <c r="R343">
        <v>7524.4465345684803</v>
      </c>
      <c r="S343">
        <v>7524.4465345684803</v>
      </c>
      <c r="T343">
        <v>7524.4465345684803</v>
      </c>
      <c r="U343">
        <v>7524.4465345684803</v>
      </c>
    </row>
    <row r="344" spans="1:21" x14ac:dyDescent="0.35">
      <c r="A344" t="s">
        <v>22</v>
      </c>
      <c r="B344" t="s">
        <v>42</v>
      </c>
      <c r="C344" t="s">
        <v>58</v>
      </c>
      <c r="D344" t="s">
        <v>43</v>
      </c>
      <c r="E344" t="s">
        <v>24</v>
      </c>
      <c r="F344" t="s">
        <v>27</v>
      </c>
      <c r="G344">
        <v>2010</v>
      </c>
      <c r="H344" t="s">
        <v>24</v>
      </c>
      <c r="I344" t="s">
        <v>24</v>
      </c>
      <c r="J344" t="s">
        <v>24</v>
      </c>
      <c r="K344" t="s">
        <v>24</v>
      </c>
      <c r="L344">
        <v>130.83336967593601</v>
      </c>
      <c r="M344">
        <v>130.83336967593601</v>
      </c>
      <c r="N344">
        <v>130.83336967593601</v>
      </c>
      <c r="O344">
        <v>130.83336967593601</v>
      </c>
      <c r="P344">
        <v>130.83336967593601</v>
      </c>
      <c r="Q344">
        <v>130.83336967593601</v>
      </c>
      <c r="R344">
        <v>130.83336967593601</v>
      </c>
      <c r="S344">
        <v>130.83336967593601</v>
      </c>
      <c r="T344">
        <v>130.83336967593601</v>
      </c>
      <c r="U344">
        <v>130.83336967593601</v>
      </c>
    </row>
    <row r="345" spans="1:21" x14ac:dyDescent="0.35">
      <c r="A345" t="s">
        <v>22</v>
      </c>
      <c r="B345" t="s">
        <v>42</v>
      </c>
      <c r="C345" t="s">
        <v>58</v>
      </c>
      <c r="D345" t="s">
        <v>44</v>
      </c>
      <c r="E345" t="s">
        <v>24</v>
      </c>
      <c r="F345" t="s">
        <v>27</v>
      </c>
      <c r="G345">
        <v>2010</v>
      </c>
      <c r="H345" t="s">
        <v>24</v>
      </c>
      <c r="I345" t="s">
        <v>24</v>
      </c>
      <c r="J345" t="s">
        <v>24</v>
      </c>
      <c r="K345" t="s">
        <v>24</v>
      </c>
      <c r="L345">
        <v>147.50004097223399</v>
      </c>
      <c r="M345">
        <v>147.50004097223399</v>
      </c>
      <c r="N345">
        <v>147.50004097223399</v>
      </c>
      <c r="O345">
        <v>147.50004097223399</v>
      </c>
      <c r="P345">
        <v>147.50004097223399</v>
      </c>
      <c r="Q345">
        <v>147.50004097223399</v>
      </c>
      <c r="R345">
        <v>147.50004097223399</v>
      </c>
      <c r="S345">
        <v>147.50004097223399</v>
      </c>
      <c r="T345">
        <v>147.50004097223399</v>
      </c>
      <c r="U345">
        <v>147.50004097223399</v>
      </c>
    </row>
    <row r="346" spans="1:21" x14ac:dyDescent="0.35">
      <c r="A346" t="s">
        <v>22</v>
      </c>
      <c r="B346" t="s">
        <v>45</v>
      </c>
      <c r="C346" t="s">
        <v>85</v>
      </c>
      <c r="D346" t="s">
        <v>24</v>
      </c>
      <c r="E346" t="s">
        <v>24</v>
      </c>
      <c r="F346" t="s">
        <v>24</v>
      </c>
      <c r="G346">
        <v>2010</v>
      </c>
      <c r="H346" t="s">
        <v>24</v>
      </c>
      <c r="I346" t="s">
        <v>24</v>
      </c>
      <c r="J346" t="s">
        <v>24</v>
      </c>
      <c r="K346" t="s">
        <v>24</v>
      </c>
      <c r="M346">
        <v>50</v>
      </c>
      <c r="N346">
        <v>50</v>
      </c>
      <c r="O346">
        <v>50</v>
      </c>
      <c r="P346">
        <v>50</v>
      </c>
      <c r="Q346">
        <v>50</v>
      </c>
      <c r="R346">
        <v>50</v>
      </c>
      <c r="S346">
        <v>50</v>
      </c>
      <c r="T346">
        <v>50</v>
      </c>
      <c r="U346">
        <v>50</v>
      </c>
    </row>
    <row r="347" spans="1:21" x14ac:dyDescent="0.35">
      <c r="A347" t="s">
        <v>22</v>
      </c>
      <c r="B347" t="s">
        <v>45</v>
      </c>
      <c r="C347" t="s">
        <v>47</v>
      </c>
      <c r="D347" t="s">
        <v>24</v>
      </c>
      <c r="E347" t="s">
        <v>24</v>
      </c>
      <c r="F347" t="s">
        <v>24</v>
      </c>
      <c r="G347">
        <v>2010</v>
      </c>
      <c r="H347" t="s">
        <v>24</v>
      </c>
      <c r="I347" t="s">
        <v>24</v>
      </c>
      <c r="J347" t="s">
        <v>24</v>
      </c>
      <c r="K347" t="s">
        <v>24</v>
      </c>
      <c r="L347">
        <v>50</v>
      </c>
      <c r="M347">
        <v>50</v>
      </c>
      <c r="N347">
        <v>50</v>
      </c>
      <c r="O347">
        <v>50</v>
      </c>
      <c r="P347">
        <v>50</v>
      </c>
      <c r="Q347">
        <v>50</v>
      </c>
      <c r="R347">
        <v>50</v>
      </c>
      <c r="S347">
        <v>50</v>
      </c>
      <c r="T347">
        <v>50</v>
      </c>
      <c r="U347">
        <v>50</v>
      </c>
    </row>
    <row r="348" spans="1:21" x14ac:dyDescent="0.35">
      <c r="A348" t="s">
        <v>22</v>
      </c>
      <c r="B348" t="s">
        <v>45</v>
      </c>
      <c r="C348" t="s">
        <v>48</v>
      </c>
      <c r="D348" t="s">
        <v>24</v>
      </c>
      <c r="E348" t="s">
        <v>24</v>
      </c>
      <c r="F348" t="s">
        <v>24</v>
      </c>
      <c r="G348">
        <v>2010</v>
      </c>
      <c r="H348" t="s">
        <v>24</v>
      </c>
      <c r="I348" t="s">
        <v>24</v>
      </c>
      <c r="J348" t="s">
        <v>24</v>
      </c>
      <c r="K348" t="s">
        <v>24</v>
      </c>
      <c r="L348">
        <v>50</v>
      </c>
      <c r="M348">
        <v>50</v>
      </c>
      <c r="N348">
        <v>50</v>
      </c>
      <c r="O348">
        <v>50</v>
      </c>
      <c r="P348">
        <v>50</v>
      </c>
      <c r="Q348">
        <v>50</v>
      </c>
      <c r="R348">
        <v>50</v>
      </c>
      <c r="S348">
        <v>50</v>
      </c>
      <c r="T348">
        <v>50</v>
      </c>
      <c r="U348">
        <v>50</v>
      </c>
    </row>
    <row r="349" spans="1:21" x14ac:dyDescent="0.35">
      <c r="A349" t="s">
        <v>22</v>
      </c>
      <c r="B349" t="s">
        <v>45</v>
      </c>
      <c r="C349" t="s">
        <v>49</v>
      </c>
      <c r="D349" t="s">
        <v>24</v>
      </c>
      <c r="E349" t="s">
        <v>24</v>
      </c>
      <c r="F349" t="s">
        <v>24</v>
      </c>
      <c r="G349">
        <v>2010</v>
      </c>
      <c r="H349" t="s">
        <v>24</v>
      </c>
      <c r="I349" t="s">
        <v>24</v>
      </c>
      <c r="J349" t="s">
        <v>24</v>
      </c>
      <c r="K349" t="s">
        <v>24</v>
      </c>
      <c r="L349">
        <v>50</v>
      </c>
      <c r="M349">
        <v>50</v>
      </c>
      <c r="N349">
        <v>50</v>
      </c>
      <c r="O349">
        <v>50</v>
      </c>
      <c r="P349">
        <v>50</v>
      </c>
      <c r="Q349">
        <v>50</v>
      </c>
      <c r="R349">
        <v>50</v>
      </c>
      <c r="S349">
        <v>50</v>
      </c>
      <c r="T349">
        <v>50</v>
      </c>
      <c r="U349">
        <v>50</v>
      </c>
    </row>
    <row r="350" spans="1:21" x14ac:dyDescent="0.35">
      <c r="A350" t="s">
        <v>22</v>
      </c>
      <c r="B350" t="s">
        <v>45</v>
      </c>
      <c r="C350" t="s">
        <v>50</v>
      </c>
      <c r="D350" t="s">
        <v>24</v>
      </c>
      <c r="E350" t="s">
        <v>24</v>
      </c>
      <c r="F350" t="s">
        <v>24</v>
      </c>
      <c r="G350">
        <v>2010</v>
      </c>
      <c r="H350" t="s">
        <v>24</v>
      </c>
      <c r="I350" t="s">
        <v>24</v>
      </c>
      <c r="J350" t="s">
        <v>24</v>
      </c>
      <c r="K350" t="s">
        <v>24</v>
      </c>
      <c r="L350">
        <v>50</v>
      </c>
      <c r="M350">
        <v>50</v>
      </c>
      <c r="N350">
        <v>50</v>
      </c>
      <c r="O350">
        <v>50</v>
      </c>
      <c r="P350">
        <v>50</v>
      </c>
      <c r="Q350">
        <v>50</v>
      </c>
      <c r="R350">
        <v>50</v>
      </c>
      <c r="S350">
        <v>50</v>
      </c>
      <c r="T350">
        <v>50</v>
      </c>
      <c r="U350">
        <v>50</v>
      </c>
    </row>
    <row r="351" spans="1:21" x14ac:dyDescent="0.35">
      <c r="A351" t="s">
        <v>22</v>
      </c>
      <c r="B351" t="s">
        <v>45</v>
      </c>
      <c r="C351" t="s">
        <v>86</v>
      </c>
      <c r="D351" t="s">
        <v>24</v>
      </c>
      <c r="E351" t="s">
        <v>24</v>
      </c>
      <c r="F351" t="s">
        <v>24</v>
      </c>
      <c r="G351">
        <v>2010</v>
      </c>
      <c r="H351" t="s">
        <v>24</v>
      </c>
      <c r="I351" t="s">
        <v>24</v>
      </c>
      <c r="J351" t="s">
        <v>24</v>
      </c>
      <c r="K351" t="s">
        <v>24</v>
      </c>
      <c r="M351">
        <v>50</v>
      </c>
      <c r="N351">
        <v>50</v>
      </c>
      <c r="O351">
        <v>50</v>
      </c>
      <c r="P351">
        <v>50</v>
      </c>
      <c r="Q351">
        <v>50</v>
      </c>
      <c r="R351">
        <v>50</v>
      </c>
      <c r="S351">
        <v>50</v>
      </c>
      <c r="T351">
        <v>50</v>
      </c>
      <c r="U351">
        <v>50</v>
      </c>
    </row>
    <row r="352" spans="1:21" x14ac:dyDescent="0.35">
      <c r="A352" t="s">
        <v>22</v>
      </c>
      <c r="B352" t="s">
        <v>45</v>
      </c>
      <c r="C352" t="s">
        <v>51</v>
      </c>
      <c r="D352" t="s">
        <v>24</v>
      </c>
      <c r="E352" t="s">
        <v>24</v>
      </c>
      <c r="F352" t="s">
        <v>24</v>
      </c>
      <c r="G352">
        <v>2010</v>
      </c>
      <c r="H352" t="s">
        <v>24</v>
      </c>
      <c r="I352" t="s">
        <v>24</v>
      </c>
      <c r="J352" t="s">
        <v>24</v>
      </c>
      <c r="K352" t="s">
        <v>24</v>
      </c>
      <c r="L352">
        <v>50</v>
      </c>
      <c r="M352">
        <v>50</v>
      </c>
      <c r="N352">
        <v>50</v>
      </c>
      <c r="O352">
        <v>50</v>
      </c>
      <c r="P352">
        <v>50</v>
      </c>
      <c r="Q352">
        <v>50</v>
      </c>
      <c r="R352">
        <v>50</v>
      </c>
      <c r="S352">
        <v>50</v>
      </c>
      <c r="T352">
        <v>50</v>
      </c>
      <c r="U352">
        <v>50</v>
      </c>
    </row>
    <row r="353" spans="1:30" x14ac:dyDescent="0.35">
      <c r="A353" t="s">
        <v>22</v>
      </c>
      <c r="B353" t="s">
        <v>45</v>
      </c>
      <c r="C353" t="s">
        <v>52</v>
      </c>
      <c r="D353" t="s">
        <v>24</v>
      </c>
      <c r="E353" t="s">
        <v>24</v>
      </c>
      <c r="F353" t="s">
        <v>24</v>
      </c>
      <c r="G353">
        <v>2010</v>
      </c>
      <c r="H353" t="s">
        <v>24</v>
      </c>
      <c r="I353" t="s">
        <v>24</v>
      </c>
      <c r="J353" t="s">
        <v>24</v>
      </c>
      <c r="K353" t="s">
        <v>24</v>
      </c>
      <c r="L353">
        <v>50</v>
      </c>
      <c r="M353">
        <v>50</v>
      </c>
      <c r="N353">
        <v>50</v>
      </c>
      <c r="O353">
        <v>50</v>
      </c>
      <c r="P353">
        <v>50</v>
      </c>
      <c r="Q353">
        <v>50</v>
      </c>
      <c r="R353">
        <v>50</v>
      </c>
      <c r="S353">
        <v>50</v>
      </c>
      <c r="T353">
        <v>50</v>
      </c>
      <c r="U353">
        <v>50</v>
      </c>
    </row>
    <row r="354" spans="1:30" x14ac:dyDescent="0.35">
      <c r="A354" t="s">
        <v>22</v>
      </c>
      <c r="B354" t="s">
        <v>45</v>
      </c>
      <c r="C354" t="s">
        <v>53</v>
      </c>
      <c r="D354" t="s">
        <v>24</v>
      </c>
      <c r="E354" t="s">
        <v>24</v>
      </c>
      <c r="F354" t="s">
        <v>24</v>
      </c>
      <c r="G354">
        <v>2010</v>
      </c>
      <c r="H354" t="s">
        <v>24</v>
      </c>
      <c r="I354" t="s">
        <v>24</v>
      </c>
      <c r="J354" t="s">
        <v>24</v>
      </c>
      <c r="K354" t="s">
        <v>24</v>
      </c>
      <c r="L354">
        <v>50</v>
      </c>
      <c r="M354">
        <v>50</v>
      </c>
      <c r="N354">
        <v>50</v>
      </c>
      <c r="O354">
        <v>50</v>
      </c>
      <c r="P354">
        <v>50</v>
      </c>
      <c r="Q354">
        <v>50</v>
      </c>
      <c r="R354">
        <v>50</v>
      </c>
      <c r="S354">
        <v>50</v>
      </c>
      <c r="T354">
        <v>50</v>
      </c>
      <c r="U354">
        <v>50</v>
      </c>
    </row>
    <row r="355" spans="1:30" x14ac:dyDescent="0.35">
      <c r="A355" t="s">
        <v>22</v>
      </c>
      <c r="B355" t="s">
        <v>45</v>
      </c>
      <c r="C355" t="s">
        <v>54</v>
      </c>
      <c r="D355" t="s">
        <v>24</v>
      </c>
      <c r="E355" t="s">
        <v>24</v>
      </c>
      <c r="F355" t="s">
        <v>24</v>
      </c>
      <c r="G355">
        <v>2010</v>
      </c>
      <c r="H355" t="s">
        <v>24</v>
      </c>
      <c r="I355" t="s">
        <v>24</v>
      </c>
      <c r="J355" t="s">
        <v>24</v>
      </c>
      <c r="K355" t="s">
        <v>24</v>
      </c>
      <c r="L355">
        <v>50</v>
      </c>
      <c r="M355">
        <v>50</v>
      </c>
      <c r="N355">
        <v>50</v>
      </c>
      <c r="O355">
        <v>50</v>
      </c>
      <c r="P355">
        <v>50</v>
      </c>
      <c r="Q355">
        <v>50</v>
      </c>
      <c r="R355">
        <v>50</v>
      </c>
      <c r="S355">
        <v>50</v>
      </c>
      <c r="T355">
        <v>50</v>
      </c>
      <c r="U355">
        <v>50</v>
      </c>
    </row>
    <row r="356" spans="1:30" x14ac:dyDescent="0.35">
      <c r="A356" t="s">
        <v>22</v>
      </c>
      <c r="B356" t="s">
        <v>45</v>
      </c>
      <c r="C356" t="s">
        <v>87</v>
      </c>
      <c r="D356" t="s">
        <v>24</v>
      </c>
      <c r="E356" t="s">
        <v>24</v>
      </c>
      <c r="F356" t="s">
        <v>24</v>
      </c>
      <c r="G356">
        <v>2010</v>
      </c>
      <c r="H356" t="s">
        <v>24</v>
      </c>
      <c r="I356" t="s">
        <v>24</v>
      </c>
      <c r="J356" t="s">
        <v>24</v>
      </c>
      <c r="K356" t="s">
        <v>24</v>
      </c>
      <c r="M356">
        <v>50</v>
      </c>
      <c r="N356">
        <v>50</v>
      </c>
      <c r="O356">
        <v>50</v>
      </c>
      <c r="P356">
        <v>50</v>
      </c>
      <c r="Q356">
        <v>50</v>
      </c>
      <c r="R356">
        <v>50</v>
      </c>
      <c r="S356">
        <v>50</v>
      </c>
      <c r="T356">
        <v>50</v>
      </c>
      <c r="U356">
        <v>50</v>
      </c>
    </row>
    <row r="357" spans="1:30" x14ac:dyDescent="0.35">
      <c r="A357" t="s">
        <v>22</v>
      </c>
      <c r="B357" t="s">
        <v>45</v>
      </c>
      <c r="C357" t="s">
        <v>55</v>
      </c>
      <c r="D357" t="s">
        <v>24</v>
      </c>
      <c r="E357" t="s">
        <v>24</v>
      </c>
      <c r="F357" t="s">
        <v>24</v>
      </c>
      <c r="G357">
        <v>2010</v>
      </c>
      <c r="H357" t="s">
        <v>24</v>
      </c>
      <c r="I357" t="s">
        <v>24</v>
      </c>
      <c r="J357" t="s">
        <v>24</v>
      </c>
      <c r="K357" t="s">
        <v>24</v>
      </c>
      <c r="L357">
        <v>50</v>
      </c>
      <c r="M357">
        <v>50</v>
      </c>
      <c r="N357">
        <v>50</v>
      </c>
      <c r="O357">
        <v>50</v>
      </c>
      <c r="P357">
        <v>50</v>
      </c>
      <c r="Q357">
        <v>50</v>
      </c>
      <c r="R357">
        <v>50</v>
      </c>
      <c r="S357">
        <v>50</v>
      </c>
      <c r="T357">
        <v>50</v>
      </c>
      <c r="U357">
        <v>50</v>
      </c>
    </row>
    <row r="358" spans="1:30" x14ac:dyDescent="0.35">
      <c r="A358" t="s">
        <v>22</v>
      </c>
      <c r="B358" t="s">
        <v>45</v>
      </c>
      <c r="C358" t="s">
        <v>56</v>
      </c>
      <c r="D358" t="s">
        <v>24</v>
      </c>
      <c r="E358" t="s">
        <v>24</v>
      </c>
      <c r="F358" t="s">
        <v>24</v>
      </c>
      <c r="G358">
        <v>2010</v>
      </c>
      <c r="H358" t="s">
        <v>24</v>
      </c>
      <c r="I358" t="s">
        <v>24</v>
      </c>
      <c r="J358" t="s">
        <v>24</v>
      </c>
      <c r="K358" t="s">
        <v>24</v>
      </c>
      <c r="L358">
        <v>50</v>
      </c>
      <c r="M358">
        <v>50</v>
      </c>
      <c r="N358">
        <v>50</v>
      </c>
      <c r="O358">
        <v>50</v>
      </c>
      <c r="P358">
        <v>50</v>
      </c>
      <c r="Q358">
        <v>50</v>
      </c>
      <c r="R358">
        <v>50</v>
      </c>
      <c r="S358">
        <v>50</v>
      </c>
      <c r="T358">
        <v>50</v>
      </c>
      <c r="U358">
        <v>50</v>
      </c>
    </row>
    <row r="359" spans="1:30" x14ac:dyDescent="0.35">
      <c r="A359" t="s">
        <v>22</v>
      </c>
      <c r="B359" t="s">
        <v>45</v>
      </c>
      <c r="C359" t="s">
        <v>57</v>
      </c>
      <c r="D359" t="s">
        <v>24</v>
      </c>
      <c r="E359" t="s">
        <v>24</v>
      </c>
      <c r="F359" t="s">
        <v>24</v>
      </c>
      <c r="G359">
        <v>2010</v>
      </c>
      <c r="H359" t="s">
        <v>24</v>
      </c>
      <c r="I359" t="s">
        <v>24</v>
      </c>
      <c r="J359" t="s">
        <v>24</v>
      </c>
      <c r="K359" t="s">
        <v>24</v>
      </c>
      <c r="L359">
        <v>50</v>
      </c>
      <c r="M359">
        <v>50</v>
      </c>
      <c r="N359">
        <v>50</v>
      </c>
      <c r="O359">
        <v>50</v>
      </c>
      <c r="P359">
        <v>50</v>
      </c>
      <c r="Q359">
        <v>50</v>
      </c>
      <c r="R359">
        <v>50</v>
      </c>
      <c r="S359">
        <v>50</v>
      </c>
      <c r="T359">
        <v>50</v>
      </c>
      <c r="U359">
        <v>50</v>
      </c>
    </row>
    <row r="360" spans="1:30" x14ac:dyDescent="0.35">
      <c r="A360" t="s">
        <v>22</v>
      </c>
      <c r="B360" t="s">
        <v>45</v>
      </c>
      <c r="C360" t="s">
        <v>58</v>
      </c>
      <c r="D360" t="s">
        <v>24</v>
      </c>
      <c r="E360" t="s">
        <v>24</v>
      </c>
      <c r="F360" t="s">
        <v>24</v>
      </c>
      <c r="G360">
        <v>2010</v>
      </c>
      <c r="H360" t="s">
        <v>24</v>
      </c>
      <c r="I360" t="s">
        <v>24</v>
      </c>
      <c r="J360" t="s">
        <v>24</v>
      </c>
      <c r="K360" t="s">
        <v>24</v>
      </c>
      <c r="L360">
        <v>50</v>
      </c>
      <c r="M360">
        <v>50</v>
      </c>
      <c r="N360">
        <v>50</v>
      </c>
      <c r="O360">
        <v>50</v>
      </c>
      <c r="P360">
        <v>50</v>
      </c>
      <c r="Q360">
        <v>50</v>
      </c>
      <c r="R360">
        <v>50</v>
      </c>
      <c r="S360">
        <v>50</v>
      </c>
      <c r="T360">
        <v>50</v>
      </c>
      <c r="U360">
        <v>50</v>
      </c>
      <c r="W360" s="4"/>
    </row>
    <row r="361" spans="1:30" x14ac:dyDescent="0.35">
      <c r="A361" t="s">
        <v>22</v>
      </c>
      <c r="B361" t="s">
        <v>11</v>
      </c>
      <c r="C361" t="s">
        <v>85</v>
      </c>
      <c r="D361" t="s">
        <v>24</v>
      </c>
      <c r="E361" t="s">
        <v>26</v>
      </c>
      <c r="F361" t="s">
        <v>24</v>
      </c>
      <c r="G361">
        <v>2010</v>
      </c>
      <c r="H361" t="s">
        <v>24</v>
      </c>
      <c r="I361" t="s">
        <v>24</v>
      </c>
      <c r="J361" t="s">
        <v>24</v>
      </c>
      <c r="K361" t="s">
        <v>24</v>
      </c>
      <c r="M361">
        <v>0.85</v>
      </c>
      <c r="N361">
        <v>0.85</v>
      </c>
      <c r="O361">
        <v>0.85</v>
      </c>
      <c r="P361">
        <v>0.85</v>
      </c>
      <c r="Q361">
        <v>0.85</v>
      </c>
      <c r="R361">
        <v>0.85</v>
      </c>
      <c r="S361">
        <v>0.85</v>
      </c>
      <c r="T361">
        <v>0.85</v>
      </c>
      <c r="U361">
        <v>0.85</v>
      </c>
      <c r="W361" s="1"/>
      <c r="X361" s="1"/>
      <c r="Y361" s="1"/>
      <c r="Z361" s="1"/>
      <c r="AA361" s="1"/>
      <c r="AB361" s="1"/>
      <c r="AC361" s="1"/>
      <c r="AD361" s="1"/>
    </row>
    <row r="362" spans="1:30" x14ac:dyDescent="0.35">
      <c r="A362" t="s">
        <v>22</v>
      </c>
      <c r="B362" t="s">
        <v>11</v>
      </c>
      <c r="C362" t="s">
        <v>47</v>
      </c>
      <c r="D362" t="s">
        <v>24</v>
      </c>
      <c r="E362" t="s">
        <v>26</v>
      </c>
      <c r="F362" t="s">
        <v>24</v>
      </c>
      <c r="G362">
        <v>2010</v>
      </c>
      <c r="H362" t="s">
        <v>24</v>
      </c>
      <c r="I362" t="s">
        <v>24</v>
      </c>
      <c r="J362" t="s">
        <v>24</v>
      </c>
      <c r="K362" t="s">
        <v>24</v>
      </c>
      <c r="M362">
        <v>0.81999999284744296</v>
      </c>
      <c r="N362">
        <v>0.82000011205673196</v>
      </c>
      <c r="O362">
        <v>0.81999999284744296</v>
      </c>
      <c r="P362">
        <v>0.924000024795532</v>
      </c>
      <c r="Q362">
        <v>0.924000024795532</v>
      </c>
      <c r="R362">
        <v>0.96399998664856001</v>
      </c>
      <c r="S362">
        <v>0.87000000476837203</v>
      </c>
      <c r="T362">
        <v>0.96399998664856001</v>
      </c>
      <c r="U362">
        <v>0.89999997615814198</v>
      </c>
      <c r="W362" s="1"/>
      <c r="X362" s="1"/>
      <c r="Y362" s="1"/>
      <c r="Z362" s="1"/>
      <c r="AA362" s="1"/>
      <c r="AB362" s="1"/>
      <c r="AC362" s="1"/>
      <c r="AD362" s="1"/>
    </row>
    <row r="363" spans="1:30" x14ac:dyDescent="0.35">
      <c r="A363" t="s">
        <v>22</v>
      </c>
      <c r="B363" t="s">
        <v>11</v>
      </c>
      <c r="C363" t="s">
        <v>48</v>
      </c>
      <c r="D363" t="s">
        <v>24</v>
      </c>
      <c r="E363" t="s">
        <v>26</v>
      </c>
      <c r="F363" t="s">
        <v>24</v>
      </c>
      <c r="G363">
        <v>2010</v>
      </c>
      <c r="H363" t="s">
        <v>24</v>
      </c>
      <c r="I363" t="s">
        <v>24</v>
      </c>
      <c r="J363" t="s">
        <v>24</v>
      </c>
      <c r="K363" t="s">
        <v>24</v>
      </c>
      <c r="M363">
        <v>0.81999999284744296</v>
      </c>
      <c r="N363">
        <v>0.82000011205673196</v>
      </c>
      <c r="O363">
        <v>0.81999999284744296</v>
      </c>
      <c r="P363">
        <v>0.924000024795532</v>
      </c>
      <c r="Q363">
        <v>0.924000024795532</v>
      </c>
      <c r="R363">
        <v>0.96399998664856001</v>
      </c>
      <c r="S363">
        <v>0.87000000476837203</v>
      </c>
      <c r="T363">
        <v>0.96399998664856001</v>
      </c>
      <c r="U363">
        <v>0.89999997615814198</v>
      </c>
      <c r="W363" s="1"/>
      <c r="X363" s="1"/>
      <c r="Y363" s="1"/>
      <c r="Z363" s="1"/>
      <c r="AA363" s="1"/>
      <c r="AB363" s="1"/>
      <c r="AC363" s="1"/>
      <c r="AD363" s="1"/>
    </row>
    <row r="364" spans="1:30" x14ac:dyDescent="0.35">
      <c r="A364" t="s">
        <v>22</v>
      </c>
      <c r="B364" t="s">
        <v>11</v>
      </c>
      <c r="C364" t="s">
        <v>49</v>
      </c>
      <c r="D364" t="s">
        <v>24</v>
      </c>
      <c r="E364" t="s">
        <v>26</v>
      </c>
      <c r="F364" t="s">
        <v>24</v>
      </c>
      <c r="G364">
        <v>2010</v>
      </c>
      <c r="H364" t="s">
        <v>24</v>
      </c>
      <c r="I364" t="s">
        <v>24</v>
      </c>
      <c r="J364" t="s">
        <v>24</v>
      </c>
      <c r="K364" t="s">
        <v>24</v>
      </c>
      <c r="M364">
        <v>0.81999999284744296</v>
      </c>
      <c r="N364">
        <v>0.82000011205673196</v>
      </c>
      <c r="O364">
        <v>0.81999999284744296</v>
      </c>
      <c r="P364">
        <v>0.924000024795532</v>
      </c>
      <c r="Q364">
        <v>0.924000024795532</v>
      </c>
      <c r="R364">
        <v>0.96399998664856001</v>
      </c>
      <c r="S364">
        <v>0.87000000476837203</v>
      </c>
      <c r="T364">
        <v>0.96399998664856001</v>
      </c>
      <c r="U364">
        <v>0.89999997615814198</v>
      </c>
      <c r="W364" s="1"/>
      <c r="X364" s="1"/>
      <c r="Y364" s="1"/>
      <c r="Z364" s="1"/>
      <c r="AA364" s="1"/>
      <c r="AB364" s="1"/>
      <c r="AC364" s="1"/>
      <c r="AD364" s="1"/>
    </row>
    <row r="365" spans="1:30" x14ac:dyDescent="0.35">
      <c r="A365" t="s">
        <v>22</v>
      </c>
      <c r="B365" t="s">
        <v>11</v>
      </c>
      <c r="C365" t="s">
        <v>50</v>
      </c>
      <c r="D365" t="s">
        <v>24</v>
      </c>
      <c r="E365" t="s">
        <v>26</v>
      </c>
      <c r="F365" t="s">
        <v>24</v>
      </c>
      <c r="G365">
        <v>2010</v>
      </c>
      <c r="H365" t="s">
        <v>24</v>
      </c>
      <c r="I365" t="s">
        <v>24</v>
      </c>
      <c r="J365" t="s">
        <v>24</v>
      </c>
      <c r="K365" t="s">
        <v>24</v>
      </c>
      <c r="M365">
        <v>0.81999999284744296</v>
      </c>
      <c r="N365">
        <v>0.82000011205673196</v>
      </c>
      <c r="O365">
        <v>0.81999999284744296</v>
      </c>
      <c r="P365">
        <v>0.924000024795532</v>
      </c>
      <c r="Q365">
        <v>0.924000024795532</v>
      </c>
      <c r="R365">
        <v>0.96399998664856001</v>
      </c>
      <c r="S365">
        <v>0.87000000476837203</v>
      </c>
      <c r="T365">
        <v>0.96399998664856001</v>
      </c>
      <c r="U365">
        <v>0.89999997615814198</v>
      </c>
      <c r="W365" s="1"/>
      <c r="X365" s="1"/>
      <c r="Y365" s="1"/>
      <c r="Z365" s="1"/>
      <c r="AA365" s="1"/>
      <c r="AB365" s="1"/>
      <c r="AC365" s="1"/>
      <c r="AD365" s="1"/>
    </row>
    <row r="366" spans="1:30" x14ac:dyDescent="0.35">
      <c r="A366" t="s">
        <v>22</v>
      </c>
      <c r="B366" t="s">
        <v>11</v>
      </c>
      <c r="C366" t="s">
        <v>86</v>
      </c>
      <c r="D366" t="s">
        <v>24</v>
      </c>
      <c r="E366" t="s">
        <v>26</v>
      </c>
      <c r="F366" t="s">
        <v>24</v>
      </c>
      <c r="G366">
        <v>2010</v>
      </c>
      <c r="H366" t="s">
        <v>24</v>
      </c>
      <c r="I366" t="s">
        <v>24</v>
      </c>
      <c r="J366" t="s">
        <v>24</v>
      </c>
      <c r="K366" t="s">
        <v>24</v>
      </c>
      <c r="M366">
        <v>0.85</v>
      </c>
      <c r="N366">
        <v>0.85</v>
      </c>
      <c r="O366">
        <v>0.85</v>
      </c>
      <c r="P366">
        <v>0.85</v>
      </c>
      <c r="Q366">
        <v>0.85</v>
      </c>
      <c r="R366">
        <v>0.85</v>
      </c>
      <c r="S366">
        <v>0.85</v>
      </c>
      <c r="T366">
        <v>0.85</v>
      </c>
      <c r="U366">
        <v>0.85</v>
      </c>
      <c r="W366" s="1"/>
      <c r="X366" s="1"/>
      <c r="Y366" s="1"/>
      <c r="Z366" s="1"/>
      <c r="AA366" s="1"/>
      <c r="AB366" s="1"/>
      <c r="AC366" s="1"/>
      <c r="AD366" s="1"/>
    </row>
    <row r="367" spans="1:30" x14ac:dyDescent="0.35">
      <c r="A367" t="s">
        <v>22</v>
      </c>
      <c r="B367" t="s">
        <v>11</v>
      </c>
      <c r="C367" t="s">
        <v>51</v>
      </c>
      <c r="D367" t="s">
        <v>24</v>
      </c>
      <c r="E367" t="s">
        <v>26</v>
      </c>
      <c r="F367" t="s">
        <v>24</v>
      </c>
      <c r="G367">
        <v>2010</v>
      </c>
      <c r="H367" t="s">
        <v>24</v>
      </c>
      <c r="I367" t="s">
        <v>24</v>
      </c>
      <c r="J367" t="s">
        <v>24</v>
      </c>
      <c r="K367" t="s">
        <v>24</v>
      </c>
      <c r="M367">
        <v>0.81999999284744296</v>
      </c>
      <c r="N367">
        <v>0.82000011205673196</v>
      </c>
      <c r="O367">
        <v>0.81999999284744296</v>
      </c>
      <c r="P367">
        <v>0.924000024795532</v>
      </c>
      <c r="Q367">
        <v>0.924000024795532</v>
      </c>
      <c r="R367">
        <v>0.96399998664856001</v>
      </c>
      <c r="S367">
        <v>0.87000000476837203</v>
      </c>
      <c r="T367">
        <v>0.96399998664856001</v>
      </c>
      <c r="U367">
        <v>0.89999997615814198</v>
      </c>
      <c r="W367" s="1"/>
      <c r="X367" s="1"/>
      <c r="Y367" s="1"/>
      <c r="Z367" s="1"/>
      <c r="AA367" s="1"/>
      <c r="AB367" s="1"/>
      <c r="AC367" s="1"/>
      <c r="AD367" s="1"/>
    </row>
    <row r="368" spans="1:30" x14ac:dyDescent="0.35">
      <c r="A368" t="s">
        <v>22</v>
      </c>
      <c r="B368" t="s">
        <v>11</v>
      </c>
      <c r="C368" t="s">
        <v>52</v>
      </c>
      <c r="D368" t="s">
        <v>24</v>
      </c>
      <c r="E368" t="s">
        <v>26</v>
      </c>
      <c r="F368" t="s">
        <v>24</v>
      </c>
      <c r="G368">
        <v>2010</v>
      </c>
      <c r="H368" t="s">
        <v>24</v>
      </c>
      <c r="I368" t="s">
        <v>24</v>
      </c>
      <c r="J368" t="s">
        <v>24</v>
      </c>
      <c r="K368" t="s">
        <v>24</v>
      </c>
      <c r="M368">
        <v>0.81999999284744296</v>
      </c>
      <c r="N368">
        <v>0.82000011205673196</v>
      </c>
      <c r="O368">
        <v>0.81999999284744296</v>
      </c>
      <c r="P368">
        <v>0.924000024795532</v>
      </c>
      <c r="Q368">
        <v>0.924000024795532</v>
      </c>
      <c r="R368">
        <v>0.96399998664856001</v>
      </c>
      <c r="S368">
        <v>0.87000000476837203</v>
      </c>
      <c r="T368">
        <v>0.96399998664856001</v>
      </c>
      <c r="U368">
        <v>0.89999997615814198</v>
      </c>
      <c r="W368" s="1"/>
      <c r="X368" s="1"/>
      <c r="Y368" s="1"/>
      <c r="Z368" s="1"/>
      <c r="AA368" s="1"/>
      <c r="AB368" s="1"/>
      <c r="AC368" s="1"/>
      <c r="AD368" s="1"/>
    </row>
    <row r="369" spans="1:30" x14ac:dyDescent="0.35">
      <c r="A369" t="s">
        <v>22</v>
      </c>
      <c r="B369" t="s">
        <v>11</v>
      </c>
      <c r="C369" t="s">
        <v>53</v>
      </c>
      <c r="D369" t="s">
        <v>24</v>
      </c>
      <c r="E369" t="s">
        <v>26</v>
      </c>
      <c r="F369" t="s">
        <v>24</v>
      </c>
      <c r="G369">
        <v>2010</v>
      </c>
      <c r="H369" t="s">
        <v>24</v>
      </c>
      <c r="I369" t="s">
        <v>24</v>
      </c>
      <c r="J369" t="s">
        <v>24</v>
      </c>
      <c r="K369" t="s">
        <v>24</v>
      </c>
      <c r="M369">
        <v>0.81999999284744296</v>
      </c>
      <c r="N369">
        <v>0.82000011205673196</v>
      </c>
      <c r="O369">
        <v>0.81999999284744296</v>
      </c>
      <c r="P369">
        <v>0.924000024795532</v>
      </c>
      <c r="Q369">
        <v>0.924000024795532</v>
      </c>
      <c r="R369">
        <v>0.96399998664856001</v>
      </c>
      <c r="S369">
        <v>0.87000000476837203</v>
      </c>
      <c r="T369">
        <v>0.96399998664856001</v>
      </c>
      <c r="U369">
        <v>0.89999997615814198</v>
      </c>
      <c r="W369" s="1"/>
      <c r="X369" s="1"/>
      <c r="Y369" s="1"/>
      <c r="Z369" s="1"/>
      <c r="AA369" s="1"/>
      <c r="AB369" s="1"/>
      <c r="AC369" s="1"/>
      <c r="AD369" s="1"/>
    </row>
    <row r="370" spans="1:30" x14ac:dyDescent="0.35">
      <c r="A370" t="s">
        <v>22</v>
      </c>
      <c r="B370" t="s">
        <v>11</v>
      </c>
      <c r="C370" t="s">
        <v>54</v>
      </c>
      <c r="D370" t="s">
        <v>24</v>
      </c>
      <c r="E370" t="s">
        <v>26</v>
      </c>
      <c r="F370" t="s">
        <v>24</v>
      </c>
      <c r="G370">
        <v>2010</v>
      </c>
      <c r="H370" t="s">
        <v>24</v>
      </c>
      <c r="I370" t="s">
        <v>24</v>
      </c>
      <c r="J370" t="s">
        <v>24</v>
      </c>
      <c r="K370" t="s">
        <v>24</v>
      </c>
      <c r="M370">
        <v>0.81999999284744296</v>
      </c>
      <c r="N370">
        <v>0.82000011205673196</v>
      </c>
      <c r="O370">
        <v>0.81999999284744296</v>
      </c>
      <c r="P370">
        <v>0.924000024795532</v>
      </c>
      <c r="Q370">
        <v>0.924000024795532</v>
      </c>
      <c r="R370">
        <v>0.96399998664856001</v>
      </c>
      <c r="S370">
        <v>0.87000000476837203</v>
      </c>
      <c r="T370">
        <v>0.96399998664856001</v>
      </c>
      <c r="U370">
        <v>0.89999997615814198</v>
      </c>
      <c r="W370" s="1"/>
      <c r="X370" s="1"/>
      <c r="Y370" s="1"/>
      <c r="Z370" s="1"/>
      <c r="AA370" s="1"/>
      <c r="AB370" s="1"/>
      <c r="AC370" s="1"/>
      <c r="AD370" s="1"/>
    </row>
    <row r="371" spans="1:30" x14ac:dyDescent="0.35">
      <c r="A371" t="s">
        <v>22</v>
      </c>
      <c r="B371" t="s">
        <v>11</v>
      </c>
      <c r="C371" t="s">
        <v>87</v>
      </c>
      <c r="D371" t="s">
        <v>24</v>
      </c>
      <c r="E371" t="s">
        <v>26</v>
      </c>
      <c r="F371" t="s">
        <v>24</v>
      </c>
      <c r="G371">
        <v>2010</v>
      </c>
      <c r="H371" t="s">
        <v>24</v>
      </c>
      <c r="I371" t="s">
        <v>24</v>
      </c>
      <c r="J371" t="s">
        <v>24</v>
      </c>
      <c r="K371" t="s">
        <v>24</v>
      </c>
      <c r="M371">
        <v>0.85</v>
      </c>
      <c r="N371">
        <v>0.85</v>
      </c>
      <c r="O371">
        <v>0.85</v>
      </c>
      <c r="P371">
        <v>0.85</v>
      </c>
      <c r="Q371">
        <v>0.85</v>
      </c>
      <c r="R371">
        <v>0.85</v>
      </c>
      <c r="S371">
        <v>0.85</v>
      </c>
      <c r="T371">
        <v>0.85</v>
      </c>
      <c r="U371">
        <v>0.85</v>
      </c>
      <c r="W371" s="1"/>
      <c r="X371" s="1"/>
      <c r="Y371" s="1"/>
      <c r="Z371" s="1"/>
      <c r="AA371" s="1"/>
      <c r="AB371" s="1"/>
      <c r="AC371" s="1"/>
      <c r="AD371" s="1"/>
    </row>
    <row r="372" spans="1:30" x14ac:dyDescent="0.35">
      <c r="A372" t="s">
        <v>22</v>
      </c>
      <c r="B372" t="s">
        <v>11</v>
      </c>
      <c r="C372" t="s">
        <v>55</v>
      </c>
      <c r="D372" t="s">
        <v>24</v>
      </c>
      <c r="E372" t="s">
        <v>26</v>
      </c>
      <c r="F372" t="s">
        <v>24</v>
      </c>
      <c r="G372">
        <v>2010</v>
      </c>
      <c r="H372" t="s">
        <v>24</v>
      </c>
      <c r="I372" t="s">
        <v>24</v>
      </c>
      <c r="J372" t="s">
        <v>24</v>
      </c>
      <c r="K372" t="s">
        <v>24</v>
      </c>
      <c r="M372">
        <v>0.81999999284744296</v>
      </c>
      <c r="N372">
        <v>0.82000011205673196</v>
      </c>
      <c r="O372">
        <v>0.81999999284744296</v>
      </c>
      <c r="P372">
        <v>0.924000024795532</v>
      </c>
      <c r="Q372">
        <v>0.924000024795532</v>
      </c>
      <c r="R372">
        <v>0.96399998664856001</v>
      </c>
      <c r="S372">
        <v>0.87000000476837203</v>
      </c>
      <c r="T372">
        <v>0.96399998664856001</v>
      </c>
      <c r="U372">
        <v>0.89999997615814198</v>
      </c>
      <c r="W372" s="1"/>
      <c r="X372" s="1"/>
      <c r="Y372" s="1"/>
      <c r="Z372" s="1"/>
      <c r="AA372" s="1"/>
      <c r="AB372" s="1"/>
      <c r="AC372" s="1"/>
      <c r="AD372" s="1"/>
    </row>
    <row r="373" spans="1:30" x14ac:dyDescent="0.35">
      <c r="A373" t="s">
        <v>22</v>
      </c>
      <c r="B373" t="s">
        <v>11</v>
      </c>
      <c r="C373" t="s">
        <v>56</v>
      </c>
      <c r="D373" t="s">
        <v>24</v>
      </c>
      <c r="E373" t="s">
        <v>26</v>
      </c>
      <c r="F373" t="s">
        <v>24</v>
      </c>
      <c r="G373">
        <v>2010</v>
      </c>
      <c r="H373" t="s">
        <v>24</v>
      </c>
      <c r="I373" t="s">
        <v>24</v>
      </c>
      <c r="J373" t="s">
        <v>24</v>
      </c>
      <c r="K373" t="s">
        <v>24</v>
      </c>
      <c r="M373">
        <v>0.81999999284744296</v>
      </c>
      <c r="N373">
        <v>0.82000011205673196</v>
      </c>
      <c r="O373">
        <v>0.81999999284744296</v>
      </c>
      <c r="P373">
        <v>0.924000024795532</v>
      </c>
      <c r="Q373">
        <v>0.924000024795532</v>
      </c>
      <c r="R373">
        <v>0.96399998664856001</v>
      </c>
      <c r="S373">
        <v>0.87000000476837203</v>
      </c>
      <c r="T373">
        <v>0.96399998664856001</v>
      </c>
      <c r="U373">
        <v>0.89999997615814198</v>
      </c>
    </row>
    <row r="374" spans="1:30" x14ac:dyDescent="0.35">
      <c r="A374" t="s">
        <v>22</v>
      </c>
      <c r="B374" t="s">
        <v>11</v>
      </c>
      <c r="C374" t="s">
        <v>57</v>
      </c>
      <c r="D374" t="s">
        <v>24</v>
      </c>
      <c r="E374" t="s">
        <v>26</v>
      </c>
      <c r="F374" t="s">
        <v>24</v>
      </c>
      <c r="G374">
        <v>2010</v>
      </c>
      <c r="H374" t="s">
        <v>24</v>
      </c>
      <c r="I374" t="s">
        <v>24</v>
      </c>
      <c r="J374" t="s">
        <v>24</v>
      </c>
      <c r="K374" t="s">
        <v>24</v>
      </c>
      <c r="M374">
        <v>0.81999999284744296</v>
      </c>
      <c r="N374">
        <v>0.82000011205673196</v>
      </c>
      <c r="O374">
        <v>0.81999999284744296</v>
      </c>
      <c r="P374">
        <v>0.924000024795532</v>
      </c>
      <c r="Q374">
        <v>0.924000024795532</v>
      </c>
      <c r="R374">
        <v>0.96399998664856001</v>
      </c>
      <c r="S374">
        <v>0.87000000476837203</v>
      </c>
      <c r="T374">
        <v>0.96399998664856001</v>
      </c>
      <c r="U374">
        <v>0.89999997615814198</v>
      </c>
    </row>
    <row r="375" spans="1:30" x14ac:dyDescent="0.35">
      <c r="A375" t="s">
        <v>22</v>
      </c>
      <c r="B375" t="s">
        <v>11</v>
      </c>
      <c r="C375" t="s">
        <v>58</v>
      </c>
      <c r="D375" t="s">
        <v>24</v>
      </c>
      <c r="E375" t="s">
        <v>26</v>
      </c>
      <c r="F375" t="s">
        <v>24</v>
      </c>
      <c r="G375">
        <v>2010</v>
      </c>
      <c r="H375" t="s">
        <v>24</v>
      </c>
      <c r="I375" t="s">
        <v>24</v>
      </c>
      <c r="J375" t="s">
        <v>24</v>
      </c>
      <c r="K375" t="s">
        <v>24</v>
      </c>
      <c r="M375">
        <v>0.81999999284744296</v>
      </c>
      <c r="N375">
        <v>0.82000011205673196</v>
      </c>
      <c r="O375">
        <v>0.81999999284744296</v>
      </c>
      <c r="P375">
        <v>0.924000024795532</v>
      </c>
      <c r="Q375">
        <v>0.924000024795532</v>
      </c>
      <c r="R375">
        <v>0.96399998664856001</v>
      </c>
      <c r="S375">
        <v>0.87000000476837203</v>
      </c>
      <c r="T375">
        <v>0.96399998664856001</v>
      </c>
      <c r="U375">
        <v>0.89999997615814198</v>
      </c>
    </row>
    <row r="376" spans="1:30" x14ac:dyDescent="0.35">
      <c r="A376" t="s">
        <v>22</v>
      </c>
      <c r="B376" t="s">
        <v>12</v>
      </c>
      <c r="C376" t="s">
        <v>85</v>
      </c>
      <c r="D376" t="s">
        <v>24</v>
      </c>
      <c r="E376" t="s">
        <v>24</v>
      </c>
      <c r="F376" t="s">
        <v>24</v>
      </c>
      <c r="G376">
        <v>2011</v>
      </c>
      <c r="H376" t="s">
        <v>24</v>
      </c>
      <c r="I376" t="s">
        <v>25</v>
      </c>
      <c r="J376" t="s">
        <v>24</v>
      </c>
      <c r="K376" t="s">
        <v>24</v>
      </c>
      <c r="M376">
        <v>2506.0887130853498</v>
      </c>
      <c r="N376">
        <v>2506.0887130853498</v>
      </c>
      <c r="O376">
        <v>2506.0887130853498</v>
      </c>
      <c r="P376">
        <v>2506.0887130853498</v>
      </c>
      <c r="Q376">
        <v>2506.0887130853498</v>
      </c>
      <c r="R376">
        <v>2506.0887130853498</v>
      </c>
      <c r="S376">
        <v>2506.0887130853498</v>
      </c>
      <c r="T376">
        <v>2506.0887130853498</v>
      </c>
      <c r="U376">
        <v>2506.0887130853498</v>
      </c>
    </row>
    <row r="377" spans="1:30" x14ac:dyDescent="0.35">
      <c r="A377" t="s">
        <v>22</v>
      </c>
      <c r="B377" t="s">
        <v>12</v>
      </c>
      <c r="C377" t="s">
        <v>85</v>
      </c>
      <c r="D377" t="s">
        <v>24</v>
      </c>
      <c r="E377" t="s">
        <v>24</v>
      </c>
      <c r="F377" t="s">
        <v>24</v>
      </c>
      <c r="G377">
        <v>2015</v>
      </c>
      <c r="H377" t="s">
        <v>24</v>
      </c>
      <c r="I377" t="s">
        <v>25</v>
      </c>
      <c r="J377" t="s">
        <v>24</v>
      </c>
      <c r="K377" t="s">
        <v>24</v>
      </c>
      <c r="M377">
        <v>2506.0887130853498</v>
      </c>
      <c r="N377">
        <v>2506.0887130853498</v>
      </c>
      <c r="O377">
        <v>2506.0887130853498</v>
      </c>
      <c r="P377">
        <v>2506.0887130853498</v>
      </c>
      <c r="Q377">
        <v>2506.0887130853498</v>
      </c>
      <c r="R377">
        <v>2506.0887130853498</v>
      </c>
      <c r="S377">
        <v>2506.0887130853498</v>
      </c>
      <c r="T377">
        <v>2506.0887130853498</v>
      </c>
      <c r="U377">
        <v>2506.0887130853498</v>
      </c>
    </row>
    <row r="378" spans="1:30" x14ac:dyDescent="0.35">
      <c r="A378" t="s">
        <v>22</v>
      </c>
      <c r="B378" t="s">
        <v>12</v>
      </c>
      <c r="C378" t="s">
        <v>47</v>
      </c>
      <c r="D378" t="s">
        <v>24</v>
      </c>
      <c r="E378" t="s">
        <v>24</v>
      </c>
      <c r="F378" t="s">
        <v>24</v>
      </c>
      <c r="G378">
        <v>2010</v>
      </c>
      <c r="H378" t="s">
        <v>24</v>
      </c>
      <c r="I378" t="s">
        <v>25</v>
      </c>
      <c r="J378" t="s">
        <v>24</v>
      </c>
      <c r="K378" t="s">
        <v>24</v>
      </c>
      <c r="L378">
        <v>458.32766028812603</v>
      </c>
      <c r="M378">
        <v>458.32766028812603</v>
      </c>
      <c r="N378">
        <v>458.32766028812603</v>
      </c>
      <c r="O378">
        <v>458.32766028812603</v>
      </c>
      <c r="P378">
        <v>458.32766028812603</v>
      </c>
      <c r="Q378">
        <v>458.32766028812603</v>
      </c>
      <c r="R378">
        <v>458.32766028812603</v>
      </c>
      <c r="S378">
        <v>458.32766028812603</v>
      </c>
      <c r="T378">
        <v>458.32766028812603</v>
      </c>
      <c r="U378">
        <v>458.32766028812603</v>
      </c>
    </row>
    <row r="379" spans="1:30" x14ac:dyDescent="0.35">
      <c r="A379" t="s">
        <v>22</v>
      </c>
      <c r="B379" t="s">
        <v>12</v>
      </c>
      <c r="C379" t="s">
        <v>48</v>
      </c>
      <c r="D379" t="s">
        <v>24</v>
      </c>
      <c r="E379" t="s">
        <v>24</v>
      </c>
      <c r="F379" t="s">
        <v>24</v>
      </c>
      <c r="G379">
        <v>2010</v>
      </c>
      <c r="H379" t="s">
        <v>24</v>
      </c>
      <c r="I379" t="s">
        <v>25</v>
      </c>
      <c r="J379" t="s">
        <v>24</v>
      </c>
      <c r="K379" t="s">
        <v>24</v>
      </c>
      <c r="L379">
        <v>458.32766028812603</v>
      </c>
      <c r="M379">
        <v>458.32766028812603</v>
      </c>
      <c r="N379">
        <v>458.32766028812603</v>
      </c>
      <c r="O379">
        <v>458.32766028812603</v>
      </c>
      <c r="P379">
        <v>458.32766028812603</v>
      </c>
      <c r="Q379">
        <v>458.32766028812603</v>
      </c>
      <c r="R379">
        <v>458.32766028812603</v>
      </c>
      <c r="S379">
        <v>458.32766028812603</v>
      </c>
      <c r="T379">
        <v>458.32766028812603</v>
      </c>
      <c r="U379">
        <v>458.32766028812603</v>
      </c>
    </row>
    <row r="380" spans="1:30" x14ac:dyDescent="0.35">
      <c r="A380" t="s">
        <v>22</v>
      </c>
      <c r="B380" t="s">
        <v>12</v>
      </c>
      <c r="C380" t="s">
        <v>49</v>
      </c>
      <c r="D380" t="s">
        <v>24</v>
      </c>
      <c r="E380" t="s">
        <v>24</v>
      </c>
      <c r="F380" t="s">
        <v>24</v>
      </c>
      <c r="G380">
        <v>2010</v>
      </c>
      <c r="H380" t="s">
        <v>24</v>
      </c>
      <c r="I380" t="s">
        <v>25</v>
      </c>
      <c r="J380" t="s">
        <v>24</v>
      </c>
      <c r="K380" t="s">
        <v>24</v>
      </c>
      <c r="L380">
        <v>458.32766028812603</v>
      </c>
      <c r="M380">
        <v>458.32766028812603</v>
      </c>
      <c r="N380">
        <v>458.32766028812603</v>
      </c>
      <c r="O380">
        <v>458.32766028812603</v>
      </c>
      <c r="P380">
        <v>458.32766028812603</v>
      </c>
      <c r="Q380">
        <v>458.32766028812603</v>
      </c>
      <c r="R380">
        <v>458.32766028812603</v>
      </c>
      <c r="S380">
        <v>458.32766028812603</v>
      </c>
      <c r="T380">
        <v>458.32766028812603</v>
      </c>
      <c r="U380">
        <v>458.32766028812603</v>
      </c>
    </row>
    <row r="381" spans="1:30" x14ac:dyDescent="0.35">
      <c r="A381" t="s">
        <v>22</v>
      </c>
      <c r="B381" t="s">
        <v>12</v>
      </c>
      <c r="C381" t="s">
        <v>50</v>
      </c>
      <c r="D381" t="s">
        <v>24</v>
      </c>
      <c r="E381" t="s">
        <v>24</v>
      </c>
      <c r="F381" t="s">
        <v>24</v>
      </c>
      <c r="G381">
        <v>2010</v>
      </c>
      <c r="H381" t="s">
        <v>24</v>
      </c>
      <c r="I381" t="s">
        <v>25</v>
      </c>
      <c r="J381" t="s">
        <v>24</v>
      </c>
      <c r="K381" t="s">
        <v>24</v>
      </c>
      <c r="L381">
        <v>458.32766028812603</v>
      </c>
      <c r="M381">
        <v>458.32766028812603</v>
      </c>
      <c r="N381">
        <v>458.32766028812603</v>
      </c>
      <c r="O381">
        <v>458.32766028812603</v>
      </c>
      <c r="P381">
        <v>458.32766028812603</v>
      </c>
      <c r="Q381">
        <v>458.32766028812603</v>
      </c>
      <c r="R381">
        <v>458.32766028812603</v>
      </c>
      <c r="S381">
        <v>458.32766028812603</v>
      </c>
      <c r="T381">
        <v>458.32766028812603</v>
      </c>
      <c r="U381">
        <v>458.32766028812603</v>
      </c>
    </row>
    <row r="382" spans="1:30" x14ac:dyDescent="0.35">
      <c r="A382" t="s">
        <v>22</v>
      </c>
      <c r="B382" t="s">
        <v>12</v>
      </c>
      <c r="C382" t="s">
        <v>86</v>
      </c>
      <c r="D382" t="s">
        <v>24</v>
      </c>
      <c r="E382" t="s">
        <v>24</v>
      </c>
      <c r="F382" t="s">
        <v>24</v>
      </c>
      <c r="G382">
        <v>2011</v>
      </c>
      <c r="H382" t="s">
        <v>24</v>
      </c>
      <c r="I382" t="s">
        <v>25</v>
      </c>
      <c r="J382" t="s">
        <v>24</v>
      </c>
      <c r="K382" t="s">
        <v>24</v>
      </c>
      <c r="M382">
        <v>2506.0887130853498</v>
      </c>
      <c r="N382">
        <v>2506.0887130853498</v>
      </c>
      <c r="O382">
        <v>2506.0887130853498</v>
      </c>
      <c r="P382">
        <v>2506.0887130853498</v>
      </c>
      <c r="Q382">
        <v>2506.0887130853498</v>
      </c>
      <c r="R382">
        <v>2506.0887130853498</v>
      </c>
      <c r="S382">
        <v>2506.0887130853498</v>
      </c>
      <c r="T382">
        <v>2506.0887130853498</v>
      </c>
      <c r="U382">
        <v>2506.0887130853498</v>
      </c>
    </row>
    <row r="383" spans="1:30" x14ac:dyDescent="0.35">
      <c r="A383" t="s">
        <v>22</v>
      </c>
      <c r="B383" t="s">
        <v>12</v>
      </c>
      <c r="C383" t="s">
        <v>86</v>
      </c>
      <c r="D383" t="s">
        <v>24</v>
      </c>
      <c r="E383" t="s">
        <v>24</v>
      </c>
      <c r="F383" t="s">
        <v>24</v>
      </c>
      <c r="G383">
        <v>2015</v>
      </c>
      <c r="H383" t="s">
        <v>24</v>
      </c>
      <c r="I383" t="s">
        <v>25</v>
      </c>
      <c r="J383" t="s">
        <v>24</v>
      </c>
      <c r="K383" t="s">
        <v>24</v>
      </c>
      <c r="M383">
        <v>2506.0887130853498</v>
      </c>
      <c r="N383">
        <v>2506.0887130853498</v>
      </c>
      <c r="O383">
        <v>2506.0887130853498</v>
      </c>
      <c r="P383">
        <v>2506.0887130853498</v>
      </c>
      <c r="Q383">
        <v>2506.0887130853498</v>
      </c>
      <c r="R383">
        <v>2506.0887130853498</v>
      </c>
      <c r="S383">
        <v>2506.0887130853498</v>
      </c>
      <c r="T383">
        <v>2506.0887130853498</v>
      </c>
      <c r="U383">
        <v>2506.0887130853498</v>
      </c>
    </row>
    <row r="384" spans="1:30" x14ac:dyDescent="0.35">
      <c r="A384" t="s">
        <v>22</v>
      </c>
      <c r="B384" t="s">
        <v>12</v>
      </c>
      <c r="C384" t="s">
        <v>51</v>
      </c>
      <c r="D384" t="s">
        <v>24</v>
      </c>
      <c r="E384" t="s">
        <v>24</v>
      </c>
      <c r="F384" t="s">
        <v>24</v>
      </c>
      <c r="G384">
        <v>2010</v>
      </c>
      <c r="H384" t="s">
        <v>24</v>
      </c>
      <c r="I384" t="s">
        <v>25</v>
      </c>
      <c r="J384" t="s">
        <v>24</v>
      </c>
      <c r="K384" t="s">
        <v>24</v>
      </c>
      <c r="L384">
        <v>458.32766028812603</v>
      </c>
      <c r="M384">
        <v>458.32766028812603</v>
      </c>
      <c r="N384">
        <v>458.32766028812603</v>
      </c>
      <c r="O384">
        <v>458.32766028812603</v>
      </c>
      <c r="P384">
        <v>458.32766028812603</v>
      </c>
      <c r="Q384">
        <v>458.32766028812603</v>
      </c>
      <c r="R384">
        <v>458.32766028812603</v>
      </c>
      <c r="S384">
        <v>458.32766028812603</v>
      </c>
      <c r="T384">
        <v>458.32766028812603</v>
      </c>
      <c r="U384">
        <v>458.32766028812603</v>
      </c>
    </row>
    <row r="385" spans="1:21" x14ac:dyDescent="0.35">
      <c r="A385" t="s">
        <v>22</v>
      </c>
      <c r="B385" t="s">
        <v>12</v>
      </c>
      <c r="C385" t="s">
        <v>52</v>
      </c>
      <c r="D385" t="s">
        <v>24</v>
      </c>
      <c r="E385" t="s">
        <v>24</v>
      </c>
      <c r="F385" t="s">
        <v>24</v>
      </c>
      <c r="G385">
        <v>2010</v>
      </c>
      <c r="H385" t="s">
        <v>24</v>
      </c>
      <c r="I385" t="s">
        <v>25</v>
      </c>
      <c r="J385" t="s">
        <v>24</v>
      </c>
      <c r="K385" t="s">
        <v>24</v>
      </c>
      <c r="L385">
        <v>458.32766028812603</v>
      </c>
      <c r="M385">
        <v>458.32766028812603</v>
      </c>
      <c r="N385">
        <v>458.32766028812603</v>
      </c>
      <c r="O385">
        <v>458.32766028812603</v>
      </c>
      <c r="P385">
        <v>458.32766028812603</v>
      </c>
      <c r="Q385">
        <v>458.32766028812603</v>
      </c>
      <c r="R385">
        <v>458.32766028812603</v>
      </c>
      <c r="S385">
        <v>458.32766028812603</v>
      </c>
      <c r="T385">
        <v>458.32766028812603</v>
      </c>
      <c r="U385">
        <v>458.32766028812603</v>
      </c>
    </row>
    <row r="386" spans="1:21" x14ac:dyDescent="0.35">
      <c r="A386" t="s">
        <v>22</v>
      </c>
      <c r="B386" t="s">
        <v>12</v>
      </c>
      <c r="C386" t="s">
        <v>53</v>
      </c>
      <c r="D386" t="s">
        <v>24</v>
      </c>
      <c r="E386" t="s">
        <v>24</v>
      </c>
      <c r="F386" t="s">
        <v>24</v>
      </c>
      <c r="G386">
        <v>2010</v>
      </c>
      <c r="H386" t="s">
        <v>24</v>
      </c>
      <c r="I386" t="s">
        <v>25</v>
      </c>
      <c r="J386" t="s">
        <v>24</v>
      </c>
      <c r="K386" t="s">
        <v>24</v>
      </c>
      <c r="L386">
        <v>458.32766028812603</v>
      </c>
      <c r="M386">
        <v>458.32766028812603</v>
      </c>
      <c r="N386">
        <v>458.32766028812603</v>
      </c>
      <c r="O386">
        <v>458.32766028812603</v>
      </c>
      <c r="P386">
        <v>458.32766028812603</v>
      </c>
      <c r="Q386">
        <v>458.32766028812603</v>
      </c>
      <c r="R386">
        <v>458.32766028812603</v>
      </c>
      <c r="S386">
        <v>458.32766028812603</v>
      </c>
      <c r="T386">
        <v>458.32766028812603</v>
      </c>
      <c r="U386">
        <v>458.32766028812603</v>
      </c>
    </row>
    <row r="387" spans="1:21" x14ac:dyDescent="0.35">
      <c r="A387" t="s">
        <v>22</v>
      </c>
      <c r="B387" t="s">
        <v>12</v>
      </c>
      <c r="C387" t="s">
        <v>54</v>
      </c>
      <c r="D387" t="s">
        <v>24</v>
      </c>
      <c r="E387" t="s">
        <v>24</v>
      </c>
      <c r="F387" t="s">
        <v>24</v>
      </c>
      <c r="G387">
        <v>2010</v>
      </c>
      <c r="H387" t="s">
        <v>24</v>
      </c>
      <c r="I387" t="s">
        <v>25</v>
      </c>
      <c r="J387" t="s">
        <v>24</v>
      </c>
      <c r="K387" t="s">
        <v>24</v>
      </c>
      <c r="L387">
        <v>458.32766028812603</v>
      </c>
      <c r="M387">
        <v>458.32766028812603</v>
      </c>
      <c r="N387">
        <v>458.32766028812603</v>
      </c>
      <c r="O387">
        <v>458.32766028812603</v>
      </c>
      <c r="P387">
        <v>458.32766028812603</v>
      </c>
      <c r="Q387">
        <v>458.32766028812603</v>
      </c>
      <c r="R387">
        <v>458.32766028812603</v>
      </c>
      <c r="S387">
        <v>458.32766028812603</v>
      </c>
      <c r="T387">
        <v>458.32766028812603</v>
      </c>
      <c r="U387">
        <v>458.32766028812603</v>
      </c>
    </row>
    <row r="388" spans="1:21" x14ac:dyDescent="0.35">
      <c r="A388" t="s">
        <v>22</v>
      </c>
      <c r="B388" t="s">
        <v>12</v>
      </c>
      <c r="C388" t="s">
        <v>87</v>
      </c>
      <c r="D388" t="s">
        <v>24</v>
      </c>
      <c r="E388" t="s">
        <v>24</v>
      </c>
      <c r="F388" t="s">
        <v>24</v>
      </c>
      <c r="G388">
        <v>2011</v>
      </c>
      <c r="H388" t="s">
        <v>24</v>
      </c>
      <c r="I388" t="s">
        <v>25</v>
      </c>
      <c r="J388" t="s">
        <v>24</v>
      </c>
      <c r="K388" t="s">
        <v>24</v>
      </c>
      <c r="M388">
        <v>2506.0887130853498</v>
      </c>
      <c r="N388">
        <v>2506.0887130853498</v>
      </c>
      <c r="O388">
        <v>2506.0887130853498</v>
      </c>
      <c r="P388">
        <v>2506.0887130853498</v>
      </c>
      <c r="Q388">
        <v>2506.0887130853498</v>
      </c>
      <c r="R388">
        <v>2506.0887130853498</v>
      </c>
      <c r="S388">
        <v>2506.0887130853498</v>
      </c>
      <c r="T388">
        <v>2506.0887130853498</v>
      </c>
      <c r="U388">
        <v>2506.0887130853498</v>
      </c>
    </row>
    <row r="389" spans="1:21" x14ac:dyDescent="0.35">
      <c r="A389" t="s">
        <v>22</v>
      </c>
      <c r="B389" t="s">
        <v>12</v>
      </c>
      <c r="C389" t="s">
        <v>87</v>
      </c>
      <c r="D389" t="s">
        <v>24</v>
      </c>
      <c r="E389" t="s">
        <v>24</v>
      </c>
      <c r="F389" t="s">
        <v>24</v>
      </c>
      <c r="G389">
        <v>2015</v>
      </c>
      <c r="H389" t="s">
        <v>24</v>
      </c>
      <c r="I389" t="s">
        <v>25</v>
      </c>
      <c r="J389" t="s">
        <v>24</v>
      </c>
      <c r="K389" t="s">
        <v>24</v>
      </c>
      <c r="M389">
        <v>2506.0887130853498</v>
      </c>
      <c r="N389">
        <v>2506.0887130853498</v>
      </c>
      <c r="O389">
        <v>2506.0887130853498</v>
      </c>
      <c r="P389">
        <v>2506.0887130853498</v>
      </c>
      <c r="Q389">
        <v>2506.0887130853498</v>
      </c>
      <c r="R389">
        <v>2506.0887130853498</v>
      </c>
      <c r="S389">
        <v>2506.0887130853498</v>
      </c>
      <c r="T389">
        <v>2506.0887130853498</v>
      </c>
      <c r="U389">
        <v>2506.0887130853498</v>
      </c>
    </row>
    <row r="390" spans="1:21" x14ac:dyDescent="0.35">
      <c r="A390" t="s">
        <v>22</v>
      </c>
      <c r="B390" t="s">
        <v>12</v>
      </c>
      <c r="C390" t="s">
        <v>55</v>
      </c>
      <c r="D390" t="s">
        <v>24</v>
      </c>
      <c r="E390" t="s">
        <v>24</v>
      </c>
      <c r="F390" t="s">
        <v>24</v>
      </c>
      <c r="G390">
        <v>2010</v>
      </c>
      <c r="H390" t="s">
        <v>24</v>
      </c>
      <c r="I390" t="s">
        <v>25</v>
      </c>
      <c r="J390" t="s">
        <v>24</v>
      </c>
      <c r="K390" t="s">
        <v>24</v>
      </c>
      <c r="L390">
        <v>458.32766028812603</v>
      </c>
      <c r="M390">
        <v>458.32766028812603</v>
      </c>
      <c r="N390">
        <v>458.32766028812603</v>
      </c>
      <c r="O390">
        <v>458.32766028812603</v>
      </c>
      <c r="P390">
        <v>458.32766028812603</v>
      </c>
      <c r="Q390">
        <v>458.32766028812603</v>
      </c>
      <c r="R390">
        <v>458.32766028812603</v>
      </c>
      <c r="S390">
        <v>458.32766028812603</v>
      </c>
      <c r="T390">
        <v>458.32766028812603</v>
      </c>
      <c r="U390">
        <v>458.32766028812603</v>
      </c>
    </row>
    <row r="391" spans="1:21" x14ac:dyDescent="0.35">
      <c r="A391" t="s">
        <v>22</v>
      </c>
      <c r="B391" t="s">
        <v>12</v>
      </c>
      <c r="C391" t="s">
        <v>56</v>
      </c>
      <c r="D391" t="s">
        <v>24</v>
      </c>
      <c r="E391" t="s">
        <v>24</v>
      </c>
      <c r="F391" t="s">
        <v>24</v>
      </c>
      <c r="G391">
        <v>2010</v>
      </c>
      <c r="H391" t="s">
        <v>24</v>
      </c>
      <c r="I391" t="s">
        <v>25</v>
      </c>
      <c r="J391" t="s">
        <v>24</v>
      </c>
      <c r="K391" t="s">
        <v>24</v>
      </c>
      <c r="L391">
        <v>458.32766028812603</v>
      </c>
      <c r="M391">
        <v>458.32766028812603</v>
      </c>
      <c r="N391">
        <v>458.32766028812603</v>
      </c>
      <c r="O391">
        <v>458.32766028812603</v>
      </c>
      <c r="P391">
        <v>458.32766028812603</v>
      </c>
      <c r="Q391">
        <v>458.32766028812603</v>
      </c>
      <c r="R391">
        <v>458.32766028812603</v>
      </c>
      <c r="S391">
        <v>458.32766028812603</v>
      </c>
      <c r="T391">
        <v>458.32766028812603</v>
      </c>
      <c r="U391">
        <v>458.32766028812603</v>
      </c>
    </row>
    <row r="392" spans="1:21" x14ac:dyDescent="0.35">
      <c r="A392" t="s">
        <v>22</v>
      </c>
      <c r="B392" t="s">
        <v>12</v>
      </c>
      <c r="C392" t="s">
        <v>57</v>
      </c>
      <c r="D392" t="s">
        <v>24</v>
      </c>
      <c r="E392" t="s">
        <v>24</v>
      </c>
      <c r="F392" t="s">
        <v>24</v>
      </c>
      <c r="G392">
        <v>2010</v>
      </c>
      <c r="H392" t="s">
        <v>24</v>
      </c>
      <c r="I392" t="s">
        <v>25</v>
      </c>
      <c r="J392" t="s">
        <v>24</v>
      </c>
      <c r="K392" t="s">
        <v>24</v>
      </c>
      <c r="L392">
        <v>458.32766028812603</v>
      </c>
      <c r="M392">
        <v>458.32766028812603</v>
      </c>
      <c r="N392">
        <v>458.32766028812603</v>
      </c>
      <c r="O392">
        <v>458.32766028812603</v>
      </c>
      <c r="P392">
        <v>458.32766028812603</v>
      </c>
      <c r="Q392">
        <v>458.32766028812603</v>
      </c>
      <c r="R392">
        <v>458.32766028812603</v>
      </c>
      <c r="S392">
        <v>458.32766028812603</v>
      </c>
      <c r="T392">
        <v>458.32766028812603</v>
      </c>
      <c r="U392">
        <v>458.32766028812603</v>
      </c>
    </row>
    <row r="393" spans="1:21" x14ac:dyDescent="0.35">
      <c r="A393" t="s">
        <v>22</v>
      </c>
      <c r="B393" t="s">
        <v>12</v>
      </c>
      <c r="C393" t="s">
        <v>58</v>
      </c>
      <c r="D393" t="s">
        <v>24</v>
      </c>
      <c r="E393" t="s">
        <v>24</v>
      </c>
      <c r="F393" t="s">
        <v>24</v>
      </c>
      <c r="G393">
        <v>2010</v>
      </c>
      <c r="H393" t="s">
        <v>24</v>
      </c>
      <c r="I393" t="s">
        <v>25</v>
      </c>
      <c r="J393" t="s">
        <v>24</v>
      </c>
      <c r="K393" t="s">
        <v>24</v>
      </c>
      <c r="L393">
        <v>458.32766028812603</v>
      </c>
      <c r="M393">
        <v>458.32766028812603</v>
      </c>
      <c r="N393">
        <v>458.32766028812603</v>
      </c>
      <c r="O393">
        <v>458.32766028812603</v>
      </c>
      <c r="P393">
        <v>458.32766028812603</v>
      </c>
      <c r="Q393">
        <v>458.32766028812603</v>
      </c>
      <c r="R393">
        <v>458.32766028812603</v>
      </c>
      <c r="S393">
        <v>458.32766028812603</v>
      </c>
      <c r="T393">
        <v>458.32766028812603</v>
      </c>
      <c r="U393">
        <v>458.32766028812603</v>
      </c>
    </row>
    <row r="394" spans="1:21" x14ac:dyDescent="0.35">
      <c r="A394" t="s">
        <v>22</v>
      </c>
      <c r="B394" t="s">
        <v>13</v>
      </c>
      <c r="C394" t="s">
        <v>85</v>
      </c>
      <c r="D394" t="s">
        <v>24</v>
      </c>
      <c r="E394" t="s">
        <v>24</v>
      </c>
      <c r="F394" t="s">
        <v>24</v>
      </c>
      <c r="G394">
        <v>2010</v>
      </c>
      <c r="H394" t="s">
        <v>24</v>
      </c>
      <c r="I394" t="s">
        <v>24</v>
      </c>
      <c r="J394" t="s">
        <v>24</v>
      </c>
      <c r="K394" t="s">
        <v>24</v>
      </c>
      <c r="M394">
        <v>0.1</v>
      </c>
      <c r="N394">
        <v>0.1</v>
      </c>
      <c r="O394">
        <v>0.1</v>
      </c>
      <c r="P394">
        <v>0.1</v>
      </c>
      <c r="Q394">
        <v>0.1</v>
      </c>
      <c r="R394">
        <v>0.1</v>
      </c>
      <c r="S394">
        <v>0.1</v>
      </c>
      <c r="T394">
        <v>0.1</v>
      </c>
      <c r="U394">
        <v>0.1</v>
      </c>
    </row>
    <row r="395" spans="1:21" x14ac:dyDescent="0.35">
      <c r="A395" t="s">
        <v>22</v>
      </c>
      <c r="B395" t="s">
        <v>13</v>
      </c>
      <c r="C395" t="s">
        <v>47</v>
      </c>
      <c r="D395" t="s">
        <v>24</v>
      </c>
      <c r="E395" t="s">
        <v>24</v>
      </c>
      <c r="F395" t="s">
        <v>24</v>
      </c>
      <c r="G395">
        <v>2010</v>
      </c>
      <c r="H395" t="s">
        <v>24</v>
      </c>
      <c r="I395" t="s">
        <v>24</v>
      </c>
      <c r="J395" t="s">
        <v>24</v>
      </c>
      <c r="K395" t="s">
        <v>24</v>
      </c>
      <c r="L395">
        <v>0.05</v>
      </c>
      <c r="M395">
        <v>0.05</v>
      </c>
      <c r="N395">
        <v>0.05</v>
      </c>
      <c r="O395">
        <v>0.05</v>
      </c>
      <c r="P395">
        <v>0.05</v>
      </c>
      <c r="Q395">
        <v>0.05</v>
      </c>
      <c r="R395">
        <v>0.05</v>
      </c>
      <c r="S395">
        <v>0.05</v>
      </c>
      <c r="T395">
        <v>0.05</v>
      </c>
      <c r="U395">
        <v>0.05</v>
      </c>
    </row>
    <row r="396" spans="1:21" x14ac:dyDescent="0.35">
      <c r="A396" t="s">
        <v>22</v>
      </c>
      <c r="B396" t="s">
        <v>13</v>
      </c>
      <c r="C396" t="s">
        <v>48</v>
      </c>
      <c r="D396" t="s">
        <v>24</v>
      </c>
      <c r="E396" t="s">
        <v>24</v>
      </c>
      <c r="F396" t="s">
        <v>24</v>
      </c>
      <c r="G396">
        <v>2010</v>
      </c>
      <c r="H396" t="s">
        <v>24</v>
      </c>
      <c r="I396" t="s">
        <v>24</v>
      </c>
      <c r="J396" t="s">
        <v>24</v>
      </c>
      <c r="K396" t="s">
        <v>24</v>
      </c>
      <c r="L396">
        <v>0.05</v>
      </c>
      <c r="M396">
        <v>0.05</v>
      </c>
      <c r="N396">
        <v>0.05</v>
      </c>
      <c r="O396">
        <v>0.05</v>
      </c>
      <c r="P396">
        <v>0.05</v>
      </c>
      <c r="Q396">
        <v>0.05</v>
      </c>
      <c r="R396">
        <v>0.05</v>
      </c>
      <c r="S396">
        <v>0.05</v>
      </c>
      <c r="T396">
        <v>0.05</v>
      </c>
      <c r="U396">
        <v>0.05</v>
      </c>
    </row>
    <row r="397" spans="1:21" x14ac:dyDescent="0.35">
      <c r="A397" t="s">
        <v>22</v>
      </c>
      <c r="B397" t="s">
        <v>13</v>
      </c>
      <c r="C397" t="s">
        <v>49</v>
      </c>
      <c r="D397" t="s">
        <v>24</v>
      </c>
      <c r="E397" t="s">
        <v>24</v>
      </c>
      <c r="F397" t="s">
        <v>24</v>
      </c>
      <c r="G397">
        <v>2010</v>
      </c>
      <c r="H397" t="s">
        <v>24</v>
      </c>
      <c r="I397" t="s">
        <v>24</v>
      </c>
      <c r="J397" t="s">
        <v>24</v>
      </c>
      <c r="K397" t="s">
        <v>24</v>
      </c>
      <c r="L397">
        <v>0.05</v>
      </c>
      <c r="M397">
        <v>0.05</v>
      </c>
      <c r="N397">
        <v>0.05</v>
      </c>
      <c r="O397">
        <v>0.05</v>
      </c>
      <c r="P397">
        <v>0.05</v>
      </c>
      <c r="Q397">
        <v>0.05</v>
      </c>
      <c r="R397">
        <v>0.05</v>
      </c>
      <c r="S397">
        <v>0.05</v>
      </c>
      <c r="T397">
        <v>0.05</v>
      </c>
      <c r="U397">
        <v>0.05</v>
      </c>
    </row>
    <row r="398" spans="1:21" x14ac:dyDescent="0.35">
      <c r="A398" t="s">
        <v>22</v>
      </c>
      <c r="B398" t="s">
        <v>13</v>
      </c>
      <c r="C398" t="s">
        <v>50</v>
      </c>
      <c r="D398" t="s">
        <v>24</v>
      </c>
      <c r="E398" t="s">
        <v>24</v>
      </c>
      <c r="F398" t="s">
        <v>24</v>
      </c>
      <c r="G398">
        <v>2010</v>
      </c>
      <c r="H398" t="s">
        <v>24</v>
      </c>
      <c r="I398" t="s">
        <v>24</v>
      </c>
      <c r="J398" t="s">
        <v>24</v>
      </c>
      <c r="K398" t="s">
        <v>24</v>
      </c>
      <c r="L398">
        <v>0.05</v>
      </c>
      <c r="M398">
        <v>0.05</v>
      </c>
      <c r="N398">
        <v>0.05</v>
      </c>
      <c r="O398">
        <v>0.05</v>
      </c>
      <c r="P398">
        <v>0.05</v>
      </c>
      <c r="Q398">
        <v>0.05</v>
      </c>
      <c r="R398">
        <v>0.05</v>
      </c>
      <c r="S398">
        <v>0.05</v>
      </c>
      <c r="T398">
        <v>0.05</v>
      </c>
      <c r="U398">
        <v>0.05</v>
      </c>
    </row>
    <row r="399" spans="1:21" x14ac:dyDescent="0.35">
      <c r="A399" t="s">
        <v>22</v>
      </c>
      <c r="B399" t="s">
        <v>13</v>
      </c>
      <c r="C399" t="s">
        <v>86</v>
      </c>
      <c r="D399" t="s">
        <v>24</v>
      </c>
      <c r="E399" t="s">
        <v>24</v>
      </c>
      <c r="F399" t="s">
        <v>24</v>
      </c>
      <c r="G399">
        <v>2010</v>
      </c>
      <c r="H399" t="s">
        <v>24</v>
      </c>
      <c r="I399" t="s">
        <v>24</v>
      </c>
      <c r="J399" t="s">
        <v>24</v>
      </c>
      <c r="K399" t="s">
        <v>24</v>
      </c>
      <c r="M399">
        <v>0.1</v>
      </c>
      <c r="N399">
        <v>0.1</v>
      </c>
      <c r="O399">
        <v>0.1</v>
      </c>
      <c r="P399">
        <v>0.1</v>
      </c>
      <c r="Q399">
        <v>0.1</v>
      </c>
      <c r="R399">
        <v>0.1</v>
      </c>
      <c r="S399">
        <v>0.1</v>
      </c>
      <c r="T399">
        <v>0.1</v>
      </c>
      <c r="U399">
        <v>0.1</v>
      </c>
    </row>
    <row r="400" spans="1:21" x14ac:dyDescent="0.35">
      <c r="A400" t="s">
        <v>22</v>
      </c>
      <c r="B400" t="s">
        <v>13</v>
      </c>
      <c r="C400" t="s">
        <v>51</v>
      </c>
      <c r="D400" t="s">
        <v>24</v>
      </c>
      <c r="E400" t="s">
        <v>24</v>
      </c>
      <c r="F400" t="s">
        <v>24</v>
      </c>
      <c r="G400">
        <v>2010</v>
      </c>
      <c r="H400" t="s">
        <v>24</v>
      </c>
      <c r="I400" t="s">
        <v>24</v>
      </c>
      <c r="J400" t="s">
        <v>24</v>
      </c>
      <c r="K400" t="s">
        <v>24</v>
      </c>
      <c r="L400">
        <v>0.05</v>
      </c>
      <c r="M400">
        <v>0.05</v>
      </c>
      <c r="N400">
        <v>0.05</v>
      </c>
      <c r="O400">
        <v>0.05</v>
      </c>
      <c r="P400">
        <v>0.05</v>
      </c>
      <c r="Q400">
        <v>0.05</v>
      </c>
      <c r="R400">
        <v>0.05</v>
      </c>
      <c r="S400">
        <v>0.05</v>
      </c>
      <c r="T400">
        <v>0.05</v>
      </c>
      <c r="U400">
        <v>0.05</v>
      </c>
    </row>
    <row r="401" spans="1:21" x14ac:dyDescent="0.35">
      <c r="A401" t="s">
        <v>22</v>
      </c>
      <c r="B401" t="s">
        <v>13</v>
      </c>
      <c r="C401" t="s">
        <v>52</v>
      </c>
      <c r="D401" t="s">
        <v>24</v>
      </c>
      <c r="E401" t="s">
        <v>24</v>
      </c>
      <c r="F401" t="s">
        <v>24</v>
      </c>
      <c r="G401">
        <v>2010</v>
      </c>
      <c r="H401" t="s">
        <v>24</v>
      </c>
      <c r="I401" t="s">
        <v>24</v>
      </c>
      <c r="J401" t="s">
        <v>24</v>
      </c>
      <c r="K401" t="s">
        <v>24</v>
      </c>
      <c r="L401">
        <v>0.05</v>
      </c>
      <c r="M401">
        <v>0.05</v>
      </c>
      <c r="N401">
        <v>0.05</v>
      </c>
      <c r="O401">
        <v>0.05</v>
      </c>
      <c r="P401">
        <v>0.05</v>
      </c>
      <c r="Q401">
        <v>0.05</v>
      </c>
      <c r="R401">
        <v>0.05</v>
      </c>
      <c r="S401">
        <v>0.05</v>
      </c>
      <c r="T401">
        <v>0.05</v>
      </c>
      <c r="U401">
        <v>0.05</v>
      </c>
    </row>
    <row r="402" spans="1:21" x14ac:dyDescent="0.35">
      <c r="A402" t="s">
        <v>22</v>
      </c>
      <c r="B402" t="s">
        <v>13</v>
      </c>
      <c r="C402" t="s">
        <v>53</v>
      </c>
      <c r="D402" t="s">
        <v>24</v>
      </c>
      <c r="E402" t="s">
        <v>24</v>
      </c>
      <c r="F402" t="s">
        <v>24</v>
      </c>
      <c r="G402">
        <v>2010</v>
      </c>
      <c r="H402" t="s">
        <v>24</v>
      </c>
      <c r="I402" t="s">
        <v>24</v>
      </c>
      <c r="J402" t="s">
        <v>24</v>
      </c>
      <c r="K402" t="s">
        <v>24</v>
      </c>
      <c r="L402">
        <v>0.05</v>
      </c>
      <c r="M402">
        <v>0.05</v>
      </c>
      <c r="N402">
        <v>0.05</v>
      </c>
      <c r="O402">
        <v>0.05</v>
      </c>
      <c r="P402">
        <v>0.05</v>
      </c>
      <c r="Q402">
        <v>0.05</v>
      </c>
      <c r="R402">
        <v>0.05</v>
      </c>
      <c r="S402">
        <v>0.05</v>
      </c>
      <c r="T402">
        <v>0.05</v>
      </c>
      <c r="U402">
        <v>0.05</v>
      </c>
    </row>
    <row r="403" spans="1:21" x14ac:dyDescent="0.35">
      <c r="A403" t="s">
        <v>22</v>
      </c>
      <c r="B403" t="s">
        <v>13</v>
      </c>
      <c r="C403" t="s">
        <v>54</v>
      </c>
      <c r="D403" t="s">
        <v>24</v>
      </c>
      <c r="E403" t="s">
        <v>24</v>
      </c>
      <c r="F403" t="s">
        <v>24</v>
      </c>
      <c r="G403">
        <v>2010</v>
      </c>
      <c r="H403" t="s">
        <v>24</v>
      </c>
      <c r="I403" t="s">
        <v>24</v>
      </c>
      <c r="J403" t="s">
        <v>24</v>
      </c>
      <c r="K403" t="s">
        <v>24</v>
      </c>
      <c r="L403">
        <v>0.05</v>
      </c>
      <c r="M403">
        <v>0.05</v>
      </c>
      <c r="N403">
        <v>0.05</v>
      </c>
      <c r="O403">
        <v>0.05</v>
      </c>
      <c r="P403">
        <v>0.05</v>
      </c>
      <c r="Q403">
        <v>0.05</v>
      </c>
      <c r="R403">
        <v>0.05</v>
      </c>
      <c r="S403">
        <v>0.05</v>
      </c>
      <c r="T403">
        <v>0.05</v>
      </c>
      <c r="U403">
        <v>0.05</v>
      </c>
    </row>
    <row r="404" spans="1:21" x14ac:dyDescent="0.35">
      <c r="A404" t="s">
        <v>22</v>
      </c>
      <c r="B404" t="s">
        <v>13</v>
      </c>
      <c r="C404" t="s">
        <v>87</v>
      </c>
      <c r="D404" t="s">
        <v>24</v>
      </c>
      <c r="E404" t="s">
        <v>24</v>
      </c>
      <c r="F404" t="s">
        <v>24</v>
      </c>
      <c r="G404">
        <v>2010</v>
      </c>
      <c r="H404" t="s">
        <v>24</v>
      </c>
      <c r="I404" t="s">
        <v>24</v>
      </c>
      <c r="J404" t="s">
        <v>24</v>
      </c>
      <c r="K404" t="s">
        <v>24</v>
      </c>
      <c r="M404">
        <v>0.1</v>
      </c>
      <c r="N404">
        <v>0.1</v>
      </c>
      <c r="O404">
        <v>0.1</v>
      </c>
      <c r="P404">
        <v>0.1</v>
      </c>
      <c r="Q404">
        <v>0.1</v>
      </c>
      <c r="R404">
        <v>0.1</v>
      </c>
      <c r="S404">
        <v>0.1</v>
      </c>
      <c r="T404">
        <v>0.1</v>
      </c>
      <c r="U404">
        <v>0.1</v>
      </c>
    </row>
    <row r="405" spans="1:21" x14ac:dyDescent="0.35">
      <c r="A405" t="s">
        <v>22</v>
      </c>
      <c r="B405" t="s">
        <v>13</v>
      </c>
      <c r="C405" t="s">
        <v>55</v>
      </c>
      <c r="D405" t="s">
        <v>24</v>
      </c>
      <c r="E405" t="s">
        <v>24</v>
      </c>
      <c r="F405" t="s">
        <v>24</v>
      </c>
      <c r="G405">
        <v>2010</v>
      </c>
      <c r="H405" t="s">
        <v>24</v>
      </c>
      <c r="I405" t="s">
        <v>24</v>
      </c>
      <c r="J405" t="s">
        <v>24</v>
      </c>
      <c r="K405" t="s">
        <v>24</v>
      </c>
      <c r="L405">
        <v>0.05</v>
      </c>
      <c r="M405">
        <v>0.05</v>
      </c>
      <c r="N405">
        <v>0.05</v>
      </c>
      <c r="O405">
        <v>0.05</v>
      </c>
      <c r="P405">
        <v>0.05</v>
      </c>
      <c r="Q405">
        <v>0.05</v>
      </c>
      <c r="R405">
        <v>0.05</v>
      </c>
      <c r="S405">
        <v>0.05</v>
      </c>
      <c r="T405">
        <v>0.05</v>
      </c>
      <c r="U405">
        <v>0.05</v>
      </c>
    </row>
    <row r="406" spans="1:21" x14ac:dyDescent="0.35">
      <c r="A406" t="s">
        <v>22</v>
      </c>
      <c r="B406" t="s">
        <v>13</v>
      </c>
      <c r="C406" t="s">
        <v>56</v>
      </c>
      <c r="D406" t="s">
        <v>24</v>
      </c>
      <c r="E406" t="s">
        <v>24</v>
      </c>
      <c r="F406" t="s">
        <v>24</v>
      </c>
      <c r="G406">
        <v>2010</v>
      </c>
      <c r="H406" t="s">
        <v>24</v>
      </c>
      <c r="I406" t="s">
        <v>24</v>
      </c>
      <c r="J406" t="s">
        <v>24</v>
      </c>
      <c r="K406" t="s">
        <v>24</v>
      </c>
      <c r="L406">
        <v>0.05</v>
      </c>
      <c r="M406">
        <v>0.05</v>
      </c>
      <c r="N406">
        <v>0.05</v>
      </c>
      <c r="O406">
        <v>0.05</v>
      </c>
      <c r="P406">
        <v>0.05</v>
      </c>
      <c r="Q406">
        <v>0.05</v>
      </c>
      <c r="R406">
        <v>0.05</v>
      </c>
      <c r="S406">
        <v>0.05</v>
      </c>
      <c r="T406">
        <v>0.05</v>
      </c>
      <c r="U406">
        <v>0.05</v>
      </c>
    </row>
    <row r="407" spans="1:21" x14ac:dyDescent="0.35">
      <c r="A407" t="s">
        <v>22</v>
      </c>
      <c r="B407" t="s">
        <v>13</v>
      </c>
      <c r="C407" t="s">
        <v>57</v>
      </c>
      <c r="D407" t="s">
        <v>24</v>
      </c>
      <c r="E407" t="s">
        <v>24</v>
      </c>
      <c r="F407" t="s">
        <v>24</v>
      </c>
      <c r="G407">
        <v>2010</v>
      </c>
      <c r="H407" t="s">
        <v>24</v>
      </c>
      <c r="I407" t="s">
        <v>24</v>
      </c>
      <c r="J407" t="s">
        <v>24</v>
      </c>
      <c r="K407" t="s">
        <v>24</v>
      </c>
      <c r="L407">
        <v>0.05</v>
      </c>
      <c r="M407">
        <v>0.05</v>
      </c>
      <c r="N407">
        <v>0.05</v>
      </c>
      <c r="O407">
        <v>0.05</v>
      </c>
      <c r="P407">
        <v>0.05</v>
      </c>
      <c r="Q407">
        <v>0.05</v>
      </c>
      <c r="R407">
        <v>0.05</v>
      </c>
      <c r="S407">
        <v>0.05</v>
      </c>
      <c r="T407">
        <v>0.05</v>
      </c>
      <c r="U407">
        <v>0.05</v>
      </c>
    </row>
    <row r="408" spans="1:21" x14ac:dyDescent="0.35">
      <c r="A408" t="s">
        <v>22</v>
      </c>
      <c r="B408" t="s">
        <v>13</v>
      </c>
      <c r="C408" t="s">
        <v>58</v>
      </c>
      <c r="D408" t="s">
        <v>24</v>
      </c>
      <c r="E408" t="s">
        <v>24</v>
      </c>
      <c r="F408" t="s">
        <v>24</v>
      </c>
      <c r="G408">
        <v>2010</v>
      </c>
      <c r="H408" t="s">
        <v>24</v>
      </c>
      <c r="I408" t="s">
        <v>24</v>
      </c>
      <c r="J408" t="s">
        <v>24</v>
      </c>
      <c r="K408" t="s">
        <v>24</v>
      </c>
      <c r="L408">
        <v>0.05</v>
      </c>
      <c r="M408">
        <v>0.05</v>
      </c>
      <c r="N408">
        <v>0.05</v>
      </c>
      <c r="O408">
        <v>0.05</v>
      </c>
      <c r="P408">
        <v>0.05</v>
      </c>
      <c r="Q408">
        <v>0.05</v>
      </c>
      <c r="R408">
        <v>0.05</v>
      </c>
      <c r="S408">
        <v>0.05</v>
      </c>
      <c r="T408">
        <v>0.05</v>
      </c>
      <c r="U408">
        <v>0.05</v>
      </c>
    </row>
    <row r="409" spans="1:21" x14ac:dyDescent="0.35">
      <c r="A409" t="s">
        <v>22</v>
      </c>
      <c r="B409" t="s">
        <v>14</v>
      </c>
      <c r="C409" t="s">
        <v>85</v>
      </c>
      <c r="D409" t="s">
        <v>24</v>
      </c>
      <c r="E409" t="s">
        <v>24</v>
      </c>
      <c r="F409" t="s">
        <v>24</v>
      </c>
      <c r="G409">
        <v>2010</v>
      </c>
      <c r="H409" t="s">
        <v>24</v>
      </c>
      <c r="I409" t="s">
        <v>25</v>
      </c>
      <c r="J409" t="s">
        <v>24</v>
      </c>
      <c r="K409" t="s">
        <v>24</v>
      </c>
      <c r="M409">
        <v>26.770560267308699</v>
      </c>
      <c r="N409">
        <v>26.770560267308699</v>
      </c>
      <c r="O409">
        <v>26.770560267308699</v>
      </c>
      <c r="P409">
        <v>26.770560267308699</v>
      </c>
      <c r="Q409">
        <v>26.770560267308699</v>
      </c>
      <c r="R409">
        <v>26.770560267308699</v>
      </c>
      <c r="S409">
        <v>26.770560267308699</v>
      </c>
      <c r="T409">
        <v>26.770560267308699</v>
      </c>
      <c r="U409">
        <v>26.770560267308699</v>
      </c>
    </row>
    <row r="410" spans="1:21" x14ac:dyDescent="0.35">
      <c r="A410" t="s">
        <v>22</v>
      </c>
      <c r="B410" t="s">
        <v>14</v>
      </c>
      <c r="C410" t="s">
        <v>47</v>
      </c>
      <c r="D410" t="s">
        <v>24</v>
      </c>
      <c r="E410" t="s">
        <v>24</v>
      </c>
      <c r="F410" t="s">
        <v>24</v>
      </c>
      <c r="G410">
        <v>2010</v>
      </c>
      <c r="H410" t="s">
        <v>24</v>
      </c>
      <c r="I410" t="s">
        <v>25</v>
      </c>
      <c r="J410" t="s">
        <v>24</v>
      </c>
      <c r="K410" t="s">
        <v>24</v>
      </c>
      <c r="M410">
        <v>21.7074569803959</v>
      </c>
      <c r="N410">
        <v>23.7500588799602</v>
      </c>
      <c r="O410">
        <v>18.033481970103601</v>
      </c>
      <c r="P410">
        <v>15.842980976030599</v>
      </c>
      <c r="Q410">
        <v>21.677069281099101</v>
      </c>
      <c r="R410">
        <v>19.831084394682101</v>
      </c>
      <c r="S410">
        <v>24.3376818661146</v>
      </c>
      <c r="T410">
        <v>20.095378605344798</v>
      </c>
      <c r="U410">
        <v>18.041996336996299</v>
      </c>
    </row>
    <row r="411" spans="1:21" x14ac:dyDescent="0.35">
      <c r="A411" t="s">
        <v>22</v>
      </c>
      <c r="B411" t="s">
        <v>14</v>
      </c>
      <c r="C411" t="s">
        <v>48</v>
      </c>
      <c r="D411" t="s">
        <v>24</v>
      </c>
      <c r="E411" t="s">
        <v>24</v>
      </c>
      <c r="F411" t="s">
        <v>24</v>
      </c>
      <c r="G411">
        <v>2010</v>
      </c>
      <c r="H411" t="s">
        <v>24</v>
      </c>
      <c r="I411" t="s">
        <v>25</v>
      </c>
      <c r="J411" t="s">
        <v>24</v>
      </c>
      <c r="K411" t="s">
        <v>24</v>
      </c>
      <c r="M411">
        <v>21.7074569803959</v>
      </c>
      <c r="N411">
        <v>23.7500588799602</v>
      </c>
      <c r="O411">
        <v>18.033481970103601</v>
      </c>
      <c r="P411">
        <v>15.842980976030599</v>
      </c>
      <c r="Q411">
        <v>21.677069281099101</v>
      </c>
      <c r="R411">
        <v>19.831084394682101</v>
      </c>
      <c r="S411">
        <v>24.3376818661146</v>
      </c>
      <c r="T411">
        <v>20.095378605344798</v>
      </c>
      <c r="U411">
        <v>18.041996336996299</v>
      </c>
    </row>
    <row r="412" spans="1:21" x14ac:dyDescent="0.35">
      <c r="A412" t="s">
        <v>22</v>
      </c>
      <c r="B412" t="s">
        <v>14</v>
      </c>
      <c r="C412" t="s">
        <v>49</v>
      </c>
      <c r="D412" t="s">
        <v>24</v>
      </c>
      <c r="E412" t="s">
        <v>24</v>
      </c>
      <c r="F412" t="s">
        <v>24</v>
      </c>
      <c r="G412">
        <v>2010</v>
      </c>
      <c r="H412" t="s">
        <v>24</v>
      </c>
      <c r="I412" t="s">
        <v>25</v>
      </c>
      <c r="J412" t="s">
        <v>24</v>
      </c>
      <c r="K412" t="s">
        <v>24</v>
      </c>
      <c r="M412">
        <v>21.7074569803959</v>
      </c>
      <c r="N412">
        <v>23.7500588799602</v>
      </c>
      <c r="O412">
        <v>18.033481970103601</v>
      </c>
      <c r="P412">
        <v>15.842980976030599</v>
      </c>
      <c r="Q412">
        <v>21.677069281099101</v>
      </c>
      <c r="R412">
        <v>19.831084394682101</v>
      </c>
      <c r="S412">
        <v>24.3376818661146</v>
      </c>
      <c r="T412">
        <v>20.095378605344798</v>
      </c>
      <c r="U412">
        <v>18.041996336996299</v>
      </c>
    </row>
    <row r="413" spans="1:21" x14ac:dyDescent="0.35">
      <c r="A413" t="s">
        <v>22</v>
      </c>
      <c r="B413" t="s">
        <v>14</v>
      </c>
      <c r="C413" t="s">
        <v>50</v>
      </c>
      <c r="D413" t="s">
        <v>24</v>
      </c>
      <c r="E413" t="s">
        <v>24</v>
      </c>
      <c r="F413" t="s">
        <v>24</v>
      </c>
      <c r="G413">
        <v>2010</v>
      </c>
      <c r="H413" t="s">
        <v>24</v>
      </c>
      <c r="I413" t="s">
        <v>25</v>
      </c>
      <c r="J413" t="s">
        <v>24</v>
      </c>
      <c r="K413" t="s">
        <v>24</v>
      </c>
      <c r="M413">
        <v>21.7074569803959</v>
      </c>
      <c r="N413">
        <v>23.7500588799602</v>
      </c>
      <c r="O413">
        <v>18.033481970103601</v>
      </c>
      <c r="P413">
        <v>15.842980976030599</v>
      </c>
      <c r="Q413">
        <v>21.677069281099101</v>
      </c>
      <c r="R413">
        <v>19.831084394682101</v>
      </c>
      <c r="S413">
        <v>24.3376818661146</v>
      </c>
      <c r="T413">
        <v>20.095378605344798</v>
      </c>
      <c r="U413">
        <v>18.041996336996299</v>
      </c>
    </row>
    <row r="414" spans="1:21" x14ac:dyDescent="0.35">
      <c r="A414" t="s">
        <v>22</v>
      </c>
      <c r="B414" t="s">
        <v>14</v>
      </c>
      <c r="C414" t="s">
        <v>86</v>
      </c>
      <c r="D414" t="s">
        <v>24</v>
      </c>
      <c r="E414" t="s">
        <v>24</v>
      </c>
      <c r="F414" t="s">
        <v>24</v>
      </c>
      <c r="G414">
        <v>2010</v>
      </c>
      <c r="H414" t="s">
        <v>24</v>
      </c>
      <c r="I414" t="s">
        <v>25</v>
      </c>
      <c r="J414" t="s">
        <v>24</v>
      </c>
      <c r="K414" t="s">
        <v>24</v>
      </c>
      <c r="M414">
        <v>26.770560267308699</v>
      </c>
      <c r="N414">
        <v>26.770560267308699</v>
      </c>
      <c r="O414">
        <v>26.770560267308699</v>
      </c>
      <c r="P414">
        <v>26.770560267308699</v>
      </c>
      <c r="Q414">
        <v>26.770560267308699</v>
      </c>
      <c r="R414">
        <v>26.770560267308699</v>
      </c>
      <c r="S414">
        <v>26.770560267308699</v>
      </c>
      <c r="T414">
        <v>26.770560267308699</v>
      </c>
      <c r="U414">
        <v>26.770560267308699</v>
      </c>
    </row>
    <row r="415" spans="1:21" x14ac:dyDescent="0.35">
      <c r="A415" t="s">
        <v>22</v>
      </c>
      <c r="B415" t="s">
        <v>14</v>
      </c>
      <c r="C415" t="s">
        <v>51</v>
      </c>
      <c r="D415" t="s">
        <v>24</v>
      </c>
      <c r="E415" t="s">
        <v>24</v>
      </c>
      <c r="F415" t="s">
        <v>24</v>
      </c>
      <c r="G415">
        <v>2010</v>
      </c>
      <c r="H415" t="s">
        <v>24</v>
      </c>
      <c r="I415" t="s">
        <v>25</v>
      </c>
      <c r="J415" t="s">
        <v>24</v>
      </c>
      <c r="K415" t="s">
        <v>24</v>
      </c>
      <c r="M415">
        <v>21.7074569803959</v>
      </c>
      <c r="N415">
        <v>23.7500588799602</v>
      </c>
      <c r="O415">
        <v>18.033481970103601</v>
      </c>
      <c r="P415">
        <v>15.842980976030599</v>
      </c>
      <c r="Q415">
        <v>21.677069281099101</v>
      </c>
      <c r="R415">
        <v>19.831084394682101</v>
      </c>
      <c r="S415">
        <v>24.3376818661146</v>
      </c>
      <c r="T415">
        <v>20.095378605344798</v>
      </c>
      <c r="U415">
        <v>18.041996336996299</v>
      </c>
    </row>
    <row r="416" spans="1:21" x14ac:dyDescent="0.35">
      <c r="A416" t="s">
        <v>22</v>
      </c>
      <c r="B416" t="s">
        <v>14</v>
      </c>
      <c r="C416" t="s">
        <v>52</v>
      </c>
      <c r="D416" t="s">
        <v>24</v>
      </c>
      <c r="E416" t="s">
        <v>24</v>
      </c>
      <c r="F416" t="s">
        <v>24</v>
      </c>
      <c r="G416">
        <v>2010</v>
      </c>
      <c r="H416" t="s">
        <v>24</v>
      </c>
      <c r="I416" t="s">
        <v>25</v>
      </c>
      <c r="J416" t="s">
        <v>24</v>
      </c>
      <c r="K416" t="s">
        <v>24</v>
      </c>
      <c r="M416">
        <v>21.7074569803959</v>
      </c>
      <c r="N416">
        <v>23.7500588799602</v>
      </c>
      <c r="O416">
        <v>18.033481970103601</v>
      </c>
      <c r="P416">
        <v>15.842980976030599</v>
      </c>
      <c r="Q416">
        <v>21.677069281099101</v>
      </c>
      <c r="R416">
        <v>19.831084394682101</v>
      </c>
      <c r="S416">
        <v>24.3376818661146</v>
      </c>
      <c r="T416">
        <v>20.095378605344798</v>
      </c>
      <c r="U416">
        <v>18.041996336996299</v>
      </c>
    </row>
    <row r="417" spans="1:21" x14ac:dyDescent="0.35">
      <c r="A417" t="s">
        <v>22</v>
      </c>
      <c r="B417" t="s">
        <v>14</v>
      </c>
      <c r="C417" t="s">
        <v>53</v>
      </c>
      <c r="D417" t="s">
        <v>24</v>
      </c>
      <c r="E417" t="s">
        <v>24</v>
      </c>
      <c r="F417" t="s">
        <v>24</v>
      </c>
      <c r="G417">
        <v>2010</v>
      </c>
      <c r="H417" t="s">
        <v>24</v>
      </c>
      <c r="I417" t="s">
        <v>25</v>
      </c>
      <c r="J417" t="s">
        <v>24</v>
      </c>
      <c r="K417" t="s">
        <v>24</v>
      </c>
      <c r="M417">
        <v>21.7074569803959</v>
      </c>
      <c r="N417">
        <v>23.7500588799602</v>
      </c>
      <c r="O417">
        <v>18.033481970103601</v>
      </c>
      <c r="P417">
        <v>15.842980976030599</v>
      </c>
      <c r="Q417">
        <v>21.677069281099101</v>
      </c>
      <c r="R417">
        <v>19.831084394682101</v>
      </c>
      <c r="S417">
        <v>24.3376818661146</v>
      </c>
      <c r="T417">
        <v>20.095378605344798</v>
      </c>
      <c r="U417">
        <v>18.041996336996299</v>
      </c>
    </row>
    <row r="418" spans="1:21" x14ac:dyDescent="0.35">
      <c r="A418" t="s">
        <v>22</v>
      </c>
      <c r="B418" t="s">
        <v>14</v>
      </c>
      <c r="C418" t="s">
        <v>54</v>
      </c>
      <c r="D418" t="s">
        <v>24</v>
      </c>
      <c r="E418" t="s">
        <v>24</v>
      </c>
      <c r="F418" t="s">
        <v>24</v>
      </c>
      <c r="G418">
        <v>2010</v>
      </c>
      <c r="H418" t="s">
        <v>24</v>
      </c>
      <c r="I418" t="s">
        <v>25</v>
      </c>
      <c r="J418" t="s">
        <v>24</v>
      </c>
      <c r="K418" t="s">
        <v>24</v>
      </c>
      <c r="M418">
        <v>21.7074569803959</v>
      </c>
      <c r="N418">
        <v>23.7500588799602</v>
      </c>
      <c r="O418">
        <v>18.033481970103601</v>
      </c>
      <c r="P418">
        <v>15.842980976030599</v>
      </c>
      <c r="Q418">
        <v>21.677069281099101</v>
      </c>
      <c r="R418">
        <v>19.831084394682101</v>
      </c>
      <c r="S418">
        <v>24.3376818661146</v>
      </c>
      <c r="T418">
        <v>20.095378605344798</v>
      </c>
      <c r="U418">
        <v>18.041996336996299</v>
      </c>
    </row>
    <row r="419" spans="1:21" x14ac:dyDescent="0.35">
      <c r="A419" t="s">
        <v>22</v>
      </c>
      <c r="B419" t="s">
        <v>14</v>
      </c>
      <c r="C419" t="s">
        <v>87</v>
      </c>
      <c r="D419" t="s">
        <v>24</v>
      </c>
      <c r="E419" t="s">
        <v>24</v>
      </c>
      <c r="F419" t="s">
        <v>24</v>
      </c>
      <c r="G419">
        <v>2010</v>
      </c>
      <c r="H419" t="s">
        <v>24</v>
      </c>
      <c r="I419" t="s">
        <v>25</v>
      </c>
      <c r="J419" t="s">
        <v>24</v>
      </c>
      <c r="K419" t="s">
        <v>24</v>
      </c>
      <c r="M419">
        <v>26.770560267308699</v>
      </c>
      <c r="N419">
        <v>26.770560267308699</v>
      </c>
      <c r="O419">
        <v>26.770560267308699</v>
      </c>
      <c r="P419">
        <v>26.770560267308699</v>
      </c>
      <c r="Q419">
        <v>26.770560267308699</v>
      </c>
      <c r="R419">
        <v>26.770560267308699</v>
      </c>
      <c r="S419">
        <v>26.770560267308699</v>
      </c>
      <c r="T419">
        <v>26.770560267308699</v>
      </c>
      <c r="U419">
        <v>26.770560267308699</v>
      </c>
    </row>
    <row r="420" spans="1:21" x14ac:dyDescent="0.35">
      <c r="A420" t="s">
        <v>22</v>
      </c>
      <c r="B420" t="s">
        <v>14</v>
      </c>
      <c r="C420" t="s">
        <v>55</v>
      </c>
      <c r="D420" t="s">
        <v>24</v>
      </c>
      <c r="E420" t="s">
        <v>24</v>
      </c>
      <c r="F420" t="s">
        <v>24</v>
      </c>
      <c r="G420">
        <v>2010</v>
      </c>
      <c r="H420" t="s">
        <v>24</v>
      </c>
      <c r="I420" t="s">
        <v>25</v>
      </c>
      <c r="J420" t="s">
        <v>24</v>
      </c>
      <c r="K420" t="s">
        <v>24</v>
      </c>
      <c r="M420">
        <v>21.7074569803959</v>
      </c>
      <c r="N420">
        <v>23.7500588799602</v>
      </c>
      <c r="O420">
        <v>18.033481970103601</v>
      </c>
      <c r="P420">
        <v>15.842980976030599</v>
      </c>
      <c r="Q420">
        <v>21.677069281099101</v>
      </c>
      <c r="R420">
        <v>19.831084394682101</v>
      </c>
      <c r="S420">
        <v>24.3376818661146</v>
      </c>
      <c r="T420">
        <v>20.095378605344798</v>
      </c>
      <c r="U420">
        <v>18.041996336996299</v>
      </c>
    </row>
    <row r="421" spans="1:21" x14ac:dyDescent="0.35">
      <c r="A421" t="s">
        <v>22</v>
      </c>
      <c r="B421" t="s">
        <v>14</v>
      </c>
      <c r="C421" t="s">
        <v>56</v>
      </c>
      <c r="D421" t="s">
        <v>24</v>
      </c>
      <c r="E421" t="s">
        <v>24</v>
      </c>
      <c r="F421" t="s">
        <v>24</v>
      </c>
      <c r="G421">
        <v>2010</v>
      </c>
      <c r="H421" t="s">
        <v>24</v>
      </c>
      <c r="I421" t="s">
        <v>25</v>
      </c>
      <c r="J421" t="s">
        <v>24</v>
      </c>
      <c r="K421" t="s">
        <v>24</v>
      </c>
      <c r="M421">
        <v>21.7074569803959</v>
      </c>
      <c r="N421">
        <v>23.7500588799602</v>
      </c>
      <c r="O421">
        <v>18.033481970103601</v>
      </c>
      <c r="P421">
        <v>15.842980976030599</v>
      </c>
      <c r="Q421">
        <v>21.677069281099101</v>
      </c>
      <c r="R421">
        <v>19.831084394682101</v>
      </c>
      <c r="S421">
        <v>24.3376818661146</v>
      </c>
      <c r="T421">
        <v>20.095378605344798</v>
      </c>
      <c r="U421">
        <v>18.041996336996299</v>
      </c>
    </row>
    <row r="422" spans="1:21" x14ac:dyDescent="0.35">
      <c r="A422" t="s">
        <v>22</v>
      </c>
      <c r="B422" t="s">
        <v>14</v>
      </c>
      <c r="C422" t="s">
        <v>57</v>
      </c>
      <c r="D422" t="s">
        <v>24</v>
      </c>
      <c r="E422" t="s">
        <v>24</v>
      </c>
      <c r="F422" t="s">
        <v>24</v>
      </c>
      <c r="G422">
        <v>2010</v>
      </c>
      <c r="H422" t="s">
        <v>24</v>
      </c>
      <c r="I422" t="s">
        <v>25</v>
      </c>
      <c r="J422" t="s">
        <v>24</v>
      </c>
      <c r="K422" t="s">
        <v>24</v>
      </c>
      <c r="M422">
        <v>21.7074569803959</v>
      </c>
      <c r="N422">
        <v>23.7500588799602</v>
      </c>
      <c r="O422">
        <v>18.033481970103601</v>
      </c>
      <c r="P422">
        <v>15.842980976030599</v>
      </c>
      <c r="Q422">
        <v>21.677069281099101</v>
      </c>
      <c r="R422">
        <v>19.831084394682101</v>
      </c>
      <c r="S422">
        <v>24.3376818661146</v>
      </c>
      <c r="T422">
        <v>20.095378605344798</v>
      </c>
      <c r="U422">
        <v>18.041996336996299</v>
      </c>
    </row>
    <row r="423" spans="1:21" x14ac:dyDescent="0.35">
      <c r="A423" t="s">
        <v>22</v>
      </c>
      <c r="B423" t="s">
        <v>14</v>
      </c>
      <c r="C423" t="s">
        <v>58</v>
      </c>
      <c r="D423" t="s">
        <v>24</v>
      </c>
      <c r="E423" t="s">
        <v>24</v>
      </c>
      <c r="F423" t="s">
        <v>24</v>
      </c>
      <c r="G423">
        <v>2010</v>
      </c>
      <c r="H423" t="s">
        <v>24</v>
      </c>
      <c r="I423" t="s">
        <v>25</v>
      </c>
      <c r="J423" t="s">
        <v>24</v>
      </c>
      <c r="K423" t="s">
        <v>24</v>
      </c>
      <c r="M423">
        <v>21.7074569803959</v>
      </c>
      <c r="N423">
        <v>23.7500588799602</v>
      </c>
      <c r="O423">
        <v>18.033481970103601</v>
      </c>
      <c r="P423">
        <v>15.842980976030599</v>
      </c>
      <c r="Q423">
        <v>21.677069281099101</v>
      </c>
      <c r="R423">
        <v>19.831084394682101</v>
      </c>
      <c r="S423">
        <v>24.3376818661146</v>
      </c>
      <c r="T423">
        <v>20.095378605344798</v>
      </c>
      <c r="U423">
        <v>18.041996336996299</v>
      </c>
    </row>
    <row r="424" spans="1:21" x14ac:dyDescent="0.35">
      <c r="A424" t="s">
        <v>22</v>
      </c>
      <c r="B424" t="s">
        <v>15</v>
      </c>
      <c r="C424" t="s">
        <v>85</v>
      </c>
      <c r="D424" t="s">
        <v>24</v>
      </c>
      <c r="E424" t="s">
        <v>24</v>
      </c>
      <c r="F424" t="s">
        <v>27</v>
      </c>
      <c r="G424">
        <v>2010</v>
      </c>
      <c r="H424" t="s">
        <v>24</v>
      </c>
      <c r="I424" t="s">
        <v>24</v>
      </c>
      <c r="J424" t="s">
        <v>24</v>
      </c>
      <c r="K424" t="s">
        <v>24</v>
      </c>
      <c r="M424">
        <v>0.95</v>
      </c>
      <c r="N424">
        <v>0.95</v>
      </c>
      <c r="O424">
        <v>0.95</v>
      </c>
      <c r="P424">
        <v>0.95</v>
      </c>
      <c r="Q424">
        <v>0.95</v>
      </c>
      <c r="R424">
        <v>0.95</v>
      </c>
      <c r="S424">
        <v>0.95</v>
      </c>
      <c r="T424">
        <v>0.95</v>
      </c>
      <c r="U424">
        <v>0.95</v>
      </c>
    </row>
    <row r="425" spans="1:21" x14ac:dyDescent="0.35">
      <c r="A425" t="s">
        <v>22</v>
      </c>
      <c r="B425" t="s">
        <v>15</v>
      </c>
      <c r="C425" t="s">
        <v>47</v>
      </c>
      <c r="D425" t="s">
        <v>24</v>
      </c>
      <c r="E425" t="s">
        <v>24</v>
      </c>
      <c r="F425" t="s">
        <v>27</v>
      </c>
      <c r="G425">
        <v>2010</v>
      </c>
      <c r="H425" t="s">
        <v>24</v>
      </c>
      <c r="I425" t="s">
        <v>24</v>
      </c>
      <c r="J425" t="s">
        <v>24</v>
      </c>
      <c r="K425" t="s">
        <v>24</v>
      </c>
      <c r="L425">
        <v>0.95</v>
      </c>
      <c r="M425">
        <v>0.95</v>
      </c>
      <c r="N425">
        <v>0.95</v>
      </c>
      <c r="O425">
        <v>0.95</v>
      </c>
      <c r="P425">
        <v>0.95</v>
      </c>
      <c r="Q425">
        <v>0.95</v>
      </c>
      <c r="R425">
        <v>0.95</v>
      </c>
      <c r="S425">
        <v>0.95</v>
      </c>
      <c r="T425">
        <v>0.95</v>
      </c>
      <c r="U425">
        <v>0.95</v>
      </c>
    </row>
    <row r="426" spans="1:21" x14ac:dyDescent="0.35">
      <c r="A426" t="s">
        <v>22</v>
      </c>
      <c r="B426" t="s">
        <v>15</v>
      </c>
      <c r="C426" t="s">
        <v>48</v>
      </c>
      <c r="D426" t="s">
        <v>24</v>
      </c>
      <c r="E426" t="s">
        <v>24</v>
      </c>
      <c r="F426" t="s">
        <v>27</v>
      </c>
      <c r="G426">
        <v>2010</v>
      </c>
      <c r="H426" t="s">
        <v>24</v>
      </c>
      <c r="I426" t="s">
        <v>24</v>
      </c>
      <c r="J426" t="s">
        <v>24</v>
      </c>
      <c r="K426" t="s">
        <v>24</v>
      </c>
      <c r="L426">
        <v>0.95</v>
      </c>
      <c r="M426">
        <v>0.95</v>
      </c>
      <c r="N426">
        <v>0.95</v>
      </c>
      <c r="O426">
        <v>0.95</v>
      </c>
      <c r="P426">
        <v>0.95</v>
      </c>
      <c r="Q426">
        <v>0.95</v>
      </c>
      <c r="R426">
        <v>0.95</v>
      </c>
      <c r="S426">
        <v>0.95</v>
      </c>
      <c r="T426">
        <v>0.95</v>
      </c>
      <c r="U426">
        <v>0.95</v>
      </c>
    </row>
    <row r="427" spans="1:21" x14ac:dyDescent="0.35">
      <c r="A427" t="s">
        <v>22</v>
      </c>
      <c r="B427" t="s">
        <v>15</v>
      </c>
      <c r="C427" t="s">
        <v>49</v>
      </c>
      <c r="D427" t="s">
        <v>24</v>
      </c>
      <c r="E427" t="s">
        <v>24</v>
      </c>
      <c r="F427" t="s">
        <v>27</v>
      </c>
      <c r="G427">
        <v>2010</v>
      </c>
      <c r="H427" t="s">
        <v>24</v>
      </c>
      <c r="I427" t="s">
        <v>24</v>
      </c>
      <c r="J427" t="s">
        <v>24</v>
      </c>
      <c r="K427" t="s">
        <v>24</v>
      </c>
      <c r="L427">
        <v>0.95</v>
      </c>
      <c r="M427">
        <v>0.95</v>
      </c>
      <c r="N427">
        <v>0.95</v>
      </c>
      <c r="O427">
        <v>0.95</v>
      </c>
      <c r="P427">
        <v>0.95</v>
      </c>
      <c r="Q427">
        <v>0.95</v>
      </c>
      <c r="R427">
        <v>0.95</v>
      </c>
      <c r="S427">
        <v>0.95</v>
      </c>
      <c r="T427">
        <v>0.95</v>
      </c>
      <c r="U427">
        <v>0.95</v>
      </c>
    </row>
    <row r="428" spans="1:21" x14ac:dyDescent="0.35">
      <c r="A428" t="s">
        <v>22</v>
      </c>
      <c r="B428" t="s">
        <v>15</v>
      </c>
      <c r="C428" t="s">
        <v>50</v>
      </c>
      <c r="D428" t="s">
        <v>24</v>
      </c>
      <c r="E428" t="s">
        <v>24</v>
      </c>
      <c r="F428" t="s">
        <v>27</v>
      </c>
      <c r="G428">
        <v>2010</v>
      </c>
      <c r="H428" t="s">
        <v>24</v>
      </c>
      <c r="I428" t="s">
        <v>24</v>
      </c>
      <c r="J428" t="s">
        <v>24</v>
      </c>
      <c r="K428" t="s">
        <v>24</v>
      </c>
      <c r="L428">
        <v>0.95</v>
      </c>
      <c r="M428">
        <v>0.95</v>
      </c>
      <c r="N428">
        <v>0.95</v>
      </c>
      <c r="O428">
        <v>0.95</v>
      </c>
      <c r="P428">
        <v>0.95</v>
      </c>
      <c r="Q428">
        <v>0.95</v>
      </c>
      <c r="R428">
        <v>0.95</v>
      </c>
      <c r="S428">
        <v>0.95</v>
      </c>
      <c r="T428">
        <v>0.95</v>
      </c>
      <c r="U428">
        <v>0.95</v>
      </c>
    </row>
    <row r="429" spans="1:21" x14ac:dyDescent="0.35">
      <c r="A429" t="s">
        <v>22</v>
      </c>
      <c r="B429" t="s">
        <v>15</v>
      </c>
      <c r="C429" t="s">
        <v>86</v>
      </c>
      <c r="D429" t="s">
        <v>24</v>
      </c>
      <c r="E429" t="s">
        <v>24</v>
      </c>
      <c r="F429" t="s">
        <v>27</v>
      </c>
      <c r="G429">
        <v>2010</v>
      </c>
      <c r="H429" t="s">
        <v>24</v>
      </c>
      <c r="I429" t="s">
        <v>24</v>
      </c>
      <c r="J429" t="s">
        <v>24</v>
      </c>
      <c r="K429" t="s">
        <v>24</v>
      </c>
      <c r="M429">
        <v>0.95</v>
      </c>
      <c r="N429">
        <v>0.95</v>
      </c>
      <c r="O429">
        <v>0.95</v>
      </c>
      <c r="P429">
        <v>0.95</v>
      </c>
      <c r="Q429">
        <v>0.95</v>
      </c>
      <c r="R429">
        <v>0.95</v>
      </c>
      <c r="S429">
        <v>0.95</v>
      </c>
      <c r="T429">
        <v>0.95</v>
      </c>
      <c r="U429">
        <v>0.95</v>
      </c>
    </row>
    <row r="430" spans="1:21" x14ac:dyDescent="0.35">
      <c r="A430" t="s">
        <v>22</v>
      </c>
      <c r="B430" t="s">
        <v>15</v>
      </c>
      <c r="C430" t="s">
        <v>51</v>
      </c>
      <c r="D430" t="s">
        <v>24</v>
      </c>
      <c r="E430" t="s">
        <v>24</v>
      </c>
      <c r="F430" t="s">
        <v>27</v>
      </c>
      <c r="G430">
        <v>2010</v>
      </c>
      <c r="H430" t="s">
        <v>24</v>
      </c>
      <c r="I430" t="s">
        <v>24</v>
      </c>
      <c r="J430" t="s">
        <v>24</v>
      </c>
      <c r="K430" t="s">
        <v>24</v>
      </c>
      <c r="L430">
        <v>0.95</v>
      </c>
      <c r="M430">
        <v>0.95</v>
      </c>
      <c r="N430">
        <v>0.95</v>
      </c>
      <c r="O430">
        <v>0.95</v>
      </c>
      <c r="P430">
        <v>0.95</v>
      </c>
      <c r="Q430">
        <v>0.95</v>
      </c>
      <c r="R430">
        <v>0.95</v>
      </c>
      <c r="S430">
        <v>0.95</v>
      </c>
      <c r="T430">
        <v>0.95</v>
      </c>
      <c r="U430">
        <v>0.95</v>
      </c>
    </row>
    <row r="431" spans="1:21" x14ac:dyDescent="0.35">
      <c r="A431" t="s">
        <v>22</v>
      </c>
      <c r="B431" t="s">
        <v>15</v>
      </c>
      <c r="C431" t="s">
        <v>52</v>
      </c>
      <c r="D431" t="s">
        <v>24</v>
      </c>
      <c r="E431" t="s">
        <v>24</v>
      </c>
      <c r="F431" t="s">
        <v>27</v>
      </c>
      <c r="G431">
        <v>2010</v>
      </c>
      <c r="H431" t="s">
        <v>24</v>
      </c>
      <c r="I431" t="s">
        <v>24</v>
      </c>
      <c r="J431" t="s">
        <v>24</v>
      </c>
      <c r="K431" t="s">
        <v>24</v>
      </c>
      <c r="L431">
        <v>0.95</v>
      </c>
      <c r="M431">
        <v>0.95</v>
      </c>
      <c r="N431">
        <v>0.95</v>
      </c>
      <c r="O431">
        <v>0.95</v>
      </c>
      <c r="P431">
        <v>0.95</v>
      </c>
      <c r="Q431">
        <v>0.95</v>
      </c>
      <c r="R431">
        <v>0.95</v>
      </c>
      <c r="S431">
        <v>0.95</v>
      </c>
      <c r="T431">
        <v>0.95</v>
      </c>
      <c r="U431">
        <v>0.95</v>
      </c>
    </row>
    <row r="432" spans="1:21" x14ac:dyDescent="0.35">
      <c r="A432" t="s">
        <v>22</v>
      </c>
      <c r="B432" t="s">
        <v>15</v>
      </c>
      <c r="C432" t="s">
        <v>53</v>
      </c>
      <c r="D432" t="s">
        <v>24</v>
      </c>
      <c r="E432" t="s">
        <v>24</v>
      </c>
      <c r="F432" t="s">
        <v>27</v>
      </c>
      <c r="G432">
        <v>2010</v>
      </c>
      <c r="H432" t="s">
        <v>24</v>
      </c>
      <c r="I432" t="s">
        <v>24</v>
      </c>
      <c r="J432" t="s">
        <v>24</v>
      </c>
      <c r="K432" t="s">
        <v>24</v>
      </c>
      <c r="L432">
        <v>0.95</v>
      </c>
      <c r="M432">
        <v>0.95</v>
      </c>
      <c r="N432">
        <v>0.95</v>
      </c>
      <c r="O432">
        <v>0.95</v>
      </c>
      <c r="P432">
        <v>0.95</v>
      </c>
      <c r="Q432">
        <v>0.95</v>
      </c>
      <c r="R432">
        <v>0.95</v>
      </c>
      <c r="S432">
        <v>0.95</v>
      </c>
      <c r="T432">
        <v>0.95</v>
      </c>
      <c r="U432">
        <v>0.95</v>
      </c>
    </row>
    <row r="433" spans="1:21" x14ac:dyDescent="0.35">
      <c r="A433" t="s">
        <v>22</v>
      </c>
      <c r="B433" t="s">
        <v>15</v>
      </c>
      <c r="C433" t="s">
        <v>54</v>
      </c>
      <c r="D433" t="s">
        <v>24</v>
      </c>
      <c r="E433" t="s">
        <v>24</v>
      </c>
      <c r="F433" t="s">
        <v>27</v>
      </c>
      <c r="G433">
        <v>2010</v>
      </c>
      <c r="H433" t="s">
        <v>24</v>
      </c>
      <c r="I433" t="s">
        <v>24</v>
      </c>
      <c r="J433" t="s">
        <v>24</v>
      </c>
      <c r="K433" t="s">
        <v>24</v>
      </c>
      <c r="L433">
        <v>0.95</v>
      </c>
      <c r="M433">
        <v>0.95</v>
      </c>
      <c r="N433">
        <v>0.95</v>
      </c>
      <c r="O433">
        <v>0.95</v>
      </c>
      <c r="P433">
        <v>0.95</v>
      </c>
      <c r="Q433">
        <v>0.95</v>
      </c>
      <c r="R433">
        <v>0.95</v>
      </c>
      <c r="S433">
        <v>0.95</v>
      </c>
      <c r="T433">
        <v>0.95</v>
      </c>
      <c r="U433">
        <v>0.95</v>
      </c>
    </row>
    <row r="434" spans="1:21" x14ac:dyDescent="0.35">
      <c r="A434" t="s">
        <v>22</v>
      </c>
      <c r="B434" t="s">
        <v>15</v>
      </c>
      <c r="C434" t="s">
        <v>87</v>
      </c>
      <c r="D434" t="s">
        <v>24</v>
      </c>
      <c r="E434" t="s">
        <v>24</v>
      </c>
      <c r="F434" t="s">
        <v>27</v>
      </c>
      <c r="G434">
        <v>2010</v>
      </c>
      <c r="H434" t="s">
        <v>24</v>
      </c>
      <c r="I434" t="s">
        <v>24</v>
      </c>
      <c r="J434" t="s">
        <v>24</v>
      </c>
      <c r="K434" t="s">
        <v>24</v>
      </c>
      <c r="M434">
        <v>0.95</v>
      </c>
      <c r="N434">
        <v>0.95</v>
      </c>
      <c r="O434">
        <v>0.95</v>
      </c>
      <c r="P434">
        <v>0.95</v>
      </c>
      <c r="Q434">
        <v>0.95</v>
      </c>
      <c r="R434">
        <v>0.95</v>
      </c>
      <c r="S434">
        <v>0.95</v>
      </c>
      <c r="T434">
        <v>0.95</v>
      </c>
      <c r="U434">
        <v>0.95</v>
      </c>
    </row>
    <row r="435" spans="1:21" x14ac:dyDescent="0.35">
      <c r="A435" t="s">
        <v>22</v>
      </c>
      <c r="B435" t="s">
        <v>15</v>
      </c>
      <c r="C435" t="s">
        <v>55</v>
      </c>
      <c r="D435" t="s">
        <v>24</v>
      </c>
      <c r="E435" t="s">
        <v>24</v>
      </c>
      <c r="F435" t="s">
        <v>27</v>
      </c>
      <c r="G435">
        <v>2010</v>
      </c>
      <c r="H435" t="s">
        <v>24</v>
      </c>
      <c r="I435" t="s">
        <v>24</v>
      </c>
      <c r="J435" t="s">
        <v>24</v>
      </c>
      <c r="K435" t="s">
        <v>24</v>
      </c>
      <c r="L435">
        <v>0.95</v>
      </c>
      <c r="M435">
        <v>0.95</v>
      </c>
      <c r="N435">
        <v>0.95</v>
      </c>
      <c r="O435">
        <v>0.95</v>
      </c>
      <c r="P435">
        <v>0.95</v>
      </c>
      <c r="Q435">
        <v>0.95</v>
      </c>
      <c r="R435">
        <v>0.95</v>
      </c>
      <c r="S435">
        <v>0.95</v>
      </c>
      <c r="T435">
        <v>0.95</v>
      </c>
      <c r="U435">
        <v>0.95</v>
      </c>
    </row>
    <row r="436" spans="1:21" x14ac:dyDescent="0.35">
      <c r="A436" t="s">
        <v>22</v>
      </c>
      <c r="B436" t="s">
        <v>15</v>
      </c>
      <c r="C436" t="s">
        <v>56</v>
      </c>
      <c r="D436" t="s">
        <v>24</v>
      </c>
      <c r="E436" t="s">
        <v>24</v>
      </c>
      <c r="F436" t="s">
        <v>27</v>
      </c>
      <c r="G436">
        <v>2010</v>
      </c>
      <c r="H436" t="s">
        <v>24</v>
      </c>
      <c r="I436" t="s">
        <v>24</v>
      </c>
      <c r="J436" t="s">
        <v>24</v>
      </c>
      <c r="K436" t="s">
        <v>24</v>
      </c>
      <c r="L436">
        <v>0.95</v>
      </c>
      <c r="M436">
        <v>0.95</v>
      </c>
      <c r="N436">
        <v>0.95</v>
      </c>
      <c r="O436">
        <v>0.95</v>
      </c>
      <c r="P436">
        <v>0.95</v>
      </c>
      <c r="Q436">
        <v>0.95</v>
      </c>
      <c r="R436">
        <v>0.95</v>
      </c>
      <c r="S436">
        <v>0.95</v>
      </c>
      <c r="T436">
        <v>0.95</v>
      </c>
      <c r="U436">
        <v>0.95</v>
      </c>
    </row>
    <row r="437" spans="1:21" x14ac:dyDescent="0.35">
      <c r="A437" t="s">
        <v>22</v>
      </c>
      <c r="B437" t="s">
        <v>15</v>
      </c>
      <c r="C437" t="s">
        <v>57</v>
      </c>
      <c r="D437" t="s">
        <v>24</v>
      </c>
      <c r="E437" t="s">
        <v>24</v>
      </c>
      <c r="F437" t="s">
        <v>27</v>
      </c>
      <c r="G437">
        <v>2010</v>
      </c>
      <c r="H437" t="s">
        <v>24</v>
      </c>
      <c r="I437" t="s">
        <v>24</v>
      </c>
      <c r="J437" t="s">
        <v>24</v>
      </c>
      <c r="K437" t="s">
        <v>24</v>
      </c>
      <c r="L437">
        <v>0.95</v>
      </c>
      <c r="M437">
        <v>0.95</v>
      </c>
      <c r="N437">
        <v>0.95</v>
      </c>
      <c r="O437">
        <v>0.95</v>
      </c>
      <c r="P437">
        <v>0.95</v>
      </c>
      <c r="Q437">
        <v>0.95</v>
      </c>
      <c r="R437">
        <v>0.95</v>
      </c>
      <c r="S437">
        <v>0.95</v>
      </c>
      <c r="T437">
        <v>0.95</v>
      </c>
      <c r="U437">
        <v>0.95</v>
      </c>
    </row>
    <row r="438" spans="1:21" x14ac:dyDescent="0.35">
      <c r="A438" t="s">
        <v>22</v>
      </c>
      <c r="B438" t="s">
        <v>15</v>
      </c>
      <c r="C438" t="s">
        <v>58</v>
      </c>
      <c r="D438" t="s">
        <v>24</v>
      </c>
      <c r="E438" t="s">
        <v>24</v>
      </c>
      <c r="F438" t="s">
        <v>27</v>
      </c>
      <c r="G438">
        <v>2010</v>
      </c>
      <c r="H438" t="s">
        <v>24</v>
      </c>
      <c r="I438" t="s">
        <v>24</v>
      </c>
      <c r="J438" t="s">
        <v>24</v>
      </c>
      <c r="K438" t="s">
        <v>24</v>
      </c>
      <c r="L438">
        <v>0.95</v>
      </c>
      <c r="M438">
        <v>0.95</v>
      </c>
      <c r="N438">
        <v>0.95</v>
      </c>
      <c r="O438">
        <v>0.95</v>
      </c>
      <c r="P438">
        <v>0.95</v>
      </c>
      <c r="Q438">
        <v>0.95</v>
      </c>
      <c r="R438">
        <v>0.95</v>
      </c>
      <c r="S438">
        <v>0.95</v>
      </c>
      <c r="T438">
        <v>0.95</v>
      </c>
      <c r="U438">
        <v>0.95</v>
      </c>
    </row>
    <row r="439" spans="1:21" x14ac:dyDescent="0.35">
      <c r="A439" t="s">
        <v>22</v>
      </c>
      <c r="B439" t="s">
        <v>16</v>
      </c>
      <c r="C439" t="s">
        <v>85</v>
      </c>
      <c r="D439" t="s">
        <v>24</v>
      </c>
      <c r="E439" t="s">
        <v>24</v>
      </c>
      <c r="F439" t="s">
        <v>24</v>
      </c>
      <c r="H439" t="s">
        <v>24</v>
      </c>
      <c r="I439" t="s">
        <v>24</v>
      </c>
      <c r="J439" t="s">
        <v>24</v>
      </c>
      <c r="K439" t="s">
        <v>24</v>
      </c>
      <c r="M439">
        <v>31.536000000000001</v>
      </c>
      <c r="N439">
        <v>31.536000000000001</v>
      </c>
      <c r="O439">
        <v>31.536000000000001</v>
      </c>
      <c r="P439">
        <v>31.536000000000001</v>
      </c>
      <c r="Q439">
        <v>31.536000000000001</v>
      </c>
      <c r="R439">
        <v>31.536000000000001</v>
      </c>
      <c r="S439">
        <v>31.536000000000001</v>
      </c>
      <c r="T439">
        <v>31.536000000000001</v>
      </c>
      <c r="U439">
        <v>31.536000000000001</v>
      </c>
    </row>
    <row r="440" spans="1:21" x14ac:dyDescent="0.35">
      <c r="A440" t="s">
        <v>22</v>
      </c>
      <c r="B440" t="s">
        <v>16</v>
      </c>
      <c r="C440" t="s">
        <v>47</v>
      </c>
      <c r="D440" t="s">
        <v>24</v>
      </c>
      <c r="E440" t="s">
        <v>24</v>
      </c>
      <c r="F440" t="s">
        <v>24</v>
      </c>
      <c r="H440" t="s">
        <v>24</v>
      </c>
      <c r="I440" t="s">
        <v>24</v>
      </c>
      <c r="J440" t="s">
        <v>24</v>
      </c>
      <c r="K440" t="s">
        <v>24</v>
      </c>
      <c r="L440">
        <v>31.536000000000001</v>
      </c>
      <c r="M440">
        <v>31.536000000000001</v>
      </c>
      <c r="N440">
        <v>31.536000000000001</v>
      </c>
      <c r="O440">
        <v>31.536000000000001</v>
      </c>
      <c r="P440">
        <v>31.536000000000001</v>
      </c>
      <c r="Q440">
        <v>31.536000000000001</v>
      </c>
      <c r="R440">
        <v>31.536000000000001</v>
      </c>
      <c r="S440">
        <v>31.536000000000001</v>
      </c>
      <c r="T440">
        <v>31.536000000000001</v>
      </c>
      <c r="U440">
        <v>31.536000000000001</v>
      </c>
    </row>
    <row r="441" spans="1:21" x14ac:dyDescent="0.35">
      <c r="A441" t="s">
        <v>22</v>
      </c>
      <c r="B441" t="s">
        <v>16</v>
      </c>
      <c r="C441" t="s">
        <v>48</v>
      </c>
      <c r="D441" t="s">
        <v>24</v>
      </c>
      <c r="E441" t="s">
        <v>24</v>
      </c>
      <c r="F441" t="s">
        <v>24</v>
      </c>
      <c r="H441" t="s">
        <v>24</v>
      </c>
      <c r="I441" t="s">
        <v>24</v>
      </c>
      <c r="J441" t="s">
        <v>24</v>
      </c>
      <c r="K441" t="s">
        <v>24</v>
      </c>
      <c r="L441">
        <v>31.536000000000001</v>
      </c>
      <c r="M441">
        <v>31.536000000000001</v>
      </c>
      <c r="N441">
        <v>31.536000000000001</v>
      </c>
      <c r="O441">
        <v>31.536000000000001</v>
      </c>
      <c r="P441">
        <v>31.536000000000001</v>
      </c>
      <c r="Q441">
        <v>31.536000000000001</v>
      </c>
      <c r="R441">
        <v>31.536000000000001</v>
      </c>
      <c r="S441">
        <v>31.536000000000001</v>
      </c>
      <c r="T441">
        <v>31.536000000000001</v>
      </c>
      <c r="U441">
        <v>31.536000000000001</v>
      </c>
    </row>
    <row r="442" spans="1:21" x14ac:dyDescent="0.35">
      <c r="A442" t="s">
        <v>22</v>
      </c>
      <c r="B442" t="s">
        <v>16</v>
      </c>
      <c r="C442" t="s">
        <v>49</v>
      </c>
      <c r="D442" t="s">
        <v>24</v>
      </c>
      <c r="E442" t="s">
        <v>24</v>
      </c>
      <c r="F442" t="s">
        <v>24</v>
      </c>
      <c r="H442" t="s">
        <v>24</v>
      </c>
      <c r="I442" t="s">
        <v>24</v>
      </c>
      <c r="J442" t="s">
        <v>24</v>
      </c>
      <c r="K442" t="s">
        <v>24</v>
      </c>
      <c r="L442">
        <v>31.536000000000001</v>
      </c>
      <c r="M442">
        <v>31.536000000000001</v>
      </c>
      <c r="N442">
        <v>31.536000000000001</v>
      </c>
      <c r="O442">
        <v>31.536000000000001</v>
      </c>
      <c r="P442">
        <v>31.536000000000001</v>
      </c>
      <c r="Q442">
        <v>31.536000000000001</v>
      </c>
      <c r="R442">
        <v>31.536000000000001</v>
      </c>
      <c r="S442">
        <v>31.536000000000001</v>
      </c>
      <c r="T442">
        <v>31.536000000000001</v>
      </c>
      <c r="U442">
        <v>31.536000000000001</v>
      </c>
    </row>
    <row r="443" spans="1:21" x14ac:dyDescent="0.35">
      <c r="A443" t="s">
        <v>22</v>
      </c>
      <c r="B443" t="s">
        <v>16</v>
      </c>
      <c r="C443" t="s">
        <v>50</v>
      </c>
      <c r="D443" t="s">
        <v>24</v>
      </c>
      <c r="E443" t="s">
        <v>24</v>
      </c>
      <c r="F443" t="s">
        <v>24</v>
      </c>
      <c r="H443" t="s">
        <v>24</v>
      </c>
      <c r="I443" t="s">
        <v>24</v>
      </c>
      <c r="J443" t="s">
        <v>24</v>
      </c>
      <c r="K443" t="s">
        <v>24</v>
      </c>
      <c r="L443">
        <v>31.536000000000001</v>
      </c>
      <c r="M443">
        <v>31.536000000000001</v>
      </c>
      <c r="N443">
        <v>31.536000000000001</v>
      </c>
      <c r="O443">
        <v>31.536000000000001</v>
      </c>
      <c r="P443">
        <v>31.536000000000001</v>
      </c>
      <c r="Q443">
        <v>31.536000000000001</v>
      </c>
      <c r="R443">
        <v>31.536000000000001</v>
      </c>
      <c r="S443">
        <v>31.536000000000001</v>
      </c>
      <c r="T443">
        <v>31.536000000000001</v>
      </c>
      <c r="U443">
        <v>31.536000000000001</v>
      </c>
    </row>
    <row r="444" spans="1:21" x14ac:dyDescent="0.35">
      <c r="A444" t="s">
        <v>22</v>
      </c>
      <c r="B444" t="s">
        <v>16</v>
      </c>
      <c r="C444" t="s">
        <v>86</v>
      </c>
      <c r="D444" t="s">
        <v>24</v>
      </c>
      <c r="E444" t="s">
        <v>24</v>
      </c>
      <c r="F444" t="s">
        <v>24</v>
      </c>
      <c r="H444" t="s">
        <v>24</v>
      </c>
      <c r="I444" t="s">
        <v>24</v>
      </c>
      <c r="J444" t="s">
        <v>24</v>
      </c>
      <c r="K444" t="s">
        <v>24</v>
      </c>
      <c r="M444">
        <v>31.536000000000001</v>
      </c>
      <c r="N444">
        <v>31.536000000000001</v>
      </c>
      <c r="O444">
        <v>31.536000000000001</v>
      </c>
      <c r="P444">
        <v>31.536000000000001</v>
      </c>
      <c r="Q444">
        <v>31.536000000000001</v>
      </c>
      <c r="R444">
        <v>31.536000000000001</v>
      </c>
      <c r="S444">
        <v>31.536000000000001</v>
      </c>
      <c r="T444">
        <v>31.536000000000001</v>
      </c>
      <c r="U444">
        <v>31.536000000000001</v>
      </c>
    </row>
    <row r="445" spans="1:21" x14ac:dyDescent="0.35">
      <c r="A445" t="s">
        <v>22</v>
      </c>
      <c r="B445" t="s">
        <v>16</v>
      </c>
      <c r="C445" t="s">
        <v>51</v>
      </c>
      <c r="D445" t="s">
        <v>24</v>
      </c>
      <c r="E445" t="s">
        <v>24</v>
      </c>
      <c r="F445" t="s">
        <v>24</v>
      </c>
      <c r="H445" t="s">
        <v>24</v>
      </c>
      <c r="I445" t="s">
        <v>24</v>
      </c>
      <c r="J445" t="s">
        <v>24</v>
      </c>
      <c r="K445" t="s">
        <v>24</v>
      </c>
      <c r="L445">
        <v>31.536000000000001</v>
      </c>
      <c r="M445">
        <v>31.536000000000001</v>
      </c>
      <c r="N445">
        <v>31.536000000000001</v>
      </c>
      <c r="O445">
        <v>31.536000000000001</v>
      </c>
      <c r="P445">
        <v>31.536000000000001</v>
      </c>
      <c r="Q445">
        <v>31.536000000000001</v>
      </c>
      <c r="R445">
        <v>31.536000000000001</v>
      </c>
      <c r="S445">
        <v>31.536000000000001</v>
      </c>
      <c r="T445">
        <v>31.536000000000001</v>
      </c>
      <c r="U445">
        <v>31.536000000000001</v>
      </c>
    </row>
    <row r="446" spans="1:21" x14ac:dyDescent="0.35">
      <c r="A446" t="s">
        <v>22</v>
      </c>
      <c r="B446" t="s">
        <v>16</v>
      </c>
      <c r="C446" t="s">
        <v>52</v>
      </c>
      <c r="D446" t="s">
        <v>24</v>
      </c>
      <c r="E446" t="s">
        <v>24</v>
      </c>
      <c r="F446" t="s">
        <v>24</v>
      </c>
      <c r="H446" t="s">
        <v>24</v>
      </c>
      <c r="I446" t="s">
        <v>24</v>
      </c>
      <c r="J446" t="s">
        <v>24</v>
      </c>
      <c r="K446" t="s">
        <v>24</v>
      </c>
      <c r="L446">
        <v>31.536000000000001</v>
      </c>
      <c r="M446">
        <v>31.536000000000001</v>
      </c>
      <c r="N446">
        <v>31.536000000000001</v>
      </c>
      <c r="O446">
        <v>31.536000000000001</v>
      </c>
      <c r="P446">
        <v>31.536000000000001</v>
      </c>
      <c r="Q446">
        <v>31.536000000000001</v>
      </c>
      <c r="R446">
        <v>31.536000000000001</v>
      </c>
      <c r="S446">
        <v>31.536000000000001</v>
      </c>
      <c r="T446">
        <v>31.536000000000001</v>
      </c>
      <c r="U446">
        <v>31.536000000000001</v>
      </c>
    </row>
    <row r="447" spans="1:21" x14ac:dyDescent="0.35">
      <c r="A447" t="s">
        <v>22</v>
      </c>
      <c r="B447" t="s">
        <v>16</v>
      </c>
      <c r="C447" t="s">
        <v>53</v>
      </c>
      <c r="D447" t="s">
        <v>24</v>
      </c>
      <c r="E447" t="s">
        <v>24</v>
      </c>
      <c r="F447" t="s">
        <v>24</v>
      </c>
      <c r="H447" t="s">
        <v>24</v>
      </c>
      <c r="I447" t="s">
        <v>24</v>
      </c>
      <c r="J447" t="s">
        <v>24</v>
      </c>
      <c r="K447" t="s">
        <v>24</v>
      </c>
      <c r="L447">
        <v>31.536000000000001</v>
      </c>
      <c r="M447">
        <v>31.536000000000001</v>
      </c>
      <c r="N447">
        <v>31.536000000000001</v>
      </c>
      <c r="O447">
        <v>31.536000000000001</v>
      </c>
      <c r="P447">
        <v>31.536000000000001</v>
      </c>
      <c r="Q447">
        <v>31.536000000000001</v>
      </c>
      <c r="R447">
        <v>31.536000000000001</v>
      </c>
      <c r="S447">
        <v>31.536000000000001</v>
      </c>
      <c r="T447">
        <v>31.536000000000001</v>
      </c>
      <c r="U447">
        <v>31.536000000000001</v>
      </c>
    </row>
    <row r="448" spans="1:21" x14ac:dyDescent="0.35">
      <c r="A448" t="s">
        <v>22</v>
      </c>
      <c r="B448" t="s">
        <v>16</v>
      </c>
      <c r="C448" t="s">
        <v>54</v>
      </c>
      <c r="D448" t="s">
        <v>24</v>
      </c>
      <c r="E448" t="s">
        <v>24</v>
      </c>
      <c r="F448" t="s">
        <v>24</v>
      </c>
      <c r="H448" t="s">
        <v>24</v>
      </c>
      <c r="I448" t="s">
        <v>24</v>
      </c>
      <c r="J448" t="s">
        <v>24</v>
      </c>
      <c r="K448" t="s">
        <v>24</v>
      </c>
      <c r="L448">
        <v>31.536000000000001</v>
      </c>
      <c r="M448">
        <v>31.536000000000001</v>
      </c>
      <c r="N448">
        <v>31.536000000000001</v>
      </c>
      <c r="O448">
        <v>31.536000000000001</v>
      </c>
      <c r="P448">
        <v>31.536000000000001</v>
      </c>
      <c r="Q448">
        <v>31.536000000000001</v>
      </c>
      <c r="R448">
        <v>31.536000000000001</v>
      </c>
      <c r="S448">
        <v>31.536000000000001</v>
      </c>
      <c r="T448">
        <v>31.536000000000001</v>
      </c>
      <c r="U448">
        <v>31.536000000000001</v>
      </c>
    </row>
    <row r="449" spans="1:21" x14ac:dyDescent="0.35">
      <c r="A449" t="s">
        <v>22</v>
      </c>
      <c r="B449" t="s">
        <v>16</v>
      </c>
      <c r="C449" t="s">
        <v>87</v>
      </c>
      <c r="D449" t="s">
        <v>24</v>
      </c>
      <c r="E449" t="s">
        <v>24</v>
      </c>
      <c r="F449" t="s">
        <v>24</v>
      </c>
      <c r="H449" t="s">
        <v>24</v>
      </c>
      <c r="I449" t="s">
        <v>24</v>
      </c>
      <c r="J449" t="s">
        <v>24</v>
      </c>
      <c r="K449" t="s">
        <v>24</v>
      </c>
      <c r="M449">
        <v>31.536000000000001</v>
      </c>
      <c r="N449">
        <v>31.536000000000001</v>
      </c>
      <c r="O449">
        <v>31.536000000000001</v>
      </c>
      <c r="P449">
        <v>31.536000000000001</v>
      </c>
      <c r="Q449">
        <v>31.536000000000001</v>
      </c>
      <c r="R449">
        <v>31.536000000000001</v>
      </c>
      <c r="S449">
        <v>31.536000000000001</v>
      </c>
      <c r="T449">
        <v>31.536000000000001</v>
      </c>
      <c r="U449">
        <v>31.536000000000001</v>
      </c>
    </row>
    <row r="450" spans="1:21" x14ac:dyDescent="0.35">
      <c r="A450" t="s">
        <v>22</v>
      </c>
      <c r="B450" t="s">
        <v>16</v>
      </c>
      <c r="C450" t="s">
        <v>55</v>
      </c>
      <c r="D450" t="s">
        <v>24</v>
      </c>
      <c r="E450" t="s">
        <v>24</v>
      </c>
      <c r="F450" t="s">
        <v>24</v>
      </c>
      <c r="H450" t="s">
        <v>24</v>
      </c>
      <c r="I450" t="s">
        <v>24</v>
      </c>
      <c r="J450" t="s">
        <v>24</v>
      </c>
      <c r="K450" t="s">
        <v>24</v>
      </c>
      <c r="L450">
        <v>31.536000000000001</v>
      </c>
      <c r="M450">
        <v>31.536000000000001</v>
      </c>
      <c r="N450">
        <v>31.536000000000001</v>
      </c>
      <c r="O450">
        <v>31.536000000000001</v>
      </c>
      <c r="P450">
        <v>31.536000000000001</v>
      </c>
      <c r="Q450">
        <v>31.536000000000001</v>
      </c>
      <c r="R450">
        <v>31.536000000000001</v>
      </c>
      <c r="S450">
        <v>31.536000000000001</v>
      </c>
      <c r="T450">
        <v>31.536000000000001</v>
      </c>
      <c r="U450">
        <v>31.536000000000001</v>
      </c>
    </row>
    <row r="451" spans="1:21" x14ac:dyDescent="0.35">
      <c r="A451" t="s">
        <v>22</v>
      </c>
      <c r="B451" t="s">
        <v>16</v>
      </c>
      <c r="C451" t="s">
        <v>56</v>
      </c>
      <c r="D451" t="s">
        <v>24</v>
      </c>
      <c r="E451" t="s">
        <v>24</v>
      </c>
      <c r="F451" t="s">
        <v>24</v>
      </c>
      <c r="H451" t="s">
        <v>24</v>
      </c>
      <c r="I451" t="s">
        <v>24</v>
      </c>
      <c r="J451" t="s">
        <v>24</v>
      </c>
      <c r="K451" t="s">
        <v>24</v>
      </c>
      <c r="L451">
        <v>31.536000000000001</v>
      </c>
      <c r="M451">
        <v>31.536000000000001</v>
      </c>
      <c r="N451">
        <v>31.536000000000001</v>
      </c>
      <c r="O451">
        <v>31.536000000000001</v>
      </c>
      <c r="P451">
        <v>31.536000000000001</v>
      </c>
      <c r="Q451">
        <v>31.536000000000001</v>
      </c>
      <c r="R451">
        <v>31.536000000000001</v>
      </c>
      <c r="S451">
        <v>31.536000000000001</v>
      </c>
      <c r="T451">
        <v>31.536000000000001</v>
      </c>
      <c r="U451">
        <v>31.536000000000001</v>
      </c>
    </row>
    <row r="452" spans="1:21" x14ac:dyDescent="0.35">
      <c r="A452" t="s">
        <v>22</v>
      </c>
      <c r="B452" t="s">
        <v>16</v>
      </c>
      <c r="C452" t="s">
        <v>57</v>
      </c>
      <c r="D452" t="s">
        <v>24</v>
      </c>
      <c r="E452" t="s">
        <v>24</v>
      </c>
      <c r="F452" t="s">
        <v>24</v>
      </c>
      <c r="H452" t="s">
        <v>24</v>
      </c>
      <c r="I452" t="s">
        <v>24</v>
      </c>
      <c r="J452" t="s">
        <v>24</v>
      </c>
      <c r="K452" t="s">
        <v>24</v>
      </c>
      <c r="L452">
        <v>31.536000000000001</v>
      </c>
      <c r="M452">
        <v>31.536000000000001</v>
      </c>
      <c r="N452">
        <v>31.536000000000001</v>
      </c>
      <c r="O452">
        <v>31.536000000000001</v>
      </c>
      <c r="P452">
        <v>31.536000000000001</v>
      </c>
      <c r="Q452">
        <v>31.536000000000001</v>
      </c>
      <c r="R452">
        <v>31.536000000000001</v>
      </c>
      <c r="S452">
        <v>31.536000000000001</v>
      </c>
      <c r="T452">
        <v>31.536000000000001</v>
      </c>
      <c r="U452">
        <v>31.536000000000001</v>
      </c>
    </row>
    <row r="453" spans="1:21" x14ac:dyDescent="0.35">
      <c r="A453" t="s">
        <v>22</v>
      </c>
      <c r="B453" t="s">
        <v>16</v>
      </c>
      <c r="C453" t="s">
        <v>58</v>
      </c>
      <c r="D453" t="s">
        <v>24</v>
      </c>
      <c r="E453" t="s">
        <v>24</v>
      </c>
      <c r="F453" t="s">
        <v>24</v>
      </c>
      <c r="H453" t="s">
        <v>24</v>
      </c>
      <c r="I453" t="s">
        <v>24</v>
      </c>
      <c r="J453" t="s">
        <v>24</v>
      </c>
      <c r="K453" t="s">
        <v>24</v>
      </c>
      <c r="L453">
        <v>31.536000000000001</v>
      </c>
      <c r="M453">
        <v>31.536000000000001</v>
      </c>
      <c r="N453">
        <v>31.536000000000001</v>
      </c>
      <c r="O453">
        <v>31.536000000000001</v>
      </c>
      <c r="P453">
        <v>31.536000000000001</v>
      </c>
      <c r="Q453">
        <v>31.536000000000001</v>
      </c>
      <c r="R453">
        <v>31.536000000000001</v>
      </c>
      <c r="S453">
        <v>31.536000000000001</v>
      </c>
      <c r="T453">
        <v>31.536000000000001</v>
      </c>
      <c r="U453">
        <v>31.536000000000001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9E7A-042B-41B5-A02D-46F8B66BBAE2}">
  <dimension ref="C2:Z523"/>
  <sheetViews>
    <sheetView workbookViewId="0">
      <selection activeCell="M358" sqref="M358:V368"/>
    </sheetView>
  </sheetViews>
  <sheetFormatPr defaultRowHeight="14.5" x14ac:dyDescent="0.35"/>
  <cols>
    <col min="3" max="3" width="12.81640625" bestFit="1" customWidth="1"/>
    <col min="4" max="4" width="16.1796875" bestFit="1" customWidth="1"/>
    <col min="5" max="5" width="11.7265625" bestFit="1" customWidth="1"/>
    <col min="6" max="6" width="8.453125" bestFit="1" customWidth="1"/>
    <col min="7" max="7" width="9.54296875" bestFit="1" customWidth="1"/>
    <col min="8" max="8" width="5" bestFit="1" customWidth="1"/>
    <col min="9" max="9" width="14.26953125" bestFit="1" customWidth="1"/>
    <col min="10" max="10" width="6.54296875" bestFit="1" customWidth="1"/>
    <col min="11" max="11" width="5.81640625" bestFit="1" customWidth="1"/>
    <col min="12" max="12" width="5.26953125" bestFit="1" customWidth="1"/>
    <col min="13" max="21" width="7.54296875" bestFit="1" customWidth="1"/>
    <col min="24" max="24" width="16" bestFit="1" customWidth="1"/>
    <col min="25" max="25" width="11.7265625" bestFit="1" customWidth="1"/>
  </cols>
  <sheetData>
    <row r="2" spans="3:26" x14ac:dyDescent="0.35">
      <c r="C2" t="s">
        <v>37</v>
      </c>
    </row>
    <row r="3" spans="3:26" x14ac:dyDescent="0.35">
      <c r="C3" t="s">
        <v>2</v>
      </c>
      <c r="D3" t="s">
        <v>38</v>
      </c>
      <c r="E3" t="s">
        <v>39</v>
      </c>
      <c r="F3" t="s">
        <v>17</v>
      </c>
      <c r="G3" t="s">
        <v>18</v>
      </c>
      <c r="H3" t="s">
        <v>0</v>
      </c>
      <c r="I3" t="s">
        <v>40</v>
      </c>
      <c r="J3" t="s">
        <v>19</v>
      </c>
      <c r="K3" t="s">
        <v>20</v>
      </c>
      <c r="L3" t="s">
        <v>21</v>
      </c>
      <c r="M3" t="str">
        <f>BaseCoalPlants!L1</f>
        <v>R0</v>
      </c>
      <c r="N3" t="str">
        <f>BaseCoalPlants!M1</f>
        <v>R1</v>
      </c>
      <c r="O3" t="str">
        <f>BaseCoalPlants!N1</f>
        <v>R2</v>
      </c>
      <c r="P3" t="str">
        <f>BaseCoalPlants!O1</f>
        <v>R3</v>
      </c>
      <c r="Q3" t="str">
        <f>BaseCoalPlants!P1</f>
        <v>R4</v>
      </c>
      <c r="R3" t="str">
        <f>BaseCoalPlants!Q1</f>
        <v>R5</v>
      </c>
      <c r="S3" t="str">
        <f>BaseCoalPlants!R1</f>
        <v>R6</v>
      </c>
      <c r="T3" t="str">
        <f>BaseCoalPlants!S1</f>
        <v>R7</v>
      </c>
      <c r="U3" t="str">
        <f>BaseCoalPlants!T1</f>
        <v>R8</v>
      </c>
      <c r="V3" t="str">
        <f>BaseCoalPlants!U1</f>
        <v>R9</v>
      </c>
      <c r="X3" t="s">
        <v>2</v>
      </c>
      <c r="Y3" t="s">
        <v>38</v>
      </c>
      <c r="Z3" t="s">
        <v>5</v>
      </c>
    </row>
    <row r="4" spans="3:26" x14ac:dyDescent="0.35">
      <c r="C4" t="str">
        <f>IF(BaseCoalPlants!B3="VDA_FLOP",IF(BaseCoalPlants!D3="ELC","*","INPUT"),BaseCoalPlants!B3)</f>
        <v>ACT_COST</v>
      </c>
      <c r="D4" t="str">
        <f>IF(BaseCoalPlants!C3="","\I:",BaseCoalPlants!C3&amp;"_LE")</f>
        <v>ECSTMRBOO_LE</v>
      </c>
      <c r="E4" t="str">
        <f>IF(BaseCoalPlants!D3="-","",BaseCoalPlants!D3)</f>
        <v/>
      </c>
      <c r="F4" t="str">
        <f>IF(BaseCoalPlants!E3="-","",BaseCoalPlants!E3)</f>
        <v/>
      </c>
      <c r="G4" t="str">
        <f>IF(BaseCoalPlants!F3="-","",BaseCoalPlants!F3)</f>
        <v/>
      </c>
      <c r="H4">
        <f>IF(BaseCoalPlants!G3="-","",BaseCoalPlants!G3)</f>
        <v>2010</v>
      </c>
      <c r="I4" t="str">
        <f>IF(BaseCoalPlants!H3="-","",BaseCoalPlants!H3)</f>
        <v/>
      </c>
      <c r="J4" t="str">
        <f>IF(BaseCoalPlants!I3="-","",BaseCoalPlants!I3)</f>
        <v>USD05</v>
      </c>
      <c r="K4" t="str">
        <f>IF(BaseCoalPlants!J3="-","",BaseCoalPlants!J3)</f>
        <v/>
      </c>
      <c r="L4" t="str">
        <f>IF(BaseCoalPlants!K3="-","",BaseCoalPlants!K3)</f>
        <v/>
      </c>
      <c r="M4" s="1" t="str">
        <f>IF(BaseCoalPlants!L3=0,"",BaseCoalPlants!L3)</f>
        <v/>
      </c>
      <c r="N4" s="1">
        <f>IF(BaseCoalPlants!M3=0,"",BaseCoalPlants!M3)</f>
        <v>2.1194399737539</v>
      </c>
      <c r="O4" s="1">
        <f>IF(BaseCoalPlants!N3=0,"",BaseCoalPlants!N3)</f>
        <v>1.87676709932594</v>
      </c>
      <c r="P4" s="1">
        <f>IF(BaseCoalPlants!O3=0,"",BaseCoalPlants!O3)</f>
        <v>1.9392488358015201</v>
      </c>
      <c r="Q4" s="1">
        <f>IF(BaseCoalPlants!P3=0,"",BaseCoalPlants!P3)</f>
        <v>1.8405279837595201</v>
      </c>
      <c r="R4" s="1">
        <f>IF(BaseCoalPlants!Q3=0,"",BaseCoalPlants!Q3)</f>
        <v>1.63865272731829</v>
      </c>
      <c r="S4" s="1">
        <f>IF(BaseCoalPlants!R3=0,"",BaseCoalPlants!R3)</f>
        <v>1.72774133581471</v>
      </c>
      <c r="T4" s="1">
        <f>IF(BaseCoalPlants!S3=0,"",BaseCoalPlants!S3)</f>
        <v>1.8940161718552999</v>
      </c>
      <c r="U4" s="1">
        <f>IF(BaseCoalPlants!T3=0,"",BaseCoalPlants!T3)</f>
        <v>1.88497024610299</v>
      </c>
      <c r="V4" s="1">
        <f>IF(BaseCoalPlants!U3=0,"",BaseCoalPlants!U3)</f>
        <v>1.81960989010989</v>
      </c>
      <c r="X4" t="s">
        <v>71</v>
      </c>
      <c r="Y4" t="s">
        <v>72</v>
      </c>
      <c r="Z4">
        <v>2020</v>
      </c>
    </row>
    <row r="5" spans="3:26" x14ac:dyDescent="0.35">
      <c r="C5" t="str">
        <f>IF(BaseCoalPlants!B4="VDA_FLOP",IF(BaseCoalPlants!D4="ELC","*","INPUT"),BaseCoalPlants!B4)</f>
        <v>ACT_COST</v>
      </c>
      <c r="D5" t="str">
        <f>IF(BaseCoalPlants!C4="","\I:",BaseCoalPlants!C4&amp;"_LE")</f>
        <v>ECSTMRBOR_LE</v>
      </c>
      <c r="E5" t="str">
        <f>IF(BaseCoalPlants!D4="-","",BaseCoalPlants!D4)</f>
        <v/>
      </c>
      <c r="F5" t="str">
        <f>IF(BaseCoalPlants!E4="-","",BaseCoalPlants!E4)</f>
        <v/>
      </c>
      <c r="G5" t="str">
        <f>IF(BaseCoalPlants!F4="-","",BaseCoalPlants!F4)</f>
        <v/>
      </c>
      <c r="H5">
        <f>IF(BaseCoalPlants!G4="-","",BaseCoalPlants!G4)</f>
        <v>2010</v>
      </c>
      <c r="I5" t="str">
        <f>IF(BaseCoalPlants!H4="-","",BaseCoalPlants!H4)</f>
        <v/>
      </c>
      <c r="J5" t="str">
        <f>IF(BaseCoalPlants!I4="-","",BaseCoalPlants!I4)</f>
        <v>USD05</v>
      </c>
      <c r="K5" t="str">
        <f>IF(BaseCoalPlants!J4="-","",BaseCoalPlants!J4)</f>
        <v/>
      </c>
      <c r="L5" t="str">
        <f>IF(BaseCoalPlants!K4="-","",BaseCoalPlants!K4)</f>
        <v/>
      </c>
      <c r="M5" s="1" t="str">
        <f>IF(BaseCoalPlants!L4=0,"",BaseCoalPlants!L4)</f>
        <v/>
      </c>
      <c r="N5" s="1">
        <f>IF(BaseCoalPlants!M4=0,"",BaseCoalPlants!M4)</f>
        <v>2.1194399737539</v>
      </c>
      <c r="O5" s="1">
        <f>IF(BaseCoalPlants!N4=0,"",BaseCoalPlants!N4)</f>
        <v>1.87676709932594</v>
      </c>
      <c r="P5" s="1">
        <f>IF(BaseCoalPlants!O4=0,"",BaseCoalPlants!O4)</f>
        <v>1.9392488358015201</v>
      </c>
      <c r="Q5" s="1">
        <f>IF(BaseCoalPlants!P4=0,"",BaseCoalPlants!P4)</f>
        <v>1.8405279837595201</v>
      </c>
      <c r="R5" s="1">
        <f>IF(BaseCoalPlants!Q4=0,"",BaseCoalPlants!Q4)</f>
        <v>1.63865272731829</v>
      </c>
      <c r="S5" s="1">
        <f>IF(BaseCoalPlants!R4=0,"",BaseCoalPlants!R4)</f>
        <v>1.72774133581471</v>
      </c>
      <c r="T5" s="1">
        <f>IF(BaseCoalPlants!S4=0,"",BaseCoalPlants!S4)</f>
        <v>1.8940161718552999</v>
      </c>
      <c r="U5" s="1">
        <f>IF(BaseCoalPlants!T4=0,"",BaseCoalPlants!T4)</f>
        <v>1.88497024610299</v>
      </c>
      <c r="V5" s="1">
        <f>IF(BaseCoalPlants!U4=0,"",BaseCoalPlants!U4)</f>
        <v>1.81960989010989</v>
      </c>
    </row>
    <row r="6" spans="3:26" x14ac:dyDescent="0.35">
      <c r="C6" t="str">
        <f>IF(BaseCoalPlants!B5="VDA_FLOP",IF(BaseCoalPlants!D5="ELC","*","INPUT"),BaseCoalPlants!B5)</f>
        <v>ACT_COST</v>
      </c>
      <c r="D6" t="str">
        <f>IF(BaseCoalPlants!C5="","\I:",BaseCoalPlants!C5&amp;"_LE")</f>
        <v>ECSTMRBUO_LE</v>
      </c>
      <c r="E6" t="str">
        <f>IF(BaseCoalPlants!D5="-","",BaseCoalPlants!D5)</f>
        <v/>
      </c>
      <c r="F6" t="str">
        <f>IF(BaseCoalPlants!E5="-","",BaseCoalPlants!E5)</f>
        <v/>
      </c>
      <c r="G6" t="str">
        <f>IF(BaseCoalPlants!F5="-","",BaseCoalPlants!F5)</f>
        <v/>
      </c>
      <c r="H6">
        <f>IF(BaseCoalPlants!G5="-","",BaseCoalPlants!G5)</f>
        <v>2010</v>
      </c>
      <c r="I6" t="str">
        <f>IF(BaseCoalPlants!H5="-","",BaseCoalPlants!H5)</f>
        <v/>
      </c>
      <c r="J6" t="str">
        <f>IF(BaseCoalPlants!I5="-","",BaseCoalPlants!I5)</f>
        <v>USD05</v>
      </c>
      <c r="K6" t="str">
        <f>IF(BaseCoalPlants!J5="-","",BaseCoalPlants!J5)</f>
        <v/>
      </c>
      <c r="L6" t="str">
        <f>IF(BaseCoalPlants!K5="-","",BaseCoalPlants!K5)</f>
        <v/>
      </c>
      <c r="M6" s="1" t="str">
        <f>IF(BaseCoalPlants!L5=0,"",BaseCoalPlants!L5)</f>
        <v/>
      </c>
      <c r="N6" s="1">
        <f>IF(BaseCoalPlants!M5=0,"",BaseCoalPlants!M5)</f>
        <v>2.1194399737539</v>
      </c>
      <c r="O6" s="1">
        <f>IF(BaseCoalPlants!N5=0,"",BaseCoalPlants!N5)</f>
        <v>1.87676709932594</v>
      </c>
      <c r="P6" s="1">
        <f>IF(BaseCoalPlants!O5=0,"",BaseCoalPlants!O5)</f>
        <v>1.9392488358015201</v>
      </c>
      <c r="Q6" s="1">
        <f>IF(BaseCoalPlants!P5=0,"",BaseCoalPlants!P5)</f>
        <v>1.8405279837595201</v>
      </c>
      <c r="R6" s="1">
        <f>IF(BaseCoalPlants!Q5=0,"",BaseCoalPlants!Q5)</f>
        <v>1.63865272731829</v>
      </c>
      <c r="S6" s="1">
        <f>IF(BaseCoalPlants!R5=0,"",BaseCoalPlants!R5)</f>
        <v>1.72774133581471</v>
      </c>
      <c r="T6" s="1">
        <f>IF(BaseCoalPlants!S5=0,"",BaseCoalPlants!S5)</f>
        <v>1.8940161718552999</v>
      </c>
      <c r="U6" s="1">
        <f>IF(BaseCoalPlants!T5=0,"",BaseCoalPlants!T5)</f>
        <v>1.88497024610299</v>
      </c>
      <c r="V6" s="1">
        <f>IF(BaseCoalPlants!U5=0,"",BaseCoalPlants!U5)</f>
        <v>1.81960989010989</v>
      </c>
    </row>
    <row r="7" spans="3:26" x14ac:dyDescent="0.35">
      <c r="C7" t="str">
        <f>IF(BaseCoalPlants!B6="VDA_FLOP",IF(BaseCoalPlants!D6="ELC","*","INPUT"),BaseCoalPlants!B6)</f>
        <v>ACT_COST</v>
      </c>
      <c r="D7" t="str">
        <f>IF(BaseCoalPlants!C6="","\I:",BaseCoalPlants!C6&amp;"_LE")</f>
        <v>ECSTMRBUR_LE</v>
      </c>
      <c r="E7" t="str">
        <f>IF(BaseCoalPlants!D6="-","",BaseCoalPlants!D6)</f>
        <v/>
      </c>
      <c r="F7" t="str">
        <f>IF(BaseCoalPlants!E6="-","",BaseCoalPlants!E6)</f>
        <v/>
      </c>
      <c r="G7" t="str">
        <f>IF(BaseCoalPlants!F6="-","",BaseCoalPlants!F6)</f>
        <v/>
      </c>
      <c r="H7">
        <f>IF(BaseCoalPlants!G6="-","",BaseCoalPlants!G6)</f>
        <v>2010</v>
      </c>
      <c r="I7" t="str">
        <f>IF(BaseCoalPlants!H6="-","",BaseCoalPlants!H6)</f>
        <v/>
      </c>
      <c r="J7" t="str">
        <f>IF(BaseCoalPlants!I6="-","",BaseCoalPlants!I6)</f>
        <v>USD05</v>
      </c>
      <c r="K7" t="str">
        <f>IF(BaseCoalPlants!J6="-","",BaseCoalPlants!J6)</f>
        <v/>
      </c>
      <c r="L7" t="str">
        <f>IF(BaseCoalPlants!K6="-","",BaseCoalPlants!K6)</f>
        <v/>
      </c>
      <c r="M7" s="1" t="str">
        <f>IF(BaseCoalPlants!L6=0,"",BaseCoalPlants!L6)</f>
        <v/>
      </c>
      <c r="N7" s="1">
        <f>IF(BaseCoalPlants!M6=0,"",BaseCoalPlants!M6)</f>
        <v>2.1194399737539</v>
      </c>
      <c r="O7" s="1">
        <f>IF(BaseCoalPlants!N6=0,"",BaseCoalPlants!N6)</f>
        <v>1.87676709932594</v>
      </c>
      <c r="P7" s="1">
        <f>IF(BaseCoalPlants!O6=0,"",BaseCoalPlants!O6)</f>
        <v>1.9392488358015201</v>
      </c>
      <c r="Q7" s="1">
        <f>IF(BaseCoalPlants!P6=0,"",BaseCoalPlants!P6)</f>
        <v>1.8405279837595201</v>
      </c>
      <c r="R7" s="1">
        <f>IF(BaseCoalPlants!Q6=0,"",BaseCoalPlants!Q6)</f>
        <v>1.63865272731829</v>
      </c>
      <c r="S7" s="1">
        <f>IF(BaseCoalPlants!R6=0,"",BaseCoalPlants!R6)</f>
        <v>1.72774133581471</v>
      </c>
      <c r="T7" s="1">
        <f>IF(BaseCoalPlants!S6=0,"",BaseCoalPlants!S6)</f>
        <v>1.8940161718552999</v>
      </c>
      <c r="U7" s="1">
        <f>IF(BaseCoalPlants!T6=0,"",BaseCoalPlants!T6)</f>
        <v>1.88497024610299</v>
      </c>
      <c r="V7" s="1">
        <f>IF(BaseCoalPlants!U6=0,"",BaseCoalPlants!U6)</f>
        <v>1.81960989010989</v>
      </c>
    </row>
    <row r="8" spans="3:26" x14ac:dyDescent="0.35">
      <c r="C8" t="str">
        <f>IF(BaseCoalPlants!B8="VDA_FLOP",IF(BaseCoalPlants!D8="ELC","*","INPUT"),BaseCoalPlants!B8)</f>
        <v>ACT_COST</v>
      </c>
      <c r="D8" t="str">
        <f>IF(BaseCoalPlants!C8="","\I:",BaseCoalPlants!C8&amp;"_LE")</f>
        <v>ECSTMRLOO_LE</v>
      </c>
      <c r="E8" t="str">
        <f>IF(BaseCoalPlants!D8="-","",BaseCoalPlants!D8)</f>
        <v/>
      </c>
      <c r="F8" t="str">
        <f>IF(BaseCoalPlants!E8="-","",BaseCoalPlants!E8)</f>
        <v/>
      </c>
      <c r="G8" t="str">
        <f>IF(BaseCoalPlants!F8="-","",BaseCoalPlants!F8)</f>
        <v/>
      </c>
      <c r="H8">
        <f>IF(BaseCoalPlants!G8="-","",BaseCoalPlants!G8)</f>
        <v>2010</v>
      </c>
      <c r="I8" t="str">
        <f>IF(BaseCoalPlants!H8="-","",BaseCoalPlants!H8)</f>
        <v/>
      </c>
      <c r="J8" t="str">
        <f>IF(BaseCoalPlants!I8="-","",BaseCoalPlants!I8)</f>
        <v>USD05</v>
      </c>
      <c r="K8" t="str">
        <f>IF(BaseCoalPlants!J8="-","",BaseCoalPlants!J8)</f>
        <v/>
      </c>
      <c r="L8" t="str">
        <f>IF(BaseCoalPlants!K8="-","",BaseCoalPlants!K8)</f>
        <v/>
      </c>
      <c r="M8" s="1" t="str">
        <f>IF(BaseCoalPlants!L8=0,"",BaseCoalPlants!L8)</f>
        <v/>
      </c>
      <c r="N8" s="1">
        <f>IF(BaseCoalPlants!M8=0,"",BaseCoalPlants!M8)</f>
        <v>2.1194399737539</v>
      </c>
      <c r="O8" s="1">
        <f>IF(BaseCoalPlants!N8=0,"",BaseCoalPlants!N8)</f>
        <v>1.87676709932594</v>
      </c>
      <c r="P8" s="1">
        <f>IF(BaseCoalPlants!O8=0,"",BaseCoalPlants!O8)</f>
        <v>1.9392488358015201</v>
      </c>
      <c r="Q8" s="1">
        <f>IF(BaseCoalPlants!P8=0,"",BaseCoalPlants!P8)</f>
        <v>1.8405279837595201</v>
      </c>
      <c r="R8" s="1">
        <f>IF(BaseCoalPlants!Q8=0,"",BaseCoalPlants!Q8)</f>
        <v>1.63865272731829</v>
      </c>
      <c r="S8" s="1">
        <f>IF(BaseCoalPlants!R8=0,"",BaseCoalPlants!R8)</f>
        <v>1.72774133581471</v>
      </c>
      <c r="T8" s="1">
        <f>IF(BaseCoalPlants!S8=0,"",BaseCoalPlants!S8)</f>
        <v>1.8940161718552999</v>
      </c>
      <c r="U8" s="1">
        <f>IF(BaseCoalPlants!T8=0,"",BaseCoalPlants!T8)</f>
        <v>1.88497024610299</v>
      </c>
      <c r="V8" s="1">
        <f>IF(BaseCoalPlants!U8=0,"",BaseCoalPlants!U8)</f>
        <v>1.81960989010989</v>
      </c>
    </row>
    <row r="9" spans="3:26" x14ac:dyDescent="0.35">
      <c r="C9" t="str">
        <f>IF(BaseCoalPlants!B9="VDA_FLOP",IF(BaseCoalPlants!D9="ELC","*","INPUT"),BaseCoalPlants!B9)</f>
        <v>ACT_COST</v>
      </c>
      <c r="D9" t="str">
        <f>IF(BaseCoalPlants!C9="","\I:",BaseCoalPlants!C9&amp;"_LE")</f>
        <v>ECSTMRLOR_LE</v>
      </c>
      <c r="E9" t="str">
        <f>IF(BaseCoalPlants!D9="-","",BaseCoalPlants!D9)</f>
        <v/>
      </c>
      <c r="F9" t="str">
        <f>IF(BaseCoalPlants!E9="-","",BaseCoalPlants!E9)</f>
        <v/>
      </c>
      <c r="G9" t="str">
        <f>IF(BaseCoalPlants!F9="-","",BaseCoalPlants!F9)</f>
        <v/>
      </c>
      <c r="H9">
        <f>IF(BaseCoalPlants!G9="-","",BaseCoalPlants!G9)</f>
        <v>2010</v>
      </c>
      <c r="I9" t="str">
        <f>IF(BaseCoalPlants!H9="-","",BaseCoalPlants!H9)</f>
        <v/>
      </c>
      <c r="J9" t="str">
        <f>IF(BaseCoalPlants!I9="-","",BaseCoalPlants!I9)</f>
        <v>USD05</v>
      </c>
      <c r="K9" t="str">
        <f>IF(BaseCoalPlants!J9="-","",BaseCoalPlants!J9)</f>
        <v/>
      </c>
      <c r="L9" t="str">
        <f>IF(BaseCoalPlants!K9="-","",BaseCoalPlants!K9)</f>
        <v/>
      </c>
      <c r="M9" s="1" t="str">
        <f>IF(BaseCoalPlants!L9=0,"",BaseCoalPlants!L9)</f>
        <v/>
      </c>
      <c r="N9" s="1">
        <f>IF(BaseCoalPlants!M9=0,"",BaseCoalPlants!M9)</f>
        <v>2.1194399737539</v>
      </c>
      <c r="O9" s="1">
        <f>IF(BaseCoalPlants!N9=0,"",BaseCoalPlants!N9)</f>
        <v>1.87676709932594</v>
      </c>
      <c r="P9" s="1">
        <f>IF(BaseCoalPlants!O9=0,"",BaseCoalPlants!O9)</f>
        <v>1.9392488358015201</v>
      </c>
      <c r="Q9" s="1">
        <f>IF(BaseCoalPlants!P9=0,"",BaseCoalPlants!P9)</f>
        <v>1.8405279837595201</v>
      </c>
      <c r="R9" s="1">
        <f>IF(BaseCoalPlants!Q9=0,"",BaseCoalPlants!Q9)</f>
        <v>1.63865272731829</v>
      </c>
      <c r="S9" s="1">
        <f>IF(BaseCoalPlants!R9=0,"",BaseCoalPlants!R9)</f>
        <v>1.72774133581471</v>
      </c>
      <c r="T9" s="1">
        <f>IF(BaseCoalPlants!S9=0,"",BaseCoalPlants!S9)</f>
        <v>1.8940161718552999</v>
      </c>
      <c r="U9" s="1">
        <f>IF(BaseCoalPlants!T9=0,"",BaseCoalPlants!T9)</f>
        <v>1.88497024610299</v>
      </c>
      <c r="V9" s="1">
        <f>IF(BaseCoalPlants!U9=0,"",BaseCoalPlants!U9)</f>
        <v>1.81960989010989</v>
      </c>
    </row>
    <row r="10" spans="3:26" x14ac:dyDescent="0.35">
      <c r="C10" t="str">
        <f>IF(BaseCoalPlants!B10="VDA_FLOP",IF(BaseCoalPlants!D10="ELC","*","INPUT"),BaseCoalPlants!B10)</f>
        <v>ACT_COST</v>
      </c>
      <c r="D10" t="str">
        <f>IF(BaseCoalPlants!C10="","\I:",BaseCoalPlants!C10&amp;"_LE")</f>
        <v>ECSTMRLUO_LE</v>
      </c>
      <c r="E10" t="str">
        <f>IF(BaseCoalPlants!D10="-","",BaseCoalPlants!D10)</f>
        <v/>
      </c>
      <c r="F10" t="str">
        <f>IF(BaseCoalPlants!E10="-","",BaseCoalPlants!E10)</f>
        <v/>
      </c>
      <c r="G10" t="str">
        <f>IF(BaseCoalPlants!F10="-","",BaseCoalPlants!F10)</f>
        <v/>
      </c>
      <c r="H10">
        <f>IF(BaseCoalPlants!G10="-","",BaseCoalPlants!G10)</f>
        <v>2010</v>
      </c>
      <c r="I10" t="str">
        <f>IF(BaseCoalPlants!H10="-","",BaseCoalPlants!H10)</f>
        <v/>
      </c>
      <c r="J10" t="str">
        <f>IF(BaseCoalPlants!I10="-","",BaseCoalPlants!I10)</f>
        <v>USD05</v>
      </c>
      <c r="K10" t="str">
        <f>IF(BaseCoalPlants!J10="-","",BaseCoalPlants!J10)</f>
        <v/>
      </c>
      <c r="L10" t="str">
        <f>IF(BaseCoalPlants!K10="-","",BaseCoalPlants!K10)</f>
        <v/>
      </c>
      <c r="M10" s="1" t="str">
        <f>IF(BaseCoalPlants!L10=0,"",BaseCoalPlants!L10)</f>
        <v/>
      </c>
      <c r="N10" s="1">
        <f>IF(BaseCoalPlants!M10=0,"",BaseCoalPlants!M10)</f>
        <v>2.1194399737539</v>
      </c>
      <c r="O10" s="1">
        <f>IF(BaseCoalPlants!N10=0,"",BaseCoalPlants!N10)</f>
        <v>1.87676709932594</v>
      </c>
      <c r="P10" s="1">
        <f>IF(BaseCoalPlants!O10=0,"",BaseCoalPlants!O10)</f>
        <v>1.9392488358015201</v>
      </c>
      <c r="Q10" s="1">
        <f>IF(BaseCoalPlants!P10=0,"",BaseCoalPlants!P10)</f>
        <v>1.8405279837595201</v>
      </c>
      <c r="R10" s="1">
        <f>IF(BaseCoalPlants!Q10=0,"",BaseCoalPlants!Q10)</f>
        <v>1.63865272731829</v>
      </c>
      <c r="S10" s="1">
        <f>IF(BaseCoalPlants!R10=0,"",BaseCoalPlants!R10)</f>
        <v>1.72774133581471</v>
      </c>
      <c r="T10" s="1">
        <f>IF(BaseCoalPlants!S10=0,"",BaseCoalPlants!S10)</f>
        <v>1.8940161718552999</v>
      </c>
      <c r="U10" s="1">
        <f>IF(BaseCoalPlants!T10=0,"",BaseCoalPlants!T10)</f>
        <v>1.88497024610299</v>
      </c>
      <c r="V10" s="1">
        <f>IF(BaseCoalPlants!U10=0,"",BaseCoalPlants!U10)</f>
        <v>1.81960989010989</v>
      </c>
    </row>
    <row r="11" spans="3:26" x14ac:dyDescent="0.35">
      <c r="C11" t="str">
        <f>IF(BaseCoalPlants!B13="VDA_FLOP",IF(BaseCoalPlants!D13="ELC","*","INPUT"),BaseCoalPlants!B13)</f>
        <v>ACT_COST</v>
      </c>
      <c r="D11" t="str">
        <f>IF(BaseCoalPlants!C13="","\I:",BaseCoalPlants!C13&amp;"_LE")</f>
        <v>ECSTMRSOO_LE</v>
      </c>
      <c r="E11" t="str">
        <f>IF(BaseCoalPlants!D13="-","",BaseCoalPlants!D13)</f>
        <v/>
      </c>
      <c r="F11" t="str">
        <f>IF(BaseCoalPlants!E13="-","",BaseCoalPlants!E13)</f>
        <v/>
      </c>
      <c r="G11" t="str">
        <f>IF(BaseCoalPlants!F13="-","",BaseCoalPlants!F13)</f>
        <v/>
      </c>
      <c r="H11">
        <f>IF(BaseCoalPlants!G13="-","",BaseCoalPlants!G13)</f>
        <v>2010</v>
      </c>
      <c r="I11" t="str">
        <f>IF(BaseCoalPlants!H13="-","",BaseCoalPlants!H13)</f>
        <v/>
      </c>
      <c r="J11" t="str">
        <f>IF(BaseCoalPlants!I13="-","",BaseCoalPlants!I13)</f>
        <v>USD05</v>
      </c>
      <c r="K11" t="str">
        <f>IF(BaseCoalPlants!J13="-","",BaseCoalPlants!J13)</f>
        <v/>
      </c>
      <c r="L11" t="str">
        <f>IF(BaseCoalPlants!K13="-","",BaseCoalPlants!K13)</f>
        <v/>
      </c>
      <c r="M11" s="1" t="str">
        <f>IF(BaseCoalPlants!L13=0,"",BaseCoalPlants!L13)</f>
        <v/>
      </c>
      <c r="N11" s="1">
        <f>IF(BaseCoalPlants!M13=0,"",BaseCoalPlants!M13)</f>
        <v>2.1194399737539</v>
      </c>
      <c r="O11" s="1">
        <f>IF(BaseCoalPlants!N13=0,"",BaseCoalPlants!N13)</f>
        <v>1.87676709932594</v>
      </c>
      <c r="P11" s="1">
        <f>IF(BaseCoalPlants!O13=0,"",BaseCoalPlants!O13)</f>
        <v>1.9392488358015201</v>
      </c>
      <c r="Q11" s="1">
        <f>IF(BaseCoalPlants!P13=0,"",BaseCoalPlants!P13)</f>
        <v>1.8405279837595201</v>
      </c>
      <c r="R11" s="1">
        <f>IF(BaseCoalPlants!Q13=0,"",BaseCoalPlants!Q13)</f>
        <v>1.63865272731829</v>
      </c>
      <c r="S11" s="1">
        <f>IF(BaseCoalPlants!R13=0,"",BaseCoalPlants!R13)</f>
        <v>1.72774133581471</v>
      </c>
      <c r="T11" s="1">
        <f>IF(BaseCoalPlants!S13=0,"",BaseCoalPlants!S13)</f>
        <v>1.8940161718552999</v>
      </c>
      <c r="U11" s="1">
        <f>IF(BaseCoalPlants!T13=0,"",BaseCoalPlants!T13)</f>
        <v>1.88497024610299</v>
      </c>
      <c r="V11" s="1">
        <f>IF(BaseCoalPlants!U13=0,"",BaseCoalPlants!U13)</f>
        <v>1.81960989010989</v>
      </c>
    </row>
    <row r="12" spans="3:26" x14ac:dyDescent="0.35">
      <c r="C12" t="str">
        <f>IF(BaseCoalPlants!B14="VDA_FLOP",IF(BaseCoalPlants!D14="ELC","*","INPUT"),BaseCoalPlants!B14)</f>
        <v>ACT_COST</v>
      </c>
      <c r="D12" t="str">
        <f>IF(BaseCoalPlants!C14="","\I:",BaseCoalPlants!C14&amp;"_LE")</f>
        <v>ECSTMRSOR_LE</v>
      </c>
      <c r="E12" t="str">
        <f>IF(BaseCoalPlants!D14="-","",BaseCoalPlants!D14)</f>
        <v/>
      </c>
      <c r="F12" t="str">
        <f>IF(BaseCoalPlants!E14="-","",BaseCoalPlants!E14)</f>
        <v/>
      </c>
      <c r="G12" t="str">
        <f>IF(BaseCoalPlants!F14="-","",BaseCoalPlants!F14)</f>
        <v/>
      </c>
      <c r="H12">
        <f>IF(BaseCoalPlants!G14="-","",BaseCoalPlants!G14)</f>
        <v>2010</v>
      </c>
      <c r="I12" t="str">
        <f>IF(BaseCoalPlants!H14="-","",BaseCoalPlants!H14)</f>
        <v/>
      </c>
      <c r="J12" t="str">
        <f>IF(BaseCoalPlants!I14="-","",BaseCoalPlants!I14)</f>
        <v>USD05</v>
      </c>
      <c r="K12" t="str">
        <f>IF(BaseCoalPlants!J14="-","",BaseCoalPlants!J14)</f>
        <v/>
      </c>
      <c r="L12" t="str">
        <f>IF(BaseCoalPlants!K14="-","",BaseCoalPlants!K14)</f>
        <v/>
      </c>
      <c r="M12" s="1" t="str">
        <f>IF(BaseCoalPlants!L14=0,"",BaseCoalPlants!L14)</f>
        <v/>
      </c>
      <c r="N12" s="1">
        <f>IF(BaseCoalPlants!W14=0,"",BaseCoalPlants!W14)</f>
        <v>2.034662374803744</v>
      </c>
      <c r="O12" s="1">
        <f>IF(BaseCoalPlants!X14=0,"",BaseCoalPlants!X14)</f>
        <v>1.8016964153529023</v>
      </c>
      <c r="P12" s="1">
        <f>IF(BaseCoalPlants!Y14=0,"",BaseCoalPlants!Y14)</f>
        <v>1.8616788823694592</v>
      </c>
      <c r="Q12" s="1">
        <f>IF(BaseCoalPlants!Z14=0,"",BaseCoalPlants!Z14)</f>
        <v>1.7669068644091392</v>
      </c>
      <c r="R12" s="1">
        <f>IF(BaseCoalPlants!AA14=0,"",BaseCoalPlants!AA14)</f>
        <v>1.5731066182255584</v>
      </c>
      <c r="S12" s="1">
        <f>IF(BaseCoalPlants!AB14=0,"",BaseCoalPlants!AB14)</f>
        <v>1.6586316823821214</v>
      </c>
      <c r="T12" s="1">
        <f>IF(BaseCoalPlants!AC14=0,"",BaseCoalPlants!AC14)</f>
        <v>1.8182555249810879</v>
      </c>
      <c r="U12" s="1">
        <f>IF(BaseCoalPlants!AD14=0,"",BaseCoalPlants!AD14)</f>
        <v>1.8095714362588704</v>
      </c>
      <c r="V12" s="1">
        <f>IF(BaseCoalPlants!AE14=0,"",BaseCoalPlants!AE14)</f>
        <v>1.7468254945054944</v>
      </c>
    </row>
    <row r="13" spans="3:26" x14ac:dyDescent="0.35">
      <c r="C13" t="str">
        <f>IF(BaseCoalPlants!B15="VDA_FLOP",IF(BaseCoalPlants!D15="ELC","*","INPUT"),BaseCoalPlants!B15)</f>
        <v>ACT_COST</v>
      </c>
      <c r="D13" t="str">
        <f>IF(BaseCoalPlants!C15="","\I:",BaseCoalPlants!C15&amp;"_LE")</f>
        <v>ECSTMRSUO_LE</v>
      </c>
      <c r="E13" t="str">
        <f>IF(BaseCoalPlants!D15="-","",BaseCoalPlants!D15)</f>
        <v/>
      </c>
      <c r="F13" t="str">
        <f>IF(BaseCoalPlants!E15="-","",BaseCoalPlants!E15)</f>
        <v/>
      </c>
      <c r="G13" t="str">
        <f>IF(BaseCoalPlants!F15="-","",BaseCoalPlants!F15)</f>
        <v/>
      </c>
      <c r="H13">
        <f>IF(BaseCoalPlants!G15="-","",BaseCoalPlants!G15)</f>
        <v>2010</v>
      </c>
      <c r="I13" t="str">
        <f>IF(BaseCoalPlants!H15="-","",BaseCoalPlants!H15)</f>
        <v/>
      </c>
      <c r="J13" t="str">
        <f>IF(BaseCoalPlants!I15="-","",BaseCoalPlants!I15)</f>
        <v>USD05</v>
      </c>
      <c r="K13" t="str">
        <f>IF(BaseCoalPlants!J15="-","",BaseCoalPlants!J15)</f>
        <v/>
      </c>
      <c r="L13" t="str">
        <f>IF(BaseCoalPlants!K15="-","",BaseCoalPlants!K15)</f>
        <v/>
      </c>
      <c r="M13" s="1" t="str">
        <f>IF(BaseCoalPlants!L15=0,"",BaseCoalPlants!L15)</f>
        <v/>
      </c>
      <c r="N13" s="1">
        <f>IF(BaseCoalPlants!W15=0,"",BaseCoalPlants!W15)</f>
        <v>2.034662374803744</v>
      </c>
      <c r="O13" s="1">
        <f>IF(BaseCoalPlants!X15=0,"",BaseCoalPlants!X15)</f>
        <v>1.8016964153529023</v>
      </c>
      <c r="P13" s="1">
        <f>IF(BaseCoalPlants!Y15=0,"",BaseCoalPlants!Y15)</f>
        <v>1.8616788823694592</v>
      </c>
      <c r="Q13" s="1">
        <f>IF(BaseCoalPlants!Z15=0,"",BaseCoalPlants!Z15)</f>
        <v>1.7669068644091392</v>
      </c>
      <c r="R13" s="1">
        <f>IF(BaseCoalPlants!AA15=0,"",BaseCoalPlants!AA15)</f>
        <v>1.5731066182255584</v>
      </c>
      <c r="S13" s="1">
        <f>IF(BaseCoalPlants!AB15=0,"",BaseCoalPlants!AB15)</f>
        <v>1.6586316823821214</v>
      </c>
      <c r="T13" s="1">
        <f>IF(BaseCoalPlants!AC15=0,"",BaseCoalPlants!AC15)</f>
        <v>1.8182555249810879</v>
      </c>
      <c r="U13" s="1">
        <f>IF(BaseCoalPlants!AD15=0,"",BaseCoalPlants!AD15)</f>
        <v>1.8095714362588704</v>
      </c>
      <c r="V13" s="1">
        <f>IF(BaseCoalPlants!AE15=0,"",BaseCoalPlants!AE15)</f>
        <v>1.7468254945054944</v>
      </c>
    </row>
    <row r="14" spans="3:26" x14ac:dyDescent="0.35">
      <c r="C14" t="str">
        <f>IF(BaseCoalPlants!B16="VDA_FLOP",IF(BaseCoalPlants!D16="ELC","*","INPUT"),BaseCoalPlants!B16)</f>
        <v>ACT_COST</v>
      </c>
      <c r="D14" t="str">
        <f>IF(BaseCoalPlants!C16="","\I:",BaseCoalPlants!C16&amp;"_LE")</f>
        <v>ECSTMRSUR_LE</v>
      </c>
      <c r="E14" t="str">
        <f>IF(BaseCoalPlants!D16="-","",BaseCoalPlants!D16)</f>
        <v/>
      </c>
      <c r="F14" t="str">
        <f>IF(BaseCoalPlants!E16="-","",BaseCoalPlants!E16)</f>
        <v/>
      </c>
      <c r="G14" t="str">
        <f>IF(BaseCoalPlants!F16="-","",BaseCoalPlants!F16)</f>
        <v/>
      </c>
      <c r="H14">
        <f>IF(BaseCoalPlants!G16="-","",BaseCoalPlants!G16)</f>
        <v>2010</v>
      </c>
      <c r="I14" t="str">
        <f>IF(BaseCoalPlants!H16="-","",BaseCoalPlants!H16)</f>
        <v/>
      </c>
      <c r="J14" t="str">
        <f>IF(BaseCoalPlants!I16="-","",BaseCoalPlants!I16)</f>
        <v>USD05</v>
      </c>
      <c r="K14" t="str">
        <f>IF(BaseCoalPlants!J16="-","",BaseCoalPlants!J16)</f>
        <v/>
      </c>
      <c r="L14" t="str">
        <f>IF(BaseCoalPlants!K16="-","",BaseCoalPlants!K16)</f>
        <v/>
      </c>
      <c r="M14" s="1" t="str">
        <f>IF(BaseCoalPlants!L16=0,"",BaseCoalPlants!L16)</f>
        <v/>
      </c>
      <c r="N14" s="1">
        <f>IF(BaseCoalPlants!W16=0,"",BaseCoalPlants!W16)</f>
        <v>2.034662374803744</v>
      </c>
      <c r="O14" s="1">
        <f>IF(BaseCoalPlants!X16=0,"",BaseCoalPlants!X16)</f>
        <v>1.8016964153529023</v>
      </c>
      <c r="P14" s="1">
        <f>IF(BaseCoalPlants!Y16=0,"",BaseCoalPlants!Y16)</f>
        <v>1.8616788823694592</v>
      </c>
      <c r="Q14" s="1">
        <f>IF(BaseCoalPlants!Z16=0,"",BaseCoalPlants!Z16)</f>
        <v>1.7669068644091392</v>
      </c>
      <c r="R14" s="1">
        <f>IF(BaseCoalPlants!AA16=0,"",BaseCoalPlants!AA16)</f>
        <v>1.5731066182255584</v>
      </c>
      <c r="S14" s="1">
        <f>IF(BaseCoalPlants!AB16=0,"",BaseCoalPlants!AB16)</f>
        <v>1.6586316823821214</v>
      </c>
      <c r="T14" s="1">
        <f>IF(BaseCoalPlants!AC16=0,"",BaseCoalPlants!AC16)</f>
        <v>1.8182555249810879</v>
      </c>
      <c r="U14" s="1">
        <f>IF(BaseCoalPlants!AD16=0,"",BaseCoalPlants!AD16)</f>
        <v>1.8095714362588704</v>
      </c>
      <c r="V14" s="1">
        <f>IF(BaseCoalPlants!AE16=0,"",BaseCoalPlants!AE16)</f>
        <v>1.7468254945054944</v>
      </c>
    </row>
    <row r="15" spans="3:26" x14ac:dyDescent="0.35">
      <c r="C15" t="str">
        <f>IF(BaseCoalPlants!B17="VDA_FLOP",IF(BaseCoalPlants!D17="ELC","*","INPUT"),BaseCoalPlants!B17)</f>
        <v>EFF</v>
      </c>
      <c r="D15" t="str">
        <f>IF(BaseCoalPlants!C17="","\I:",BaseCoalPlants!C17&amp;"_LE")</f>
        <v>ECSTMRBOO_LE</v>
      </c>
      <c r="E15" t="str">
        <f>IF(BaseCoalPlants!D17="-","",BaseCoalPlants!D17)</f>
        <v/>
      </c>
      <c r="F15" t="str">
        <f>IF(BaseCoalPlants!E17="-","",BaseCoalPlants!E17)</f>
        <v/>
      </c>
      <c r="G15" t="str">
        <f>IF(BaseCoalPlants!F17="-","",BaseCoalPlants!F17)</f>
        <v>ANNUAL</v>
      </c>
      <c r="H15">
        <f>IF(BaseCoalPlants!G17="-","",BaseCoalPlants!G17)</f>
        <v>1950</v>
      </c>
      <c r="I15" t="str">
        <f>IF(BaseCoalPlants!H17="-","",BaseCoalPlants!H17)</f>
        <v/>
      </c>
      <c r="J15" t="str">
        <f>IF(BaseCoalPlants!I17="-","",BaseCoalPlants!I17)</f>
        <v/>
      </c>
      <c r="K15" t="str">
        <f>IF(BaseCoalPlants!J17="-","",BaseCoalPlants!J17)</f>
        <v/>
      </c>
      <c r="L15" t="str">
        <f>IF(BaseCoalPlants!K17="-","",BaseCoalPlants!K17)</f>
        <v/>
      </c>
      <c r="M15" s="1" t="str">
        <f>IF(BaseCoalPlants!L17=0,"",BaseCoalPlants!L17)</f>
        <v/>
      </c>
      <c r="N15" s="1" t="str">
        <f>IF(BaseCoalPlants!W17=0,"",BaseCoalPlants!W17)</f>
        <v/>
      </c>
      <c r="O15" s="1" t="str">
        <f>IF(BaseCoalPlants!X17=0,"",BaseCoalPlants!X17)</f>
        <v/>
      </c>
      <c r="P15" s="1" t="str">
        <f>IF(BaseCoalPlants!Y17=0,"",BaseCoalPlants!Y17)</f>
        <v/>
      </c>
      <c r="Q15" s="1" t="str">
        <f>IF(BaseCoalPlants!Z17=0,"",BaseCoalPlants!Z17)</f>
        <v/>
      </c>
      <c r="R15" s="1">
        <f>IF(BaseCoalPlants!AA17=0,"",BaseCoalPlants!AA17)</f>
        <v>0.32247176097713759</v>
      </c>
      <c r="S15" s="1" t="str">
        <f>IF(BaseCoalPlants!AB17=0,"",BaseCoalPlants!AB17)</f>
        <v/>
      </c>
      <c r="T15" s="1" t="str">
        <f>IF(BaseCoalPlants!AC17=0,"",BaseCoalPlants!AC17)</f>
        <v/>
      </c>
      <c r="U15" s="1" t="str">
        <f>IF(BaseCoalPlants!AD17=0,"",BaseCoalPlants!AD17)</f>
        <v/>
      </c>
      <c r="V15" s="1" t="str">
        <f>IF(BaseCoalPlants!AE17=0,"",BaseCoalPlants!AE17)</f>
        <v/>
      </c>
    </row>
    <row r="16" spans="3:26" x14ac:dyDescent="0.35">
      <c r="C16" t="str">
        <f>IF(BaseCoalPlants!B18="VDA_FLOP",IF(BaseCoalPlants!D18="ELC","*","INPUT"),BaseCoalPlants!B18)</f>
        <v>EFF</v>
      </c>
      <c r="D16" t="str">
        <f>IF(BaseCoalPlants!C18="","\I:",BaseCoalPlants!C18&amp;"_LE")</f>
        <v>ECSTMRBOO_LE</v>
      </c>
      <c r="E16" t="str">
        <f>IF(BaseCoalPlants!D18="-","",BaseCoalPlants!D18)</f>
        <v/>
      </c>
      <c r="F16" t="str">
        <f>IF(BaseCoalPlants!E18="-","",BaseCoalPlants!E18)</f>
        <v/>
      </c>
      <c r="G16" t="str">
        <f>IF(BaseCoalPlants!F18="-","",BaseCoalPlants!F18)</f>
        <v>ANNUAL</v>
      </c>
      <c r="H16">
        <f>IF(BaseCoalPlants!G18="-","",BaseCoalPlants!G18)</f>
        <v>1951</v>
      </c>
      <c r="I16" t="str">
        <f>IF(BaseCoalPlants!H18="-","",BaseCoalPlants!H18)</f>
        <v/>
      </c>
      <c r="J16" t="str">
        <f>IF(BaseCoalPlants!I18="-","",BaseCoalPlants!I18)</f>
        <v/>
      </c>
      <c r="K16" t="str">
        <f>IF(BaseCoalPlants!J18="-","",BaseCoalPlants!J18)</f>
        <v/>
      </c>
      <c r="L16" t="str">
        <f>IF(BaseCoalPlants!K18="-","",BaseCoalPlants!K18)</f>
        <v/>
      </c>
      <c r="M16" s="1" t="str">
        <f>IF(BaseCoalPlants!L18=0,"",BaseCoalPlants!L18)</f>
        <v/>
      </c>
      <c r="N16" s="1" t="str">
        <f>IF(BaseCoalPlants!W18=0,"",BaseCoalPlants!W18)</f>
        <v/>
      </c>
      <c r="O16" s="1" t="str">
        <f>IF(BaseCoalPlants!X18=0,"",BaseCoalPlants!X18)</f>
        <v/>
      </c>
      <c r="P16" s="1">
        <f>IF(BaseCoalPlants!Y18=0,"",BaseCoalPlants!Y18)</f>
        <v>0.30348613895555421</v>
      </c>
      <c r="Q16" s="1" t="str">
        <f>IF(BaseCoalPlants!Z18=0,"",BaseCoalPlants!Z18)</f>
        <v/>
      </c>
      <c r="R16" s="1">
        <f>IF(BaseCoalPlants!AA18=0,"",BaseCoalPlants!AA18)</f>
        <v>0.31315969746536348</v>
      </c>
      <c r="S16" s="1">
        <f>IF(BaseCoalPlants!AB18=0,"",BaseCoalPlants!AB18)</f>
        <v>0.27386358232488961</v>
      </c>
      <c r="T16" s="1" t="str">
        <f>IF(BaseCoalPlants!AC18=0,"",BaseCoalPlants!AC18)</f>
        <v/>
      </c>
      <c r="U16" s="1" t="str">
        <f>IF(BaseCoalPlants!AD18=0,"",BaseCoalPlants!AD18)</f>
        <v/>
      </c>
      <c r="V16" s="1" t="str">
        <f>IF(BaseCoalPlants!AE18=0,"",BaseCoalPlants!AE18)</f>
        <v/>
      </c>
    </row>
    <row r="17" spans="3:22" x14ac:dyDescent="0.35">
      <c r="C17" t="str">
        <f>IF(BaseCoalPlants!B19="VDA_FLOP",IF(BaseCoalPlants!D19="ELC","*","INPUT"),BaseCoalPlants!B19)</f>
        <v>EFF</v>
      </c>
      <c r="D17" t="str">
        <f>IF(BaseCoalPlants!C19="","\I:",BaseCoalPlants!C19&amp;"_LE")</f>
        <v>ECSTMRBOO_LE</v>
      </c>
      <c r="E17" t="str">
        <f>IF(BaseCoalPlants!D19="-","",BaseCoalPlants!D19)</f>
        <v/>
      </c>
      <c r="F17" t="str">
        <f>IF(BaseCoalPlants!E19="-","",BaseCoalPlants!E19)</f>
        <v/>
      </c>
      <c r="G17" t="str">
        <f>IF(BaseCoalPlants!F19="-","",BaseCoalPlants!F19)</f>
        <v>ANNUAL</v>
      </c>
      <c r="H17">
        <f>IF(BaseCoalPlants!G19="-","",BaseCoalPlants!G19)</f>
        <v>1952</v>
      </c>
      <c r="I17" t="str">
        <f>IF(BaseCoalPlants!H19="-","",BaseCoalPlants!H19)</f>
        <v/>
      </c>
      <c r="J17" t="str">
        <f>IF(BaseCoalPlants!I19="-","",BaseCoalPlants!I19)</f>
        <v/>
      </c>
      <c r="K17" t="str">
        <f>IF(BaseCoalPlants!J19="-","",BaseCoalPlants!J19)</f>
        <v/>
      </c>
      <c r="L17" t="str">
        <f>IF(BaseCoalPlants!K19="-","",BaseCoalPlants!K19)</f>
        <v/>
      </c>
      <c r="M17" s="1" t="str">
        <f>IF(BaseCoalPlants!L19=0,"",BaseCoalPlants!L19)</f>
        <v/>
      </c>
      <c r="N17" s="1" t="str">
        <f>IF(BaseCoalPlants!W19=0,"",BaseCoalPlants!W19)</f>
        <v/>
      </c>
      <c r="O17" s="1">
        <f>IF(BaseCoalPlants!X19=0,"",BaseCoalPlants!X19)</f>
        <v>0.31119340053584732</v>
      </c>
      <c r="P17" s="1">
        <f>IF(BaseCoalPlants!Y19=0,"",BaseCoalPlants!Y19)</f>
        <v>0.31248968652926207</v>
      </c>
      <c r="Q17" s="1" t="str">
        <f>IF(BaseCoalPlants!Z19=0,"",BaseCoalPlants!Z19)</f>
        <v/>
      </c>
      <c r="R17" s="1">
        <f>IF(BaseCoalPlants!AA19=0,"",BaseCoalPlants!AA19)</f>
        <v>0.31582782667961085</v>
      </c>
      <c r="S17" s="1">
        <f>IF(BaseCoalPlants!AB19=0,"",BaseCoalPlants!AB19)</f>
        <v>0.29470677297362208</v>
      </c>
      <c r="T17" s="1" t="str">
        <f>IF(BaseCoalPlants!AC19=0,"",BaseCoalPlants!AC19)</f>
        <v/>
      </c>
      <c r="U17" s="1" t="str">
        <f>IF(BaseCoalPlants!AD19=0,"",BaseCoalPlants!AD19)</f>
        <v/>
      </c>
      <c r="V17" s="1" t="str">
        <f>IF(BaseCoalPlants!AE19=0,"",BaseCoalPlants!AE19)</f>
        <v/>
      </c>
    </row>
    <row r="18" spans="3:22" x14ac:dyDescent="0.35">
      <c r="C18" t="str">
        <f>IF(BaseCoalPlants!B20="VDA_FLOP",IF(BaseCoalPlants!D20="ELC","*","INPUT"),BaseCoalPlants!B20)</f>
        <v>EFF</v>
      </c>
      <c r="D18" t="str">
        <f>IF(BaseCoalPlants!C20="","\I:",BaseCoalPlants!C20&amp;"_LE")</f>
        <v>ECSTMRBOO_LE</v>
      </c>
      <c r="E18" t="str">
        <f>IF(BaseCoalPlants!D20="-","",BaseCoalPlants!D20)</f>
        <v/>
      </c>
      <c r="F18" t="str">
        <f>IF(BaseCoalPlants!E20="-","",BaseCoalPlants!E20)</f>
        <v/>
      </c>
      <c r="G18" t="str">
        <f>IF(BaseCoalPlants!F20="-","",BaseCoalPlants!F20)</f>
        <v>ANNUAL</v>
      </c>
      <c r="H18">
        <f>IF(BaseCoalPlants!G20="-","",BaseCoalPlants!G20)</f>
        <v>1953</v>
      </c>
      <c r="I18" t="str">
        <f>IF(BaseCoalPlants!H20="-","",BaseCoalPlants!H20)</f>
        <v/>
      </c>
      <c r="J18" t="str">
        <f>IF(BaseCoalPlants!I20="-","",BaseCoalPlants!I20)</f>
        <v/>
      </c>
      <c r="K18" t="str">
        <f>IF(BaseCoalPlants!J20="-","",BaseCoalPlants!J20)</f>
        <v/>
      </c>
      <c r="L18" t="str">
        <f>IF(BaseCoalPlants!K20="-","",BaseCoalPlants!K20)</f>
        <v/>
      </c>
      <c r="M18" s="1" t="str">
        <f>IF(BaseCoalPlants!L20=0,"",BaseCoalPlants!L20)</f>
        <v/>
      </c>
      <c r="N18" s="1" t="str">
        <f>IF(BaseCoalPlants!W20=0,"",BaseCoalPlants!W20)</f>
        <v/>
      </c>
      <c r="O18" s="1">
        <f>IF(BaseCoalPlants!X20=0,"",BaseCoalPlants!X20)</f>
        <v>0.3005242198842854</v>
      </c>
      <c r="P18" s="1">
        <f>IF(BaseCoalPlants!Y20=0,"",BaseCoalPlants!Y20)</f>
        <v>0.3144997488370061</v>
      </c>
      <c r="Q18" s="1" t="str">
        <f>IF(BaseCoalPlants!Z20=0,"",BaseCoalPlants!Z20)</f>
        <v/>
      </c>
      <c r="R18" s="1">
        <f>IF(BaseCoalPlants!AA20=0,"",BaseCoalPlants!AA20)</f>
        <v>0.32385357895101696</v>
      </c>
      <c r="S18" s="1">
        <f>IF(BaseCoalPlants!AB20=0,"",BaseCoalPlants!AB20)</f>
        <v>0.31480286436925053</v>
      </c>
      <c r="T18" s="1" t="str">
        <f>IF(BaseCoalPlants!AC20=0,"",BaseCoalPlants!AC20)</f>
        <v/>
      </c>
      <c r="U18" s="1" t="str">
        <f>IF(BaseCoalPlants!AD20=0,"",BaseCoalPlants!AD20)</f>
        <v/>
      </c>
      <c r="V18" s="1" t="str">
        <f>IF(BaseCoalPlants!AE20=0,"",BaseCoalPlants!AE20)</f>
        <v/>
      </c>
    </row>
    <row r="19" spans="3:22" x14ac:dyDescent="0.35">
      <c r="C19" t="str">
        <f>IF(BaseCoalPlants!B21="VDA_FLOP",IF(BaseCoalPlants!D21="ELC","*","INPUT"),BaseCoalPlants!B21)</f>
        <v>EFF</v>
      </c>
      <c r="D19" t="str">
        <f>IF(BaseCoalPlants!C21="","\I:",BaseCoalPlants!C21&amp;"_LE")</f>
        <v>ECSTMRBOO_LE</v>
      </c>
      <c r="E19" t="str">
        <f>IF(BaseCoalPlants!D21="-","",BaseCoalPlants!D21)</f>
        <v/>
      </c>
      <c r="F19" t="str">
        <f>IF(BaseCoalPlants!E21="-","",BaseCoalPlants!E21)</f>
        <v/>
      </c>
      <c r="G19" t="str">
        <f>IF(BaseCoalPlants!F21="-","",BaseCoalPlants!F21)</f>
        <v>ANNUAL</v>
      </c>
      <c r="H19">
        <f>IF(BaseCoalPlants!G21="-","",BaseCoalPlants!G21)</f>
        <v>1954</v>
      </c>
      <c r="I19" t="str">
        <f>IF(BaseCoalPlants!H21="-","",BaseCoalPlants!H21)</f>
        <v/>
      </c>
      <c r="J19" t="str">
        <f>IF(BaseCoalPlants!I21="-","",BaseCoalPlants!I21)</f>
        <v/>
      </c>
      <c r="K19" t="str">
        <f>IF(BaseCoalPlants!J21="-","",BaseCoalPlants!J21)</f>
        <v/>
      </c>
      <c r="L19" t="str">
        <f>IF(BaseCoalPlants!K21="-","",BaseCoalPlants!K21)</f>
        <v/>
      </c>
      <c r="M19" s="1" t="str">
        <f>IF(BaseCoalPlants!L21=0,"",BaseCoalPlants!L21)</f>
        <v/>
      </c>
      <c r="N19" s="1" t="str">
        <f>IF(BaseCoalPlants!W21=0,"",BaseCoalPlants!W21)</f>
        <v/>
      </c>
      <c r="O19" s="1">
        <f>IF(BaseCoalPlants!X21=0,"",BaseCoalPlants!X21)</f>
        <v>0.30501487964295165</v>
      </c>
      <c r="P19" s="1">
        <f>IF(BaseCoalPlants!Y21=0,"",BaseCoalPlants!Y21)</f>
        <v>0.31820229990594912</v>
      </c>
      <c r="Q19" s="1" t="str">
        <f>IF(BaseCoalPlants!Z21=0,"",BaseCoalPlants!Z21)</f>
        <v/>
      </c>
      <c r="R19" s="1">
        <f>IF(BaseCoalPlants!AA21=0,"",BaseCoalPlants!AA21)</f>
        <v>0.3145556174902665</v>
      </c>
      <c r="S19" s="1">
        <f>IF(BaseCoalPlants!AB21=0,"",BaseCoalPlants!AB21)</f>
        <v>0.32219097992356799</v>
      </c>
      <c r="T19" s="1" t="str">
        <f>IF(BaseCoalPlants!AC21=0,"",BaseCoalPlants!AC21)</f>
        <v/>
      </c>
      <c r="U19" s="1" t="str">
        <f>IF(BaseCoalPlants!AD21=0,"",BaseCoalPlants!AD21)</f>
        <v/>
      </c>
      <c r="V19" s="1" t="str">
        <f>IF(BaseCoalPlants!AE21=0,"",BaseCoalPlants!AE21)</f>
        <v/>
      </c>
    </row>
    <row r="20" spans="3:22" x14ac:dyDescent="0.35">
      <c r="C20" t="str">
        <f>IF(BaseCoalPlants!B22="VDA_FLOP",IF(BaseCoalPlants!D22="ELC","*","INPUT"),BaseCoalPlants!B22)</f>
        <v>EFF</v>
      </c>
      <c r="D20" t="str">
        <f>IF(BaseCoalPlants!C22="","\I:",BaseCoalPlants!C22&amp;"_LE")</f>
        <v>ECSTMRBOO_LE</v>
      </c>
      <c r="E20" t="str">
        <f>IF(BaseCoalPlants!D22="-","",BaseCoalPlants!D22)</f>
        <v/>
      </c>
      <c r="F20" t="str">
        <f>IF(BaseCoalPlants!E22="-","",BaseCoalPlants!E22)</f>
        <v/>
      </c>
      <c r="G20" t="str">
        <f>IF(BaseCoalPlants!F22="-","",BaseCoalPlants!F22)</f>
        <v>ANNUAL</v>
      </c>
      <c r="H20">
        <f>IF(BaseCoalPlants!G22="-","",BaseCoalPlants!G22)</f>
        <v>1955</v>
      </c>
      <c r="I20" t="str">
        <f>IF(BaseCoalPlants!H22="-","",BaseCoalPlants!H22)</f>
        <v/>
      </c>
      <c r="J20" t="str">
        <f>IF(BaseCoalPlants!I22="-","",BaseCoalPlants!I22)</f>
        <v/>
      </c>
      <c r="K20" t="str">
        <f>IF(BaseCoalPlants!J22="-","",BaseCoalPlants!J22)</f>
        <v/>
      </c>
      <c r="L20" t="str">
        <f>IF(BaseCoalPlants!K22="-","",BaseCoalPlants!K22)</f>
        <v/>
      </c>
      <c r="M20" s="1" t="str">
        <f>IF(BaseCoalPlants!L22=0,"",BaseCoalPlants!L22)</f>
        <v/>
      </c>
      <c r="N20" s="1" t="str">
        <f>IF(BaseCoalPlants!W22=0,"",BaseCoalPlants!W22)</f>
        <v/>
      </c>
      <c r="O20" s="1">
        <f>IF(BaseCoalPlants!X22=0,"",BaseCoalPlants!X22)</f>
        <v>0.33092528375454622</v>
      </c>
      <c r="P20" s="1">
        <f>IF(BaseCoalPlants!Y22=0,"",BaseCoalPlants!Y22)</f>
        <v>0.32545510962038782</v>
      </c>
      <c r="Q20" s="1" t="str">
        <f>IF(BaseCoalPlants!Z22=0,"",BaseCoalPlants!Z22)</f>
        <v/>
      </c>
      <c r="R20" s="1">
        <f>IF(BaseCoalPlants!AA22=0,"",BaseCoalPlants!AA22)</f>
        <v>0.31942821278629729</v>
      </c>
      <c r="S20" s="1">
        <f>IF(BaseCoalPlants!AB22=0,"",BaseCoalPlants!AB22)</f>
        <v>0.32414022719971775</v>
      </c>
      <c r="T20" s="1" t="str">
        <f>IF(BaseCoalPlants!AC22=0,"",BaseCoalPlants!AC22)</f>
        <v/>
      </c>
      <c r="U20" s="1" t="str">
        <f>IF(BaseCoalPlants!AD22=0,"",BaseCoalPlants!AD22)</f>
        <v/>
      </c>
      <c r="V20" s="1" t="str">
        <f>IF(BaseCoalPlants!AE22=0,"",BaseCoalPlants!AE22)</f>
        <v/>
      </c>
    </row>
    <row r="21" spans="3:22" x14ac:dyDescent="0.35">
      <c r="C21" t="str">
        <f>IF(BaseCoalPlants!B23="VDA_FLOP",IF(BaseCoalPlants!D23="ELC","*","INPUT"),BaseCoalPlants!B23)</f>
        <v>EFF</v>
      </c>
      <c r="D21" t="str">
        <f>IF(BaseCoalPlants!C23="","\I:",BaseCoalPlants!C23&amp;"_LE")</f>
        <v>ECSTMRBOO_LE</v>
      </c>
      <c r="E21" t="str">
        <f>IF(BaseCoalPlants!D23="-","",BaseCoalPlants!D23)</f>
        <v/>
      </c>
      <c r="F21" t="str">
        <f>IF(BaseCoalPlants!E23="-","",BaseCoalPlants!E23)</f>
        <v/>
      </c>
      <c r="G21" t="str">
        <f>IF(BaseCoalPlants!F23="-","",BaseCoalPlants!F23)</f>
        <v>ANNUAL</v>
      </c>
      <c r="H21">
        <f>IF(BaseCoalPlants!G23="-","",BaseCoalPlants!G23)</f>
        <v>1956</v>
      </c>
      <c r="I21" t="str">
        <f>IF(BaseCoalPlants!H23="-","",BaseCoalPlants!H23)</f>
        <v/>
      </c>
      <c r="J21" t="str">
        <f>IF(BaseCoalPlants!I23="-","",BaseCoalPlants!I23)</f>
        <v/>
      </c>
      <c r="K21" t="str">
        <f>IF(BaseCoalPlants!J23="-","",BaseCoalPlants!J23)</f>
        <v/>
      </c>
      <c r="L21" t="str">
        <f>IF(BaseCoalPlants!K23="-","",BaseCoalPlants!K23)</f>
        <v/>
      </c>
      <c r="M21" s="1" t="str">
        <f>IF(BaseCoalPlants!L23=0,"",BaseCoalPlants!L23)</f>
        <v/>
      </c>
      <c r="N21" s="1" t="str">
        <f>IF(BaseCoalPlants!W23=0,"",BaseCoalPlants!W23)</f>
        <v/>
      </c>
      <c r="O21" s="1" t="str">
        <f>IF(BaseCoalPlants!X23=0,"",BaseCoalPlants!X23)</f>
        <v/>
      </c>
      <c r="P21" s="1" t="str">
        <f>IF(BaseCoalPlants!Y23=0,"",BaseCoalPlants!Y23)</f>
        <v/>
      </c>
      <c r="Q21" s="1" t="str">
        <f>IF(BaseCoalPlants!Z23=0,"",BaseCoalPlants!Z23)</f>
        <v/>
      </c>
      <c r="R21" s="1">
        <f>IF(BaseCoalPlants!AA23=0,"",BaseCoalPlants!AA23)</f>
        <v>0.32584325331179709</v>
      </c>
      <c r="S21" s="1">
        <f>IF(BaseCoalPlants!AB23=0,"",BaseCoalPlants!AB23)</f>
        <v>0.33445313041188096</v>
      </c>
      <c r="T21" s="1" t="str">
        <f>IF(BaseCoalPlants!AC23=0,"",BaseCoalPlants!AC23)</f>
        <v/>
      </c>
      <c r="U21" s="1" t="str">
        <f>IF(BaseCoalPlants!AD23=0,"",BaseCoalPlants!AD23)</f>
        <v/>
      </c>
      <c r="V21" s="1" t="str">
        <f>IF(BaseCoalPlants!AE23=0,"",BaseCoalPlants!AE23)</f>
        <v/>
      </c>
    </row>
    <row r="22" spans="3:22" x14ac:dyDescent="0.35">
      <c r="C22" t="str">
        <f>IF(BaseCoalPlants!B24="VDA_FLOP",IF(BaseCoalPlants!D24="ELC","*","INPUT"),BaseCoalPlants!B24)</f>
        <v>EFF</v>
      </c>
      <c r="D22" t="str">
        <f>IF(BaseCoalPlants!C24="","\I:",BaseCoalPlants!C24&amp;"_LE")</f>
        <v>ECSTMRBOO_LE</v>
      </c>
      <c r="E22" t="str">
        <f>IF(BaseCoalPlants!D24="-","",BaseCoalPlants!D24)</f>
        <v/>
      </c>
      <c r="F22" t="str">
        <f>IF(BaseCoalPlants!E24="-","",BaseCoalPlants!E24)</f>
        <v/>
      </c>
      <c r="G22" t="str">
        <f>IF(BaseCoalPlants!F24="-","",BaseCoalPlants!F24)</f>
        <v>ANNUAL</v>
      </c>
      <c r="H22">
        <f>IF(BaseCoalPlants!G24="-","",BaseCoalPlants!G24)</f>
        <v>1957</v>
      </c>
      <c r="I22" t="str">
        <f>IF(BaseCoalPlants!H24="-","",BaseCoalPlants!H24)</f>
        <v/>
      </c>
      <c r="J22" t="str">
        <f>IF(BaseCoalPlants!I24="-","",BaseCoalPlants!I24)</f>
        <v/>
      </c>
      <c r="K22" t="str">
        <f>IF(BaseCoalPlants!J24="-","",BaseCoalPlants!J24)</f>
        <v/>
      </c>
      <c r="L22" t="str">
        <f>IF(BaseCoalPlants!K24="-","",BaseCoalPlants!K24)</f>
        <v/>
      </c>
      <c r="M22" s="1" t="str">
        <f>IF(BaseCoalPlants!L24=0,"",BaseCoalPlants!L24)</f>
        <v/>
      </c>
      <c r="N22" s="1" t="str">
        <f>IF(BaseCoalPlants!W24=0,"",BaseCoalPlants!W24)</f>
        <v/>
      </c>
      <c r="O22" s="1" t="str">
        <f>IF(BaseCoalPlants!X24=0,"",BaseCoalPlants!X24)</f>
        <v/>
      </c>
      <c r="P22" s="1">
        <f>IF(BaseCoalPlants!Y24=0,"",BaseCoalPlants!Y24)</f>
        <v>0.34008969894051549</v>
      </c>
      <c r="Q22" s="1" t="str">
        <f>IF(BaseCoalPlants!Z24=0,"",BaseCoalPlants!Z24)</f>
        <v/>
      </c>
      <c r="R22" s="1">
        <f>IF(BaseCoalPlants!AA24=0,"",BaseCoalPlants!AA24)</f>
        <v>0.32945315250416157</v>
      </c>
      <c r="S22" s="1">
        <f>IF(BaseCoalPlants!AB24=0,"",BaseCoalPlants!AB24)</f>
        <v>0.33152812305295581</v>
      </c>
      <c r="T22" s="1" t="str">
        <f>IF(BaseCoalPlants!AC24=0,"",BaseCoalPlants!AC24)</f>
        <v/>
      </c>
      <c r="U22" s="1" t="str">
        <f>IF(BaseCoalPlants!AD24=0,"",BaseCoalPlants!AD24)</f>
        <v/>
      </c>
      <c r="V22" s="1" t="str">
        <f>IF(BaseCoalPlants!AE24=0,"",BaseCoalPlants!AE24)</f>
        <v/>
      </c>
    </row>
    <row r="23" spans="3:22" x14ac:dyDescent="0.35">
      <c r="C23" t="str">
        <f>IF(BaseCoalPlants!B25="VDA_FLOP",IF(BaseCoalPlants!D25="ELC","*","INPUT"),BaseCoalPlants!B25)</f>
        <v>EFF</v>
      </c>
      <c r="D23" t="str">
        <f>IF(BaseCoalPlants!C25="","\I:",BaseCoalPlants!C25&amp;"_LE")</f>
        <v>ECSTMRBOO_LE</v>
      </c>
      <c r="E23" t="str">
        <f>IF(BaseCoalPlants!D25="-","",BaseCoalPlants!D25)</f>
        <v/>
      </c>
      <c r="F23" t="str">
        <f>IF(BaseCoalPlants!E25="-","",BaseCoalPlants!E25)</f>
        <v/>
      </c>
      <c r="G23" t="str">
        <f>IF(BaseCoalPlants!F25="-","",BaseCoalPlants!F25)</f>
        <v>ANNUAL</v>
      </c>
      <c r="H23">
        <f>IF(BaseCoalPlants!G25="-","",BaseCoalPlants!G25)</f>
        <v>1958</v>
      </c>
      <c r="I23" t="str">
        <f>IF(BaseCoalPlants!H25="-","",BaseCoalPlants!H25)</f>
        <v/>
      </c>
      <c r="J23" t="str">
        <f>IF(BaseCoalPlants!I25="-","",BaseCoalPlants!I25)</f>
        <v/>
      </c>
      <c r="K23" t="str">
        <f>IF(BaseCoalPlants!J25="-","",BaseCoalPlants!J25)</f>
        <v/>
      </c>
      <c r="L23" t="str">
        <f>IF(BaseCoalPlants!K25="-","",BaseCoalPlants!K25)</f>
        <v/>
      </c>
      <c r="M23" s="1" t="str">
        <f>IF(BaseCoalPlants!L25=0,"",BaseCoalPlants!L25)</f>
        <v/>
      </c>
      <c r="N23" s="1">
        <f>IF(BaseCoalPlants!W25=0,"",BaseCoalPlants!W25)</f>
        <v>0.31142022852802176</v>
      </c>
      <c r="O23" s="1">
        <f>IF(BaseCoalPlants!X25=0,"",BaseCoalPlants!X25)</f>
        <v>0.32930894083099388</v>
      </c>
      <c r="P23" s="1">
        <f>IF(BaseCoalPlants!Y25=0,"",BaseCoalPlants!Y25)</f>
        <v>0.34174027315224575</v>
      </c>
      <c r="Q23" s="1" t="str">
        <f>IF(BaseCoalPlants!Z25=0,"",BaseCoalPlants!Z25)</f>
        <v/>
      </c>
      <c r="R23" s="1">
        <f>IF(BaseCoalPlants!AA25=0,"",BaseCoalPlants!AA25)</f>
        <v>0.32147926372724828</v>
      </c>
      <c r="S23" s="1">
        <f>IF(BaseCoalPlants!AB25=0,"",BaseCoalPlants!AB25)</f>
        <v>0.32972620584448986</v>
      </c>
      <c r="T23" s="1" t="str">
        <f>IF(BaseCoalPlants!AC25=0,"",BaseCoalPlants!AC25)</f>
        <v/>
      </c>
      <c r="U23" s="1" t="str">
        <f>IF(BaseCoalPlants!AD25=0,"",BaseCoalPlants!AD25)</f>
        <v/>
      </c>
      <c r="V23" s="1" t="str">
        <f>IF(BaseCoalPlants!AE25=0,"",BaseCoalPlants!AE25)</f>
        <v/>
      </c>
    </row>
    <row r="24" spans="3:22" x14ac:dyDescent="0.35">
      <c r="C24" t="str">
        <f>IF(BaseCoalPlants!B26="VDA_FLOP",IF(BaseCoalPlants!D26="ELC","*","INPUT"),BaseCoalPlants!B26)</f>
        <v>EFF</v>
      </c>
      <c r="D24" t="str">
        <f>IF(BaseCoalPlants!C26="","\I:",BaseCoalPlants!C26&amp;"_LE")</f>
        <v>ECSTMRBOO_LE</v>
      </c>
      <c r="E24" t="str">
        <f>IF(BaseCoalPlants!D26="-","",BaseCoalPlants!D26)</f>
        <v/>
      </c>
      <c r="F24" t="str">
        <f>IF(BaseCoalPlants!E26="-","",BaseCoalPlants!E26)</f>
        <v/>
      </c>
      <c r="G24" t="str">
        <f>IF(BaseCoalPlants!F26="-","",BaseCoalPlants!F26)</f>
        <v>ANNUAL</v>
      </c>
      <c r="H24">
        <f>IF(BaseCoalPlants!G26="-","",BaseCoalPlants!G26)</f>
        <v>1959</v>
      </c>
      <c r="I24" t="str">
        <f>IF(BaseCoalPlants!H26="-","",BaseCoalPlants!H26)</f>
        <v/>
      </c>
      <c r="J24" t="str">
        <f>IF(BaseCoalPlants!I26="-","",BaseCoalPlants!I26)</f>
        <v/>
      </c>
      <c r="K24" t="str">
        <f>IF(BaseCoalPlants!J26="-","",BaseCoalPlants!J26)</f>
        <v/>
      </c>
      <c r="L24" t="str">
        <f>IF(BaseCoalPlants!K26="-","",BaseCoalPlants!K26)</f>
        <v/>
      </c>
      <c r="M24" s="1" t="str">
        <f>IF(BaseCoalPlants!L26=0,"",BaseCoalPlants!L26)</f>
        <v/>
      </c>
      <c r="N24" s="1" t="str">
        <f>IF(BaseCoalPlants!W26=0,"",BaseCoalPlants!W26)</f>
        <v/>
      </c>
      <c r="O24" s="1">
        <f>IF(BaseCoalPlants!X26=0,"",BaseCoalPlants!X26)</f>
        <v>0.31521006090974785</v>
      </c>
      <c r="P24" s="1">
        <f>IF(BaseCoalPlants!Y26=0,"",BaseCoalPlants!Y26)</f>
        <v>0.32037255360407424</v>
      </c>
      <c r="Q24" s="1" t="str">
        <f>IF(BaseCoalPlants!Z26=0,"",BaseCoalPlants!Z26)</f>
        <v/>
      </c>
      <c r="R24" s="1">
        <f>IF(BaseCoalPlants!AA26=0,"",BaseCoalPlants!AA26)</f>
        <v>0.31996604601347517</v>
      </c>
      <c r="S24" s="1">
        <f>IF(BaseCoalPlants!AB26=0,"",BaseCoalPlants!AB26)</f>
        <v>0.33505573352220763</v>
      </c>
      <c r="T24" s="1" t="str">
        <f>IF(BaseCoalPlants!AC26=0,"",BaseCoalPlants!AC26)</f>
        <v/>
      </c>
      <c r="U24" s="1" t="str">
        <f>IF(BaseCoalPlants!AD26=0,"",BaseCoalPlants!AD26)</f>
        <v/>
      </c>
      <c r="V24" s="1" t="str">
        <f>IF(BaseCoalPlants!AE26=0,"",BaseCoalPlants!AE26)</f>
        <v/>
      </c>
    </row>
    <row r="25" spans="3:22" x14ac:dyDescent="0.35">
      <c r="C25" t="str">
        <f>IF(BaseCoalPlants!B27="VDA_FLOP",IF(BaseCoalPlants!D27="ELC","*","INPUT"),BaseCoalPlants!B27)</f>
        <v>EFF</v>
      </c>
      <c r="D25" t="str">
        <f>IF(BaseCoalPlants!C27="","\I:",BaseCoalPlants!C27&amp;"_LE")</f>
        <v>ECSTMRBOO_LE</v>
      </c>
      <c r="E25" t="str">
        <f>IF(BaseCoalPlants!D27="-","",BaseCoalPlants!D27)</f>
        <v/>
      </c>
      <c r="F25" t="str">
        <f>IF(BaseCoalPlants!E27="-","",BaseCoalPlants!E27)</f>
        <v/>
      </c>
      <c r="G25" t="str">
        <f>IF(BaseCoalPlants!F27="-","",BaseCoalPlants!F27)</f>
        <v>ANNUAL</v>
      </c>
      <c r="H25">
        <f>IF(BaseCoalPlants!G27="-","",BaseCoalPlants!G27)</f>
        <v>1960</v>
      </c>
      <c r="I25" t="str">
        <f>IF(BaseCoalPlants!H27="-","",BaseCoalPlants!H27)</f>
        <v/>
      </c>
      <c r="J25" t="str">
        <f>IF(BaseCoalPlants!I27="-","",BaseCoalPlants!I27)</f>
        <v/>
      </c>
      <c r="K25" t="str">
        <f>IF(BaseCoalPlants!J27="-","",BaseCoalPlants!J27)</f>
        <v/>
      </c>
      <c r="L25" t="str">
        <f>IF(BaseCoalPlants!K27="-","",BaseCoalPlants!K27)</f>
        <v/>
      </c>
      <c r="M25" s="1" t="str">
        <f>IF(BaseCoalPlants!L27=0,"",BaseCoalPlants!L27)</f>
        <v/>
      </c>
      <c r="N25" s="1">
        <f>IF(BaseCoalPlants!W27=0,"",BaseCoalPlants!W27)</f>
        <v>0.29202091584412126</v>
      </c>
      <c r="O25" s="1">
        <f>IF(BaseCoalPlants!X27=0,"",BaseCoalPlants!X27)</f>
        <v>0.32565949186261539</v>
      </c>
      <c r="P25" s="1">
        <f>IF(BaseCoalPlants!Y27=0,"",BaseCoalPlants!Y27)</f>
        <v>0.32186522878881219</v>
      </c>
      <c r="Q25" s="1" t="str">
        <f>IF(BaseCoalPlants!Z27=0,"",BaseCoalPlants!Z27)</f>
        <v/>
      </c>
      <c r="R25" s="1">
        <f>IF(BaseCoalPlants!AA27=0,"",BaseCoalPlants!AA27)</f>
        <v>0.31185641146906273</v>
      </c>
      <c r="S25" s="1" t="str">
        <f>IF(BaseCoalPlants!AB27=0,"",BaseCoalPlants!AB27)</f>
        <v/>
      </c>
      <c r="T25" s="1" t="str">
        <f>IF(BaseCoalPlants!AC27=0,"",BaseCoalPlants!AC27)</f>
        <v/>
      </c>
      <c r="U25" s="1" t="str">
        <f>IF(BaseCoalPlants!AD27=0,"",BaseCoalPlants!AD27)</f>
        <v/>
      </c>
      <c r="V25" s="1" t="str">
        <f>IF(BaseCoalPlants!AE27=0,"",BaseCoalPlants!AE27)</f>
        <v/>
      </c>
    </row>
    <row r="26" spans="3:22" x14ac:dyDescent="0.35">
      <c r="C26" t="str">
        <f>IF(BaseCoalPlants!B28="VDA_FLOP",IF(BaseCoalPlants!D28="ELC","*","INPUT"),BaseCoalPlants!B28)</f>
        <v>EFF</v>
      </c>
      <c r="D26" t="str">
        <f>IF(BaseCoalPlants!C28="","\I:",BaseCoalPlants!C28&amp;"_LE")</f>
        <v>ECSTMRBOO_LE</v>
      </c>
      <c r="E26" t="str">
        <f>IF(BaseCoalPlants!D28="-","",BaseCoalPlants!D28)</f>
        <v/>
      </c>
      <c r="F26" t="str">
        <f>IF(BaseCoalPlants!E28="-","",BaseCoalPlants!E28)</f>
        <v/>
      </c>
      <c r="G26" t="str">
        <f>IF(BaseCoalPlants!F28="-","",BaseCoalPlants!F28)</f>
        <v>ANNUAL</v>
      </c>
      <c r="H26">
        <f>IF(BaseCoalPlants!G28="-","",BaseCoalPlants!G28)</f>
        <v>1961</v>
      </c>
      <c r="I26" t="str">
        <f>IF(BaseCoalPlants!H28="-","",BaseCoalPlants!H28)</f>
        <v/>
      </c>
      <c r="J26" t="str">
        <f>IF(BaseCoalPlants!I28="-","",BaseCoalPlants!I28)</f>
        <v/>
      </c>
      <c r="K26" t="str">
        <f>IF(BaseCoalPlants!J28="-","",BaseCoalPlants!J28)</f>
        <v/>
      </c>
      <c r="L26" t="str">
        <f>IF(BaseCoalPlants!K28="-","",BaseCoalPlants!K28)</f>
        <v/>
      </c>
      <c r="M26" s="1" t="str">
        <f>IF(BaseCoalPlants!L28=0,"",BaseCoalPlants!L28)</f>
        <v/>
      </c>
      <c r="N26" s="1" t="str">
        <f>IF(BaseCoalPlants!W28=0,"",BaseCoalPlants!W28)</f>
        <v/>
      </c>
      <c r="O26" s="1">
        <f>IF(BaseCoalPlants!X28=0,"",BaseCoalPlants!X28)</f>
        <v>0.34992961097653918</v>
      </c>
      <c r="P26" s="1">
        <f>IF(BaseCoalPlants!Y28=0,"",BaseCoalPlants!Y28)</f>
        <v>0.31811682357030913</v>
      </c>
      <c r="Q26" s="1" t="str">
        <f>IF(BaseCoalPlants!Z28=0,"",BaseCoalPlants!Z28)</f>
        <v/>
      </c>
      <c r="R26" s="1">
        <f>IF(BaseCoalPlants!AA28=0,"",BaseCoalPlants!AA28)</f>
        <v>0.32324999809162558</v>
      </c>
      <c r="S26" s="1">
        <f>IF(BaseCoalPlants!AB28=0,"",BaseCoalPlants!AB28)</f>
        <v>0.32379454224436705</v>
      </c>
      <c r="T26" s="1" t="str">
        <f>IF(BaseCoalPlants!AC28=0,"",BaseCoalPlants!AC28)</f>
        <v/>
      </c>
      <c r="U26" s="1" t="str">
        <f>IF(BaseCoalPlants!AD28=0,"",BaseCoalPlants!AD28)</f>
        <v/>
      </c>
      <c r="V26" s="1" t="str">
        <f>IF(BaseCoalPlants!AE28=0,"",BaseCoalPlants!AE28)</f>
        <v/>
      </c>
    </row>
    <row r="27" spans="3:22" x14ac:dyDescent="0.35">
      <c r="C27" t="str">
        <f>IF(BaseCoalPlants!B29="VDA_FLOP",IF(BaseCoalPlants!D29="ELC","*","INPUT"),BaseCoalPlants!B29)</f>
        <v>EFF</v>
      </c>
      <c r="D27" t="str">
        <f>IF(BaseCoalPlants!C29="","\I:",BaseCoalPlants!C29&amp;"_LE")</f>
        <v>ECSTMRBOO_LE</v>
      </c>
      <c r="E27" t="str">
        <f>IF(BaseCoalPlants!D29="-","",BaseCoalPlants!D29)</f>
        <v/>
      </c>
      <c r="F27" t="str">
        <f>IF(BaseCoalPlants!E29="-","",BaseCoalPlants!E29)</f>
        <v/>
      </c>
      <c r="G27" t="str">
        <f>IF(BaseCoalPlants!F29="-","",BaseCoalPlants!F29)</f>
        <v>ANNUAL</v>
      </c>
      <c r="H27">
        <f>IF(BaseCoalPlants!G29="-","",BaseCoalPlants!G29)</f>
        <v>1962</v>
      </c>
      <c r="I27" t="str">
        <f>IF(BaseCoalPlants!H29="-","",BaseCoalPlants!H29)</f>
        <v/>
      </c>
      <c r="J27" t="str">
        <f>IF(BaseCoalPlants!I29="-","",BaseCoalPlants!I29)</f>
        <v/>
      </c>
      <c r="K27" t="str">
        <f>IF(BaseCoalPlants!J29="-","",BaseCoalPlants!J29)</f>
        <v/>
      </c>
      <c r="L27" t="str">
        <f>IF(BaseCoalPlants!K29="-","",BaseCoalPlants!K29)</f>
        <v/>
      </c>
      <c r="M27" s="1" t="str">
        <f>IF(BaseCoalPlants!L29=0,"",BaseCoalPlants!L29)</f>
        <v/>
      </c>
      <c r="N27" s="1" t="str">
        <f>IF(BaseCoalPlants!W29=0,"",BaseCoalPlants!W29)</f>
        <v/>
      </c>
      <c r="O27" s="1">
        <f>IF(BaseCoalPlants!X29=0,"",BaseCoalPlants!X29)</f>
        <v>0.31879949802529056</v>
      </c>
      <c r="P27" s="1">
        <f>IF(BaseCoalPlants!Y29=0,"",BaseCoalPlants!Y29)</f>
        <v>0.32159547604126371</v>
      </c>
      <c r="Q27" s="1" t="str">
        <f>IF(BaseCoalPlants!Z29=0,"",BaseCoalPlants!Z29)</f>
        <v/>
      </c>
      <c r="R27" s="1">
        <f>IF(BaseCoalPlants!AA29=0,"",BaseCoalPlants!AA29)</f>
        <v>0.31780783835011006</v>
      </c>
      <c r="S27" s="1">
        <f>IF(BaseCoalPlants!AB29=0,"",BaseCoalPlants!AB29)</f>
        <v>0.30119799410502524</v>
      </c>
      <c r="T27" s="1" t="str">
        <f>IF(BaseCoalPlants!AC29=0,"",BaseCoalPlants!AC29)</f>
        <v/>
      </c>
      <c r="U27" s="1" t="str">
        <f>IF(BaseCoalPlants!AD29=0,"",BaseCoalPlants!AD29)</f>
        <v/>
      </c>
      <c r="V27" s="1" t="str">
        <f>IF(BaseCoalPlants!AE29=0,"",BaseCoalPlants!AE29)</f>
        <v/>
      </c>
    </row>
    <row r="28" spans="3:22" x14ac:dyDescent="0.35">
      <c r="C28" t="str">
        <f>IF(BaseCoalPlants!B30="VDA_FLOP",IF(BaseCoalPlants!D30="ELC","*","INPUT"),BaseCoalPlants!B30)</f>
        <v>EFF</v>
      </c>
      <c r="D28" t="str">
        <f>IF(BaseCoalPlants!C30="","\I:",BaseCoalPlants!C30&amp;"_LE")</f>
        <v>ECSTMRBOO_LE</v>
      </c>
      <c r="E28" t="str">
        <f>IF(BaseCoalPlants!D30="-","",BaseCoalPlants!D30)</f>
        <v/>
      </c>
      <c r="F28" t="str">
        <f>IF(BaseCoalPlants!E30="-","",BaseCoalPlants!E30)</f>
        <v/>
      </c>
      <c r="G28" t="str">
        <f>IF(BaseCoalPlants!F30="-","",BaseCoalPlants!F30)</f>
        <v>ANNUAL</v>
      </c>
      <c r="H28">
        <f>IF(BaseCoalPlants!G30="-","",BaseCoalPlants!G30)</f>
        <v>1963</v>
      </c>
      <c r="I28" t="str">
        <f>IF(BaseCoalPlants!H30="-","",BaseCoalPlants!H30)</f>
        <v/>
      </c>
      <c r="J28" t="str">
        <f>IF(BaseCoalPlants!I30="-","",BaseCoalPlants!I30)</f>
        <v/>
      </c>
      <c r="K28" t="str">
        <f>IF(BaseCoalPlants!J30="-","",BaseCoalPlants!J30)</f>
        <v/>
      </c>
      <c r="L28" t="str">
        <f>IF(BaseCoalPlants!K30="-","",BaseCoalPlants!K30)</f>
        <v/>
      </c>
      <c r="M28" s="1" t="str">
        <f>IF(BaseCoalPlants!L30=0,"",BaseCoalPlants!L30)</f>
        <v/>
      </c>
      <c r="N28" s="1">
        <f>IF(BaseCoalPlants!W30=0,"",BaseCoalPlants!W30)</f>
        <v>0.35958610141451808</v>
      </c>
      <c r="O28" s="1">
        <f>IF(BaseCoalPlants!X30=0,"",BaseCoalPlants!X30)</f>
        <v>0.314953310632272</v>
      </c>
      <c r="P28" s="1" t="str">
        <f>IF(BaseCoalPlants!Y30=0,"",BaseCoalPlants!Y30)</f>
        <v/>
      </c>
      <c r="Q28" s="1" t="str">
        <f>IF(BaseCoalPlants!Z30=0,"",BaseCoalPlants!Z30)</f>
        <v/>
      </c>
      <c r="R28" s="1">
        <f>IF(BaseCoalPlants!AA30=0,"",BaseCoalPlants!AA30)</f>
        <v>0.32993208363916604</v>
      </c>
      <c r="S28" s="1" t="str">
        <f>IF(BaseCoalPlants!AB30=0,"",BaseCoalPlants!AB30)</f>
        <v/>
      </c>
      <c r="T28" s="1" t="str">
        <f>IF(BaseCoalPlants!AC30=0,"",BaseCoalPlants!AC30)</f>
        <v/>
      </c>
      <c r="U28" s="1" t="str">
        <f>IF(BaseCoalPlants!AD30=0,"",BaseCoalPlants!AD30)</f>
        <v/>
      </c>
      <c r="V28" s="1" t="str">
        <f>IF(BaseCoalPlants!AE30=0,"",BaseCoalPlants!AE30)</f>
        <v/>
      </c>
    </row>
    <row r="29" spans="3:22" x14ac:dyDescent="0.35">
      <c r="C29" t="str">
        <f>IF(BaseCoalPlants!B31="VDA_FLOP",IF(BaseCoalPlants!D31="ELC","*","INPUT"),BaseCoalPlants!B31)</f>
        <v>EFF</v>
      </c>
      <c r="D29" t="str">
        <f>IF(BaseCoalPlants!C31="","\I:",BaseCoalPlants!C31&amp;"_LE")</f>
        <v>ECSTMRBOO_LE</v>
      </c>
      <c r="E29" t="str">
        <f>IF(BaseCoalPlants!D31="-","",BaseCoalPlants!D31)</f>
        <v/>
      </c>
      <c r="F29" t="str">
        <f>IF(BaseCoalPlants!E31="-","",BaseCoalPlants!E31)</f>
        <v/>
      </c>
      <c r="G29" t="str">
        <f>IF(BaseCoalPlants!F31="-","",BaseCoalPlants!F31)</f>
        <v>ANNUAL</v>
      </c>
      <c r="H29">
        <f>IF(BaseCoalPlants!G31="-","",BaseCoalPlants!G31)</f>
        <v>1964</v>
      </c>
      <c r="I29" t="str">
        <f>IF(BaseCoalPlants!H31="-","",BaseCoalPlants!H31)</f>
        <v/>
      </c>
      <c r="J29" t="str">
        <f>IF(BaseCoalPlants!I31="-","",BaseCoalPlants!I31)</f>
        <v/>
      </c>
      <c r="K29" t="str">
        <f>IF(BaseCoalPlants!J31="-","",BaseCoalPlants!J31)</f>
        <v/>
      </c>
      <c r="L29" t="str">
        <f>IF(BaseCoalPlants!K31="-","",BaseCoalPlants!K31)</f>
        <v/>
      </c>
      <c r="M29" s="1" t="str">
        <f>IF(BaseCoalPlants!L31=0,"",BaseCoalPlants!L31)</f>
        <v/>
      </c>
      <c r="N29" s="1">
        <f>IF(BaseCoalPlants!W31=0,"",BaseCoalPlants!W31)</f>
        <v>0.35958610141451808</v>
      </c>
      <c r="O29" s="1">
        <f>IF(BaseCoalPlants!X31=0,"",BaseCoalPlants!X31)</f>
        <v>0.29714323573922208</v>
      </c>
      <c r="P29" s="1">
        <f>IF(BaseCoalPlants!Y31=0,"",BaseCoalPlants!Y31)</f>
        <v>0.29734314095364001</v>
      </c>
      <c r="Q29" s="1" t="str">
        <f>IF(BaseCoalPlants!Z31=0,"",BaseCoalPlants!Z31)</f>
        <v/>
      </c>
      <c r="R29" s="1">
        <f>IF(BaseCoalPlants!AA31=0,"",BaseCoalPlants!AA31)</f>
        <v>0.3221464167008064</v>
      </c>
      <c r="S29" s="1">
        <f>IF(BaseCoalPlants!AB31=0,"",BaseCoalPlants!AB31)</f>
        <v>0.35193697721167294</v>
      </c>
      <c r="T29" s="1" t="str">
        <f>IF(BaseCoalPlants!AC31=0,"",BaseCoalPlants!AC31)</f>
        <v/>
      </c>
      <c r="U29" s="1" t="str">
        <f>IF(BaseCoalPlants!AD31=0,"",BaseCoalPlants!AD31)</f>
        <v/>
      </c>
      <c r="V29" s="1" t="str">
        <f>IF(BaseCoalPlants!AE31=0,"",BaseCoalPlants!AE31)</f>
        <v/>
      </c>
    </row>
    <row r="30" spans="3:22" x14ac:dyDescent="0.35">
      <c r="C30" t="str">
        <f>IF(BaseCoalPlants!B32="VDA_FLOP",IF(BaseCoalPlants!D32="ELC","*","INPUT"),BaseCoalPlants!B32)</f>
        <v>EFF</v>
      </c>
      <c r="D30" t="str">
        <f>IF(BaseCoalPlants!C32="","\I:",BaseCoalPlants!C32&amp;"_LE")</f>
        <v>ECSTMRBOO_LE</v>
      </c>
      <c r="E30" t="str">
        <f>IF(BaseCoalPlants!D32="-","",BaseCoalPlants!D32)</f>
        <v/>
      </c>
      <c r="F30" t="str">
        <f>IF(BaseCoalPlants!E32="-","",BaseCoalPlants!E32)</f>
        <v/>
      </c>
      <c r="G30" t="str">
        <f>IF(BaseCoalPlants!F32="-","",BaseCoalPlants!F32)</f>
        <v>ANNUAL</v>
      </c>
      <c r="H30">
        <f>IF(BaseCoalPlants!G32="-","",BaseCoalPlants!G32)</f>
        <v>1965</v>
      </c>
      <c r="I30" t="str">
        <f>IF(BaseCoalPlants!H32="-","",BaseCoalPlants!H32)</f>
        <v/>
      </c>
      <c r="J30" t="str">
        <f>IF(BaseCoalPlants!I32="-","",BaseCoalPlants!I32)</f>
        <v/>
      </c>
      <c r="K30" t="str">
        <f>IF(BaseCoalPlants!J32="-","",BaseCoalPlants!J32)</f>
        <v/>
      </c>
      <c r="L30" t="str">
        <f>IF(BaseCoalPlants!K32="-","",BaseCoalPlants!K32)</f>
        <v/>
      </c>
      <c r="M30" s="1" t="str">
        <f>IF(BaseCoalPlants!L32=0,"",BaseCoalPlants!L32)</f>
        <v/>
      </c>
      <c r="N30" s="1" t="str">
        <f>IF(BaseCoalPlants!W32=0,"",BaseCoalPlants!W32)</f>
        <v/>
      </c>
      <c r="O30" s="1">
        <f>IF(BaseCoalPlants!X32=0,"",BaseCoalPlants!X32)</f>
        <v>0.35622329098371647</v>
      </c>
      <c r="P30" s="1">
        <f>IF(BaseCoalPlants!Y32=0,"",BaseCoalPlants!Y32)</f>
        <v>0.290771292729119</v>
      </c>
      <c r="Q30" s="1" t="str">
        <f>IF(BaseCoalPlants!Z32=0,"",BaseCoalPlants!Z32)</f>
        <v/>
      </c>
      <c r="R30" s="1">
        <f>IF(BaseCoalPlants!AA32=0,"",BaseCoalPlants!AA32)</f>
        <v>0.32222587375435585</v>
      </c>
      <c r="S30" s="1">
        <f>IF(BaseCoalPlants!AB32=0,"",BaseCoalPlants!AB32)</f>
        <v>0.32944105729243295</v>
      </c>
      <c r="T30" s="1" t="str">
        <f>IF(BaseCoalPlants!AC32=0,"",BaseCoalPlants!AC32)</f>
        <v/>
      </c>
      <c r="U30" s="1" t="str">
        <f>IF(BaseCoalPlants!AD32=0,"",BaseCoalPlants!AD32)</f>
        <v/>
      </c>
      <c r="V30" s="1" t="str">
        <f>IF(BaseCoalPlants!AE32=0,"",BaseCoalPlants!AE32)</f>
        <v/>
      </c>
    </row>
    <row r="31" spans="3:22" x14ac:dyDescent="0.35">
      <c r="C31" t="str">
        <f>IF(BaseCoalPlants!B33="VDA_FLOP",IF(BaseCoalPlants!D33="ELC","*","INPUT"),BaseCoalPlants!B33)</f>
        <v>EFF</v>
      </c>
      <c r="D31" t="str">
        <f>IF(BaseCoalPlants!C33="","\I:",BaseCoalPlants!C33&amp;"_LE")</f>
        <v>ECSTMRBOO_LE</v>
      </c>
      <c r="E31" t="str">
        <f>IF(BaseCoalPlants!D33="-","",BaseCoalPlants!D33)</f>
        <v/>
      </c>
      <c r="F31" t="str">
        <f>IF(BaseCoalPlants!E33="-","",BaseCoalPlants!E33)</f>
        <v/>
      </c>
      <c r="G31" t="str">
        <f>IF(BaseCoalPlants!F33="-","",BaseCoalPlants!F33)</f>
        <v>ANNUAL</v>
      </c>
      <c r="H31">
        <f>IF(BaseCoalPlants!G33="-","",BaseCoalPlants!G33)</f>
        <v>1966</v>
      </c>
      <c r="I31" t="str">
        <f>IF(BaseCoalPlants!H33="-","",BaseCoalPlants!H33)</f>
        <v/>
      </c>
      <c r="J31" t="str">
        <f>IF(BaseCoalPlants!I33="-","",BaseCoalPlants!I33)</f>
        <v/>
      </c>
      <c r="K31" t="str">
        <f>IF(BaseCoalPlants!J33="-","",BaseCoalPlants!J33)</f>
        <v/>
      </c>
      <c r="L31" t="str">
        <f>IF(BaseCoalPlants!K33="-","",BaseCoalPlants!K33)</f>
        <v/>
      </c>
      <c r="M31" s="1" t="str">
        <f>IF(BaseCoalPlants!L33=0,"",BaseCoalPlants!L33)</f>
        <v/>
      </c>
      <c r="N31" s="1" t="str">
        <f>IF(BaseCoalPlants!W33=0,"",BaseCoalPlants!W33)</f>
        <v/>
      </c>
      <c r="O31" s="1" t="str">
        <f>IF(BaseCoalPlants!X33=0,"",BaseCoalPlants!X33)</f>
        <v/>
      </c>
      <c r="P31" s="1" t="str">
        <f>IF(BaseCoalPlants!Y33=0,"",BaseCoalPlants!Y33)</f>
        <v/>
      </c>
      <c r="Q31" s="1" t="str">
        <f>IF(BaseCoalPlants!Z33=0,"",BaseCoalPlants!Z33)</f>
        <v/>
      </c>
      <c r="R31" s="1">
        <f>IF(BaseCoalPlants!AA33=0,"",BaseCoalPlants!AA33)</f>
        <v>0.3248946623252707</v>
      </c>
      <c r="S31" s="1">
        <f>IF(BaseCoalPlants!AB33=0,"",BaseCoalPlants!AB33)</f>
        <v>0.3146481436427731</v>
      </c>
      <c r="T31" s="1" t="str">
        <f>IF(BaseCoalPlants!AC33=0,"",BaseCoalPlants!AC33)</f>
        <v/>
      </c>
      <c r="U31" s="1" t="str">
        <f>IF(BaseCoalPlants!AD33=0,"",BaseCoalPlants!AD33)</f>
        <v/>
      </c>
      <c r="V31" s="1" t="str">
        <f>IF(BaseCoalPlants!AE33=0,"",BaseCoalPlants!AE33)</f>
        <v/>
      </c>
    </row>
    <row r="32" spans="3:22" x14ac:dyDescent="0.35">
      <c r="C32" t="str">
        <f>IF(BaseCoalPlants!B34="VDA_FLOP",IF(BaseCoalPlants!D34="ELC","*","INPUT"),BaseCoalPlants!B34)</f>
        <v>EFF</v>
      </c>
      <c r="D32" t="str">
        <f>IF(BaseCoalPlants!C34="","\I:",BaseCoalPlants!C34&amp;"_LE")</f>
        <v>ECSTMRBOO_LE</v>
      </c>
      <c r="E32" t="str">
        <f>IF(BaseCoalPlants!D34="-","",BaseCoalPlants!D34)</f>
        <v/>
      </c>
      <c r="F32" t="str">
        <f>IF(BaseCoalPlants!E34="-","",BaseCoalPlants!E34)</f>
        <v/>
      </c>
      <c r="G32" t="str">
        <f>IF(BaseCoalPlants!F34="-","",BaseCoalPlants!F34)</f>
        <v>ANNUAL</v>
      </c>
      <c r="H32">
        <f>IF(BaseCoalPlants!G34="-","",BaseCoalPlants!G34)</f>
        <v>1967</v>
      </c>
      <c r="I32" t="str">
        <f>IF(BaseCoalPlants!H34="-","",BaseCoalPlants!H34)</f>
        <v/>
      </c>
      <c r="J32" t="str">
        <f>IF(BaseCoalPlants!I34="-","",BaseCoalPlants!I34)</f>
        <v/>
      </c>
      <c r="K32" t="str">
        <f>IF(BaseCoalPlants!J34="-","",BaseCoalPlants!J34)</f>
        <v/>
      </c>
      <c r="L32" t="str">
        <f>IF(BaseCoalPlants!K34="-","",BaseCoalPlants!K34)</f>
        <v/>
      </c>
      <c r="M32" s="1" t="str">
        <f>IF(BaseCoalPlants!L34=0,"",BaseCoalPlants!L34)</f>
        <v/>
      </c>
      <c r="N32" s="1" t="str">
        <f>IF(BaseCoalPlants!W34=0,"",BaseCoalPlants!W34)</f>
        <v/>
      </c>
      <c r="O32" s="1">
        <f>IF(BaseCoalPlants!X34=0,"",BaseCoalPlants!X34)</f>
        <v>0.29087456791744415</v>
      </c>
      <c r="P32" s="1">
        <f>IF(BaseCoalPlants!Y34=0,"",BaseCoalPlants!Y34)</f>
        <v>0.34466589819178273</v>
      </c>
      <c r="Q32" s="1" t="str">
        <f>IF(BaseCoalPlants!Z34=0,"",BaseCoalPlants!Z34)</f>
        <v/>
      </c>
      <c r="R32" s="1">
        <f>IF(BaseCoalPlants!AA34=0,"",BaseCoalPlants!AA34)</f>
        <v>0.32304814998323611</v>
      </c>
      <c r="S32" s="1">
        <f>IF(BaseCoalPlants!AB34=0,"",BaseCoalPlants!AB34)</f>
        <v>0.36329481910682687</v>
      </c>
      <c r="T32" s="1" t="str">
        <f>IF(BaseCoalPlants!AC34=0,"",BaseCoalPlants!AC34)</f>
        <v/>
      </c>
      <c r="U32" s="1" t="str">
        <f>IF(BaseCoalPlants!AD34=0,"",BaseCoalPlants!AD34)</f>
        <v/>
      </c>
      <c r="V32" s="1" t="str">
        <f>IF(BaseCoalPlants!AE34=0,"",BaseCoalPlants!AE34)</f>
        <v/>
      </c>
    </row>
    <row r="33" spans="3:22" x14ac:dyDescent="0.35">
      <c r="C33" t="str">
        <f>IF(BaseCoalPlants!B35="VDA_FLOP",IF(BaseCoalPlants!D35="ELC","*","INPUT"),BaseCoalPlants!B35)</f>
        <v>EFF</v>
      </c>
      <c r="D33" t="str">
        <f>IF(BaseCoalPlants!C35="","\I:",BaseCoalPlants!C35&amp;"_LE")</f>
        <v>ECSTMRBOO_LE</v>
      </c>
      <c r="E33" t="str">
        <f>IF(BaseCoalPlants!D35="-","",BaseCoalPlants!D35)</f>
        <v/>
      </c>
      <c r="F33" t="str">
        <f>IF(BaseCoalPlants!E35="-","",BaseCoalPlants!E35)</f>
        <v/>
      </c>
      <c r="G33" t="str">
        <f>IF(BaseCoalPlants!F35="-","",BaseCoalPlants!F35)</f>
        <v>ANNUAL</v>
      </c>
      <c r="H33">
        <f>IF(BaseCoalPlants!G35="-","",BaseCoalPlants!G35)</f>
        <v>1968</v>
      </c>
      <c r="I33" t="str">
        <f>IF(BaseCoalPlants!H35="-","",BaseCoalPlants!H35)</f>
        <v/>
      </c>
      <c r="J33" t="str">
        <f>IF(BaseCoalPlants!I35="-","",BaseCoalPlants!I35)</f>
        <v/>
      </c>
      <c r="K33" t="str">
        <f>IF(BaseCoalPlants!J35="-","",BaseCoalPlants!J35)</f>
        <v/>
      </c>
      <c r="L33" t="str">
        <f>IF(BaseCoalPlants!K35="-","",BaseCoalPlants!K35)</f>
        <v/>
      </c>
      <c r="M33" s="1" t="str">
        <f>IF(BaseCoalPlants!L35=0,"",BaseCoalPlants!L35)</f>
        <v/>
      </c>
      <c r="N33" s="1">
        <f>IF(BaseCoalPlants!W35=0,"",BaseCoalPlants!W35)</f>
        <v>0.3146507908833216</v>
      </c>
      <c r="O33" s="1" t="str">
        <f>IF(BaseCoalPlants!X35=0,"",BaseCoalPlants!X35)</f>
        <v/>
      </c>
      <c r="P33" s="1">
        <f>IF(BaseCoalPlants!Y35=0,"",BaseCoalPlants!Y35)</f>
        <v>0.33316049974892642</v>
      </c>
      <c r="Q33" s="1" t="str">
        <f>IF(BaseCoalPlants!Z35=0,"",BaseCoalPlants!Z35)</f>
        <v/>
      </c>
      <c r="R33" s="1">
        <f>IF(BaseCoalPlants!AA35=0,"",BaseCoalPlants!AA35)</f>
        <v>0.34551517602428639</v>
      </c>
      <c r="S33" s="1">
        <f>IF(BaseCoalPlants!AB35=0,"",BaseCoalPlants!AB35)</f>
        <v>0.33834222101696543</v>
      </c>
      <c r="T33" s="1" t="str">
        <f>IF(BaseCoalPlants!AC35=0,"",BaseCoalPlants!AC35)</f>
        <v/>
      </c>
      <c r="U33" s="1" t="str">
        <f>IF(BaseCoalPlants!AD35=0,"",BaseCoalPlants!AD35)</f>
        <v/>
      </c>
      <c r="V33" s="1" t="str">
        <f>IF(BaseCoalPlants!AE35=0,"",BaseCoalPlants!AE35)</f>
        <v/>
      </c>
    </row>
    <row r="34" spans="3:22" x14ac:dyDescent="0.35">
      <c r="C34" t="str">
        <f>IF(BaseCoalPlants!B36="VDA_FLOP",IF(BaseCoalPlants!D36="ELC","*","INPUT"),BaseCoalPlants!B36)</f>
        <v>EFF</v>
      </c>
      <c r="D34" t="str">
        <f>IF(BaseCoalPlants!C36="","\I:",BaseCoalPlants!C36&amp;"_LE")</f>
        <v>ECSTMRBOO_LE</v>
      </c>
      <c r="E34" t="str">
        <f>IF(BaseCoalPlants!D36="-","",BaseCoalPlants!D36)</f>
        <v/>
      </c>
      <c r="F34" t="str">
        <f>IF(BaseCoalPlants!E36="-","",BaseCoalPlants!E36)</f>
        <v/>
      </c>
      <c r="G34" t="str">
        <f>IF(BaseCoalPlants!F36="-","",BaseCoalPlants!F36)</f>
        <v>ANNUAL</v>
      </c>
      <c r="H34">
        <f>IF(BaseCoalPlants!G36="-","",BaseCoalPlants!G36)</f>
        <v>1969</v>
      </c>
      <c r="I34" t="str">
        <f>IF(BaseCoalPlants!H36="-","",BaseCoalPlants!H36)</f>
        <v/>
      </c>
      <c r="J34" t="str">
        <f>IF(BaseCoalPlants!I36="-","",BaseCoalPlants!I36)</f>
        <v/>
      </c>
      <c r="K34" t="str">
        <f>IF(BaseCoalPlants!J36="-","",BaseCoalPlants!J36)</f>
        <v/>
      </c>
      <c r="L34" t="str">
        <f>IF(BaseCoalPlants!K36="-","",BaseCoalPlants!K36)</f>
        <v/>
      </c>
      <c r="M34" s="1" t="str">
        <f>IF(BaseCoalPlants!L36=0,"",BaseCoalPlants!L36)</f>
        <v/>
      </c>
      <c r="N34" s="1">
        <f>IF(BaseCoalPlants!W36=0,"",BaseCoalPlants!W36)</f>
        <v>0.35958610141451808</v>
      </c>
      <c r="O34" s="1" t="str">
        <f>IF(BaseCoalPlants!X36=0,"",BaseCoalPlants!X36)</f>
        <v/>
      </c>
      <c r="P34" s="1">
        <f>IF(BaseCoalPlants!Y36=0,"",BaseCoalPlants!Y36)</f>
        <v>0.33566353413002686</v>
      </c>
      <c r="Q34" s="1" t="str">
        <f>IF(BaseCoalPlants!Z36=0,"",BaseCoalPlants!Z36)</f>
        <v/>
      </c>
      <c r="R34" s="1">
        <f>IF(BaseCoalPlants!AA36=0,"",BaseCoalPlants!AA36)</f>
        <v>0.34080005370716732</v>
      </c>
      <c r="S34" s="1">
        <f>IF(BaseCoalPlants!AB36=0,"",BaseCoalPlants!AB36)</f>
        <v>0.32510993723513859</v>
      </c>
      <c r="T34" s="1" t="str">
        <f>IF(BaseCoalPlants!AC36=0,"",BaseCoalPlants!AC36)</f>
        <v/>
      </c>
      <c r="U34" s="1" t="str">
        <f>IF(BaseCoalPlants!AD36=0,"",BaseCoalPlants!AD36)</f>
        <v/>
      </c>
      <c r="V34" s="1" t="str">
        <f>IF(BaseCoalPlants!AE36=0,"",BaseCoalPlants!AE36)</f>
        <v/>
      </c>
    </row>
    <row r="35" spans="3:22" x14ac:dyDescent="0.35">
      <c r="C35" t="str">
        <f>IF(BaseCoalPlants!B37="VDA_FLOP",IF(BaseCoalPlants!D37="ELC","*","INPUT"),BaseCoalPlants!B37)</f>
        <v>EFF</v>
      </c>
      <c r="D35" t="str">
        <f>IF(BaseCoalPlants!C37="","\I:",BaseCoalPlants!C37&amp;"_LE")</f>
        <v>ECSTMRBOO_LE</v>
      </c>
      <c r="E35" t="str">
        <f>IF(BaseCoalPlants!D37="-","",BaseCoalPlants!D37)</f>
        <v/>
      </c>
      <c r="F35" t="str">
        <f>IF(BaseCoalPlants!E37="-","",BaseCoalPlants!E37)</f>
        <v/>
      </c>
      <c r="G35" t="str">
        <f>IF(BaseCoalPlants!F37="-","",BaseCoalPlants!F37)</f>
        <v>ANNUAL</v>
      </c>
      <c r="H35">
        <f>IF(BaseCoalPlants!G37="-","",BaseCoalPlants!G37)</f>
        <v>1970</v>
      </c>
      <c r="I35" t="str">
        <f>IF(BaseCoalPlants!H37="-","",BaseCoalPlants!H37)</f>
        <v/>
      </c>
      <c r="J35" t="str">
        <f>IF(BaseCoalPlants!I37="-","",BaseCoalPlants!I37)</f>
        <v/>
      </c>
      <c r="K35" t="str">
        <f>IF(BaseCoalPlants!J37="-","",BaseCoalPlants!J37)</f>
        <v/>
      </c>
      <c r="L35" t="str">
        <f>IF(BaseCoalPlants!K37="-","",BaseCoalPlants!K37)</f>
        <v/>
      </c>
      <c r="M35" s="1" t="str">
        <f>IF(BaseCoalPlants!L37=0,"",BaseCoalPlants!L37)</f>
        <v/>
      </c>
      <c r="N35" s="1" t="str">
        <f>IF(BaseCoalPlants!W37=0,"",BaseCoalPlants!W37)</f>
        <v/>
      </c>
      <c r="O35" s="1">
        <f>IF(BaseCoalPlants!X37=0,"",BaseCoalPlants!X37)</f>
        <v>0.33460974299144641</v>
      </c>
      <c r="P35" s="1">
        <f>IF(BaseCoalPlants!Y37=0,"",BaseCoalPlants!Y37)</f>
        <v>0.33151445920023259</v>
      </c>
      <c r="Q35" s="1" t="str">
        <f>IF(BaseCoalPlants!Z37=0,"",BaseCoalPlants!Z37)</f>
        <v/>
      </c>
      <c r="R35" s="1">
        <f>IF(BaseCoalPlants!AA37=0,"",BaseCoalPlants!AA37)</f>
        <v>0.30139024786721375</v>
      </c>
      <c r="S35" s="1">
        <f>IF(BaseCoalPlants!AB37=0,"",BaseCoalPlants!AB37)</f>
        <v>0.29883501038918586</v>
      </c>
      <c r="T35" s="1" t="str">
        <f>IF(BaseCoalPlants!AC37=0,"",BaseCoalPlants!AC37)</f>
        <v/>
      </c>
      <c r="U35" s="1" t="str">
        <f>IF(BaseCoalPlants!AD37=0,"",BaseCoalPlants!AD37)</f>
        <v/>
      </c>
      <c r="V35" s="1" t="str">
        <f>IF(BaseCoalPlants!AE37=0,"",BaseCoalPlants!AE37)</f>
        <v/>
      </c>
    </row>
    <row r="36" spans="3:22" x14ac:dyDescent="0.35">
      <c r="C36" t="str">
        <f>IF(BaseCoalPlants!B38="VDA_FLOP",IF(BaseCoalPlants!D38="ELC","*","INPUT"),BaseCoalPlants!B38)</f>
        <v>EFF</v>
      </c>
      <c r="D36" t="str">
        <f>IF(BaseCoalPlants!C38="","\I:",BaseCoalPlants!C38&amp;"_LE")</f>
        <v>ECSTMRBOO_LE</v>
      </c>
      <c r="E36" t="str">
        <f>IF(BaseCoalPlants!D38="-","",BaseCoalPlants!D38)</f>
        <v/>
      </c>
      <c r="F36" t="str">
        <f>IF(BaseCoalPlants!E38="-","",BaseCoalPlants!E38)</f>
        <v/>
      </c>
      <c r="G36" t="str">
        <f>IF(BaseCoalPlants!F38="-","",BaseCoalPlants!F38)</f>
        <v>ANNUAL</v>
      </c>
      <c r="H36">
        <f>IF(BaseCoalPlants!G38="-","",BaseCoalPlants!G38)</f>
        <v>1971</v>
      </c>
      <c r="I36" t="str">
        <f>IF(BaseCoalPlants!H38="-","",BaseCoalPlants!H38)</f>
        <v/>
      </c>
      <c r="J36" t="str">
        <f>IF(BaseCoalPlants!I38="-","",BaseCoalPlants!I38)</f>
        <v/>
      </c>
      <c r="K36" t="str">
        <f>IF(BaseCoalPlants!J38="-","",BaseCoalPlants!J38)</f>
        <v/>
      </c>
      <c r="L36" t="str">
        <f>IF(BaseCoalPlants!K38="-","",BaseCoalPlants!K38)</f>
        <v/>
      </c>
      <c r="M36" s="1" t="str">
        <f>IF(BaseCoalPlants!L38=0,"",BaseCoalPlants!L38)</f>
        <v/>
      </c>
      <c r="N36" s="1" t="str">
        <f>IF(BaseCoalPlants!W38=0,"",BaseCoalPlants!W38)</f>
        <v/>
      </c>
      <c r="O36" s="1" t="str">
        <f>IF(BaseCoalPlants!X38=0,"",BaseCoalPlants!X38)</f>
        <v/>
      </c>
      <c r="P36" s="1">
        <f>IF(BaseCoalPlants!Y38=0,"",BaseCoalPlants!Y38)</f>
        <v>0.34703849019774141</v>
      </c>
      <c r="Q36" s="1" t="str">
        <f>IF(BaseCoalPlants!Z38=0,"",BaseCoalPlants!Z38)</f>
        <v/>
      </c>
      <c r="R36" s="1" t="str">
        <f>IF(BaseCoalPlants!AA38=0,"",BaseCoalPlants!AA38)</f>
        <v/>
      </c>
      <c r="S36" s="1">
        <f>IF(BaseCoalPlants!AB38=0,"",BaseCoalPlants!AB38)</f>
        <v>0.33675667393478015</v>
      </c>
      <c r="T36" s="1" t="str">
        <f>IF(BaseCoalPlants!AC38=0,"",BaseCoalPlants!AC38)</f>
        <v/>
      </c>
      <c r="U36" s="1" t="str">
        <f>IF(BaseCoalPlants!AD38=0,"",BaseCoalPlants!AD38)</f>
        <v/>
      </c>
      <c r="V36" s="1" t="str">
        <f>IF(BaseCoalPlants!AE38=0,"",BaseCoalPlants!AE38)</f>
        <v/>
      </c>
    </row>
    <row r="37" spans="3:22" x14ac:dyDescent="0.35">
      <c r="C37" t="str">
        <f>IF(BaseCoalPlants!B39="VDA_FLOP",IF(BaseCoalPlants!D39="ELC","*","INPUT"),BaseCoalPlants!B39)</f>
        <v>EFF</v>
      </c>
      <c r="D37" t="str">
        <f>IF(BaseCoalPlants!C39="","\I:",BaseCoalPlants!C39&amp;"_LE")</f>
        <v>ECSTMRBOO_LE</v>
      </c>
      <c r="E37" t="str">
        <f>IF(BaseCoalPlants!D39="-","",BaseCoalPlants!D39)</f>
        <v/>
      </c>
      <c r="F37" t="str">
        <f>IF(BaseCoalPlants!E39="-","",BaseCoalPlants!E39)</f>
        <v/>
      </c>
      <c r="G37" t="str">
        <f>IF(BaseCoalPlants!F39="-","",BaseCoalPlants!F39)</f>
        <v>ANNUAL</v>
      </c>
      <c r="H37">
        <f>IF(BaseCoalPlants!G39="-","",BaseCoalPlants!G39)</f>
        <v>1972</v>
      </c>
      <c r="I37" t="str">
        <f>IF(BaseCoalPlants!H39="-","",BaseCoalPlants!H39)</f>
        <v/>
      </c>
      <c r="J37" t="str">
        <f>IF(BaseCoalPlants!I39="-","",BaseCoalPlants!I39)</f>
        <v/>
      </c>
      <c r="K37" t="str">
        <f>IF(BaseCoalPlants!J39="-","",BaseCoalPlants!J39)</f>
        <v/>
      </c>
      <c r="L37" t="str">
        <f>IF(BaseCoalPlants!K39="-","",BaseCoalPlants!K39)</f>
        <v/>
      </c>
      <c r="M37" s="1" t="str">
        <f>IF(BaseCoalPlants!L39=0,"",BaseCoalPlants!L39)</f>
        <v/>
      </c>
      <c r="N37" s="1" t="str">
        <f>IF(BaseCoalPlants!W39=0,"",BaseCoalPlants!W39)</f>
        <v/>
      </c>
      <c r="O37" s="1" t="str">
        <f>IF(BaseCoalPlants!X39=0,"",BaseCoalPlants!X39)</f>
        <v/>
      </c>
      <c r="P37" s="1">
        <f>IF(BaseCoalPlants!Y39=0,"",BaseCoalPlants!Y39)</f>
        <v>0.33697079635963867</v>
      </c>
      <c r="Q37" s="1" t="str">
        <f>IF(BaseCoalPlants!Z39=0,"",BaseCoalPlants!Z39)</f>
        <v/>
      </c>
      <c r="R37" s="1">
        <f>IF(BaseCoalPlants!AA39=0,"",BaseCoalPlants!AA39)</f>
        <v>0.33042458986143364</v>
      </c>
      <c r="S37" s="1">
        <f>IF(BaseCoalPlants!AB39=0,"",BaseCoalPlants!AB39)</f>
        <v>0.33543972726436799</v>
      </c>
      <c r="T37" s="1" t="str">
        <f>IF(BaseCoalPlants!AC39=0,"",BaseCoalPlants!AC39)</f>
        <v/>
      </c>
      <c r="U37" s="1" t="str">
        <f>IF(BaseCoalPlants!AD39=0,"",BaseCoalPlants!AD39)</f>
        <v/>
      </c>
      <c r="V37" s="1" t="str">
        <f>IF(BaseCoalPlants!AE39=0,"",BaseCoalPlants!AE39)</f>
        <v/>
      </c>
    </row>
    <row r="38" spans="3:22" x14ac:dyDescent="0.35">
      <c r="C38" t="str">
        <f>IF(BaseCoalPlants!B40="VDA_FLOP",IF(BaseCoalPlants!D40="ELC","*","INPUT"),BaseCoalPlants!B40)</f>
        <v>EFF</v>
      </c>
      <c r="D38" t="str">
        <f>IF(BaseCoalPlants!C40="","\I:",BaseCoalPlants!C40&amp;"_LE")</f>
        <v>ECSTMRBOO_LE</v>
      </c>
      <c r="E38" t="str">
        <f>IF(BaseCoalPlants!D40="-","",BaseCoalPlants!D40)</f>
        <v/>
      </c>
      <c r="F38" t="str">
        <f>IF(BaseCoalPlants!E40="-","",BaseCoalPlants!E40)</f>
        <v/>
      </c>
      <c r="G38" t="str">
        <f>IF(BaseCoalPlants!F40="-","",BaseCoalPlants!F40)</f>
        <v>ANNUAL</v>
      </c>
      <c r="H38">
        <f>IF(BaseCoalPlants!G40="-","",BaseCoalPlants!G40)</f>
        <v>1973</v>
      </c>
      <c r="I38" t="str">
        <f>IF(BaseCoalPlants!H40="-","",BaseCoalPlants!H40)</f>
        <v/>
      </c>
      <c r="J38" t="str">
        <f>IF(BaseCoalPlants!I40="-","",BaseCoalPlants!I40)</f>
        <v/>
      </c>
      <c r="K38" t="str">
        <f>IF(BaseCoalPlants!J40="-","",BaseCoalPlants!J40)</f>
        <v/>
      </c>
      <c r="L38" t="str">
        <f>IF(BaseCoalPlants!K40="-","",BaseCoalPlants!K40)</f>
        <v/>
      </c>
      <c r="M38" s="1" t="str">
        <f>IF(BaseCoalPlants!L40=0,"",BaseCoalPlants!L40)</f>
        <v/>
      </c>
      <c r="N38" s="1" t="str">
        <f>IF(BaseCoalPlants!W40=0,"",BaseCoalPlants!W40)</f>
        <v/>
      </c>
      <c r="O38" s="1" t="str">
        <f>IF(BaseCoalPlants!X40=0,"",BaseCoalPlants!X40)</f>
        <v/>
      </c>
      <c r="P38" s="1">
        <f>IF(BaseCoalPlants!Y40=0,"",BaseCoalPlants!Y40)</f>
        <v>0.33947184204923708</v>
      </c>
      <c r="Q38" s="1" t="str">
        <f>IF(BaseCoalPlants!Z40=0,"",BaseCoalPlants!Z40)</f>
        <v/>
      </c>
      <c r="R38" s="1">
        <f>IF(BaseCoalPlants!AA40=0,"",BaseCoalPlants!AA40)</f>
        <v>0.30768226786669917</v>
      </c>
      <c r="S38" s="1">
        <f>IF(BaseCoalPlants!AB40=0,"",BaseCoalPlants!AB40)</f>
        <v>0.33611601075412895</v>
      </c>
      <c r="T38" s="1" t="str">
        <f>IF(BaseCoalPlants!AC40=0,"",BaseCoalPlants!AC40)</f>
        <v/>
      </c>
      <c r="U38" s="1" t="str">
        <f>IF(BaseCoalPlants!AD40=0,"",BaseCoalPlants!AD40)</f>
        <v/>
      </c>
      <c r="V38" s="1" t="str">
        <f>IF(BaseCoalPlants!AE40=0,"",BaseCoalPlants!AE40)</f>
        <v/>
      </c>
    </row>
    <row r="39" spans="3:22" x14ac:dyDescent="0.35">
      <c r="C39" t="str">
        <f>IF(BaseCoalPlants!B41="VDA_FLOP",IF(BaseCoalPlants!D41="ELC","*","INPUT"),BaseCoalPlants!B41)</f>
        <v>EFF</v>
      </c>
      <c r="D39" t="str">
        <f>IF(BaseCoalPlants!C41="","\I:",BaseCoalPlants!C41&amp;"_LE")</f>
        <v>ECSTMRBOO_LE</v>
      </c>
      <c r="E39" t="str">
        <f>IF(BaseCoalPlants!D41="-","",BaseCoalPlants!D41)</f>
        <v/>
      </c>
      <c r="F39" t="str">
        <f>IF(BaseCoalPlants!E41="-","",BaseCoalPlants!E41)</f>
        <v/>
      </c>
      <c r="G39" t="str">
        <f>IF(BaseCoalPlants!F41="-","",BaseCoalPlants!F41)</f>
        <v>ANNUAL</v>
      </c>
      <c r="H39">
        <f>IF(BaseCoalPlants!G41="-","",BaseCoalPlants!G41)</f>
        <v>1974</v>
      </c>
      <c r="I39" t="str">
        <f>IF(BaseCoalPlants!H41="-","",BaseCoalPlants!H41)</f>
        <v/>
      </c>
      <c r="J39" t="str">
        <f>IF(BaseCoalPlants!I41="-","",BaseCoalPlants!I41)</f>
        <v/>
      </c>
      <c r="K39" t="str">
        <f>IF(BaseCoalPlants!J41="-","",BaseCoalPlants!J41)</f>
        <v/>
      </c>
      <c r="L39" t="str">
        <f>IF(BaseCoalPlants!K41="-","",BaseCoalPlants!K41)</f>
        <v/>
      </c>
      <c r="M39" s="1" t="str">
        <f>IF(BaseCoalPlants!L41=0,"",BaseCoalPlants!L41)</f>
        <v/>
      </c>
      <c r="N39" s="1" t="str">
        <f>IF(BaseCoalPlants!W41=0,"",BaseCoalPlants!W41)</f>
        <v/>
      </c>
      <c r="O39" s="1" t="str">
        <f>IF(BaseCoalPlants!X41=0,"",BaseCoalPlants!X41)</f>
        <v/>
      </c>
      <c r="P39" s="1">
        <f>IF(BaseCoalPlants!Y41=0,"",BaseCoalPlants!Y41)</f>
        <v>0.35241640195737023</v>
      </c>
      <c r="Q39" s="1" t="str">
        <f>IF(BaseCoalPlants!Z41=0,"",BaseCoalPlants!Z41)</f>
        <v/>
      </c>
      <c r="R39" s="1">
        <f>IF(BaseCoalPlants!AA41=0,"",BaseCoalPlants!AA41)</f>
        <v>0.35095665136985854</v>
      </c>
      <c r="S39" s="1">
        <f>IF(BaseCoalPlants!AB41=0,"",BaseCoalPlants!AB41)</f>
        <v>0.29498965636744029</v>
      </c>
      <c r="T39" s="1" t="str">
        <f>IF(BaseCoalPlants!AC41=0,"",BaseCoalPlants!AC41)</f>
        <v/>
      </c>
      <c r="U39" s="1" t="str">
        <f>IF(BaseCoalPlants!AD41=0,"",BaseCoalPlants!AD41)</f>
        <v/>
      </c>
      <c r="V39" s="1" t="str">
        <f>IF(BaseCoalPlants!AE41=0,"",BaseCoalPlants!AE41)</f>
        <v/>
      </c>
    </row>
    <row r="40" spans="3:22" x14ac:dyDescent="0.35">
      <c r="C40" t="str">
        <f>IF(BaseCoalPlants!B42="VDA_FLOP",IF(BaseCoalPlants!D42="ELC","*","INPUT"),BaseCoalPlants!B42)</f>
        <v>EFF</v>
      </c>
      <c r="D40" t="str">
        <f>IF(BaseCoalPlants!C42="","\I:",BaseCoalPlants!C42&amp;"_LE")</f>
        <v>ECSTMRBOO_LE</v>
      </c>
      <c r="E40" t="str">
        <f>IF(BaseCoalPlants!D42="-","",BaseCoalPlants!D42)</f>
        <v/>
      </c>
      <c r="F40" t="str">
        <f>IF(BaseCoalPlants!E42="-","",BaseCoalPlants!E42)</f>
        <v/>
      </c>
      <c r="G40" t="str">
        <f>IF(BaseCoalPlants!F42="-","",BaseCoalPlants!F42)</f>
        <v>ANNUAL</v>
      </c>
      <c r="H40">
        <f>IF(BaseCoalPlants!G42="-","",BaseCoalPlants!G42)</f>
        <v>1975</v>
      </c>
      <c r="I40" t="str">
        <f>IF(BaseCoalPlants!H42="-","",BaseCoalPlants!H42)</f>
        <v/>
      </c>
      <c r="J40" t="str">
        <f>IF(BaseCoalPlants!I42="-","",BaseCoalPlants!I42)</f>
        <v/>
      </c>
      <c r="K40" t="str">
        <f>IF(BaseCoalPlants!J42="-","",BaseCoalPlants!J42)</f>
        <v/>
      </c>
      <c r="L40" t="str">
        <f>IF(BaseCoalPlants!K42="-","",BaseCoalPlants!K42)</f>
        <v/>
      </c>
      <c r="M40" s="1" t="str">
        <f>IF(BaseCoalPlants!L42=0,"",BaseCoalPlants!L42)</f>
        <v/>
      </c>
      <c r="N40" s="1" t="str">
        <f>IF(BaseCoalPlants!W42=0,"",BaseCoalPlants!W42)</f>
        <v/>
      </c>
      <c r="O40" s="1" t="str">
        <f>IF(BaseCoalPlants!X42=0,"",BaseCoalPlants!X42)</f>
        <v/>
      </c>
      <c r="P40" s="1">
        <f>IF(BaseCoalPlants!Y42=0,"",BaseCoalPlants!Y42)</f>
        <v>0.33109251909098975</v>
      </c>
      <c r="Q40" s="1" t="str">
        <f>IF(BaseCoalPlants!Z42=0,"",BaseCoalPlants!Z42)</f>
        <v/>
      </c>
      <c r="R40" s="1">
        <f>IF(BaseCoalPlants!AA42=0,"",BaseCoalPlants!AA42)</f>
        <v>0.35114475119372446</v>
      </c>
      <c r="S40" s="1" t="str">
        <f>IF(BaseCoalPlants!AB42=0,"",BaseCoalPlants!AB42)</f>
        <v/>
      </c>
      <c r="T40" s="1" t="str">
        <f>IF(BaseCoalPlants!AC42=0,"",BaseCoalPlants!AC42)</f>
        <v/>
      </c>
      <c r="U40" s="1" t="str">
        <f>IF(BaseCoalPlants!AD42=0,"",BaseCoalPlants!AD42)</f>
        <v/>
      </c>
      <c r="V40" s="1" t="str">
        <f>IF(BaseCoalPlants!AE42=0,"",BaseCoalPlants!AE42)</f>
        <v/>
      </c>
    </row>
    <row r="41" spans="3:22" x14ac:dyDescent="0.35">
      <c r="C41" t="str">
        <f>IF(BaseCoalPlants!B43="VDA_FLOP",IF(BaseCoalPlants!D43="ELC","*","INPUT"),BaseCoalPlants!B43)</f>
        <v>EFF</v>
      </c>
      <c r="D41" t="str">
        <f>IF(BaseCoalPlants!C43="","\I:",BaseCoalPlants!C43&amp;"_LE")</f>
        <v>ECSTMRBOO_LE</v>
      </c>
      <c r="E41" t="str">
        <f>IF(BaseCoalPlants!D43="-","",BaseCoalPlants!D43)</f>
        <v/>
      </c>
      <c r="F41" t="str">
        <f>IF(BaseCoalPlants!E43="-","",BaseCoalPlants!E43)</f>
        <v/>
      </c>
      <c r="G41" t="str">
        <f>IF(BaseCoalPlants!F43="-","",BaseCoalPlants!F43)</f>
        <v>ANNUAL</v>
      </c>
      <c r="H41">
        <f>IF(BaseCoalPlants!G43="-","",BaseCoalPlants!G43)</f>
        <v>1976</v>
      </c>
      <c r="I41" t="str">
        <f>IF(BaseCoalPlants!H43="-","",BaseCoalPlants!H43)</f>
        <v/>
      </c>
      <c r="J41" t="str">
        <f>IF(BaseCoalPlants!I43="-","",BaseCoalPlants!I43)</f>
        <v/>
      </c>
      <c r="K41" t="str">
        <f>IF(BaseCoalPlants!J43="-","",BaseCoalPlants!J43)</f>
        <v/>
      </c>
      <c r="L41" t="str">
        <f>IF(BaseCoalPlants!K43="-","",BaseCoalPlants!K43)</f>
        <v/>
      </c>
      <c r="M41" s="1" t="str">
        <f>IF(BaseCoalPlants!L43=0,"",BaseCoalPlants!L43)</f>
        <v/>
      </c>
      <c r="N41" s="1" t="str">
        <f>IF(BaseCoalPlants!W43=0,"",BaseCoalPlants!W43)</f>
        <v/>
      </c>
      <c r="O41" s="1" t="str">
        <f>IF(BaseCoalPlants!X43=0,"",BaseCoalPlants!X43)</f>
        <v/>
      </c>
      <c r="P41" s="1">
        <f>IF(BaseCoalPlants!Y43=0,"",BaseCoalPlants!Y43)</f>
        <v>0.31284780669336765</v>
      </c>
      <c r="Q41" s="1" t="str">
        <f>IF(BaseCoalPlants!Z43=0,"",BaseCoalPlants!Z43)</f>
        <v/>
      </c>
      <c r="R41" s="1">
        <f>IF(BaseCoalPlants!AA43=0,"",BaseCoalPlants!AA43)</f>
        <v>0.30857473472930114</v>
      </c>
      <c r="S41" s="1" t="str">
        <f>IF(BaseCoalPlants!AB43=0,"",BaseCoalPlants!AB43)</f>
        <v/>
      </c>
      <c r="T41" s="1" t="str">
        <f>IF(BaseCoalPlants!AC43=0,"",BaseCoalPlants!AC43)</f>
        <v/>
      </c>
      <c r="U41" s="1" t="str">
        <f>IF(BaseCoalPlants!AD43=0,"",BaseCoalPlants!AD43)</f>
        <v/>
      </c>
      <c r="V41" s="1" t="str">
        <f>IF(BaseCoalPlants!AE43=0,"",BaseCoalPlants!AE43)</f>
        <v/>
      </c>
    </row>
    <row r="42" spans="3:22" x14ac:dyDescent="0.35">
      <c r="C42" t="str">
        <f>IF(BaseCoalPlants!B44="VDA_FLOP",IF(BaseCoalPlants!D44="ELC","*","INPUT"),BaseCoalPlants!B44)</f>
        <v>EFF</v>
      </c>
      <c r="D42" t="str">
        <f>IF(BaseCoalPlants!C44="","\I:",BaseCoalPlants!C44&amp;"_LE")</f>
        <v>ECSTMRBOO_LE</v>
      </c>
      <c r="E42" t="str">
        <f>IF(BaseCoalPlants!D44="-","",BaseCoalPlants!D44)</f>
        <v/>
      </c>
      <c r="F42" t="str">
        <f>IF(BaseCoalPlants!E44="-","",BaseCoalPlants!E44)</f>
        <v/>
      </c>
      <c r="G42" t="str">
        <f>IF(BaseCoalPlants!F44="-","",BaseCoalPlants!F44)</f>
        <v>ANNUAL</v>
      </c>
      <c r="H42">
        <f>IF(BaseCoalPlants!G44="-","",BaseCoalPlants!G44)</f>
        <v>1977</v>
      </c>
      <c r="I42" t="str">
        <f>IF(BaseCoalPlants!H44="-","",BaseCoalPlants!H44)</f>
        <v/>
      </c>
      <c r="J42" t="str">
        <f>IF(BaseCoalPlants!I44="-","",BaseCoalPlants!I44)</f>
        <v/>
      </c>
      <c r="K42" t="str">
        <f>IF(BaseCoalPlants!J44="-","",BaseCoalPlants!J44)</f>
        <v/>
      </c>
      <c r="L42" t="str">
        <f>IF(BaseCoalPlants!K44="-","",BaseCoalPlants!K44)</f>
        <v/>
      </c>
      <c r="M42" s="1" t="str">
        <f>IF(BaseCoalPlants!L44=0,"",BaseCoalPlants!L44)</f>
        <v/>
      </c>
      <c r="N42" s="1" t="str">
        <f>IF(BaseCoalPlants!W44=0,"",BaseCoalPlants!W44)</f>
        <v/>
      </c>
      <c r="O42" s="1" t="str">
        <f>IF(BaseCoalPlants!X44=0,"",BaseCoalPlants!X44)</f>
        <v/>
      </c>
      <c r="P42" s="1">
        <f>IF(BaseCoalPlants!Y44=0,"",BaseCoalPlants!Y44)</f>
        <v>0.30678304775110077</v>
      </c>
      <c r="Q42" s="1" t="str">
        <f>IF(BaseCoalPlants!Z44=0,"",BaseCoalPlants!Z44)</f>
        <v/>
      </c>
      <c r="R42" s="1" t="str">
        <f>IF(BaseCoalPlants!AA44=0,"",BaseCoalPlants!AA44)</f>
        <v/>
      </c>
      <c r="S42" s="1" t="str">
        <f>IF(BaseCoalPlants!AB44=0,"",BaseCoalPlants!AB44)</f>
        <v/>
      </c>
      <c r="T42" s="1" t="str">
        <f>IF(BaseCoalPlants!AC44=0,"",BaseCoalPlants!AC44)</f>
        <v/>
      </c>
      <c r="U42" s="1" t="str">
        <f>IF(BaseCoalPlants!AD44=0,"",BaseCoalPlants!AD44)</f>
        <v/>
      </c>
      <c r="V42" s="1" t="str">
        <f>IF(BaseCoalPlants!AE44=0,"",BaseCoalPlants!AE44)</f>
        <v/>
      </c>
    </row>
    <row r="43" spans="3:22" x14ac:dyDescent="0.35">
      <c r="C43" t="str">
        <f>IF(BaseCoalPlants!B45="VDA_FLOP",IF(BaseCoalPlants!D45="ELC","*","INPUT"),BaseCoalPlants!B45)</f>
        <v>EFF</v>
      </c>
      <c r="D43" t="str">
        <f>IF(BaseCoalPlants!C45="","\I:",BaseCoalPlants!C45&amp;"_LE")</f>
        <v>ECSTMRBOO_LE</v>
      </c>
      <c r="E43" t="str">
        <f>IF(BaseCoalPlants!D45="-","",BaseCoalPlants!D45)</f>
        <v/>
      </c>
      <c r="F43" t="str">
        <f>IF(BaseCoalPlants!E45="-","",BaseCoalPlants!E45)</f>
        <v/>
      </c>
      <c r="G43" t="str">
        <f>IF(BaseCoalPlants!F45="-","",BaseCoalPlants!F45)</f>
        <v>ANNUAL</v>
      </c>
      <c r="H43">
        <f>IF(BaseCoalPlants!G45="-","",BaseCoalPlants!G45)</f>
        <v>1978</v>
      </c>
      <c r="I43" t="str">
        <f>IF(BaseCoalPlants!H45="-","",BaseCoalPlants!H45)</f>
        <v/>
      </c>
      <c r="J43" t="str">
        <f>IF(BaseCoalPlants!I45="-","",BaseCoalPlants!I45)</f>
        <v/>
      </c>
      <c r="K43" t="str">
        <f>IF(BaseCoalPlants!J45="-","",BaseCoalPlants!J45)</f>
        <v/>
      </c>
      <c r="L43" t="str">
        <f>IF(BaseCoalPlants!K45="-","",BaseCoalPlants!K45)</f>
        <v/>
      </c>
      <c r="M43" s="1" t="str">
        <f>IF(BaseCoalPlants!L45=0,"",BaseCoalPlants!L45)</f>
        <v/>
      </c>
      <c r="N43" s="1" t="str">
        <f>IF(BaseCoalPlants!W45=0,"",BaseCoalPlants!W45)</f>
        <v/>
      </c>
      <c r="O43" s="1" t="str">
        <f>IF(BaseCoalPlants!X45=0,"",BaseCoalPlants!X45)</f>
        <v/>
      </c>
      <c r="P43" s="1">
        <f>IF(BaseCoalPlants!Y45=0,"",BaseCoalPlants!Y45)</f>
        <v>0.30845152979477375</v>
      </c>
      <c r="Q43" s="1" t="str">
        <f>IF(BaseCoalPlants!Z45=0,"",BaseCoalPlants!Z45)</f>
        <v/>
      </c>
      <c r="R43" s="1" t="str">
        <f>IF(BaseCoalPlants!AA45=0,"",BaseCoalPlants!AA45)</f>
        <v/>
      </c>
      <c r="S43" s="1">
        <f>IF(BaseCoalPlants!AB45=0,"",BaseCoalPlants!AB45)</f>
        <v>0.30892393284479996</v>
      </c>
      <c r="T43" s="1" t="str">
        <f>IF(BaseCoalPlants!AC45=0,"",BaseCoalPlants!AC45)</f>
        <v/>
      </c>
      <c r="U43" s="1" t="str">
        <f>IF(BaseCoalPlants!AD45=0,"",BaseCoalPlants!AD45)</f>
        <v/>
      </c>
      <c r="V43" s="1" t="str">
        <f>IF(BaseCoalPlants!AE45=0,"",BaseCoalPlants!AE45)</f>
        <v/>
      </c>
    </row>
    <row r="44" spans="3:22" x14ac:dyDescent="0.35">
      <c r="C44" t="str">
        <f>IF(BaseCoalPlants!B46="VDA_FLOP",IF(BaseCoalPlants!D46="ELC","*","INPUT"),BaseCoalPlants!B46)</f>
        <v>EFF</v>
      </c>
      <c r="D44" t="str">
        <f>IF(BaseCoalPlants!C46="","\I:",BaseCoalPlants!C46&amp;"_LE")</f>
        <v>ECSTMRBOO_LE</v>
      </c>
      <c r="E44" t="str">
        <f>IF(BaseCoalPlants!D46="-","",BaseCoalPlants!D46)</f>
        <v/>
      </c>
      <c r="F44" t="str">
        <f>IF(BaseCoalPlants!E46="-","",BaseCoalPlants!E46)</f>
        <v/>
      </c>
      <c r="G44" t="str">
        <f>IF(BaseCoalPlants!F46="-","",BaseCoalPlants!F46)</f>
        <v>ANNUAL</v>
      </c>
      <c r="H44">
        <f>IF(BaseCoalPlants!G46="-","",BaseCoalPlants!G46)</f>
        <v>1979</v>
      </c>
      <c r="I44" t="str">
        <f>IF(BaseCoalPlants!H46="-","",BaseCoalPlants!H46)</f>
        <v/>
      </c>
      <c r="J44" t="str">
        <f>IF(BaseCoalPlants!I46="-","",BaseCoalPlants!I46)</f>
        <v/>
      </c>
      <c r="K44" t="str">
        <f>IF(BaseCoalPlants!J46="-","",BaseCoalPlants!J46)</f>
        <v/>
      </c>
      <c r="L44" t="str">
        <f>IF(BaseCoalPlants!K46="-","",BaseCoalPlants!K46)</f>
        <v/>
      </c>
      <c r="M44" s="1" t="str">
        <f>IF(BaseCoalPlants!L46=0,"",BaseCoalPlants!L46)</f>
        <v/>
      </c>
      <c r="N44" s="1" t="str">
        <f>IF(BaseCoalPlants!W46=0,"",BaseCoalPlants!W46)</f>
        <v/>
      </c>
      <c r="O44" s="1" t="str">
        <f>IF(BaseCoalPlants!X46=0,"",BaseCoalPlants!X46)</f>
        <v/>
      </c>
      <c r="P44" s="1" t="str">
        <f>IF(BaseCoalPlants!Y46=0,"",BaseCoalPlants!Y46)</f>
        <v/>
      </c>
      <c r="Q44" s="1" t="str">
        <f>IF(BaseCoalPlants!Z46=0,"",BaseCoalPlants!Z46)</f>
        <v/>
      </c>
      <c r="R44" s="1">
        <f>IF(BaseCoalPlants!AA46=0,"",BaseCoalPlants!AA46)</f>
        <v>0.32075094329641246</v>
      </c>
      <c r="S44" s="1">
        <f>IF(BaseCoalPlants!AB46=0,"",BaseCoalPlants!AB46)</f>
        <v>0.29392816365062879</v>
      </c>
      <c r="T44" s="1" t="str">
        <f>IF(BaseCoalPlants!AC46=0,"",BaseCoalPlants!AC46)</f>
        <v/>
      </c>
      <c r="U44" s="1" t="str">
        <f>IF(BaseCoalPlants!AD46=0,"",BaseCoalPlants!AD46)</f>
        <v/>
      </c>
      <c r="V44" s="1" t="str">
        <f>IF(BaseCoalPlants!AE46=0,"",BaseCoalPlants!AE46)</f>
        <v/>
      </c>
    </row>
    <row r="45" spans="3:22" x14ac:dyDescent="0.35">
      <c r="C45" t="str">
        <f>IF(BaseCoalPlants!B47="VDA_FLOP",IF(BaseCoalPlants!D47="ELC","*","INPUT"),BaseCoalPlants!B47)</f>
        <v>EFF</v>
      </c>
      <c r="D45" t="str">
        <f>IF(BaseCoalPlants!C47="","\I:",BaseCoalPlants!C47&amp;"_LE")</f>
        <v>ECSTMRBOO_LE</v>
      </c>
      <c r="E45" t="str">
        <f>IF(BaseCoalPlants!D47="-","",BaseCoalPlants!D47)</f>
        <v/>
      </c>
      <c r="F45" t="str">
        <f>IF(BaseCoalPlants!E47="-","",BaseCoalPlants!E47)</f>
        <v/>
      </c>
      <c r="G45" t="str">
        <f>IF(BaseCoalPlants!F47="-","",BaseCoalPlants!F47)</f>
        <v>ANNUAL</v>
      </c>
      <c r="H45">
        <f>IF(BaseCoalPlants!G47="-","",BaseCoalPlants!G47)</f>
        <v>1980</v>
      </c>
      <c r="I45" t="str">
        <f>IF(BaseCoalPlants!H47="-","",BaseCoalPlants!H47)</f>
        <v/>
      </c>
      <c r="J45" t="str">
        <f>IF(BaseCoalPlants!I47="-","",BaseCoalPlants!I47)</f>
        <v/>
      </c>
      <c r="K45" t="str">
        <f>IF(BaseCoalPlants!J47="-","",BaseCoalPlants!J47)</f>
        <v/>
      </c>
      <c r="L45" t="str">
        <f>IF(BaseCoalPlants!K47="-","",BaseCoalPlants!K47)</f>
        <v/>
      </c>
      <c r="M45" s="1" t="str">
        <f>IF(BaseCoalPlants!L47=0,"",BaseCoalPlants!L47)</f>
        <v/>
      </c>
      <c r="N45" s="1" t="str">
        <f>IF(BaseCoalPlants!W47=0,"",BaseCoalPlants!W47)</f>
        <v/>
      </c>
      <c r="O45" s="1" t="str">
        <f>IF(BaseCoalPlants!X47=0,"",BaseCoalPlants!X47)</f>
        <v/>
      </c>
      <c r="P45" s="1" t="str">
        <f>IF(BaseCoalPlants!Y47=0,"",BaseCoalPlants!Y47)</f>
        <v/>
      </c>
      <c r="Q45" s="1" t="str">
        <f>IF(BaseCoalPlants!Z47=0,"",BaseCoalPlants!Z47)</f>
        <v/>
      </c>
      <c r="R45" s="1">
        <f>IF(BaseCoalPlants!AA47=0,"",BaseCoalPlants!AA47)</f>
        <v>0.3172938907464451</v>
      </c>
      <c r="S45" s="1">
        <f>IF(BaseCoalPlants!AB47=0,"",BaseCoalPlants!AB47)</f>
        <v>0.28644887931849022</v>
      </c>
      <c r="T45" s="1" t="str">
        <f>IF(BaseCoalPlants!AC47=0,"",BaseCoalPlants!AC47)</f>
        <v/>
      </c>
      <c r="U45" s="1" t="str">
        <f>IF(BaseCoalPlants!AD47=0,"",BaseCoalPlants!AD47)</f>
        <v/>
      </c>
      <c r="V45" s="1" t="str">
        <f>IF(BaseCoalPlants!AE47=0,"",BaseCoalPlants!AE47)</f>
        <v/>
      </c>
    </row>
    <row r="46" spans="3:22" x14ac:dyDescent="0.35">
      <c r="C46" t="str">
        <f>IF(BaseCoalPlants!B48="VDA_FLOP",IF(BaseCoalPlants!D48="ELC","*","INPUT"),BaseCoalPlants!B48)</f>
        <v>EFF</v>
      </c>
      <c r="D46" t="str">
        <f>IF(BaseCoalPlants!C48="","\I:",BaseCoalPlants!C48&amp;"_LE")</f>
        <v>ECSTMRBOO_LE</v>
      </c>
      <c r="E46" t="str">
        <f>IF(BaseCoalPlants!D48="-","",BaseCoalPlants!D48)</f>
        <v/>
      </c>
      <c r="F46" t="str">
        <f>IF(BaseCoalPlants!E48="-","",BaseCoalPlants!E48)</f>
        <v/>
      </c>
      <c r="G46" t="str">
        <f>IF(BaseCoalPlants!F48="-","",BaseCoalPlants!F48)</f>
        <v>ANNUAL</v>
      </c>
      <c r="H46">
        <f>IF(BaseCoalPlants!G48="-","",BaseCoalPlants!G48)</f>
        <v>1981</v>
      </c>
      <c r="I46" t="str">
        <f>IF(BaseCoalPlants!H48="-","",BaseCoalPlants!H48)</f>
        <v/>
      </c>
      <c r="J46" t="str">
        <f>IF(BaseCoalPlants!I48="-","",BaseCoalPlants!I48)</f>
        <v/>
      </c>
      <c r="K46" t="str">
        <f>IF(BaseCoalPlants!J48="-","",BaseCoalPlants!J48)</f>
        <v/>
      </c>
      <c r="L46" t="str">
        <f>IF(BaseCoalPlants!K48="-","",BaseCoalPlants!K48)</f>
        <v/>
      </c>
      <c r="M46" s="1" t="str">
        <f>IF(BaseCoalPlants!L48=0,"",BaseCoalPlants!L48)</f>
        <v/>
      </c>
      <c r="N46" s="1" t="str">
        <f>IF(BaseCoalPlants!W48=0,"",BaseCoalPlants!W48)</f>
        <v/>
      </c>
      <c r="O46" s="1">
        <f>IF(BaseCoalPlants!X48=0,"",BaseCoalPlants!X48)</f>
        <v>0.35622329098371647</v>
      </c>
      <c r="P46" s="1" t="str">
        <f>IF(BaseCoalPlants!Y48=0,"",BaseCoalPlants!Y48)</f>
        <v/>
      </c>
      <c r="Q46" s="1" t="str">
        <f>IF(BaseCoalPlants!Z48=0,"",BaseCoalPlants!Z48)</f>
        <v/>
      </c>
      <c r="R46" s="1" t="str">
        <f>IF(BaseCoalPlants!AA48=0,"",BaseCoalPlants!AA48)</f>
        <v/>
      </c>
      <c r="S46" s="1" t="str">
        <f>IF(BaseCoalPlants!AB48=0,"",BaseCoalPlants!AB48)</f>
        <v/>
      </c>
      <c r="T46" s="1" t="str">
        <f>IF(BaseCoalPlants!AC48=0,"",BaseCoalPlants!AC48)</f>
        <v/>
      </c>
      <c r="U46" s="1" t="str">
        <f>IF(BaseCoalPlants!AD48=0,"",BaseCoalPlants!AD48)</f>
        <v/>
      </c>
      <c r="V46" s="1" t="str">
        <f>IF(BaseCoalPlants!AE48=0,"",BaseCoalPlants!AE48)</f>
        <v/>
      </c>
    </row>
    <row r="47" spans="3:22" x14ac:dyDescent="0.35">
      <c r="C47" t="str">
        <f>IF(BaseCoalPlants!B49="VDA_FLOP",IF(BaseCoalPlants!D49="ELC","*","INPUT"),BaseCoalPlants!B49)</f>
        <v>EFF</v>
      </c>
      <c r="D47" t="str">
        <f>IF(BaseCoalPlants!C49="","\I:",BaseCoalPlants!C49&amp;"_LE")</f>
        <v>ECSTMRBOO_LE</v>
      </c>
      <c r="E47" t="str">
        <f>IF(BaseCoalPlants!D49="-","",BaseCoalPlants!D49)</f>
        <v/>
      </c>
      <c r="F47" t="str">
        <f>IF(BaseCoalPlants!E49="-","",BaseCoalPlants!E49)</f>
        <v/>
      </c>
      <c r="G47" t="str">
        <f>IF(BaseCoalPlants!F49="-","",BaseCoalPlants!F49)</f>
        <v>ANNUAL</v>
      </c>
      <c r="H47">
        <f>IF(BaseCoalPlants!G49="-","",BaseCoalPlants!G49)</f>
        <v>1982</v>
      </c>
      <c r="I47" t="str">
        <f>IF(BaseCoalPlants!H49="-","",BaseCoalPlants!H49)</f>
        <v/>
      </c>
      <c r="J47" t="str">
        <f>IF(BaseCoalPlants!I49="-","",BaseCoalPlants!I49)</f>
        <v/>
      </c>
      <c r="K47" t="str">
        <f>IF(BaseCoalPlants!J49="-","",BaseCoalPlants!J49)</f>
        <v/>
      </c>
      <c r="L47" t="str">
        <f>IF(BaseCoalPlants!K49="-","",BaseCoalPlants!K49)</f>
        <v/>
      </c>
      <c r="M47" s="1" t="str">
        <f>IF(BaseCoalPlants!L49=0,"",BaseCoalPlants!L49)</f>
        <v/>
      </c>
      <c r="N47" s="1" t="str">
        <f>IF(BaseCoalPlants!W49=0,"",BaseCoalPlants!W49)</f>
        <v/>
      </c>
      <c r="O47" s="1" t="str">
        <f>IF(BaseCoalPlants!X49=0,"",BaseCoalPlants!X49)</f>
        <v/>
      </c>
      <c r="P47" s="1" t="str">
        <f>IF(BaseCoalPlants!Y49=0,"",BaseCoalPlants!Y49)</f>
        <v/>
      </c>
      <c r="Q47" s="1" t="str">
        <f>IF(BaseCoalPlants!Z49=0,"",BaseCoalPlants!Z49)</f>
        <v/>
      </c>
      <c r="R47" s="1">
        <f>IF(BaseCoalPlants!AA49=0,"",BaseCoalPlants!AA49)</f>
        <v>0.3392532501953453</v>
      </c>
      <c r="S47" s="1">
        <f>IF(BaseCoalPlants!AB49=0,"",BaseCoalPlants!AB49)</f>
        <v>0.30498364992889437</v>
      </c>
      <c r="T47" s="1" t="str">
        <f>IF(BaseCoalPlants!AC49=0,"",BaseCoalPlants!AC49)</f>
        <v/>
      </c>
      <c r="U47" s="1" t="str">
        <f>IF(BaseCoalPlants!AD49=0,"",BaseCoalPlants!AD49)</f>
        <v/>
      </c>
      <c r="V47" s="1" t="str">
        <f>IF(BaseCoalPlants!AE49=0,"",BaseCoalPlants!AE49)</f>
        <v/>
      </c>
    </row>
    <row r="48" spans="3:22" x14ac:dyDescent="0.35">
      <c r="C48" t="str">
        <f>IF(BaseCoalPlants!B50="VDA_FLOP",IF(BaseCoalPlants!D50="ELC","*","INPUT"),BaseCoalPlants!B50)</f>
        <v>EFF</v>
      </c>
      <c r="D48" t="str">
        <f>IF(BaseCoalPlants!C50="","\I:",BaseCoalPlants!C50&amp;"_LE")</f>
        <v>ECSTMRBOO_LE</v>
      </c>
      <c r="E48" t="str">
        <f>IF(BaseCoalPlants!D50="-","",BaseCoalPlants!D50)</f>
        <v/>
      </c>
      <c r="F48" t="str">
        <f>IF(BaseCoalPlants!E50="-","",BaseCoalPlants!E50)</f>
        <v/>
      </c>
      <c r="G48" t="str">
        <f>IF(BaseCoalPlants!F50="-","",BaseCoalPlants!F50)</f>
        <v>ANNUAL</v>
      </c>
      <c r="H48">
        <f>IF(BaseCoalPlants!G50="-","",BaseCoalPlants!G50)</f>
        <v>1984</v>
      </c>
      <c r="I48" t="str">
        <f>IF(BaseCoalPlants!H50="-","",BaseCoalPlants!H50)</f>
        <v/>
      </c>
      <c r="J48" t="str">
        <f>IF(BaseCoalPlants!I50="-","",BaseCoalPlants!I50)</f>
        <v/>
      </c>
      <c r="K48" t="str">
        <f>IF(BaseCoalPlants!J50="-","",BaseCoalPlants!J50)</f>
        <v/>
      </c>
      <c r="L48" t="str">
        <f>IF(BaseCoalPlants!K50="-","",BaseCoalPlants!K50)</f>
        <v/>
      </c>
      <c r="M48" s="1" t="str">
        <f>IF(BaseCoalPlants!L50=0,"",BaseCoalPlants!L50)</f>
        <v/>
      </c>
      <c r="N48" s="1" t="str">
        <f>IF(BaseCoalPlants!W50=0,"",BaseCoalPlants!W50)</f>
        <v/>
      </c>
      <c r="O48" s="1">
        <f>IF(BaseCoalPlants!X50=0,"",BaseCoalPlants!X50)</f>
        <v>0.35537311606490113</v>
      </c>
      <c r="P48" s="1" t="str">
        <f>IF(BaseCoalPlants!Y50=0,"",BaseCoalPlants!Y50)</f>
        <v/>
      </c>
      <c r="Q48" s="1" t="str">
        <f>IF(BaseCoalPlants!Z50=0,"",BaseCoalPlants!Z50)</f>
        <v/>
      </c>
      <c r="R48" s="1">
        <f>IF(BaseCoalPlants!AA50=0,"",BaseCoalPlants!AA50)</f>
        <v>0.34176623723382915</v>
      </c>
      <c r="S48" s="1" t="str">
        <f>IF(BaseCoalPlants!AB50=0,"",BaseCoalPlants!AB50)</f>
        <v/>
      </c>
      <c r="T48" s="1" t="str">
        <f>IF(BaseCoalPlants!AC50=0,"",BaseCoalPlants!AC50)</f>
        <v/>
      </c>
      <c r="U48" s="1" t="str">
        <f>IF(BaseCoalPlants!AD50=0,"",BaseCoalPlants!AD50)</f>
        <v/>
      </c>
      <c r="V48" s="1" t="str">
        <f>IF(BaseCoalPlants!AE50=0,"",BaseCoalPlants!AE50)</f>
        <v/>
      </c>
    </row>
    <row r="49" spans="3:22" x14ac:dyDescent="0.35">
      <c r="C49" t="str">
        <f>IF(BaseCoalPlants!B51="VDA_FLOP",IF(BaseCoalPlants!D51="ELC","*","INPUT"),BaseCoalPlants!B51)</f>
        <v>EFF</v>
      </c>
      <c r="D49" t="str">
        <f>IF(BaseCoalPlants!C51="","\I:",BaseCoalPlants!C51&amp;"_LE")</f>
        <v>ECSTMRBOO_LE</v>
      </c>
      <c r="E49" t="str">
        <f>IF(BaseCoalPlants!D51="-","",BaseCoalPlants!D51)</f>
        <v/>
      </c>
      <c r="F49" t="str">
        <f>IF(BaseCoalPlants!E51="-","",BaseCoalPlants!E51)</f>
        <v/>
      </c>
      <c r="G49" t="str">
        <f>IF(BaseCoalPlants!F51="-","",BaseCoalPlants!F51)</f>
        <v>ANNUAL</v>
      </c>
      <c r="H49">
        <f>IF(BaseCoalPlants!G51="-","",BaseCoalPlants!G51)</f>
        <v>1985</v>
      </c>
      <c r="I49" t="str">
        <f>IF(BaseCoalPlants!H51="-","",BaseCoalPlants!H51)</f>
        <v/>
      </c>
      <c r="J49" t="str">
        <f>IF(BaseCoalPlants!I51="-","",BaseCoalPlants!I51)</f>
        <v/>
      </c>
      <c r="K49" t="str">
        <f>IF(BaseCoalPlants!J51="-","",BaseCoalPlants!J51)</f>
        <v/>
      </c>
      <c r="L49" t="str">
        <f>IF(BaseCoalPlants!K51="-","",BaseCoalPlants!K51)</f>
        <v/>
      </c>
      <c r="M49" s="1" t="str">
        <f>IF(BaseCoalPlants!L51=0,"",BaseCoalPlants!L51)</f>
        <v/>
      </c>
      <c r="N49" s="1" t="str">
        <f>IF(BaseCoalPlants!W51=0,"",BaseCoalPlants!W51)</f>
        <v/>
      </c>
      <c r="O49" s="1" t="str">
        <f>IF(BaseCoalPlants!X51=0,"",BaseCoalPlants!X51)</f>
        <v/>
      </c>
      <c r="P49" s="1" t="str">
        <f>IF(BaseCoalPlants!Y51=0,"",BaseCoalPlants!Y51)</f>
        <v/>
      </c>
      <c r="Q49" s="1" t="str">
        <f>IF(BaseCoalPlants!Z51=0,"",BaseCoalPlants!Z51)</f>
        <v/>
      </c>
      <c r="R49" s="1">
        <f>IF(BaseCoalPlants!AA51=0,"",BaseCoalPlants!AA51)</f>
        <v>0.2872778552912621</v>
      </c>
      <c r="S49" s="1" t="str">
        <f>IF(BaseCoalPlants!AB51=0,"",BaseCoalPlants!AB51)</f>
        <v/>
      </c>
      <c r="T49" s="1" t="str">
        <f>IF(BaseCoalPlants!AC51=0,"",BaseCoalPlants!AC51)</f>
        <v/>
      </c>
      <c r="U49" s="1" t="str">
        <f>IF(BaseCoalPlants!AD51=0,"",BaseCoalPlants!AD51)</f>
        <v/>
      </c>
      <c r="V49" s="1" t="str">
        <f>IF(BaseCoalPlants!AE51=0,"",BaseCoalPlants!AE51)</f>
        <v/>
      </c>
    </row>
    <row r="50" spans="3:22" x14ac:dyDescent="0.35">
      <c r="C50" t="str">
        <f>IF(BaseCoalPlants!B52="VDA_FLOP",IF(BaseCoalPlants!D52="ELC","*","INPUT"),BaseCoalPlants!B52)</f>
        <v>EFF</v>
      </c>
      <c r="D50" t="str">
        <f>IF(BaseCoalPlants!C52="","\I:",BaseCoalPlants!C52&amp;"_LE")</f>
        <v>ECSTMRBOO_LE</v>
      </c>
      <c r="E50" t="str">
        <f>IF(BaseCoalPlants!D52="-","",BaseCoalPlants!D52)</f>
        <v/>
      </c>
      <c r="F50" t="str">
        <f>IF(BaseCoalPlants!E52="-","",BaseCoalPlants!E52)</f>
        <v/>
      </c>
      <c r="G50" t="str">
        <f>IF(BaseCoalPlants!F52="-","",BaseCoalPlants!F52)</f>
        <v>ANNUAL</v>
      </c>
      <c r="H50">
        <f>IF(BaseCoalPlants!G52="-","",BaseCoalPlants!G52)</f>
        <v>1986</v>
      </c>
      <c r="I50" t="str">
        <f>IF(BaseCoalPlants!H52="-","",BaseCoalPlants!H52)</f>
        <v/>
      </c>
      <c r="J50" t="str">
        <f>IF(BaseCoalPlants!I52="-","",BaseCoalPlants!I52)</f>
        <v/>
      </c>
      <c r="K50" t="str">
        <f>IF(BaseCoalPlants!J52="-","",BaseCoalPlants!J52)</f>
        <v/>
      </c>
      <c r="L50" t="str">
        <f>IF(BaseCoalPlants!K52="-","",BaseCoalPlants!K52)</f>
        <v/>
      </c>
      <c r="M50" s="1" t="str">
        <f>IF(BaseCoalPlants!L52=0,"",BaseCoalPlants!L52)</f>
        <v/>
      </c>
      <c r="N50" s="1" t="str">
        <f>IF(BaseCoalPlants!W52=0,"",BaseCoalPlants!W52)</f>
        <v/>
      </c>
      <c r="O50" s="1" t="str">
        <f>IF(BaseCoalPlants!X52=0,"",BaseCoalPlants!X52)</f>
        <v/>
      </c>
      <c r="P50" s="1">
        <f>IF(BaseCoalPlants!Y52=0,"",BaseCoalPlants!Y52)</f>
        <v>0.3047283147801168</v>
      </c>
      <c r="Q50" s="1" t="str">
        <f>IF(BaseCoalPlants!Z52=0,"",BaseCoalPlants!Z52)</f>
        <v/>
      </c>
      <c r="R50" s="1" t="str">
        <f>IF(BaseCoalPlants!AA52=0,"",BaseCoalPlants!AA52)</f>
        <v/>
      </c>
      <c r="S50" s="1" t="str">
        <f>IF(BaseCoalPlants!AB52=0,"",BaseCoalPlants!AB52)</f>
        <v/>
      </c>
      <c r="T50" s="1" t="str">
        <f>IF(BaseCoalPlants!AC52=0,"",BaseCoalPlants!AC52)</f>
        <v/>
      </c>
      <c r="U50" s="1" t="str">
        <f>IF(BaseCoalPlants!AD52=0,"",BaseCoalPlants!AD52)</f>
        <v/>
      </c>
      <c r="V50" s="1" t="str">
        <f>IF(BaseCoalPlants!AE52=0,"",BaseCoalPlants!AE52)</f>
        <v/>
      </c>
    </row>
    <row r="51" spans="3:22" x14ac:dyDescent="0.35">
      <c r="C51" t="str">
        <f>IF(BaseCoalPlants!B53="VDA_FLOP",IF(BaseCoalPlants!D53="ELC","*","INPUT"),BaseCoalPlants!B53)</f>
        <v>EFF</v>
      </c>
      <c r="D51" t="str">
        <f>IF(BaseCoalPlants!C53="","\I:",BaseCoalPlants!C53&amp;"_LE")</f>
        <v>ECSTMRBOO_LE</v>
      </c>
      <c r="E51" t="str">
        <f>IF(BaseCoalPlants!D53="-","",BaseCoalPlants!D53)</f>
        <v/>
      </c>
      <c r="F51" t="str">
        <f>IF(BaseCoalPlants!E53="-","",BaseCoalPlants!E53)</f>
        <v/>
      </c>
      <c r="G51" t="str">
        <f>IF(BaseCoalPlants!F53="-","",BaseCoalPlants!F53)</f>
        <v>ANNUAL</v>
      </c>
      <c r="H51">
        <f>IF(BaseCoalPlants!G53="-","",BaseCoalPlants!G53)</f>
        <v>1987</v>
      </c>
      <c r="I51" t="str">
        <f>IF(BaseCoalPlants!H53="-","",BaseCoalPlants!H53)</f>
        <v/>
      </c>
      <c r="J51" t="str">
        <f>IF(BaseCoalPlants!I53="-","",BaseCoalPlants!I53)</f>
        <v/>
      </c>
      <c r="K51" t="str">
        <f>IF(BaseCoalPlants!J53="-","",BaseCoalPlants!J53)</f>
        <v/>
      </c>
      <c r="L51" t="str">
        <f>IF(BaseCoalPlants!K53="-","",BaseCoalPlants!K53)</f>
        <v/>
      </c>
      <c r="M51" s="1" t="str">
        <f>IF(BaseCoalPlants!L53=0,"",BaseCoalPlants!L53)</f>
        <v/>
      </c>
      <c r="N51" s="1" t="str">
        <f>IF(BaseCoalPlants!W53=0,"",BaseCoalPlants!W53)</f>
        <v/>
      </c>
      <c r="O51" s="1">
        <f>IF(BaseCoalPlants!X53=0,"",BaseCoalPlants!X53)</f>
        <v>0.34441670135316382</v>
      </c>
      <c r="P51" s="1" t="str">
        <f>IF(BaseCoalPlants!Y53=0,"",BaseCoalPlants!Y53)</f>
        <v/>
      </c>
      <c r="Q51" s="1" t="str">
        <f>IF(BaseCoalPlants!Z53=0,"",BaseCoalPlants!Z53)</f>
        <v/>
      </c>
      <c r="R51" s="1" t="str">
        <f>IF(BaseCoalPlants!AA53=0,"",BaseCoalPlants!AA53)</f>
        <v/>
      </c>
      <c r="S51" s="1" t="str">
        <f>IF(BaseCoalPlants!AB53=0,"",BaseCoalPlants!AB53)</f>
        <v/>
      </c>
      <c r="T51" s="1" t="str">
        <f>IF(BaseCoalPlants!AC53=0,"",BaseCoalPlants!AC53)</f>
        <v/>
      </c>
      <c r="U51" s="1" t="str">
        <f>IF(BaseCoalPlants!AD53=0,"",BaseCoalPlants!AD53)</f>
        <v/>
      </c>
      <c r="V51" s="1" t="str">
        <f>IF(BaseCoalPlants!AE53=0,"",BaseCoalPlants!AE53)</f>
        <v/>
      </c>
    </row>
    <row r="52" spans="3:22" x14ac:dyDescent="0.35">
      <c r="C52" t="str">
        <f>IF(BaseCoalPlants!B54="VDA_FLOP",IF(BaseCoalPlants!D54="ELC","*","INPUT"),BaseCoalPlants!B54)</f>
        <v>EFF</v>
      </c>
      <c r="D52" t="str">
        <f>IF(BaseCoalPlants!C54="","\I:",BaseCoalPlants!C54&amp;"_LE")</f>
        <v>ECSTMRBOO_LE</v>
      </c>
      <c r="E52" t="str">
        <f>IF(BaseCoalPlants!D54="-","",BaseCoalPlants!D54)</f>
        <v/>
      </c>
      <c r="F52" t="str">
        <f>IF(BaseCoalPlants!E54="-","",BaseCoalPlants!E54)</f>
        <v/>
      </c>
      <c r="G52" t="str">
        <f>IF(BaseCoalPlants!F54="-","",BaseCoalPlants!F54)</f>
        <v>ANNUAL</v>
      </c>
      <c r="H52">
        <f>IF(BaseCoalPlants!G54="-","",BaseCoalPlants!G54)</f>
        <v>1990</v>
      </c>
      <c r="I52" t="str">
        <f>IF(BaseCoalPlants!H54="-","",BaseCoalPlants!H54)</f>
        <v/>
      </c>
      <c r="J52" t="str">
        <f>IF(BaseCoalPlants!I54="-","",BaseCoalPlants!I54)</f>
        <v/>
      </c>
      <c r="K52" t="str">
        <f>IF(BaseCoalPlants!J54="-","",BaseCoalPlants!J54)</f>
        <v/>
      </c>
      <c r="L52" t="str">
        <f>IF(BaseCoalPlants!K54="-","",BaseCoalPlants!K54)</f>
        <v/>
      </c>
      <c r="M52" s="1" t="str">
        <f>IF(BaseCoalPlants!L54=0,"",BaseCoalPlants!L54)</f>
        <v/>
      </c>
      <c r="N52" s="1" t="str">
        <f>IF(BaseCoalPlants!W54=0,"",BaseCoalPlants!W54)</f>
        <v/>
      </c>
      <c r="O52" s="1" t="str">
        <f>IF(BaseCoalPlants!X54=0,"",BaseCoalPlants!X54)</f>
        <v/>
      </c>
      <c r="P52" s="1" t="str">
        <f>IF(BaseCoalPlants!Y54=0,"",BaseCoalPlants!Y54)</f>
        <v/>
      </c>
      <c r="Q52" s="1" t="str">
        <f>IF(BaseCoalPlants!Z54=0,"",BaseCoalPlants!Z54)</f>
        <v/>
      </c>
      <c r="R52" s="1" t="str">
        <f>IF(BaseCoalPlants!AA54=0,"",BaseCoalPlants!AA54)</f>
        <v/>
      </c>
      <c r="S52" s="1">
        <f>IF(BaseCoalPlants!AB54=0,"",BaseCoalPlants!AB54)</f>
        <v>0.27064023330190462</v>
      </c>
      <c r="T52" s="1" t="str">
        <f>IF(BaseCoalPlants!AC54=0,"",BaseCoalPlants!AC54)</f>
        <v/>
      </c>
      <c r="U52" s="1" t="str">
        <f>IF(BaseCoalPlants!AD54=0,"",BaseCoalPlants!AD54)</f>
        <v/>
      </c>
      <c r="V52" s="1" t="str">
        <f>IF(BaseCoalPlants!AE54=0,"",BaseCoalPlants!AE54)</f>
        <v/>
      </c>
    </row>
    <row r="53" spans="3:22" x14ac:dyDescent="0.35">
      <c r="C53" t="str">
        <f>IF(BaseCoalPlants!B55="VDA_FLOP",IF(BaseCoalPlants!D55="ELC","*","INPUT"),BaseCoalPlants!B55)</f>
        <v>EFF</v>
      </c>
      <c r="D53" t="str">
        <f>IF(BaseCoalPlants!C55="","\I:",BaseCoalPlants!C55&amp;"_LE")</f>
        <v>ECSTMRBOO_LE</v>
      </c>
      <c r="E53" t="str">
        <f>IF(BaseCoalPlants!D55="-","",BaseCoalPlants!D55)</f>
        <v/>
      </c>
      <c r="F53" t="str">
        <f>IF(BaseCoalPlants!E55="-","",BaseCoalPlants!E55)</f>
        <v/>
      </c>
      <c r="G53" t="str">
        <f>IF(BaseCoalPlants!F55="-","",BaseCoalPlants!F55)</f>
        <v>ANNUAL</v>
      </c>
      <c r="H53">
        <f>IF(BaseCoalPlants!G55="-","",BaseCoalPlants!G55)</f>
        <v>1994</v>
      </c>
      <c r="I53" t="str">
        <f>IF(BaseCoalPlants!H55="-","",BaseCoalPlants!H55)</f>
        <v/>
      </c>
      <c r="J53" t="str">
        <f>IF(BaseCoalPlants!I55="-","",BaseCoalPlants!I55)</f>
        <v/>
      </c>
      <c r="K53" t="str">
        <f>IF(BaseCoalPlants!J55="-","",BaseCoalPlants!J55)</f>
        <v/>
      </c>
      <c r="L53" t="str">
        <f>IF(BaseCoalPlants!K55="-","",BaseCoalPlants!K55)</f>
        <v/>
      </c>
      <c r="M53" s="1" t="str">
        <f>IF(BaseCoalPlants!L55=0,"",BaseCoalPlants!L55)</f>
        <v/>
      </c>
      <c r="N53" s="1" t="str">
        <f>IF(BaseCoalPlants!W55=0,"",BaseCoalPlants!W55)</f>
        <v/>
      </c>
      <c r="O53" s="1">
        <f>IF(BaseCoalPlants!X55=0,"",BaseCoalPlants!X55)</f>
        <v>0.33122642910882238</v>
      </c>
      <c r="P53" s="1" t="str">
        <f>IF(BaseCoalPlants!Y55=0,"",BaseCoalPlants!Y55)</f>
        <v/>
      </c>
      <c r="Q53" s="1" t="str">
        <f>IF(BaseCoalPlants!Z55=0,"",BaseCoalPlants!Z55)</f>
        <v/>
      </c>
      <c r="R53" s="1" t="str">
        <f>IF(BaseCoalPlants!AA55=0,"",BaseCoalPlants!AA55)</f>
        <v/>
      </c>
      <c r="S53" s="1" t="str">
        <f>IF(BaseCoalPlants!AB55=0,"",BaseCoalPlants!AB55)</f>
        <v/>
      </c>
      <c r="T53" s="1" t="str">
        <f>IF(BaseCoalPlants!AC55=0,"",BaseCoalPlants!AC55)</f>
        <v/>
      </c>
      <c r="U53" s="1" t="str">
        <f>IF(BaseCoalPlants!AD55=0,"",BaseCoalPlants!AD55)</f>
        <v/>
      </c>
      <c r="V53" s="1" t="str">
        <f>IF(BaseCoalPlants!AE55=0,"",BaseCoalPlants!AE55)</f>
        <v/>
      </c>
    </row>
    <row r="54" spans="3:22" x14ac:dyDescent="0.35">
      <c r="C54" t="str">
        <f>IF(BaseCoalPlants!B56="VDA_FLOP",IF(BaseCoalPlants!D56="ELC","*","INPUT"),BaseCoalPlants!B56)</f>
        <v>EFF</v>
      </c>
      <c r="D54" t="str">
        <f>IF(BaseCoalPlants!C56="","\I:",BaseCoalPlants!C56&amp;"_LE")</f>
        <v>ECSTMRBOO_LE</v>
      </c>
      <c r="E54" t="str">
        <f>IF(BaseCoalPlants!D56="-","",BaseCoalPlants!D56)</f>
        <v/>
      </c>
      <c r="F54" t="str">
        <f>IF(BaseCoalPlants!E56="-","",BaseCoalPlants!E56)</f>
        <v/>
      </c>
      <c r="G54" t="str">
        <f>IF(BaseCoalPlants!F56="-","",BaseCoalPlants!F56)</f>
        <v>ANNUAL</v>
      </c>
      <c r="H54">
        <f>IF(BaseCoalPlants!G56="-","",BaseCoalPlants!G56)</f>
        <v>2000</v>
      </c>
      <c r="I54" t="str">
        <f>IF(BaseCoalPlants!H56="-","",BaseCoalPlants!H56)</f>
        <v/>
      </c>
      <c r="J54" t="str">
        <f>IF(BaseCoalPlants!I56="-","",BaseCoalPlants!I56)</f>
        <v/>
      </c>
      <c r="K54" t="str">
        <f>IF(BaseCoalPlants!J56="-","",BaseCoalPlants!J56)</f>
        <v/>
      </c>
      <c r="L54" t="str">
        <f>IF(BaseCoalPlants!K56="-","",BaseCoalPlants!K56)</f>
        <v/>
      </c>
      <c r="M54" s="1" t="str">
        <f>IF(BaseCoalPlants!L56=0,"",BaseCoalPlants!L56)</f>
        <v/>
      </c>
      <c r="N54" s="1" t="str">
        <f>IF(BaseCoalPlants!W56=0,"",BaseCoalPlants!W56)</f>
        <v/>
      </c>
      <c r="O54" s="1" t="str">
        <f>IF(BaseCoalPlants!X56=0,"",BaseCoalPlants!X56)</f>
        <v/>
      </c>
      <c r="P54" s="1">
        <f>IF(BaseCoalPlants!Y56=0,"",BaseCoalPlants!Y56)</f>
        <v>0.32331517803851711</v>
      </c>
      <c r="Q54" s="1" t="str">
        <f>IF(BaseCoalPlants!Z56=0,"",BaseCoalPlants!Z56)</f>
        <v/>
      </c>
      <c r="R54" s="1" t="str">
        <f>IF(BaseCoalPlants!AA56=0,"",BaseCoalPlants!AA56)</f>
        <v/>
      </c>
      <c r="S54" s="1" t="str">
        <f>IF(BaseCoalPlants!AB56=0,"",BaseCoalPlants!AB56)</f>
        <v/>
      </c>
      <c r="T54" s="1" t="str">
        <f>IF(BaseCoalPlants!AC56=0,"",BaseCoalPlants!AC56)</f>
        <v/>
      </c>
      <c r="U54" s="1" t="str">
        <f>IF(BaseCoalPlants!AD56=0,"",BaseCoalPlants!AD56)</f>
        <v/>
      </c>
      <c r="V54" s="1" t="str">
        <f>IF(BaseCoalPlants!AE56=0,"",BaseCoalPlants!AE56)</f>
        <v/>
      </c>
    </row>
    <row r="55" spans="3:22" x14ac:dyDescent="0.35">
      <c r="C55" t="str">
        <f>IF(BaseCoalPlants!B57="VDA_FLOP",IF(BaseCoalPlants!D57="ELC","*","INPUT"),BaseCoalPlants!B57)</f>
        <v>EFF</v>
      </c>
      <c r="D55" t="str">
        <f>IF(BaseCoalPlants!C57="","\I:",BaseCoalPlants!C57&amp;"_LE")</f>
        <v>ECSTMRBOO_LE</v>
      </c>
      <c r="E55" t="str">
        <f>IF(BaseCoalPlants!D57="-","",BaseCoalPlants!D57)</f>
        <v/>
      </c>
      <c r="F55" t="str">
        <f>IF(BaseCoalPlants!E57="-","",BaseCoalPlants!E57)</f>
        <v/>
      </c>
      <c r="G55" t="str">
        <f>IF(BaseCoalPlants!F57="-","",BaseCoalPlants!F57)</f>
        <v>ANNUAL</v>
      </c>
      <c r="H55">
        <f>IF(BaseCoalPlants!G57="-","",BaseCoalPlants!G57)</f>
        <v>2002</v>
      </c>
      <c r="I55" t="str">
        <f>IF(BaseCoalPlants!H57="-","",BaseCoalPlants!H57)</f>
        <v/>
      </c>
      <c r="J55" t="str">
        <f>IF(BaseCoalPlants!I57="-","",BaseCoalPlants!I57)</f>
        <v/>
      </c>
      <c r="K55" t="str">
        <f>IF(BaseCoalPlants!J57="-","",BaseCoalPlants!J57)</f>
        <v/>
      </c>
      <c r="L55" t="str">
        <f>IF(BaseCoalPlants!K57="-","",BaseCoalPlants!K57)</f>
        <v/>
      </c>
      <c r="M55" s="1" t="str">
        <f>IF(BaseCoalPlants!L57=0,"",BaseCoalPlants!L57)</f>
        <v/>
      </c>
      <c r="N55" s="1" t="str">
        <f>IF(BaseCoalPlants!W57=0,"",BaseCoalPlants!W57)</f>
        <v/>
      </c>
      <c r="O55" s="1" t="str">
        <f>IF(BaseCoalPlants!X57=0,"",BaseCoalPlants!X57)</f>
        <v/>
      </c>
      <c r="P55" s="1" t="str">
        <f>IF(BaseCoalPlants!Y57=0,"",BaseCoalPlants!Y57)</f>
        <v/>
      </c>
      <c r="Q55" s="1" t="str">
        <f>IF(BaseCoalPlants!Z57=0,"",BaseCoalPlants!Z57)</f>
        <v/>
      </c>
      <c r="R55" s="1">
        <f>IF(BaseCoalPlants!AA57=0,"",BaseCoalPlants!AA57)</f>
        <v>0.33679426143898178</v>
      </c>
      <c r="S55" s="1" t="str">
        <f>IF(BaseCoalPlants!AB57=0,"",BaseCoalPlants!AB57)</f>
        <v/>
      </c>
      <c r="T55" s="1" t="str">
        <f>IF(BaseCoalPlants!AC57=0,"",BaseCoalPlants!AC57)</f>
        <v/>
      </c>
      <c r="U55" s="1" t="str">
        <f>IF(BaseCoalPlants!AD57=0,"",BaseCoalPlants!AD57)</f>
        <v/>
      </c>
      <c r="V55" s="1" t="str">
        <f>IF(BaseCoalPlants!AE57=0,"",BaseCoalPlants!AE57)</f>
        <v/>
      </c>
    </row>
    <row r="56" spans="3:22" x14ac:dyDescent="0.35">
      <c r="C56" t="str">
        <f>IF(BaseCoalPlants!B58="VDA_FLOP",IF(BaseCoalPlants!D58="ELC","*","INPUT"),BaseCoalPlants!B58)</f>
        <v>EFF</v>
      </c>
      <c r="D56" t="str">
        <f>IF(BaseCoalPlants!C58="","\I:",BaseCoalPlants!C58&amp;"_LE")</f>
        <v>ECSTMRBOR_LE</v>
      </c>
      <c r="E56" t="str">
        <f>IF(BaseCoalPlants!D58="-","",BaseCoalPlants!D58)</f>
        <v/>
      </c>
      <c r="F56" t="str">
        <f>IF(BaseCoalPlants!E58="-","",BaseCoalPlants!E58)</f>
        <v/>
      </c>
      <c r="G56" t="str">
        <f>IF(BaseCoalPlants!F58="-","",BaseCoalPlants!F58)</f>
        <v>ANNUAL</v>
      </c>
      <c r="H56">
        <f>IF(BaseCoalPlants!G58="-","",BaseCoalPlants!G58)</f>
        <v>1950</v>
      </c>
      <c r="I56" t="str">
        <f>IF(BaseCoalPlants!H58="-","",BaseCoalPlants!H58)</f>
        <v/>
      </c>
      <c r="J56" t="str">
        <f>IF(BaseCoalPlants!I58="-","",BaseCoalPlants!I58)</f>
        <v/>
      </c>
      <c r="K56" t="str">
        <f>IF(BaseCoalPlants!J58="-","",BaseCoalPlants!J58)</f>
        <v/>
      </c>
      <c r="L56" t="str">
        <f>IF(BaseCoalPlants!K58="-","",BaseCoalPlants!K58)</f>
        <v/>
      </c>
      <c r="M56" s="1" t="str">
        <f>IF(BaseCoalPlants!L58=0,"",BaseCoalPlants!L58)</f>
        <v/>
      </c>
      <c r="N56" s="1" t="str">
        <f>IF(BaseCoalPlants!W58=0,"",BaseCoalPlants!W58)</f>
        <v/>
      </c>
      <c r="O56" s="1" t="str">
        <f>IF(BaseCoalPlants!X58=0,"",BaseCoalPlants!X58)</f>
        <v/>
      </c>
      <c r="P56" s="1" t="str">
        <f>IF(BaseCoalPlants!Y58=0,"",BaseCoalPlants!Y58)</f>
        <v/>
      </c>
      <c r="Q56" s="1" t="str">
        <f>IF(BaseCoalPlants!Z58=0,"",BaseCoalPlants!Z58)</f>
        <v/>
      </c>
      <c r="R56" s="1">
        <f>IF(BaseCoalPlants!AA58=0,"",BaseCoalPlants!AA58)</f>
        <v>0.29353309891453921</v>
      </c>
      <c r="S56" s="1" t="str">
        <f>IF(BaseCoalPlants!AB58=0,"",BaseCoalPlants!AB58)</f>
        <v/>
      </c>
      <c r="T56" s="1" t="str">
        <f>IF(BaseCoalPlants!AC58=0,"",BaseCoalPlants!AC58)</f>
        <v/>
      </c>
      <c r="U56" s="1" t="str">
        <f>IF(BaseCoalPlants!AD58=0,"",BaseCoalPlants!AD58)</f>
        <v/>
      </c>
      <c r="V56" s="1" t="str">
        <f>IF(BaseCoalPlants!AE58=0,"",BaseCoalPlants!AE58)</f>
        <v/>
      </c>
    </row>
    <row r="57" spans="3:22" x14ac:dyDescent="0.35">
      <c r="C57" t="str">
        <f>IF(BaseCoalPlants!B59="VDA_FLOP",IF(BaseCoalPlants!D59="ELC","*","INPUT"),BaseCoalPlants!B59)</f>
        <v>EFF</v>
      </c>
      <c r="D57" t="str">
        <f>IF(BaseCoalPlants!C59="","\I:",BaseCoalPlants!C59&amp;"_LE")</f>
        <v>ECSTMRBOR_LE</v>
      </c>
      <c r="E57" t="str">
        <f>IF(BaseCoalPlants!D59="-","",BaseCoalPlants!D59)</f>
        <v/>
      </c>
      <c r="F57" t="str">
        <f>IF(BaseCoalPlants!E59="-","",BaseCoalPlants!E59)</f>
        <v/>
      </c>
      <c r="G57" t="str">
        <f>IF(BaseCoalPlants!F59="-","",BaseCoalPlants!F59)</f>
        <v>ANNUAL</v>
      </c>
      <c r="H57">
        <f>IF(BaseCoalPlants!G59="-","",BaseCoalPlants!G59)</f>
        <v>1952</v>
      </c>
      <c r="I57" t="str">
        <f>IF(BaseCoalPlants!H59="-","",BaseCoalPlants!H59)</f>
        <v/>
      </c>
      <c r="J57" t="str">
        <f>IF(BaseCoalPlants!I59="-","",BaseCoalPlants!I59)</f>
        <v/>
      </c>
      <c r="K57" t="str">
        <f>IF(BaseCoalPlants!J59="-","",BaseCoalPlants!J59)</f>
        <v/>
      </c>
      <c r="L57" t="str">
        <f>IF(BaseCoalPlants!K59="-","",BaseCoalPlants!K59)</f>
        <v/>
      </c>
      <c r="M57" s="1" t="str">
        <f>IF(BaseCoalPlants!L59=0,"",BaseCoalPlants!L59)</f>
        <v/>
      </c>
      <c r="N57" s="1" t="str">
        <f>IF(BaseCoalPlants!W59=0,"",BaseCoalPlants!W59)</f>
        <v/>
      </c>
      <c r="O57" s="1" t="str">
        <f>IF(BaseCoalPlants!X59=0,"",BaseCoalPlants!X59)</f>
        <v/>
      </c>
      <c r="P57" s="1" t="str">
        <f>IF(BaseCoalPlants!Y59=0,"",BaseCoalPlants!Y59)</f>
        <v/>
      </c>
      <c r="Q57" s="1" t="str">
        <f>IF(BaseCoalPlants!Z59=0,"",BaseCoalPlants!Z59)</f>
        <v/>
      </c>
      <c r="R57" s="1">
        <f>IF(BaseCoalPlants!AA59=0,"",BaseCoalPlants!AA59)</f>
        <v>0.29334909858388603</v>
      </c>
      <c r="S57" s="1" t="str">
        <f>IF(BaseCoalPlants!AB59=0,"",BaseCoalPlants!AB59)</f>
        <v/>
      </c>
      <c r="T57" s="1" t="str">
        <f>IF(BaseCoalPlants!AC59=0,"",BaseCoalPlants!AC59)</f>
        <v/>
      </c>
      <c r="U57" s="1" t="str">
        <f>IF(BaseCoalPlants!AD59=0,"",BaseCoalPlants!AD59)</f>
        <v/>
      </c>
      <c r="V57" s="1" t="str">
        <f>IF(BaseCoalPlants!AE59=0,"",BaseCoalPlants!AE59)</f>
        <v/>
      </c>
    </row>
    <row r="58" spans="3:22" x14ac:dyDescent="0.35">
      <c r="C58" t="str">
        <f>IF(BaseCoalPlants!B60="VDA_FLOP",IF(BaseCoalPlants!D60="ELC","*","INPUT"),BaseCoalPlants!B60)</f>
        <v>EFF</v>
      </c>
      <c r="D58" t="str">
        <f>IF(BaseCoalPlants!C60="","\I:",BaseCoalPlants!C60&amp;"_LE")</f>
        <v>ECSTMRBOR_LE</v>
      </c>
      <c r="E58" t="str">
        <f>IF(BaseCoalPlants!D60="-","",BaseCoalPlants!D60)</f>
        <v/>
      </c>
      <c r="F58" t="str">
        <f>IF(BaseCoalPlants!E60="-","",BaseCoalPlants!E60)</f>
        <v/>
      </c>
      <c r="G58" t="str">
        <f>IF(BaseCoalPlants!F60="-","",BaseCoalPlants!F60)</f>
        <v>ANNUAL</v>
      </c>
      <c r="H58">
        <f>IF(BaseCoalPlants!G60="-","",BaseCoalPlants!G60)</f>
        <v>1955</v>
      </c>
      <c r="I58" t="str">
        <f>IF(BaseCoalPlants!H60="-","",BaseCoalPlants!H60)</f>
        <v/>
      </c>
      <c r="J58" t="str">
        <f>IF(BaseCoalPlants!I60="-","",BaseCoalPlants!I60)</f>
        <v/>
      </c>
      <c r="K58" t="str">
        <f>IF(BaseCoalPlants!J60="-","",BaseCoalPlants!J60)</f>
        <v/>
      </c>
      <c r="L58" t="str">
        <f>IF(BaseCoalPlants!K60="-","",BaseCoalPlants!K60)</f>
        <v/>
      </c>
      <c r="M58" s="1" t="str">
        <f>IF(BaseCoalPlants!L60=0,"",BaseCoalPlants!L60)</f>
        <v/>
      </c>
      <c r="N58" s="1" t="str">
        <f>IF(BaseCoalPlants!W60=0,"",BaseCoalPlants!W60)</f>
        <v/>
      </c>
      <c r="O58" s="1" t="str">
        <f>IF(BaseCoalPlants!X60=0,"",BaseCoalPlants!X60)</f>
        <v/>
      </c>
      <c r="P58" s="1" t="str">
        <f>IF(BaseCoalPlants!Y60=0,"",BaseCoalPlants!Y60)</f>
        <v/>
      </c>
      <c r="Q58" s="1" t="str">
        <f>IF(BaseCoalPlants!Z60=0,"",BaseCoalPlants!Z60)</f>
        <v/>
      </c>
      <c r="R58" s="1">
        <f>IF(BaseCoalPlants!AA60=0,"",BaseCoalPlants!AA60)</f>
        <v>0.30191975888352574</v>
      </c>
      <c r="S58" s="1" t="str">
        <f>IF(BaseCoalPlants!AB60=0,"",BaseCoalPlants!AB60)</f>
        <v/>
      </c>
      <c r="T58" s="1" t="str">
        <f>IF(BaseCoalPlants!AC60=0,"",BaseCoalPlants!AC60)</f>
        <v/>
      </c>
      <c r="U58" s="1" t="str">
        <f>IF(BaseCoalPlants!AD60=0,"",BaseCoalPlants!AD60)</f>
        <v/>
      </c>
      <c r="V58" s="1" t="str">
        <f>IF(BaseCoalPlants!AE60=0,"",BaseCoalPlants!AE60)</f>
        <v/>
      </c>
    </row>
    <row r="59" spans="3:22" x14ac:dyDescent="0.35">
      <c r="C59" t="str">
        <f>IF(BaseCoalPlants!B61="VDA_FLOP",IF(BaseCoalPlants!D61="ELC","*","INPUT"),BaseCoalPlants!B61)</f>
        <v>EFF</v>
      </c>
      <c r="D59" t="str">
        <f>IF(BaseCoalPlants!C61="","\I:",BaseCoalPlants!C61&amp;"_LE")</f>
        <v>ECSTMRBOR_LE</v>
      </c>
      <c r="E59" t="str">
        <f>IF(BaseCoalPlants!D61="-","",BaseCoalPlants!D61)</f>
        <v/>
      </c>
      <c r="F59" t="str">
        <f>IF(BaseCoalPlants!E61="-","",BaseCoalPlants!E61)</f>
        <v/>
      </c>
      <c r="G59" t="str">
        <f>IF(BaseCoalPlants!F61="-","",BaseCoalPlants!F61)</f>
        <v>ANNUAL</v>
      </c>
      <c r="H59">
        <f>IF(BaseCoalPlants!G61="-","",BaseCoalPlants!G61)</f>
        <v>1956</v>
      </c>
      <c r="I59" t="str">
        <f>IF(BaseCoalPlants!H61="-","",BaseCoalPlants!H61)</f>
        <v/>
      </c>
      <c r="J59" t="str">
        <f>IF(BaseCoalPlants!I61="-","",BaseCoalPlants!I61)</f>
        <v/>
      </c>
      <c r="K59" t="str">
        <f>IF(BaseCoalPlants!J61="-","",BaseCoalPlants!J61)</f>
        <v/>
      </c>
      <c r="L59" t="str">
        <f>IF(BaseCoalPlants!K61="-","",BaseCoalPlants!K61)</f>
        <v/>
      </c>
      <c r="M59" s="1" t="str">
        <f>IF(BaseCoalPlants!L61=0,"",BaseCoalPlants!L61)</f>
        <v/>
      </c>
      <c r="N59" s="1" t="str">
        <f>IF(BaseCoalPlants!W61=0,"",BaseCoalPlants!W61)</f>
        <v/>
      </c>
      <c r="O59" s="1" t="str">
        <f>IF(BaseCoalPlants!X61=0,"",BaseCoalPlants!X61)</f>
        <v/>
      </c>
      <c r="P59" s="1">
        <f>IF(BaseCoalPlants!Y61=0,"",BaseCoalPlants!Y61)</f>
        <v>0.30056238039143518</v>
      </c>
      <c r="Q59" s="1" t="str">
        <f>IF(BaseCoalPlants!Z61=0,"",BaseCoalPlants!Z61)</f>
        <v/>
      </c>
      <c r="R59" s="1" t="str">
        <f>IF(BaseCoalPlants!AA61=0,"",BaseCoalPlants!AA61)</f>
        <v/>
      </c>
      <c r="S59" s="1" t="str">
        <f>IF(BaseCoalPlants!AB61=0,"",BaseCoalPlants!AB61)</f>
        <v/>
      </c>
      <c r="T59" s="1" t="str">
        <f>IF(BaseCoalPlants!AC61=0,"",BaseCoalPlants!AC61)</f>
        <v/>
      </c>
      <c r="U59" s="1" t="str">
        <f>IF(BaseCoalPlants!AD61=0,"",BaseCoalPlants!AD61)</f>
        <v/>
      </c>
      <c r="V59" s="1" t="str">
        <f>IF(BaseCoalPlants!AE61=0,"",BaseCoalPlants!AE61)</f>
        <v/>
      </c>
    </row>
    <row r="60" spans="3:22" x14ac:dyDescent="0.35">
      <c r="C60" t="str">
        <f>IF(BaseCoalPlants!B62="VDA_FLOP",IF(BaseCoalPlants!D62="ELC","*","INPUT"),BaseCoalPlants!B62)</f>
        <v>EFF</v>
      </c>
      <c r="D60" t="str">
        <f>IF(BaseCoalPlants!C62="","\I:",BaseCoalPlants!C62&amp;"_LE")</f>
        <v>ECSTMRBOR_LE</v>
      </c>
      <c r="E60" t="str">
        <f>IF(BaseCoalPlants!D62="-","",BaseCoalPlants!D62)</f>
        <v/>
      </c>
      <c r="F60" t="str">
        <f>IF(BaseCoalPlants!E62="-","",BaseCoalPlants!E62)</f>
        <v/>
      </c>
      <c r="G60" t="str">
        <f>IF(BaseCoalPlants!F62="-","",BaseCoalPlants!F62)</f>
        <v>ANNUAL</v>
      </c>
      <c r="H60">
        <f>IF(BaseCoalPlants!G62="-","",BaseCoalPlants!G62)</f>
        <v>1957</v>
      </c>
      <c r="I60" t="str">
        <f>IF(BaseCoalPlants!H62="-","",BaseCoalPlants!H62)</f>
        <v/>
      </c>
      <c r="J60" t="str">
        <f>IF(BaseCoalPlants!I62="-","",BaseCoalPlants!I62)</f>
        <v/>
      </c>
      <c r="K60" t="str">
        <f>IF(BaseCoalPlants!J62="-","",BaseCoalPlants!J62)</f>
        <v/>
      </c>
      <c r="L60" t="str">
        <f>IF(BaseCoalPlants!K62="-","",BaseCoalPlants!K62)</f>
        <v/>
      </c>
      <c r="M60" s="1" t="str">
        <f>IF(BaseCoalPlants!L62=0,"",BaseCoalPlants!L62)</f>
        <v/>
      </c>
      <c r="N60" s="1" t="str">
        <f>IF(BaseCoalPlants!W62=0,"",BaseCoalPlants!W62)</f>
        <v/>
      </c>
      <c r="O60" s="1" t="str">
        <f>IF(BaseCoalPlants!X62=0,"",BaseCoalPlants!X62)</f>
        <v/>
      </c>
      <c r="P60" s="1" t="str">
        <f>IF(BaseCoalPlants!Y62=0,"",BaseCoalPlants!Y62)</f>
        <v/>
      </c>
      <c r="Q60" s="1" t="str">
        <f>IF(BaseCoalPlants!Z62=0,"",BaseCoalPlants!Z62)</f>
        <v/>
      </c>
      <c r="R60" s="1">
        <f>IF(BaseCoalPlants!AA62=0,"",BaseCoalPlants!AA62)</f>
        <v>0.31103583211984992</v>
      </c>
      <c r="S60" s="1" t="str">
        <f>IF(BaseCoalPlants!AB62=0,"",BaseCoalPlants!AB62)</f>
        <v/>
      </c>
      <c r="T60" s="1" t="str">
        <f>IF(BaseCoalPlants!AC62=0,"",BaseCoalPlants!AC62)</f>
        <v/>
      </c>
      <c r="U60" s="1">
        <f>IF(BaseCoalPlants!AD62=0,"",BaseCoalPlants!AD62)</f>
        <v>0.3007409852521814</v>
      </c>
      <c r="V60" s="1" t="str">
        <f>IF(BaseCoalPlants!AE62=0,"",BaseCoalPlants!AE62)</f>
        <v/>
      </c>
    </row>
    <row r="61" spans="3:22" x14ac:dyDescent="0.35">
      <c r="C61" t="str">
        <f>IF(BaseCoalPlants!B63="VDA_FLOP",IF(BaseCoalPlants!D63="ELC","*","INPUT"),BaseCoalPlants!B63)</f>
        <v>EFF</v>
      </c>
      <c r="D61" t="str">
        <f>IF(BaseCoalPlants!C63="","\I:",BaseCoalPlants!C63&amp;"_LE")</f>
        <v>ECSTMRBOR_LE</v>
      </c>
      <c r="E61" t="str">
        <f>IF(BaseCoalPlants!D63="-","",BaseCoalPlants!D63)</f>
        <v/>
      </c>
      <c r="F61" t="str">
        <f>IF(BaseCoalPlants!E63="-","",BaseCoalPlants!E63)</f>
        <v/>
      </c>
      <c r="G61" t="str">
        <f>IF(BaseCoalPlants!F63="-","",BaseCoalPlants!F63)</f>
        <v>ANNUAL</v>
      </c>
      <c r="H61">
        <f>IF(BaseCoalPlants!G63="-","",BaseCoalPlants!G63)</f>
        <v>1958</v>
      </c>
      <c r="I61" t="str">
        <f>IF(BaseCoalPlants!H63="-","",BaseCoalPlants!H63)</f>
        <v/>
      </c>
      <c r="J61" t="str">
        <f>IF(BaseCoalPlants!I63="-","",BaseCoalPlants!I63)</f>
        <v/>
      </c>
      <c r="K61" t="str">
        <f>IF(BaseCoalPlants!J63="-","",BaseCoalPlants!J63)</f>
        <v/>
      </c>
      <c r="L61" t="str">
        <f>IF(BaseCoalPlants!K63="-","",BaseCoalPlants!K63)</f>
        <v/>
      </c>
      <c r="M61" s="1" t="str">
        <f>IF(BaseCoalPlants!L63=0,"",BaseCoalPlants!L63)</f>
        <v/>
      </c>
      <c r="N61" s="1" t="str">
        <f>IF(BaseCoalPlants!W63=0,"",BaseCoalPlants!W63)</f>
        <v/>
      </c>
      <c r="O61" s="1" t="str">
        <f>IF(BaseCoalPlants!X63=0,"",BaseCoalPlants!X63)</f>
        <v/>
      </c>
      <c r="P61" s="1" t="str">
        <f>IF(BaseCoalPlants!Y63=0,"",BaseCoalPlants!Y63)</f>
        <v/>
      </c>
      <c r="Q61" s="1" t="str">
        <f>IF(BaseCoalPlants!Z63=0,"",BaseCoalPlants!Z63)</f>
        <v/>
      </c>
      <c r="R61" s="1">
        <f>IF(BaseCoalPlants!AA63=0,"",BaseCoalPlants!AA63)</f>
        <v>0.3307093127699568</v>
      </c>
      <c r="S61" s="1" t="str">
        <f>IF(BaseCoalPlants!AB63=0,"",BaseCoalPlants!AB63)</f>
        <v/>
      </c>
      <c r="T61" s="1" t="str">
        <f>IF(BaseCoalPlants!AC63=0,"",BaseCoalPlants!AC63)</f>
        <v/>
      </c>
      <c r="U61" s="1" t="str">
        <f>IF(BaseCoalPlants!AD63=0,"",BaseCoalPlants!AD63)</f>
        <v/>
      </c>
      <c r="V61" s="1" t="str">
        <f>IF(BaseCoalPlants!AE63=0,"",BaseCoalPlants!AE63)</f>
        <v/>
      </c>
    </row>
    <row r="62" spans="3:22" x14ac:dyDescent="0.35">
      <c r="C62" t="str">
        <f>IF(BaseCoalPlants!B64="VDA_FLOP",IF(BaseCoalPlants!D64="ELC","*","INPUT"),BaseCoalPlants!B64)</f>
        <v>EFF</v>
      </c>
      <c r="D62" t="str">
        <f>IF(BaseCoalPlants!C64="","\I:",BaseCoalPlants!C64&amp;"_LE")</f>
        <v>ECSTMRBOR_LE</v>
      </c>
      <c r="E62" t="str">
        <f>IF(BaseCoalPlants!D64="-","",BaseCoalPlants!D64)</f>
        <v/>
      </c>
      <c r="F62" t="str">
        <f>IF(BaseCoalPlants!E64="-","",BaseCoalPlants!E64)</f>
        <v/>
      </c>
      <c r="G62" t="str">
        <f>IF(BaseCoalPlants!F64="-","",BaseCoalPlants!F64)</f>
        <v>ANNUAL</v>
      </c>
      <c r="H62">
        <f>IF(BaseCoalPlants!G64="-","",BaseCoalPlants!G64)</f>
        <v>1959</v>
      </c>
      <c r="I62" t="str">
        <f>IF(BaseCoalPlants!H64="-","",BaseCoalPlants!H64)</f>
        <v/>
      </c>
      <c r="J62" t="str">
        <f>IF(BaseCoalPlants!I64="-","",BaseCoalPlants!I64)</f>
        <v/>
      </c>
      <c r="K62" t="str">
        <f>IF(BaseCoalPlants!J64="-","",BaseCoalPlants!J64)</f>
        <v/>
      </c>
      <c r="L62" t="str">
        <f>IF(BaseCoalPlants!K64="-","",BaseCoalPlants!K64)</f>
        <v/>
      </c>
      <c r="M62" s="1" t="str">
        <f>IF(BaseCoalPlants!L64=0,"",BaseCoalPlants!L64)</f>
        <v/>
      </c>
      <c r="N62" s="1" t="str">
        <f>IF(BaseCoalPlants!W64=0,"",BaseCoalPlants!W64)</f>
        <v/>
      </c>
      <c r="O62" s="1" t="str">
        <f>IF(BaseCoalPlants!X64=0,"",BaseCoalPlants!X64)</f>
        <v/>
      </c>
      <c r="P62" s="1" t="str">
        <f>IF(BaseCoalPlants!Y64=0,"",BaseCoalPlants!Y64)</f>
        <v/>
      </c>
      <c r="Q62" s="1" t="str">
        <f>IF(BaseCoalPlants!Z64=0,"",BaseCoalPlants!Z64)</f>
        <v/>
      </c>
      <c r="R62" s="1" t="str">
        <f>IF(BaseCoalPlants!AA64=0,"",BaseCoalPlants!AA64)</f>
        <v/>
      </c>
      <c r="S62" s="1" t="str">
        <f>IF(BaseCoalPlants!AB64=0,"",BaseCoalPlants!AB64)</f>
        <v/>
      </c>
      <c r="T62" s="1" t="str">
        <f>IF(BaseCoalPlants!AC64=0,"",BaseCoalPlants!AC64)</f>
        <v/>
      </c>
      <c r="U62" s="1">
        <f>IF(BaseCoalPlants!AD64=0,"",BaseCoalPlants!AD64)</f>
        <v>0.31287768709515357</v>
      </c>
      <c r="V62" s="1" t="str">
        <f>IF(BaseCoalPlants!AE64=0,"",BaseCoalPlants!AE64)</f>
        <v/>
      </c>
    </row>
    <row r="63" spans="3:22" x14ac:dyDescent="0.35">
      <c r="C63" t="str">
        <f>IF(BaseCoalPlants!B65="VDA_FLOP",IF(BaseCoalPlants!D65="ELC","*","INPUT"),BaseCoalPlants!B65)</f>
        <v>EFF</v>
      </c>
      <c r="D63" t="str">
        <f>IF(BaseCoalPlants!C65="","\I:",BaseCoalPlants!C65&amp;"_LE")</f>
        <v>ECSTMRBOR_LE</v>
      </c>
      <c r="E63" t="str">
        <f>IF(BaseCoalPlants!D65="-","",BaseCoalPlants!D65)</f>
        <v/>
      </c>
      <c r="F63" t="str">
        <f>IF(BaseCoalPlants!E65="-","",BaseCoalPlants!E65)</f>
        <v/>
      </c>
      <c r="G63" t="str">
        <f>IF(BaseCoalPlants!F65="-","",BaseCoalPlants!F65)</f>
        <v>ANNUAL</v>
      </c>
      <c r="H63">
        <f>IF(BaseCoalPlants!G65="-","",BaseCoalPlants!G65)</f>
        <v>1960</v>
      </c>
      <c r="I63" t="str">
        <f>IF(BaseCoalPlants!H65="-","",BaseCoalPlants!H65)</f>
        <v/>
      </c>
      <c r="J63" t="str">
        <f>IF(BaseCoalPlants!I65="-","",BaseCoalPlants!I65)</f>
        <v/>
      </c>
      <c r="K63" t="str">
        <f>IF(BaseCoalPlants!J65="-","",BaseCoalPlants!J65)</f>
        <v/>
      </c>
      <c r="L63" t="str">
        <f>IF(BaseCoalPlants!K65="-","",BaseCoalPlants!K65)</f>
        <v/>
      </c>
      <c r="M63" s="1" t="str">
        <f>IF(BaseCoalPlants!L65=0,"",BaseCoalPlants!L65)</f>
        <v/>
      </c>
      <c r="N63" s="1" t="str">
        <f>IF(BaseCoalPlants!W65=0,"",BaseCoalPlants!W65)</f>
        <v/>
      </c>
      <c r="O63" s="1" t="str">
        <f>IF(BaseCoalPlants!X65=0,"",BaseCoalPlants!X65)</f>
        <v/>
      </c>
      <c r="P63" s="1" t="str">
        <f>IF(BaseCoalPlants!Y65=0,"",BaseCoalPlants!Y65)</f>
        <v/>
      </c>
      <c r="Q63" s="1" t="str">
        <f>IF(BaseCoalPlants!Z65=0,"",BaseCoalPlants!Z65)</f>
        <v/>
      </c>
      <c r="R63" s="1">
        <f>IF(BaseCoalPlants!AA65=0,"",BaseCoalPlants!AA65)</f>
        <v>0.34830721785074498</v>
      </c>
      <c r="S63" s="1" t="str">
        <f>IF(BaseCoalPlants!AB65=0,"",BaseCoalPlants!AB65)</f>
        <v/>
      </c>
      <c r="T63" s="1" t="str">
        <f>IF(BaseCoalPlants!AC65=0,"",BaseCoalPlants!AC65)</f>
        <v/>
      </c>
      <c r="U63" s="1" t="str">
        <f>IF(BaseCoalPlants!AD65=0,"",BaseCoalPlants!AD65)</f>
        <v/>
      </c>
      <c r="V63" s="1" t="str">
        <f>IF(BaseCoalPlants!AE65=0,"",BaseCoalPlants!AE65)</f>
        <v/>
      </c>
    </row>
    <row r="64" spans="3:22" x14ac:dyDescent="0.35">
      <c r="C64" t="str">
        <f>IF(BaseCoalPlants!B66="VDA_FLOP",IF(BaseCoalPlants!D66="ELC","*","INPUT"),BaseCoalPlants!B66)</f>
        <v>EFF</v>
      </c>
      <c r="D64" t="str">
        <f>IF(BaseCoalPlants!C66="","\I:",BaseCoalPlants!C66&amp;"_LE")</f>
        <v>ECSTMRBOR_LE</v>
      </c>
      <c r="E64" t="str">
        <f>IF(BaseCoalPlants!D66="-","",BaseCoalPlants!D66)</f>
        <v/>
      </c>
      <c r="F64" t="str">
        <f>IF(BaseCoalPlants!E66="-","",BaseCoalPlants!E66)</f>
        <v/>
      </c>
      <c r="G64" t="str">
        <f>IF(BaseCoalPlants!F66="-","",BaseCoalPlants!F66)</f>
        <v>ANNUAL</v>
      </c>
      <c r="H64">
        <f>IF(BaseCoalPlants!G66="-","",BaseCoalPlants!G66)</f>
        <v>1961</v>
      </c>
      <c r="I64" t="str">
        <f>IF(BaseCoalPlants!H66="-","",BaseCoalPlants!H66)</f>
        <v/>
      </c>
      <c r="J64" t="str">
        <f>IF(BaseCoalPlants!I66="-","",BaseCoalPlants!I66)</f>
        <v/>
      </c>
      <c r="K64" t="str">
        <f>IF(BaseCoalPlants!J66="-","",BaseCoalPlants!J66)</f>
        <v/>
      </c>
      <c r="L64" t="str">
        <f>IF(BaseCoalPlants!K66="-","",BaseCoalPlants!K66)</f>
        <v/>
      </c>
      <c r="M64" s="1" t="str">
        <f>IF(BaseCoalPlants!L66=0,"",BaseCoalPlants!L66)</f>
        <v/>
      </c>
      <c r="N64" s="1" t="str">
        <f>IF(BaseCoalPlants!W66=0,"",BaseCoalPlants!W66)</f>
        <v/>
      </c>
      <c r="O64" s="1" t="str">
        <f>IF(BaseCoalPlants!X66=0,"",BaseCoalPlants!X66)</f>
        <v/>
      </c>
      <c r="P64" s="1" t="str">
        <f>IF(BaseCoalPlants!Y66=0,"",BaseCoalPlants!Y66)</f>
        <v/>
      </c>
      <c r="Q64" s="1" t="str">
        <f>IF(BaseCoalPlants!Z66=0,"",BaseCoalPlants!Z66)</f>
        <v/>
      </c>
      <c r="R64" s="1">
        <f>IF(BaseCoalPlants!AA66=0,"",BaseCoalPlants!AA66)</f>
        <v>0.34226615650258657</v>
      </c>
      <c r="S64" s="1" t="str">
        <f>IF(BaseCoalPlants!AB66=0,"",BaseCoalPlants!AB66)</f>
        <v/>
      </c>
      <c r="T64" s="1" t="str">
        <f>IF(BaseCoalPlants!AC66=0,"",BaseCoalPlants!AC66)</f>
        <v/>
      </c>
      <c r="U64" s="1" t="str">
        <f>IF(BaseCoalPlants!AD66=0,"",BaseCoalPlants!AD66)</f>
        <v/>
      </c>
      <c r="V64" s="1" t="str">
        <f>IF(BaseCoalPlants!AE66=0,"",BaseCoalPlants!AE66)</f>
        <v/>
      </c>
    </row>
    <row r="65" spans="3:22" x14ac:dyDescent="0.35">
      <c r="C65" t="str">
        <f>IF(BaseCoalPlants!B67="VDA_FLOP",IF(BaseCoalPlants!D67="ELC","*","INPUT"),BaseCoalPlants!B67)</f>
        <v>EFF</v>
      </c>
      <c r="D65" t="str">
        <f>IF(BaseCoalPlants!C67="","\I:",BaseCoalPlants!C67&amp;"_LE")</f>
        <v>ECSTMRBOR_LE</v>
      </c>
      <c r="E65" t="str">
        <f>IF(BaseCoalPlants!D67="-","",BaseCoalPlants!D67)</f>
        <v/>
      </c>
      <c r="F65" t="str">
        <f>IF(BaseCoalPlants!E67="-","",BaseCoalPlants!E67)</f>
        <v/>
      </c>
      <c r="G65" t="str">
        <f>IF(BaseCoalPlants!F67="-","",BaseCoalPlants!F67)</f>
        <v>ANNUAL</v>
      </c>
      <c r="H65">
        <f>IF(BaseCoalPlants!G67="-","",BaseCoalPlants!G67)</f>
        <v>1962</v>
      </c>
      <c r="I65" t="str">
        <f>IF(BaseCoalPlants!H67="-","",BaseCoalPlants!H67)</f>
        <v/>
      </c>
      <c r="J65" t="str">
        <f>IF(BaseCoalPlants!I67="-","",BaseCoalPlants!I67)</f>
        <v/>
      </c>
      <c r="K65" t="str">
        <f>IF(BaseCoalPlants!J67="-","",BaseCoalPlants!J67)</f>
        <v/>
      </c>
      <c r="L65" t="str">
        <f>IF(BaseCoalPlants!K67="-","",BaseCoalPlants!K67)</f>
        <v/>
      </c>
      <c r="M65" s="1" t="str">
        <f>IF(BaseCoalPlants!L67=0,"",BaseCoalPlants!L67)</f>
        <v/>
      </c>
      <c r="N65" s="1" t="str">
        <f>IF(BaseCoalPlants!W67=0,"",BaseCoalPlants!W67)</f>
        <v/>
      </c>
      <c r="O65" s="1" t="str">
        <f>IF(BaseCoalPlants!X67=0,"",BaseCoalPlants!X67)</f>
        <v/>
      </c>
      <c r="P65" s="1" t="str">
        <f>IF(BaseCoalPlants!Y67=0,"",BaseCoalPlants!Y67)</f>
        <v/>
      </c>
      <c r="Q65" s="1" t="str">
        <f>IF(BaseCoalPlants!Z67=0,"",BaseCoalPlants!Z67)</f>
        <v/>
      </c>
      <c r="R65" s="1">
        <f>IF(BaseCoalPlants!AA67=0,"",BaseCoalPlants!AA67)</f>
        <v>0.32808761707437983</v>
      </c>
      <c r="S65" s="1" t="str">
        <f>IF(BaseCoalPlants!AB67=0,"",BaseCoalPlants!AB67)</f>
        <v/>
      </c>
      <c r="T65" s="1" t="str">
        <f>IF(BaseCoalPlants!AC67=0,"",BaseCoalPlants!AC67)</f>
        <v/>
      </c>
      <c r="U65" s="1">
        <f>IF(BaseCoalPlants!AD67=0,"",BaseCoalPlants!AD67)</f>
        <v>0.32290087569110498</v>
      </c>
      <c r="V65" s="1" t="str">
        <f>IF(BaseCoalPlants!AE67=0,"",BaseCoalPlants!AE67)</f>
        <v/>
      </c>
    </row>
    <row r="66" spans="3:22" x14ac:dyDescent="0.35">
      <c r="C66" t="str">
        <f>IF(BaseCoalPlants!B68="VDA_FLOP",IF(BaseCoalPlants!D68="ELC","*","INPUT"),BaseCoalPlants!B68)</f>
        <v>EFF</v>
      </c>
      <c r="D66" t="str">
        <f>IF(BaseCoalPlants!C68="","\I:",BaseCoalPlants!C68&amp;"_LE")</f>
        <v>ECSTMRBOR_LE</v>
      </c>
      <c r="E66" t="str">
        <f>IF(BaseCoalPlants!D68="-","",BaseCoalPlants!D68)</f>
        <v/>
      </c>
      <c r="F66" t="str">
        <f>IF(BaseCoalPlants!E68="-","",BaseCoalPlants!E68)</f>
        <v/>
      </c>
      <c r="G66" t="str">
        <f>IF(BaseCoalPlants!F68="-","",BaseCoalPlants!F68)</f>
        <v>ANNUAL</v>
      </c>
      <c r="H66">
        <f>IF(BaseCoalPlants!G68="-","",BaseCoalPlants!G68)</f>
        <v>1963</v>
      </c>
      <c r="I66" t="str">
        <f>IF(BaseCoalPlants!H68="-","",BaseCoalPlants!H68)</f>
        <v/>
      </c>
      <c r="J66" t="str">
        <f>IF(BaseCoalPlants!I68="-","",BaseCoalPlants!I68)</f>
        <v/>
      </c>
      <c r="K66" t="str">
        <f>IF(BaseCoalPlants!J68="-","",BaseCoalPlants!J68)</f>
        <v/>
      </c>
      <c r="L66" t="str">
        <f>IF(BaseCoalPlants!K68="-","",BaseCoalPlants!K68)</f>
        <v/>
      </c>
      <c r="M66" s="1" t="str">
        <f>IF(BaseCoalPlants!L68=0,"",BaseCoalPlants!L68)</f>
        <v/>
      </c>
      <c r="N66" s="1" t="str">
        <f>IF(BaseCoalPlants!W68=0,"",BaseCoalPlants!W68)</f>
        <v/>
      </c>
      <c r="O66" s="1" t="str">
        <f>IF(BaseCoalPlants!X68=0,"",BaseCoalPlants!X68)</f>
        <v/>
      </c>
      <c r="P66" s="1" t="str">
        <f>IF(BaseCoalPlants!Y68=0,"",BaseCoalPlants!Y68)</f>
        <v/>
      </c>
      <c r="Q66" s="1" t="str">
        <f>IF(BaseCoalPlants!Z68=0,"",BaseCoalPlants!Z68)</f>
        <v/>
      </c>
      <c r="R66" s="1" t="str">
        <f>IF(BaseCoalPlants!AA68=0,"",BaseCoalPlants!AA68)</f>
        <v/>
      </c>
      <c r="S66" s="1">
        <f>IF(BaseCoalPlants!AB68=0,"",BaseCoalPlants!AB68)</f>
        <v>0.33599752249690079</v>
      </c>
      <c r="T66" s="1" t="str">
        <f>IF(BaseCoalPlants!AC68=0,"",BaseCoalPlants!AC68)</f>
        <v/>
      </c>
      <c r="U66" s="1" t="str">
        <f>IF(BaseCoalPlants!AD68=0,"",BaseCoalPlants!AD68)</f>
        <v/>
      </c>
      <c r="V66" s="1" t="str">
        <f>IF(BaseCoalPlants!AE68=0,"",BaseCoalPlants!AE68)</f>
        <v/>
      </c>
    </row>
    <row r="67" spans="3:22" x14ac:dyDescent="0.35">
      <c r="C67" t="str">
        <f>IF(BaseCoalPlants!B69="VDA_FLOP",IF(BaseCoalPlants!D69="ELC","*","INPUT"),BaseCoalPlants!B69)</f>
        <v>EFF</v>
      </c>
      <c r="D67" t="str">
        <f>IF(BaseCoalPlants!C69="","\I:",BaseCoalPlants!C69&amp;"_LE")</f>
        <v>ECSTMRBOR_LE</v>
      </c>
      <c r="E67" t="str">
        <f>IF(BaseCoalPlants!D69="-","",BaseCoalPlants!D69)</f>
        <v/>
      </c>
      <c r="F67" t="str">
        <f>IF(BaseCoalPlants!E69="-","",BaseCoalPlants!E69)</f>
        <v/>
      </c>
      <c r="G67" t="str">
        <f>IF(BaseCoalPlants!F69="-","",BaseCoalPlants!F69)</f>
        <v>ANNUAL</v>
      </c>
      <c r="H67">
        <f>IF(BaseCoalPlants!G69="-","",BaseCoalPlants!G69)</f>
        <v>1964</v>
      </c>
      <c r="I67" t="str">
        <f>IF(BaseCoalPlants!H69="-","",BaseCoalPlants!H69)</f>
        <v/>
      </c>
      <c r="J67" t="str">
        <f>IF(BaseCoalPlants!I69="-","",BaseCoalPlants!I69)</f>
        <v/>
      </c>
      <c r="K67" t="str">
        <f>IF(BaseCoalPlants!J69="-","",BaseCoalPlants!J69)</f>
        <v/>
      </c>
      <c r="L67" t="str">
        <f>IF(BaseCoalPlants!K69="-","",BaseCoalPlants!K69)</f>
        <v/>
      </c>
      <c r="M67" s="1" t="str">
        <f>IF(BaseCoalPlants!L69=0,"",BaseCoalPlants!L69)</f>
        <v/>
      </c>
      <c r="N67" s="1" t="str">
        <f>IF(BaseCoalPlants!W69=0,"",BaseCoalPlants!W69)</f>
        <v/>
      </c>
      <c r="O67" s="1" t="str">
        <f>IF(BaseCoalPlants!X69=0,"",BaseCoalPlants!X69)</f>
        <v/>
      </c>
      <c r="P67" s="1" t="str">
        <f>IF(BaseCoalPlants!Y69=0,"",BaseCoalPlants!Y69)</f>
        <v/>
      </c>
      <c r="Q67" s="1" t="str">
        <f>IF(BaseCoalPlants!Z69=0,"",BaseCoalPlants!Z69)</f>
        <v/>
      </c>
      <c r="R67" s="1">
        <f>IF(BaseCoalPlants!AA69=0,"",BaseCoalPlants!AA69)</f>
        <v>0.32135318758755937</v>
      </c>
      <c r="S67" s="1" t="str">
        <f>IF(BaseCoalPlants!AB69=0,"",BaseCoalPlants!AB69)</f>
        <v/>
      </c>
      <c r="T67" s="1" t="str">
        <f>IF(BaseCoalPlants!AC69=0,"",BaseCoalPlants!AC69)</f>
        <v/>
      </c>
      <c r="U67" s="1">
        <f>IF(BaseCoalPlants!AD69=0,"",BaseCoalPlants!AD69)</f>
        <v>0.34882647043831966</v>
      </c>
      <c r="V67" s="1" t="str">
        <f>IF(BaseCoalPlants!AE69=0,"",BaseCoalPlants!AE69)</f>
        <v/>
      </c>
    </row>
    <row r="68" spans="3:22" x14ac:dyDescent="0.35">
      <c r="C68" t="str">
        <f>IF(BaseCoalPlants!B70="VDA_FLOP",IF(BaseCoalPlants!D70="ELC","*","INPUT"),BaseCoalPlants!B70)</f>
        <v>EFF</v>
      </c>
      <c r="D68" t="str">
        <f>IF(BaseCoalPlants!C70="","\I:",BaseCoalPlants!C70&amp;"_LE")</f>
        <v>ECSTMRBOR_LE</v>
      </c>
      <c r="E68" t="str">
        <f>IF(BaseCoalPlants!D70="-","",BaseCoalPlants!D70)</f>
        <v/>
      </c>
      <c r="F68" t="str">
        <f>IF(BaseCoalPlants!E70="-","",BaseCoalPlants!E70)</f>
        <v/>
      </c>
      <c r="G68" t="str">
        <f>IF(BaseCoalPlants!F70="-","",BaseCoalPlants!F70)</f>
        <v>ANNUAL</v>
      </c>
      <c r="H68">
        <f>IF(BaseCoalPlants!G70="-","",BaseCoalPlants!G70)</f>
        <v>1965</v>
      </c>
      <c r="I68" t="str">
        <f>IF(BaseCoalPlants!H70="-","",BaseCoalPlants!H70)</f>
        <v/>
      </c>
      <c r="J68" t="str">
        <f>IF(BaseCoalPlants!I70="-","",BaseCoalPlants!I70)</f>
        <v/>
      </c>
      <c r="K68" t="str">
        <f>IF(BaseCoalPlants!J70="-","",BaseCoalPlants!J70)</f>
        <v/>
      </c>
      <c r="L68" t="str">
        <f>IF(BaseCoalPlants!K70="-","",BaseCoalPlants!K70)</f>
        <v/>
      </c>
      <c r="M68" s="1" t="str">
        <f>IF(BaseCoalPlants!L70=0,"",BaseCoalPlants!L70)</f>
        <v/>
      </c>
      <c r="N68" s="1" t="str">
        <f>IF(BaseCoalPlants!W70=0,"",BaseCoalPlants!W70)</f>
        <v/>
      </c>
      <c r="O68" s="1" t="str">
        <f>IF(BaseCoalPlants!X70=0,"",BaseCoalPlants!X70)</f>
        <v/>
      </c>
      <c r="P68" s="1" t="str">
        <f>IF(BaseCoalPlants!Y70=0,"",BaseCoalPlants!Y70)</f>
        <v/>
      </c>
      <c r="Q68" s="1" t="str">
        <f>IF(BaseCoalPlants!Z70=0,"",BaseCoalPlants!Z70)</f>
        <v/>
      </c>
      <c r="R68" s="1" t="str">
        <f>IF(BaseCoalPlants!AA70=0,"",BaseCoalPlants!AA70)</f>
        <v/>
      </c>
      <c r="S68" s="1" t="str">
        <f>IF(BaseCoalPlants!AB70=0,"",BaseCoalPlants!AB70)</f>
        <v/>
      </c>
      <c r="T68" s="1" t="str">
        <f>IF(BaseCoalPlants!AC70=0,"",BaseCoalPlants!AC70)</f>
        <v/>
      </c>
      <c r="U68" s="1">
        <f>IF(BaseCoalPlants!AD70=0,"",BaseCoalPlants!AD70)</f>
        <v>0.29967988683054142</v>
      </c>
      <c r="V68" s="1" t="str">
        <f>IF(BaseCoalPlants!AE70=0,"",BaseCoalPlants!AE70)</f>
        <v/>
      </c>
    </row>
    <row r="69" spans="3:22" x14ac:dyDescent="0.35">
      <c r="C69" t="str">
        <f>IF(BaseCoalPlants!B71="VDA_FLOP",IF(BaseCoalPlants!D71="ELC","*","INPUT"),BaseCoalPlants!B71)</f>
        <v>EFF</v>
      </c>
      <c r="D69" t="str">
        <f>IF(BaseCoalPlants!C71="","\I:",BaseCoalPlants!C71&amp;"_LE")</f>
        <v>ECSTMRBOR_LE</v>
      </c>
      <c r="E69" t="str">
        <f>IF(BaseCoalPlants!D71="-","",BaseCoalPlants!D71)</f>
        <v/>
      </c>
      <c r="F69" t="str">
        <f>IF(BaseCoalPlants!E71="-","",BaseCoalPlants!E71)</f>
        <v/>
      </c>
      <c r="G69" t="str">
        <f>IF(BaseCoalPlants!F71="-","",BaseCoalPlants!F71)</f>
        <v>ANNUAL</v>
      </c>
      <c r="H69">
        <f>IF(BaseCoalPlants!G71="-","",BaseCoalPlants!G71)</f>
        <v>1966</v>
      </c>
      <c r="I69" t="str">
        <f>IF(BaseCoalPlants!H71="-","",BaseCoalPlants!H71)</f>
        <v/>
      </c>
      <c r="J69" t="str">
        <f>IF(BaseCoalPlants!I71="-","",BaseCoalPlants!I71)</f>
        <v/>
      </c>
      <c r="K69" t="str">
        <f>IF(BaseCoalPlants!J71="-","",BaseCoalPlants!J71)</f>
        <v/>
      </c>
      <c r="L69" t="str">
        <f>IF(BaseCoalPlants!K71="-","",BaseCoalPlants!K71)</f>
        <v/>
      </c>
      <c r="M69" s="1" t="str">
        <f>IF(BaseCoalPlants!L71=0,"",BaseCoalPlants!L71)</f>
        <v/>
      </c>
      <c r="N69" s="1" t="str">
        <f>IF(BaseCoalPlants!W71=0,"",BaseCoalPlants!W71)</f>
        <v/>
      </c>
      <c r="O69" s="1" t="str">
        <f>IF(BaseCoalPlants!X71=0,"",BaseCoalPlants!X71)</f>
        <v/>
      </c>
      <c r="P69" s="1" t="str">
        <f>IF(BaseCoalPlants!Y71=0,"",BaseCoalPlants!Y71)</f>
        <v/>
      </c>
      <c r="Q69" s="1" t="str">
        <f>IF(BaseCoalPlants!Z71=0,"",BaseCoalPlants!Z71)</f>
        <v/>
      </c>
      <c r="R69" s="1">
        <f>IF(BaseCoalPlants!AA71=0,"",BaseCoalPlants!AA71)</f>
        <v>0.34808515395667389</v>
      </c>
      <c r="S69" s="1" t="str">
        <f>IF(BaseCoalPlants!AB71=0,"",BaseCoalPlants!AB71)</f>
        <v/>
      </c>
      <c r="T69" s="1" t="str">
        <f>IF(BaseCoalPlants!AC71=0,"",BaseCoalPlants!AC71)</f>
        <v/>
      </c>
      <c r="U69" s="1" t="str">
        <f>IF(BaseCoalPlants!AD71=0,"",BaseCoalPlants!AD71)</f>
        <v/>
      </c>
      <c r="V69" s="1" t="str">
        <f>IF(BaseCoalPlants!AE71=0,"",BaseCoalPlants!AE71)</f>
        <v/>
      </c>
    </row>
    <row r="70" spans="3:22" x14ac:dyDescent="0.35">
      <c r="C70" t="str">
        <f>IF(BaseCoalPlants!B72="VDA_FLOP",IF(BaseCoalPlants!D72="ELC","*","INPUT"),BaseCoalPlants!B72)</f>
        <v>EFF</v>
      </c>
      <c r="D70" t="str">
        <f>IF(BaseCoalPlants!C72="","\I:",BaseCoalPlants!C72&amp;"_LE")</f>
        <v>ECSTMRBOR_LE</v>
      </c>
      <c r="E70" t="str">
        <f>IF(BaseCoalPlants!D72="-","",BaseCoalPlants!D72)</f>
        <v/>
      </c>
      <c r="F70" t="str">
        <f>IF(BaseCoalPlants!E72="-","",BaseCoalPlants!E72)</f>
        <v/>
      </c>
      <c r="G70" t="str">
        <f>IF(BaseCoalPlants!F72="-","",BaseCoalPlants!F72)</f>
        <v>ANNUAL</v>
      </c>
      <c r="H70">
        <f>IF(BaseCoalPlants!G72="-","",BaseCoalPlants!G72)</f>
        <v>1967</v>
      </c>
      <c r="I70" t="str">
        <f>IF(BaseCoalPlants!H72="-","",BaseCoalPlants!H72)</f>
        <v/>
      </c>
      <c r="J70" t="str">
        <f>IF(BaseCoalPlants!I72="-","",BaseCoalPlants!I72)</f>
        <v/>
      </c>
      <c r="K70" t="str">
        <f>IF(BaseCoalPlants!J72="-","",BaseCoalPlants!J72)</f>
        <v/>
      </c>
      <c r="L70" t="str">
        <f>IF(BaseCoalPlants!K72="-","",BaseCoalPlants!K72)</f>
        <v/>
      </c>
      <c r="M70" s="1" t="str">
        <f>IF(BaseCoalPlants!L72=0,"",BaseCoalPlants!L72)</f>
        <v/>
      </c>
      <c r="N70" s="1" t="str">
        <f>IF(BaseCoalPlants!W72=0,"",BaseCoalPlants!W72)</f>
        <v/>
      </c>
      <c r="O70" s="1">
        <f>IF(BaseCoalPlants!X72=0,"",BaseCoalPlants!X72)</f>
        <v>0.33729709471645919</v>
      </c>
      <c r="P70" s="1" t="str">
        <f>IF(BaseCoalPlants!Y72=0,"",BaseCoalPlants!Y72)</f>
        <v/>
      </c>
      <c r="Q70" s="1" t="str">
        <f>IF(BaseCoalPlants!Z72=0,"",BaseCoalPlants!Z72)</f>
        <v/>
      </c>
      <c r="R70" s="1">
        <f>IF(BaseCoalPlants!AA72=0,"",BaseCoalPlants!AA72)</f>
        <v>0.33135680525496769</v>
      </c>
      <c r="S70" s="1" t="str">
        <f>IF(BaseCoalPlants!AB72=0,"",BaseCoalPlants!AB72)</f>
        <v/>
      </c>
      <c r="T70" s="1" t="str">
        <f>IF(BaseCoalPlants!AC72=0,"",BaseCoalPlants!AC72)</f>
        <v/>
      </c>
      <c r="U70" s="1" t="str">
        <f>IF(BaseCoalPlants!AD72=0,"",BaseCoalPlants!AD72)</f>
        <v/>
      </c>
      <c r="V70" s="1" t="str">
        <f>IF(BaseCoalPlants!AE72=0,"",BaseCoalPlants!AE72)</f>
        <v/>
      </c>
    </row>
    <row r="71" spans="3:22" x14ac:dyDescent="0.35">
      <c r="C71" t="str">
        <f>IF(BaseCoalPlants!B73="VDA_FLOP",IF(BaseCoalPlants!D73="ELC","*","INPUT"),BaseCoalPlants!B73)</f>
        <v>EFF</v>
      </c>
      <c r="D71" t="str">
        <f>IF(BaseCoalPlants!C73="","\I:",BaseCoalPlants!C73&amp;"_LE")</f>
        <v>ECSTMRBOR_LE</v>
      </c>
      <c r="E71" t="str">
        <f>IF(BaseCoalPlants!D73="-","",BaseCoalPlants!D73)</f>
        <v/>
      </c>
      <c r="F71" t="str">
        <f>IF(BaseCoalPlants!E73="-","",BaseCoalPlants!E73)</f>
        <v/>
      </c>
      <c r="G71" t="str">
        <f>IF(BaseCoalPlants!F73="-","",BaseCoalPlants!F73)</f>
        <v>ANNUAL</v>
      </c>
      <c r="H71">
        <f>IF(BaseCoalPlants!G73="-","",BaseCoalPlants!G73)</f>
        <v>1968</v>
      </c>
      <c r="I71" t="str">
        <f>IF(BaseCoalPlants!H73="-","",BaseCoalPlants!H73)</f>
        <v/>
      </c>
      <c r="J71" t="str">
        <f>IF(BaseCoalPlants!I73="-","",BaseCoalPlants!I73)</f>
        <v/>
      </c>
      <c r="K71" t="str">
        <f>IF(BaseCoalPlants!J73="-","",BaseCoalPlants!J73)</f>
        <v/>
      </c>
      <c r="L71" t="str">
        <f>IF(BaseCoalPlants!K73="-","",BaseCoalPlants!K73)</f>
        <v/>
      </c>
      <c r="M71" s="1" t="str">
        <f>IF(BaseCoalPlants!L73=0,"",BaseCoalPlants!L73)</f>
        <v/>
      </c>
      <c r="N71" s="1" t="str">
        <f>IF(BaseCoalPlants!W73=0,"",BaseCoalPlants!W73)</f>
        <v/>
      </c>
      <c r="O71" s="1">
        <f>IF(BaseCoalPlants!X73=0,"",BaseCoalPlants!X73)</f>
        <v>0.34620898159863167</v>
      </c>
      <c r="P71" s="1" t="str">
        <f>IF(BaseCoalPlants!Y73=0,"",BaseCoalPlants!Y73)</f>
        <v/>
      </c>
      <c r="Q71" s="1" t="str">
        <f>IF(BaseCoalPlants!Z73=0,"",BaseCoalPlants!Z73)</f>
        <v/>
      </c>
      <c r="R71" s="1">
        <f>IF(BaseCoalPlants!AA73=0,"",BaseCoalPlants!AA73)</f>
        <v>0.33886401441028124</v>
      </c>
      <c r="S71" s="1" t="str">
        <f>IF(BaseCoalPlants!AB73=0,"",BaseCoalPlants!AB73)</f>
        <v/>
      </c>
      <c r="T71" s="1" t="str">
        <f>IF(BaseCoalPlants!AC73=0,"",BaseCoalPlants!AC73)</f>
        <v/>
      </c>
      <c r="U71" s="1">
        <f>IF(BaseCoalPlants!AD73=0,"",BaseCoalPlants!AD73)</f>
        <v>0.32250216927365855</v>
      </c>
      <c r="V71" s="1" t="str">
        <f>IF(BaseCoalPlants!AE73=0,"",BaseCoalPlants!AE73)</f>
        <v/>
      </c>
    </row>
    <row r="72" spans="3:22" x14ac:dyDescent="0.35">
      <c r="C72" t="str">
        <f>IF(BaseCoalPlants!B74="VDA_FLOP",IF(BaseCoalPlants!D74="ELC","*","INPUT"),BaseCoalPlants!B74)</f>
        <v>EFF</v>
      </c>
      <c r="D72" t="str">
        <f>IF(BaseCoalPlants!C74="","\I:",BaseCoalPlants!C74&amp;"_LE")</f>
        <v>ECSTMRBOR_LE</v>
      </c>
      <c r="E72" t="str">
        <f>IF(BaseCoalPlants!D74="-","",BaseCoalPlants!D74)</f>
        <v/>
      </c>
      <c r="F72" t="str">
        <f>IF(BaseCoalPlants!E74="-","",BaseCoalPlants!E74)</f>
        <v/>
      </c>
      <c r="G72" t="str">
        <f>IF(BaseCoalPlants!F74="-","",BaseCoalPlants!F74)</f>
        <v>ANNUAL</v>
      </c>
      <c r="H72">
        <f>IF(BaseCoalPlants!G74="-","",BaseCoalPlants!G74)</f>
        <v>1969</v>
      </c>
      <c r="I72" t="str">
        <f>IF(BaseCoalPlants!H74="-","",BaseCoalPlants!H74)</f>
        <v/>
      </c>
      <c r="J72" t="str">
        <f>IF(BaseCoalPlants!I74="-","",BaseCoalPlants!I74)</f>
        <v/>
      </c>
      <c r="K72" t="str">
        <f>IF(BaseCoalPlants!J74="-","",BaseCoalPlants!J74)</f>
        <v/>
      </c>
      <c r="L72" t="str">
        <f>IF(BaseCoalPlants!K74="-","",BaseCoalPlants!K74)</f>
        <v/>
      </c>
      <c r="M72" s="1" t="str">
        <f>IF(BaseCoalPlants!L74=0,"",BaseCoalPlants!L74)</f>
        <v/>
      </c>
      <c r="N72" s="1" t="str">
        <f>IF(BaseCoalPlants!W74=0,"",BaseCoalPlants!W74)</f>
        <v/>
      </c>
      <c r="O72" s="1">
        <f>IF(BaseCoalPlants!X74=0,"",BaseCoalPlants!X74)</f>
        <v>0.34089843110769213</v>
      </c>
      <c r="P72" s="1" t="str">
        <f>IF(BaseCoalPlants!Y74=0,"",BaseCoalPlants!Y74)</f>
        <v/>
      </c>
      <c r="Q72" s="1" t="str">
        <f>IF(BaseCoalPlants!Z74=0,"",BaseCoalPlants!Z74)</f>
        <v/>
      </c>
      <c r="R72" s="1" t="str">
        <f>IF(BaseCoalPlants!AA74=0,"",BaseCoalPlants!AA74)</f>
        <v/>
      </c>
      <c r="S72" s="1">
        <f>IF(BaseCoalPlants!AB74=0,"",BaseCoalPlants!AB74)</f>
        <v>0.34804817083364353</v>
      </c>
      <c r="T72" s="1" t="str">
        <f>IF(BaseCoalPlants!AC74=0,"",BaseCoalPlants!AC74)</f>
        <v/>
      </c>
      <c r="U72" s="1" t="str">
        <f>IF(BaseCoalPlants!AD74=0,"",BaseCoalPlants!AD74)</f>
        <v/>
      </c>
      <c r="V72" s="1" t="str">
        <f>IF(BaseCoalPlants!AE74=0,"",BaseCoalPlants!AE74)</f>
        <v/>
      </c>
    </row>
    <row r="73" spans="3:22" x14ac:dyDescent="0.35">
      <c r="C73" t="str">
        <f>IF(BaseCoalPlants!B75="VDA_FLOP",IF(BaseCoalPlants!D75="ELC","*","INPUT"),BaseCoalPlants!B75)</f>
        <v>EFF</v>
      </c>
      <c r="D73" t="str">
        <f>IF(BaseCoalPlants!C75="","\I:",BaseCoalPlants!C75&amp;"_LE")</f>
        <v>ECSTMRBOR_LE</v>
      </c>
      <c r="E73" t="str">
        <f>IF(BaseCoalPlants!D75="-","",BaseCoalPlants!D75)</f>
        <v/>
      </c>
      <c r="F73" t="str">
        <f>IF(BaseCoalPlants!E75="-","",BaseCoalPlants!E75)</f>
        <v/>
      </c>
      <c r="G73" t="str">
        <f>IF(BaseCoalPlants!F75="-","",BaseCoalPlants!F75)</f>
        <v>ANNUAL</v>
      </c>
      <c r="H73">
        <f>IF(BaseCoalPlants!G75="-","",BaseCoalPlants!G75)</f>
        <v>1970</v>
      </c>
      <c r="I73" t="str">
        <f>IF(BaseCoalPlants!H75="-","",BaseCoalPlants!H75)</f>
        <v/>
      </c>
      <c r="J73" t="str">
        <f>IF(BaseCoalPlants!I75="-","",BaseCoalPlants!I75)</f>
        <v/>
      </c>
      <c r="K73" t="str">
        <f>IF(BaseCoalPlants!J75="-","",BaseCoalPlants!J75)</f>
        <v/>
      </c>
      <c r="L73" t="str">
        <f>IF(BaseCoalPlants!K75="-","",BaseCoalPlants!K75)</f>
        <v/>
      </c>
      <c r="M73" s="1" t="str">
        <f>IF(BaseCoalPlants!L75=0,"",BaseCoalPlants!L75)</f>
        <v/>
      </c>
      <c r="N73" s="1" t="str">
        <f>IF(BaseCoalPlants!W75=0,"",BaseCoalPlants!W75)</f>
        <v/>
      </c>
      <c r="O73" s="1">
        <f>IF(BaseCoalPlants!X75=0,"",BaseCoalPlants!X75)</f>
        <v>0.34401759394430304</v>
      </c>
      <c r="P73" s="1" t="str">
        <f>IF(BaseCoalPlants!Y75=0,"",BaseCoalPlants!Y75)</f>
        <v/>
      </c>
      <c r="Q73" s="1" t="str">
        <f>IF(BaseCoalPlants!Z75=0,"",BaseCoalPlants!Z75)</f>
        <v/>
      </c>
      <c r="R73" s="1">
        <f>IF(BaseCoalPlants!AA75=0,"",BaseCoalPlants!AA75)</f>
        <v>0.3241020038183472</v>
      </c>
      <c r="S73" s="1">
        <f>IF(BaseCoalPlants!AB75=0,"",BaseCoalPlants!AB75)</f>
        <v>0.32488638142281601</v>
      </c>
      <c r="T73" s="1" t="str">
        <f>IF(BaseCoalPlants!AC75=0,"",BaseCoalPlants!AC75)</f>
        <v/>
      </c>
      <c r="U73" s="1" t="str">
        <f>IF(BaseCoalPlants!AD75=0,"",BaseCoalPlants!AD75)</f>
        <v/>
      </c>
      <c r="V73" s="1" t="str">
        <f>IF(BaseCoalPlants!AE75=0,"",BaseCoalPlants!AE75)</f>
        <v/>
      </c>
    </row>
    <row r="74" spans="3:22" x14ac:dyDescent="0.35">
      <c r="C74" t="str">
        <f>IF(BaseCoalPlants!B76="VDA_FLOP",IF(BaseCoalPlants!D76="ELC","*","INPUT"),BaseCoalPlants!B76)</f>
        <v>EFF</v>
      </c>
      <c r="D74" t="str">
        <f>IF(BaseCoalPlants!C76="","\I:",BaseCoalPlants!C76&amp;"_LE")</f>
        <v>ECSTMRBOR_LE</v>
      </c>
      <c r="E74" t="str">
        <f>IF(BaseCoalPlants!D76="-","",BaseCoalPlants!D76)</f>
        <v/>
      </c>
      <c r="F74" t="str">
        <f>IF(BaseCoalPlants!E76="-","",BaseCoalPlants!E76)</f>
        <v/>
      </c>
      <c r="G74" t="str">
        <f>IF(BaseCoalPlants!F76="-","",BaseCoalPlants!F76)</f>
        <v>ANNUAL</v>
      </c>
      <c r="H74">
        <f>IF(BaseCoalPlants!G76="-","",BaseCoalPlants!G76)</f>
        <v>1971</v>
      </c>
      <c r="I74" t="str">
        <f>IF(BaseCoalPlants!H76="-","",BaseCoalPlants!H76)</f>
        <v/>
      </c>
      <c r="J74" t="str">
        <f>IF(BaseCoalPlants!I76="-","",BaseCoalPlants!I76)</f>
        <v/>
      </c>
      <c r="K74" t="str">
        <f>IF(BaseCoalPlants!J76="-","",BaseCoalPlants!J76)</f>
        <v/>
      </c>
      <c r="L74" t="str">
        <f>IF(BaseCoalPlants!K76="-","",BaseCoalPlants!K76)</f>
        <v/>
      </c>
      <c r="M74" s="1" t="str">
        <f>IF(BaseCoalPlants!L76=0,"",BaseCoalPlants!L76)</f>
        <v/>
      </c>
      <c r="N74" s="1" t="str">
        <f>IF(BaseCoalPlants!W76=0,"",BaseCoalPlants!W76)</f>
        <v/>
      </c>
      <c r="O74" s="1">
        <f>IF(BaseCoalPlants!X76=0,"",BaseCoalPlants!X76)</f>
        <v>0.33225209422736157</v>
      </c>
      <c r="P74" s="1" t="str">
        <f>IF(BaseCoalPlants!Y76=0,"",BaseCoalPlants!Y76)</f>
        <v/>
      </c>
      <c r="Q74" s="1" t="str">
        <f>IF(BaseCoalPlants!Z76=0,"",BaseCoalPlants!Z76)</f>
        <v/>
      </c>
      <c r="R74" s="1">
        <f>IF(BaseCoalPlants!AA76=0,"",BaseCoalPlants!AA76)</f>
        <v>0.33505833977316574</v>
      </c>
      <c r="S74" s="1">
        <f>IF(BaseCoalPlants!AB76=0,"",BaseCoalPlants!AB76)</f>
        <v>0.32153802354596156</v>
      </c>
      <c r="T74" s="1" t="str">
        <f>IF(BaseCoalPlants!AC76=0,"",BaseCoalPlants!AC76)</f>
        <v/>
      </c>
      <c r="U74" s="1" t="str">
        <f>IF(BaseCoalPlants!AD76=0,"",BaseCoalPlants!AD76)</f>
        <v/>
      </c>
      <c r="V74" s="1" t="str">
        <f>IF(BaseCoalPlants!AE76=0,"",BaseCoalPlants!AE76)</f>
        <v/>
      </c>
    </row>
    <row r="75" spans="3:22" x14ac:dyDescent="0.35">
      <c r="C75" t="str">
        <f>IF(BaseCoalPlants!B77="VDA_FLOP",IF(BaseCoalPlants!D77="ELC","*","INPUT"),BaseCoalPlants!B77)</f>
        <v>EFF</v>
      </c>
      <c r="D75" t="str">
        <f>IF(BaseCoalPlants!C77="","\I:",BaseCoalPlants!C77&amp;"_LE")</f>
        <v>ECSTMRBOR_LE</v>
      </c>
      <c r="E75" t="str">
        <f>IF(BaseCoalPlants!D77="-","",BaseCoalPlants!D77)</f>
        <v/>
      </c>
      <c r="F75" t="str">
        <f>IF(BaseCoalPlants!E77="-","",BaseCoalPlants!E77)</f>
        <v/>
      </c>
      <c r="G75" t="str">
        <f>IF(BaseCoalPlants!F77="-","",BaseCoalPlants!F77)</f>
        <v>ANNUAL</v>
      </c>
      <c r="H75">
        <f>IF(BaseCoalPlants!G77="-","",BaseCoalPlants!G77)</f>
        <v>1972</v>
      </c>
      <c r="I75" t="str">
        <f>IF(BaseCoalPlants!H77="-","",BaseCoalPlants!H77)</f>
        <v/>
      </c>
      <c r="J75" t="str">
        <f>IF(BaseCoalPlants!I77="-","",BaseCoalPlants!I77)</f>
        <v/>
      </c>
      <c r="K75" t="str">
        <f>IF(BaseCoalPlants!J77="-","",BaseCoalPlants!J77)</f>
        <v/>
      </c>
      <c r="L75" t="str">
        <f>IF(BaseCoalPlants!K77="-","",BaseCoalPlants!K77)</f>
        <v/>
      </c>
      <c r="M75" s="1" t="str">
        <f>IF(BaseCoalPlants!L77=0,"",BaseCoalPlants!L77)</f>
        <v/>
      </c>
      <c r="N75" s="1" t="str">
        <f>IF(BaseCoalPlants!W77=0,"",BaseCoalPlants!W77)</f>
        <v/>
      </c>
      <c r="O75" s="1" t="str">
        <f>IF(BaseCoalPlants!X77=0,"",BaseCoalPlants!X77)</f>
        <v/>
      </c>
      <c r="P75" s="1" t="str">
        <f>IF(BaseCoalPlants!Y77=0,"",BaseCoalPlants!Y77)</f>
        <v/>
      </c>
      <c r="Q75" s="1" t="str">
        <f>IF(BaseCoalPlants!Z77=0,"",BaseCoalPlants!Z77)</f>
        <v/>
      </c>
      <c r="R75" s="1">
        <f>IF(BaseCoalPlants!AA77=0,"",BaseCoalPlants!AA77)</f>
        <v>0.32679343947718559</v>
      </c>
      <c r="S75" s="1" t="str">
        <f>IF(BaseCoalPlants!AB77=0,"",BaseCoalPlants!AB77)</f>
        <v/>
      </c>
      <c r="T75" s="1" t="str">
        <f>IF(BaseCoalPlants!AC77=0,"",BaseCoalPlants!AC77)</f>
        <v/>
      </c>
      <c r="U75" s="1" t="str">
        <f>IF(BaseCoalPlants!AD77=0,"",BaseCoalPlants!AD77)</f>
        <v/>
      </c>
      <c r="V75" s="1" t="str">
        <f>IF(BaseCoalPlants!AE77=0,"",BaseCoalPlants!AE77)</f>
        <v/>
      </c>
    </row>
    <row r="76" spans="3:22" x14ac:dyDescent="0.35">
      <c r="C76" t="str">
        <f>IF(BaseCoalPlants!B78="VDA_FLOP",IF(BaseCoalPlants!D78="ELC","*","INPUT"),BaseCoalPlants!B78)</f>
        <v>EFF</v>
      </c>
      <c r="D76" t="str">
        <f>IF(BaseCoalPlants!C78="","\I:",BaseCoalPlants!C78&amp;"_LE")</f>
        <v>ECSTMRBOR_LE</v>
      </c>
      <c r="E76" t="str">
        <f>IF(BaseCoalPlants!D78="-","",BaseCoalPlants!D78)</f>
        <v/>
      </c>
      <c r="F76" t="str">
        <f>IF(BaseCoalPlants!E78="-","",BaseCoalPlants!E78)</f>
        <v/>
      </c>
      <c r="G76" t="str">
        <f>IF(BaseCoalPlants!F78="-","",BaseCoalPlants!F78)</f>
        <v>ANNUAL</v>
      </c>
      <c r="H76">
        <f>IF(BaseCoalPlants!G78="-","",BaseCoalPlants!G78)</f>
        <v>1973</v>
      </c>
      <c r="I76" t="str">
        <f>IF(BaseCoalPlants!H78="-","",BaseCoalPlants!H78)</f>
        <v/>
      </c>
      <c r="J76" t="str">
        <f>IF(BaseCoalPlants!I78="-","",BaseCoalPlants!I78)</f>
        <v/>
      </c>
      <c r="K76" t="str">
        <f>IF(BaseCoalPlants!J78="-","",BaseCoalPlants!J78)</f>
        <v/>
      </c>
      <c r="L76" t="str">
        <f>IF(BaseCoalPlants!K78="-","",BaseCoalPlants!K78)</f>
        <v/>
      </c>
      <c r="M76" s="1" t="str">
        <f>IF(BaseCoalPlants!L78=0,"",BaseCoalPlants!L78)</f>
        <v/>
      </c>
      <c r="N76" s="1" t="str">
        <f>IF(BaseCoalPlants!W78=0,"",BaseCoalPlants!W78)</f>
        <v/>
      </c>
      <c r="O76" s="1">
        <f>IF(BaseCoalPlants!X78=0,"",BaseCoalPlants!X78)</f>
        <v>0.32683122656752028</v>
      </c>
      <c r="P76" s="1" t="str">
        <f>IF(BaseCoalPlants!Y78=0,"",BaseCoalPlants!Y78)</f>
        <v/>
      </c>
      <c r="Q76" s="1" t="str">
        <f>IF(BaseCoalPlants!Z78=0,"",BaseCoalPlants!Z78)</f>
        <v/>
      </c>
      <c r="R76" s="1">
        <f>IF(BaseCoalPlants!AA78=0,"",BaseCoalPlants!AA78)</f>
        <v>0.32930779214160866</v>
      </c>
      <c r="S76" s="1">
        <f>IF(BaseCoalPlants!AB78=0,"",BaseCoalPlants!AB78)</f>
        <v>0.31126633716837787</v>
      </c>
      <c r="T76" s="1" t="str">
        <f>IF(BaseCoalPlants!AC78=0,"",BaseCoalPlants!AC78)</f>
        <v/>
      </c>
      <c r="U76" s="1" t="str">
        <f>IF(BaseCoalPlants!AD78=0,"",BaseCoalPlants!AD78)</f>
        <v/>
      </c>
      <c r="V76" s="1" t="str">
        <f>IF(BaseCoalPlants!AE78=0,"",BaseCoalPlants!AE78)</f>
        <v/>
      </c>
    </row>
    <row r="77" spans="3:22" x14ac:dyDescent="0.35">
      <c r="C77" t="str">
        <f>IF(BaseCoalPlants!B79="VDA_FLOP",IF(BaseCoalPlants!D79="ELC","*","INPUT"),BaseCoalPlants!B79)</f>
        <v>EFF</v>
      </c>
      <c r="D77" t="str">
        <f>IF(BaseCoalPlants!C79="","\I:",BaseCoalPlants!C79&amp;"_LE")</f>
        <v>ECSTMRBOR_LE</v>
      </c>
      <c r="E77" t="str">
        <f>IF(BaseCoalPlants!D79="-","",BaseCoalPlants!D79)</f>
        <v/>
      </c>
      <c r="F77" t="str">
        <f>IF(BaseCoalPlants!E79="-","",BaseCoalPlants!E79)</f>
        <v/>
      </c>
      <c r="G77" t="str">
        <f>IF(BaseCoalPlants!F79="-","",BaseCoalPlants!F79)</f>
        <v>ANNUAL</v>
      </c>
      <c r="H77">
        <f>IF(BaseCoalPlants!G79="-","",BaseCoalPlants!G79)</f>
        <v>1974</v>
      </c>
      <c r="I77" t="str">
        <f>IF(BaseCoalPlants!H79="-","",BaseCoalPlants!H79)</f>
        <v/>
      </c>
      <c r="J77" t="str">
        <f>IF(BaseCoalPlants!I79="-","",BaseCoalPlants!I79)</f>
        <v/>
      </c>
      <c r="K77" t="str">
        <f>IF(BaseCoalPlants!J79="-","",BaseCoalPlants!J79)</f>
        <v/>
      </c>
      <c r="L77" t="str">
        <f>IF(BaseCoalPlants!K79="-","",BaseCoalPlants!K79)</f>
        <v/>
      </c>
      <c r="M77" s="1" t="str">
        <f>IF(BaseCoalPlants!L79=0,"",BaseCoalPlants!L79)</f>
        <v/>
      </c>
      <c r="N77" s="1" t="str">
        <f>IF(BaseCoalPlants!W79=0,"",BaseCoalPlants!W79)</f>
        <v/>
      </c>
      <c r="O77" s="1" t="str">
        <f>IF(BaseCoalPlants!X79=0,"",BaseCoalPlants!X79)</f>
        <v/>
      </c>
      <c r="P77" s="1">
        <f>IF(BaseCoalPlants!Y79=0,"",BaseCoalPlants!Y79)</f>
        <v>0.33035794512769823</v>
      </c>
      <c r="Q77" s="1" t="str">
        <f>IF(BaseCoalPlants!Z79=0,"",BaseCoalPlants!Z79)</f>
        <v/>
      </c>
      <c r="R77" s="1">
        <f>IF(BaseCoalPlants!AA79=0,"",BaseCoalPlants!AA79)</f>
        <v>0.34346188019158558</v>
      </c>
      <c r="S77" s="1">
        <f>IF(BaseCoalPlants!AB79=0,"",BaseCoalPlants!AB79)</f>
        <v>0.30009430046594493</v>
      </c>
      <c r="T77" s="1" t="str">
        <f>IF(BaseCoalPlants!AC79=0,"",BaseCoalPlants!AC79)</f>
        <v/>
      </c>
      <c r="U77" s="1">
        <f>IF(BaseCoalPlants!AD79=0,"",BaseCoalPlants!AD79)</f>
        <v>0.30876206924468835</v>
      </c>
      <c r="V77" s="1" t="str">
        <f>IF(BaseCoalPlants!AE79=0,"",BaseCoalPlants!AE79)</f>
        <v/>
      </c>
    </row>
    <row r="78" spans="3:22" x14ac:dyDescent="0.35">
      <c r="C78" t="str">
        <f>IF(BaseCoalPlants!B80="VDA_FLOP",IF(BaseCoalPlants!D80="ELC","*","INPUT"),BaseCoalPlants!B80)</f>
        <v>EFF</v>
      </c>
      <c r="D78" t="str">
        <f>IF(BaseCoalPlants!C80="","\I:",BaseCoalPlants!C80&amp;"_LE")</f>
        <v>ECSTMRBOR_LE</v>
      </c>
      <c r="E78" t="str">
        <f>IF(BaseCoalPlants!D80="-","",BaseCoalPlants!D80)</f>
        <v/>
      </c>
      <c r="F78" t="str">
        <f>IF(BaseCoalPlants!E80="-","",BaseCoalPlants!E80)</f>
        <v/>
      </c>
      <c r="G78" t="str">
        <f>IF(BaseCoalPlants!F80="-","",BaseCoalPlants!F80)</f>
        <v>ANNUAL</v>
      </c>
      <c r="H78">
        <f>IF(BaseCoalPlants!G80="-","",BaseCoalPlants!G80)</f>
        <v>1975</v>
      </c>
      <c r="I78" t="str">
        <f>IF(BaseCoalPlants!H80="-","",BaseCoalPlants!H80)</f>
        <v/>
      </c>
      <c r="J78" t="str">
        <f>IF(BaseCoalPlants!I80="-","",BaseCoalPlants!I80)</f>
        <v/>
      </c>
      <c r="K78" t="str">
        <f>IF(BaseCoalPlants!J80="-","",BaseCoalPlants!J80)</f>
        <v/>
      </c>
      <c r="L78" t="str">
        <f>IF(BaseCoalPlants!K80="-","",BaseCoalPlants!K80)</f>
        <v/>
      </c>
      <c r="M78" s="1" t="str">
        <f>IF(BaseCoalPlants!L80=0,"",BaseCoalPlants!L80)</f>
        <v/>
      </c>
      <c r="N78" s="1" t="str">
        <f>IF(BaseCoalPlants!W80=0,"",BaseCoalPlants!W80)</f>
        <v/>
      </c>
      <c r="O78" s="1" t="str">
        <f>IF(BaseCoalPlants!X80=0,"",BaseCoalPlants!X80)</f>
        <v/>
      </c>
      <c r="P78" s="1">
        <f>IF(BaseCoalPlants!Y80=0,"",BaseCoalPlants!Y80)</f>
        <v>0.33116731317339648</v>
      </c>
      <c r="Q78" s="1" t="str">
        <f>IF(BaseCoalPlants!Z80=0,"",BaseCoalPlants!Z80)</f>
        <v/>
      </c>
      <c r="R78" s="1">
        <f>IF(BaseCoalPlants!AA80=0,"",BaseCoalPlants!AA80)</f>
        <v>0.3387567065798765</v>
      </c>
      <c r="S78" s="1" t="str">
        <f>IF(BaseCoalPlants!AB80=0,"",BaseCoalPlants!AB80)</f>
        <v/>
      </c>
      <c r="T78" s="1" t="str">
        <f>IF(BaseCoalPlants!AC80=0,"",BaseCoalPlants!AC80)</f>
        <v/>
      </c>
      <c r="U78" s="1">
        <f>IF(BaseCoalPlants!AD80=0,"",BaseCoalPlants!AD80)</f>
        <v>0.30615227886787488</v>
      </c>
      <c r="V78" s="1" t="str">
        <f>IF(BaseCoalPlants!AE80=0,"",BaseCoalPlants!AE80)</f>
        <v/>
      </c>
    </row>
    <row r="79" spans="3:22" x14ac:dyDescent="0.35">
      <c r="C79" t="str">
        <f>IF(BaseCoalPlants!B81="VDA_FLOP",IF(BaseCoalPlants!D81="ELC","*","INPUT"),BaseCoalPlants!B81)</f>
        <v>EFF</v>
      </c>
      <c r="D79" t="str">
        <f>IF(BaseCoalPlants!C81="","\I:",BaseCoalPlants!C81&amp;"_LE")</f>
        <v>ECSTMRBOR_LE</v>
      </c>
      <c r="E79" t="str">
        <f>IF(BaseCoalPlants!D81="-","",BaseCoalPlants!D81)</f>
        <v/>
      </c>
      <c r="F79" t="str">
        <f>IF(BaseCoalPlants!E81="-","",BaseCoalPlants!E81)</f>
        <v/>
      </c>
      <c r="G79" t="str">
        <f>IF(BaseCoalPlants!F81="-","",BaseCoalPlants!F81)</f>
        <v>ANNUAL</v>
      </c>
      <c r="H79">
        <f>IF(BaseCoalPlants!G81="-","",BaseCoalPlants!G81)</f>
        <v>1976</v>
      </c>
      <c r="I79" t="str">
        <f>IF(BaseCoalPlants!H81="-","",BaseCoalPlants!H81)</f>
        <v/>
      </c>
      <c r="J79" t="str">
        <f>IF(BaseCoalPlants!I81="-","",BaseCoalPlants!I81)</f>
        <v/>
      </c>
      <c r="K79" t="str">
        <f>IF(BaseCoalPlants!J81="-","",BaseCoalPlants!J81)</f>
        <v/>
      </c>
      <c r="L79" t="str">
        <f>IF(BaseCoalPlants!K81="-","",BaseCoalPlants!K81)</f>
        <v/>
      </c>
      <c r="M79" s="1" t="str">
        <f>IF(BaseCoalPlants!L81=0,"",BaseCoalPlants!L81)</f>
        <v/>
      </c>
      <c r="N79" s="1" t="str">
        <f>IF(BaseCoalPlants!W81=0,"",BaseCoalPlants!W81)</f>
        <v/>
      </c>
      <c r="O79" s="1">
        <f>IF(BaseCoalPlants!X81=0,"",BaseCoalPlants!X81)</f>
        <v>0.32261467243315484</v>
      </c>
      <c r="P79" s="1">
        <f>IF(BaseCoalPlants!Y81=0,"",BaseCoalPlants!Y81)</f>
        <v>0.31124269680629474</v>
      </c>
      <c r="Q79" s="1" t="str">
        <f>IF(BaseCoalPlants!Z81=0,"",BaseCoalPlants!Z81)</f>
        <v/>
      </c>
      <c r="R79" s="1">
        <f>IF(BaseCoalPlants!AA81=0,"",BaseCoalPlants!AA81)</f>
        <v>0.345588077211336</v>
      </c>
      <c r="S79" s="1" t="str">
        <f>IF(BaseCoalPlants!AB81=0,"",BaseCoalPlants!AB81)</f>
        <v/>
      </c>
      <c r="T79" s="1" t="str">
        <f>IF(BaseCoalPlants!AC81=0,"",BaseCoalPlants!AC81)</f>
        <v/>
      </c>
      <c r="U79" s="1">
        <f>IF(BaseCoalPlants!AD81=0,"",BaseCoalPlants!AD81)</f>
        <v>0.29409263277509756</v>
      </c>
      <c r="V79" s="1" t="str">
        <f>IF(BaseCoalPlants!AE81=0,"",BaseCoalPlants!AE81)</f>
        <v/>
      </c>
    </row>
    <row r="80" spans="3:22" x14ac:dyDescent="0.35">
      <c r="C80" t="str">
        <f>IF(BaseCoalPlants!B82="VDA_FLOP",IF(BaseCoalPlants!D82="ELC","*","INPUT"),BaseCoalPlants!B82)</f>
        <v>EFF</v>
      </c>
      <c r="D80" t="str">
        <f>IF(BaseCoalPlants!C82="","\I:",BaseCoalPlants!C82&amp;"_LE")</f>
        <v>ECSTMRBOR_LE</v>
      </c>
      <c r="E80" t="str">
        <f>IF(BaseCoalPlants!D82="-","",BaseCoalPlants!D82)</f>
        <v/>
      </c>
      <c r="F80" t="str">
        <f>IF(BaseCoalPlants!E82="-","",BaseCoalPlants!E82)</f>
        <v/>
      </c>
      <c r="G80" t="str">
        <f>IF(BaseCoalPlants!F82="-","",BaseCoalPlants!F82)</f>
        <v>ANNUAL</v>
      </c>
      <c r="H80">
        <f>IF(BaseCoalPlants!G82="-","",BaseCoalPlants!G82)</f>
        <v>1977</v>
      </c>
      <c r="I80" t="str">
        <f>IF(BaseCoalPlants!H82="-","",BaseCoalPlants!H82)</f>
        <v/>
      </c>
      <c r="J80" t="str">
        <f>IF(BaseCoalPlants!I82="-","",BaseCoalPlants!I82)</f>
        <v/>
      </c>
      <c r="K80" t="str">
        <f>IF(BaseCoalPlants!J82="-","",BaseCoalPlants!J82)</f>
        <v/>
      </c>
      <c r="L80" t="str">
        <f>IF(BaseCoalPlants!K82="-","",BaseCoalPlants!K82)</f>
        <v/>
      </c>
      <c r="M80" s="1" t="str">
        <f>IF(BaseCoalPlants!L82=0,"",BaseCoalPlants!L82)</f>
        <v/>
      </c>
      <c r="N80" s="1" t="str">
        <f>IF(BaseCoalPlants!W82=0,"",BaseCoalPlants!W82)</f>
        <v/>
      </c>
      <c r="O80" s="1">
        <f>IF(BaseCoalPlants!X82=0,"",BaseCoalPlants!X82)</f>
        <v>0.33319937405384253</v>
      </c>
      <c r="P80" s="1" t="str">
        <f>IF(BaseCoalPlants!Y82=0,"",BaseCoalPlants!Y82)</f>
        <v/>
      </c>
      <c r="Q80" s="1" t="str">
        <f>IF(BaseCoalPlants!Z82=0,"",BaseCoalPlants!Z82)</f>
        <v/>
      </c>
      <c r="R80" s="1">
        <f>IF(BaseCoalPlants!AA82=0,"",BaseCoalPlants!AA82)</f>
        <v>0.32093949092644797</v>
      </c>
      <c r="S80" s="1">
        <f>IF(BaseCoalPlants!AB82=0,"",BaseCoalPlants!AB82)</f>
        <v>0.33260327476733853</v>
      </c>
      <c r="T80" s="1" t="str">
        <f>IF(BaseCoalPlants!AC82=0,"",BaseCoalPlants!AC82)</f>
        <v/>
      </c>
      <c r="U80" s="1">
        <f>IF(BaseCoalPlants!AD82=0,"",BaseCoalPlants!AD82)</f>
        <v>0.31628584072945148</v>
      </c>
      <c r="V80" s="1" t="str">
        <f>IF(BaseCoalPlants!AE82=0,"",BaseCoalPlants!AE82)</f>
        <v/>
      </c>
    </row>
    <row r="81" spans="3:22" x14ac:dyDescent="0.35">
      <c r="C81" t="str">
        <f>IF(BaseCoalPlants!B83="VDA_FLOP",IF(BaseCoalPlants!D83="ELC","*","INPUT"),BaseCoalPlants!B83)</f>
        <v>EFF</v>
      </c>
      <c r="D81" t="str">
        <f>IF(BaseCoalPlants!C83="","\I:",BaseCoalPlants!C83&amp;"_LE")</f>
        <v>ECSTMRBOR_LE</v>
      </c>
      <c r="E81" t="str">
        <f>IF(BaseCoalPlants!D83="-","",BaseCoalPlants!D83)</f>
        <v/>
      </c>
      <c r="F81" t="str">
        <f>IF(BaseCoalPlants!E83="-","",BaseCoalPlants!E83)</f>
        <v/>
      </c>
      <c r="G81" t="str">
        <f>IF(BaseCoalPlants!F83="-","",BaseCoalPlants!F83)</f>
        <v>ANNUAL</v>
      </c>
      <c r="H81">
        <f>IF(BaseCoalPlants!G83="-","",BaseCoalPlants!G83)</f>
        <v>1978</v>
      </c>
      <c r="I81" t="str">
        <f>IF(BaseCoalPlants!H83="-","",BaseCoalPlants!H83)</f>
        <v/>
      </c>
      <c r="J81" t="str">
        <f>IF(BaseCoalPlants!I83="-","",BaseCoalPlants!I83)</f>
        <v/>
      </c>
      <c r="K81" t="str">
        <f>IF(BaseCoalPlants!J83="-","",BaseCoalPlants!J83)</f>
        <v/>
      </c>
      <c r="L81" t="str">
        <f>IF(BaseCoalPlants!K83="-","",BaseCoalPlants!K83)</f>
        <v/>
      </c>
      <c r="M81" s="1" t="str">
        <f>IF(BaseCoalPlants!L83=0,"",BaseCoalPlants!L83)</f>
        <v/>
      </c>
      <c r="N81" s="1" t="str">
        <f>IF(BaseCoalPlants!W83=0,"",BaseCoalPlants!W83)</f>
        <v/>
      </c>
      <c r="O81" s="1" t="str">
        <f>IF(BaseCoalPlants!X83=0,"",BaseCoalPlants!X83)</f>
        <v/>
      </c>
      <c r="P81" s="1">
        <f>IF(BaseCoalPlants!Y83=0,"",BaseCoalPlants!Y83)</f>
        <v>0.33719293709585763</v>
      </c>
      <c r="Q81" s="1" t="str">
        <f>IF(BaseCoalPlants!Z83=0,"",BaseCoalPlants!Z83)</f>
        <v/>
      </c>
      <c r="R81" s="1">
        <f>IF(BaseCoalPlants!AA83=0,"",BaseCoalPlants!AA83)</f>
        <v>0.34158804837187196</v>
      </c>
      <c r="S81" s="1">
        <f>IF(BaseCoalPlants!AB83=0,"",BaseCoalPlants!AB83)</f>
        <v>0.2820222447493661</v>
      </c>
      <c r="T81" s="1" t="str">
        <f>IF(BaseCoalPlants!AC83=0,"",BaseCoalPlants!AC83)</f>
        <v/>
      </c>
      <c r="U81" s="1">
        <f>IF(BaseCoalPlants!AD83=0,"",BaseCoalPlants!AD83)</f>
        <v>0.30815065023420674</v>
      </c>
      <c r="V81" s="1" t="str">
        <f>IF(BaseCoalPlants!AE83=0,"",BaseCoalPlants!AE83)</f>
        <v/>
      </c>
    </row>
    <row r="82" spans="3:22" x14ac:dyDescent="0.35">
      <c r="C82" t="str">
        <f>IF(BaseCoalPlants!B84="VDA_FLOP",IF(BaseCoalPlants!D84="ELC","*","INPUT"),BaseCoalPlants!B84)</f>
        <v>EFF</v>
      </c>
      <c r="D82" t="str">
        <f>IF(BaseCoalPlants!C84="","\I:",BaseCoalPlants!C84&amp;"_LE")</f>
        <v>ECSTMRBOR_LE</v>
      </c>
      <c r="E82" t="str">
        <f>IF(BaseCoalPlants!D84="-","",BaseCoalPlants!D84)</f>
        <v/>
      </c>
      <c r="F82" t="str">
        <f>IF(BaseCoalPlants!E84="-","",BaseCoalPlants!E84)</f>
        <v/>
      </c>
      <c r="G82" t="str">
        <f>IF(BaseCoalPlants!F84="-","",BaseCoalPlants!F84)</f>
        <v>ANNUAL</v>
      </c>
      <c r="H82">
        <f>IF(BaseCoalPlants!G84="-","",BaseCoalPlants!G84)</f>
        <v>1979</v>
      </c>
      <c r="I82" t="str">
        <f>IF(BaseCoalPlants!H84="-","",BaseCoalPlants!H84)</f>
        <v/>
      </c>
      <c r="J82" t="str">
        <f>IF(BaseCoalPlants!I84="-","",BaseCoalPlants!I84)</f>
        <v/>
      </c>
      <c r="K82" t="str">
        <f>IF(BaseCoalPlants!J84="-","",BaseCoalPlants!J84)</f>
        <v/>
      </c>
      <c r="L82" t="str">
        <f>IF(BaseCoalPlants!K84="-","",BaseCoalPlants!K84)</f>
        <v/>
      </c>
      <c r="M82" s="1" t="str">
        <f>IF(BaseCoalPlants!L84=0,"",BaseCoalPlants!L84)</f>
        <v/>
      </c>
      <c r="N82" s="1" t="str">
        <f>IF(BaseCoalPlants!W84=0,"",BaseCoalPlants!W84)</f>
        <v/>
      </c>
      <c r="O82" s="1">
        <f>IF(BaseCoalPlants!X84=0,"",BaseCoalPlants!X84)</f>
        <v>0.33166238573314366</v>
      </c>
      <c r="P82" s="1">
        <f>IF(BaseCoalPlants!Y84=0,"",BaseCoalPlants!Y84)</f>
        <v>0.32333487750116252</v>
      </c>
      <c r="Q82" s="1" t="str">
        <f>IF(BaseCoalPlants!Z84=0,"",BaseCoalPlants!Z84)</f>
        <v/>
      </c>
      <c r="R82" s="1">
        <f>IF(BaseCoalPlants!AA84=0,"",BaseCoalPlants!AA84)</f>
        <v>0.32040584740671552</v>
      </c>
      <c r="S82" s="1">
        <f>IF(BaseCoalPlants!AB84=0,"",BaseCoalPlants!AB84)</f>
        <v>0.30175289092541091</v>
      </c>
      <c r="T82" s="1" t="str">
        <f>IF(BaseCoalPlants!AC84=0,"",BaseCoalPlants!AC84)</f>
        <v/>
      </c>
      <c r="U82" s="1" t="str">
        <f>IF(BaseCoalPlants!AD84=0,"",BaseCoalPlants!AD84)</f>
        <v/>
      </c>
      <c r="V82" s="1" t="str">
        <f>IF(BaseCoalPlants!AE84=0,"",BaseCoalPlants!AE84)</f>
        <v/>
      </c>
    </row>
    <row r="83" spans="3:22" x14ac:dyDescent="0.35">
      <c r="C83" t="str">
        <f>IF(BaseCoalPlants!B85="VDA_FLOP",IF(BaseCoalPlants!D85="ELC","*","INPUT"),BaseCoalPlants!B85)</f>
        <v>EFF</v>
      </c>
      <c r="D83" t="str">
        <f>IF(BaseCoalPlants!C85="","\I:",BaseCoalPlants!C85&amp;"_LE")</f>
        <v>ECSTMRBOR_LE</v>
      </c>
      <c r="E83" t="str">
        <f>IF(BaseCoalPlants!D85="-","",BaseCoalPlants!D85)</f>
        <v/>
      </c>
      <c r="F83" t="str">
        <f>IF(BaseCoalPlants!E85="-","",BaseCoalPlants!E85)</f>
        <v/>
      </c>
      <c r="G83" t="str">
        <f>IF(BaseCoalPlants!F85="-","",BaseCoalPlants!F85)</f>
        <v>ANNUAL</v>
      </c>
      <c r="H83">
        <f>IF(BaseCoalPlants!G85="-","",BaseCoalPlants!G85)</f>
        <v>1980</v>
      </c>
      <c r="I83" t="str">
        <f>IF(BaseCoalPlants!H85="-","",BaseCoalPlants!H85)</f>
        <v/>
      </c>
      <c r="J83" t="str">
        <f>IF(BaseCoalPlants!I85="-","",BaseCoalPlants!I85)</f>
        <v/>
      </c>
      <c r="K83" t="str">
        <f>IF(BaseCoalPlants!J85="-","",BaseCoalPlants!J85)</f>
        <v/>
      </c>
      <c r="L83" t="str">
        <f>IF(BaseCoalPlants!K85="-","",BaseCoalPlants!K85)</f>
        <v/>
      </c>
      <c r="M83" s="1" t="str">
        <f>IF(BaseCoalPlants!L85=0,"",BaseCoalPlants!L85)</f>
        <v/>
      </c>
      <c r="N83" s="1" t="str">
        <f>IF(BaseCoalPlants!W85=0,"",BaseCoalPlants!W85)</f>
        <v/>
      </c>
      <c r="O83" s="1" t="str">
        <f>IF(BaseCoalPlants!X85=0,"",BaseCoalPlants!X85)</f>
        <v/>
      </c>
      <c r="P83" s="1" t="str">
        <f>IF(BaseCoalPlants!Y85=0,"",BaseCoalPlants!Y85)</f>
        <v/>
      </c>
      <c r="Q83" s="1" t="str">
        <f>IF(BaseCoalPlants!Z85=0,"",BaseCoalPlants!Z85)</f>
        <v/>
      </c>
      <c r="R83" s="1">
        <f>IF(BaseCoalPlants!AA85=0,"",BaseCoalPlants!AA85)</f>
        <v>0.3299491078725485</v>
      </c>
      <c r="S83" s="1" t="str">
        <f>IF(BaseCoalPlants!AB85=0,"",BaseCoalPlants!AB85)</f>
        <v/>
      </c>
      <c r="T83" s="1" t="str">
        <f>IF(BaseCoalPlants!AC85=0,"",BaseCoalPlants!AC85)</f>
        <v/>
      </c>
      <c r="U83" s="1">
        <f>IF(BaseCoalPlants!AD85=0,"",BaseCoalPlants!AD85)</f>
        <v>0.31012213199112865</v>
      </c>
      <c r="V83" s="1" t="str">
        <f>IF(BaseCoalPlants!AE85=0,"",BaseCoalPlants!AE85)</f>
        <v/>
      </c>
    </row>
    <row r="84" spans="3:22" x14ac:dyDescent="0.35">
      <c r="C84" t="str">
        <f>IF(BaseCoalPlants!B86="VDA_FLOP",IF(BaseCoalPlants!D86="ELC","*","INPUT"),BaseCoalPlants!B86)</f>
        <v>EFF</v>
      </c>
      <c r="D84" t="str">
        <f>IF(BaseCoalPlants!C86="","\I:",BaseCoalPlants!C86&amp;"_LE")</f>
        <v>ECSTMRBOR_LE</v>
      </c>
      <c r="E84" t="str">
        <f>IF(BaseCoalPlants!D86="-","",BaseCoalPlants!D86)</f>
        <v/>
      </c>
      <c r="F84" t="str">
        <f>IF(BaseCoalPlants!E86="-","",BaseCoalPlants!E86)</f>
        <v/>
      </c>
      <c r="G84" t="str">
        <f>IF(BaseCoalPlants!F86="-","",BaseCoalPlants!F86)</f>
        <v>ANNUAL</v>
      </c>
      <c r="H84">
        <f>IF(BaseCoalPlants!G86="-","",BaseCoalPlants!G86)</f>
        <v>1981</v>
      </c>
      <c r="I84" t="str">
        <f>IF(BaseCoalPlants!H86="-","",BaseCoalPlants!H86)</f>
        <v/>
      </c>
      <c r="J84" t="str">
        <f>IF(BaseCoalPlants!I86="-","",BaseCoalPlants!I86)</f>
        <v/>
      </c>
      <c r="K84" t="str">
        <f>IF(BaseCoalPlants!J86="-","",BaseCoalPlants!J86)</f>
        <v/>
      </c>
      <c r="L84" t="str">
        <f>IF(BaseCoalPlants!K86="-","",BaseCoalPlants!K86)</f>
        <v/>
      </c>
      <c r="M84" s="1" t="str">
        <f>IF(BaseCoalPlants!L86=0,"",BaseCoalPlants!L86)</f>
        <v/>
      </c>
      <c r="N84" s="1" t="str">
        <f>IF(BaseCoalPlants!W86=0,"",BaseCoalPlants!W86)</f>
        <v/>
      </c>
      <c r="O84" s="1" t="str">
        <f>IF(BaseCoalPlants!X86=0,"",BaseCoalPlants!X86)</f>
        <v/>
      </c>
      <c r="P84" s="1" t="str">
        <f>IF(BaseCoalPlants!Y86=0,"",BaseCoalPlants!Y86)</f>
        <v/>
      </c>
      <c r="Q84" s="1" t="str">
        <f>IF(BaseCoalPlants!Z86=0,"",BaseCoalPlants!Z86)</f>
        <v/>
      </c>
      <c r="R84" s="1">
        <f>IF(BaseCoalPlants!AA86=0,"",BaseCoalPlants!AA86)</f>
        <v>0.31404059966199649</v>
      </c>
      <c r="S84" s="1">
        <f>IF(BaseCoalPlants!AB86=0,"",BaseCoalPlants!AB86)</f>
        <v>0.32290198028547168</v>
      </c>
      <c r="T84" s="1" t="str">
        <f>IF(BaseCoalPlants!AC86=0,"",BaseCoalPlants!AC86)</f>
        <v/>
      </c>
      <c r="U84" s="1">
        <f>IF(BaseCoalPlants!AD86=0,"",BaseCoalPlants!AD86)</f>
        <v>0.32810791104629949</v>
      </c>
      <c r="V84" s="1" t="str">
        <f>IF(BaseCoalPlants!AE86=0,"",BaseCoalPlants!AE86)</f>
        <v/>
      </c>
    </row>
    <row r="85" spans="3:22" x14ac:dyDescent="0.35">
      <c r="C85" t="str">
        <f>IF(BaseCoalPlants!B87="VDA_FLOP",IF(BaseCoalPlants!D87="ELC","*","INPUT"),BaseCoalPlants!B87)</f>
        <v>EFF</v>
      </c>
      <c r="D85" t="str">
        <f>IF(BaseCoalPlants!C87="","\I:",BaseCoalPlants!C87&amp;"_LE")</f>
        <v>ECSTMRBOR_LE</v>
      </c>
      <c r="E85" t="str">
        <f>IF(BaseCoalPlants!D87="-","",BaseCoalPlants!D87)</f>
        <v/>
      </c>
      <c r="F85" t="str">
        <f>IF(BaseCoalPlants!E87="-","",BaseCoalPlants!E87)</f>
        <v/>
      </c>
      <c r="G85" t="str">
        <f>IF(BaseCoalPlants!F87="-","",BaseCoalPlants!F87)</f>
        <v>ANNUAL</v>
      </c>
      <c r="H85">
        <f>IF(BaseCoalPlants!G87="-","",BaseCoalPlants!G87)</f>
        <v>1982</v>
      </c>
      <c r="I85" t="str">
        <f>IF(BaseCoalPlants!H87="-","",BaseCoalPlants!H87)</f>
        <v/>
      </c>
      <c r="J85" t="str">
        <f>IF(BaseCoalPlants!I87="-","",BaseCoalPlants!I87)</f>
        <v/>
      </c>
      <c r="K85" t="str">
        <f>IF(BaseCoalPlants!J87="-","",BaseCoalPlants!J87)</f>
        <v/>
      </c>
      <c r="L85" t="str">
        <f>IF(BaseCoalPlants!K87="-","",BaseCoalPlants!K87)</f>
        <v/>
      </c>
      <c r="M85" s="1" t="str">
        <f>IF(BaseCoalPlants!L87=0,"",BaseCoalPlants!L87)</f>
        <v/>
      </c>
      <c r="N85" s="1" t="str">
        <f>IF(BaseCoalPlants!W87=0,"",BaseCoalPlants!W87)</f>
        <v/>
      </c>
      <c r="O85" s="1" t="str">
        <f>IF(BaseCoalPlants!X87=0,"",BaseCoalPlants!X87)</f>
        <v/>
      </c>
      <c r="P85" s="1">
        <f>IF(BaseCoalPlants!Y87=0,"",BaseCoalPlants!Y87)</f>
        <v>0.33092737315355902</v>
      </c>
      <c r="Q85" s="1" t="str">
        <f>IF(BaseCoalPlants!Z87=0,"",BaseCoalPlants!Z87)</f>
        <v/>
      </c>
      <c r="R85" s="1">
        <f>IF(BaseCoalPlants!AA87=0,"",BaseCoalPlants!AA87)</f>
        <v>0.3224876337749808</v>
      </c>
      <c r="S85" s="1" t="str">
        <f>IF(BaseCoalPlants!AB87=0,"",BaseCoalPlants!AB87)</f>
        <v/>
      </c>
      <c r="T85" s="1" t="str">
        <f>IF(BaseCoalPlants!AC87=0,"",BaseCoalPlants!AC87)</f>
        <v/>
      </c>
      <c r="U85" s="1" t="str">
        <f>IF(BaseCoalPlants!AD87=0,"",BaseCoalPlants!AD87)</f>
        <v/>
      </c>
      <c r="V85" s="1" t="str">
        <f>IF(BaseCoalPlants!AE87=0,"",BaseCoalPlants!AE87)</f>
        <v/>
      </c>
    </row>
    <row r="86" spans="3:22" x14ac:dyDescent="0.35">
      <c r="C86" t="str">
        <f>IF(BaseCoalPlants!B88="VDA_FLOP",IF(BaseCoalPlants!D88="ELC","*","INPUT"),BaseCoalPlants!B88)</f>
        <v>EFF</v>
      </c>
      <c r="D86" t="str">
        <f>IF(BaseCoalPlants!C88="","\I:",BaseCoalPlants!C88&amp;"_LE")</f>
        <v>ECSTMRBOR_LE</v>
      </c>
      <c r="E86" t="str">
        <f>IF(BaseCoalPlants!D88="-","",BaseCoalPlants!D88)</f>
        <v/>
      </c>
      <c r="F86" t="str">
        <f>IF(BaseCoalPlants!E88="-","",BaseCoalPlants!E88)</f>
        <v/>
      </c>
      <c r="G86" t="str">
        <f>IF(BaseCoalPlants!F88="-","",BaseCoalPlants!F88)</f>
        <v>ANNUAL</v>
      </c>
      <c r="H86">
        <f>IF(BaseCoalPlants!G88="-","",BaseCoalPlants!G88)</f>
        <v>1983</v>
      </c>
      <c r="I86" t="str">
        <f>IF(BaseCoalPlants!H88="-","",BaseCoalPlants!H88)</f>
        <v/>
      </c>
      <c r="J86" t="str">
        <f>IF(BaseCoalPlants!I88="-","",BaseCoalPlants!I88)</f>
        <v/>
      </c>
      <c r="K86" t="str">
        <f>IF(BaseCoalPlants!J88="-","",BaseCoalPlants!J88)</f>
        <v/>
      </c>
      <c r="L86" t="str">
        <f>IF(BaseCoalPlants!K88="-","",BaseCoalPlants!K88)</f>
        <v/>
      </c>
      <c r="M86" s="1" t="str">
        <f>IF(BaseCoalPlants!L88=0,"",BaseCoalPlants!L88)</f>
        <v/>
      </c>
      <c r="N86" s="1" t="str">
        <f>IF(BaseCoalPlants!W88=0,"",BaseCoalPlants!W88)</f>
        <v/>
      </c>
      <c r="O86" s="1" t="str">
        <f>IF(BaseCoalPlants!X88=0,"",BaseCoalPlants!X88)</f>
        <v/>
      </c>
      <c r="P86" s="1">
        <f>IF(BaseCoalPlants!Y88=0,"",BaseCoalPlants!Y88)</f>
        <v>0.31082224284249982</v>
      </c>
      <c r="Q86" s="1" t="str">
        <f>IF(BaseCoalPlants!Z88=0,"",BaseCoalPlants!Z88)</f>
        <v/>
      </c>
      <c r="R86" s="1">
        <f>IF(BaseCoalPlants!AA88=0,"",BaseCoalPlants!AA88)</f>
        <v>0.30753186104827773</v>
      </c>
      <c r="S86" s="1" t="str">
        <f>IF(BaseCoalPlants!AB88=0,"",BaseCoalPlants!AB88)</f>
        <v/>
      </c>
      <c r="T86" s="1" t="str">
        <f>IF(BaseCoalPlants!AC88=0,"",BaseCoalPlants!AC88)</f>
        <v/>
      </c>
      <c r="U86" s="1">
        <f>IF(BaseCoalPlants!AD88=0,"",BaseCoalPlants!AD88)</f>
        <v>0.30170448097932095</v>
      </c>
      <c r="V86" s="1" t="str">
        <f>IF(BaseCoalPlants!AE88=0,"",BaseCoalPlants!AE88)</f>
        <v/>
      </c>
    </row>
    <row r="87" spans="3:22" x14ac:dyDescent="0.35">
      <c r="C87" t="str">
        <f>IF(BaseCoalPlants!B89="VDA_FLOP",IF(BaseCoalPlants!D89="ELC","*","INPUT"),BaseCoalPlants!B89)</f>
        <v>EFF</v>
      </c>
      <c r="D87" t="str">
        <f>IF(BaseCoalPlants!C89="","\I:",BaseCoalPlants!C89&amp;"_LE")</f>
        <v>ECSTMRBOR_LE</v>
      </c>
      <c r="E87" t="str">
        <f>IF(BaseCoalPlants!D89="-","",BaseCoalPlants!D89)</f>
        <v/>
      </c>
      <c r="F87" t="str">
        <f>IF(BaseCoalPlants!E89="-","",BaseCoalPlants!E89)</f>
        <v/>
      </c>
      <c r="G87" t="str">
        <f>IF(BaseCoalPlants!F89="-","",BaseCoalPlants!F89)</f>
        <v>ANNUAL</v>
      </c>
      <c r="H87">
        <f>IF(BaseCoalPlants!G89="-","",BaseCoalPlants!G89)</f>
        <v>1984</v>
      </c>
      <c r="I87" t="str">
        <f>IF(BaseCoalPlants!H89="-","",BaseCoalPlants!H89)</f>
        <v/>
      </c>
      <c r="J87" t="str">
        <f>IF(BaseCoalPlants!I89="-","",BaseCoalPlants!I89)</f>
        <v/>
      </c>
      <c r="K87" t="str">
        <f>IF(BaseCoalPlants!J89="-","",BaseCoalPlants!J89)</f>
        <v/>
      </c>
      <c r="L87" t="str">
        <f>IF(BaseCoalPlants!K89="-","",BaseCoalPlants!K89)</f>
        <v/>
      </c>
      <c r="M87" s="1" t="str">
        <f>IF(BaseCoalPlants!L89=0,"",BaseCoalPlants!L89)</f>
        <v/>
      </c>
      <c r="N87" s="1" t="str">
        <f>IF(BaseCoalPlants!W89=0,"",BaseCoalPlants!W89)</f>
        <v/>
      </c>
      <c r="O87" s="1" t="str">
        <f>IF(BaseCoalPlants!X89=0,"",BaseCoalPlants!X89)</f>
        <v/>
      </c>
      <c r="P87" s="1" t="str">
        <f>IF(BaseCoalPlants!Y89=0,"",BaseCoalPlants!Y89)</f>
        <v/>
      </c>
      <c r="Q87" s="1" t="str">
        <f>IF(BaseCoalPlants!Z89=0,"",BaseCoalPlants!Z89)</f>
        <v/>
      </c>
      <c r="R87" s="1">
        <f>IF(BaseCoalPlants!AA89=0,"",BaseCoalPlants!AA89)</f>
        <v>0.33875383056327169</v>
      </c>
      <c r="S87" s="1">
        <f>IF(BaseCoalPlants!AB89=0,"",BaseCoalPlants!AB89)</f>
        <v>0.33132693272845726</v>
      </c>
      <c r="T87" s="1" t="str">
        <f>IF(BaseCoalPlants!AC89=0,"",BaseCoalPlants!AC89)</f>
        <v/>
      </c>
      <c r="U87" s="1" t="str">
        <f>IF(BaseCoalPlants!AD89=0,"",BaseCoalPlants!AD89)</f>
        <v/>
      </c>
      <c r="V87" s="1" t="str">
        <f>IF(BaseCoalPlants!AE89=0,"",BaseCoalPlants!AE89)</f>
        <v/>
      </c>
    </row>
    <row r="88" spans="3:22" x14ac:dyDescent="0.35">
      <c r="C88" t="str">
        <f>IF(BaseCoalPlants!B90="VDA_FLOP",IF(BaseCoalPlants!D90="ELC","*","INPUT"),BaseCoalPlants!B90)</f>
        <v>EFF</v>
      </c>
      <c r="D88" t="str">
        <f>IF(BaseCoalPlants!C90="","\I:",BaseCoalPlants!C90&amp;"_LE")</f>
        <v>ECSTMRBOR_LE</v>
      </c>
      <c r="E88" t="str">
        <f>IF(BaseCoalPlants!D90="-","",BaseCoalPlants!D90)</f>
        <v/>
      </c>
      <c r="F88" t="str">
        <f>IF(BaseCoalPlants!E90="-","",BaseCoalPlants!E90)</f>
        <v/>
      </c>
      <c r="G88" t="str">
        <f>IF(BaseCoalPlants!F90="-","",BaseCoalPlants!F90)</f>
        <v>ANNUAL</v>
      </c>
      <c r="H88">
        <f>IF(BaseCoalPlants!G90="-","",BaseCoalPlants!G90)</f>
        <v>1985</v>
      </c>
      <c r="I88" t="str">
        <f>IF(BaseCoalPlants!H90="-","",BaseCoalPlants!H90)</f>
        <v/>
      </c>
      <c r="J88" t="str">
        <f>IF(BaseCoalPlants!I90="-","",BaseCoalPlants!I90)</f>
        <v/>
      </c>
      <c r="K88" t="str">
        <f>IF(BaseCoalPlants!J90="-","",BaseCoalPlants!J90)</f>
        <v/>
      </c>
      <c r="L88" t="str">
        <f>IF(BaseCoalPlants!K90="-","",BaseCoalPlants!K90)</f>
        <v/>
      </c>
      <c r="M88" s="1" t="str">
        <f>IF(BaseCoalPlants!L90=0,"",BaseCoalPlants!L90)</f>
        <v/>
      </c>
      <c r="N88" s="1" t="str">
        <f>IF(BaseCoalPlants!W90=0,"",BaseCoalPlants!W90)</f>
        <v/>
      </c>
      <c r="O88" s="1" t="str">
        <f>IF(BaseCoalPlants!X90=0,"",BaseCoalPlants!X90)</f>
        <v/>
      </c>
      <c r="P88" s="1" t="str">
        <f>IF(BaseCoalPlants!Y90=0,"",BaseCoalPlants!Y90)</f>
        <v/>
      </c>
      <c r="Q88" s="1" t="str">
        <f>IF(BaseCoalPlants!Z90=0,"",BaseCoalPlants!Z90)</f>
        <v/>
      </c>
      <c r="R88" s="1" t="str">
        <f>IF(BaseCoalPlants!AA90=0,"",BaseCoalPlants!AA90)</f>
        <v/>
      </c>
      <c r="S88" s="1" t="str">
        <f>IF(BaseCoalPlants!AB90=0,"",BaseCoalPlants!AB90)</f>
        <v/>
      </c>
      <c r="T88" s="1" t="str">
        <f>IF(BaseCoalPlants!AC90=0,"",BaseCoalPlants!AC90)</f>
        <v/>
      </c>
      <c r="U88" s="1">
        <f>IF(BaseCoalPlants!AD90=0,"",BaseCoalPlants!AD90)</f>
        <v>0.29916250081153051</v>
      </c>
      <c r="V88" s="1" t="str">
        <f>IF(BaseCoalPlants!AE90=0,"",BaseCoalPlants!AE90)</f>
        <v/>
      </c>
    </row>
    <row r="89" spans="3:22" x14ac:dyDescent="0.35">
      <c r="C89" t="str">
        <f>IF(BaseCoalPlants!B91="VDA_FLOP",IF(BaseCoalPlants!D91="ELC","*","INPUT"),BaseCoalPlants!B91)</f>
        <v>EFF</v>
      </c>
      <c r="D89" t="str">
        <f>IF(BaseCoalPlants!C91="","\I:",BaseCoalPlants!C91&amp;"_LE")</f>
        <v>ECSTMRBOR_LE</v>
      </c>
      <c r="E89" t="str">
        <f>IF(BaseCoalPlants!D91="-","",BaseCoalPlants!D91)</f>
        <v/>
      </c>
      <c r="F89" t="str">
        <f>IF(BaseCoalPlants!E91="-","",BaseCoalPlants!E91)</f>
        <v/>
      </c>
      <c r="G89" t="str">
        <f>IF(BaseCoalPlants!F91="-","",BaseCoalPlants!F91)</f>
        <v>ANNUAL</v>
      </c>
      <c r="H89">
        <f>IF(BaseCoalPlants!G91="-","",BaseCoalPlants!G91)</f>
        <v>1986</v>
      </c>
      <c r="I89" t="str">
        <f>IF(BaseCoalPlants!H91="-","",BaseCoalPlants!H91)</f>
        <v/>
      </c>
      <c r="J89" t="str">
        <f>IF(BaseCoalPlants!I91="-","",BaseCoalPlants!I91)</f>
        <v/>
      </c>
      <c r="K89" t="str">
        <f>IF(BaseCoalPlants!J91="-","",BaseCoalPlants!J91)</f>
        <v/>
      </c>
      <c r="L89" t="str">
        <f>IF(BaseCoalPlants!K91="-","",BaseCoalPlants!K91)</f>
        <v/>
      </c>
      <c r="M89" s="1" t="str">
        <f>IF(BaseCoalPlants!L91=0,"",BaseCoalPlants!L91)</f>
        <v/>
      </c>
      <c r="N89" s="1" t="str">
        <f>IF(BaseCoalPlants!W91=0,"",BaseCoalPlants!W91)</f>
        <v/>
      </c>
      <c r="O89" s="1" t="str">
        <f>IF(BaseCoalPlants!X91=0,"",BaseCoalPlants!X91)</f>
        <v/>
      </c>
      <c r="P89" s="1">
        <f>IF(BaseCoalPlants!Y91=0,"",BaseCoalPlants!Y91)</f>
        <v>0.30516788394978911</v>
      </c>
      <c r="Q89" s="1" t="str">
        <f>IF(BaseCoalPlants!Z91=0,"",BaseCoalPlants!Z91)</f>
        <v/>
      </c>
      <c r="R89" s="1" t="str">
        <f>IF(BaseCoalPlants!AA91=0,"",BaseCoalPlants!AA91)</f>
        <v/>
      </c>
      <c r="S89" s="1">
        <f>IF(BaseCoalPlants!AB91=0,"",BaseCoalPlants!AB91)</f>
        <v>0.32223385637283647</v>
      </c>
      <c r="T89" s="1">
        <f>IF(BaseCoalPlants!AC91=0,"",BaseCoalPlants!AC91)</f>
        <v>0.22591926785422464</v>
      </c>
      <c r="U89" s="1">
        <f>IF(BaseCoalPlants!AD91=0,"",BaseCoalPlants!AD91)</f>
        <v>0.32293773403536963</v>
      </c>
      <c r="V89" s="1" t="str">
        <f>IF(BaseCoalPlants!AE91=0,"",BaseCoalPlants!AE91)</f>
        <v/>
      </c>
    </row>
    <row r="90" spans="3:22" x14ac:dyDescent="0.35">
      <c r="C90" t="str">
        <f>IF(BaseCoalPlants!B92="VDA_FLOP",IF(BaseCoalPlants!D92="ELC","*","INPUT"),BaseCoalPlants!B92)</f>
        <v>EFF</v>
      </c>
      <c r="D90" t="str">
        <f>IF(BaseCoalPlants!C92="","\I:",BaseCoalPlants!C92&amp;"_LE")</f>
        <v>ECSTMRBOR_LE</v>
      </c>
      <c r="E90" t="str">
        <f>IF(BaseCoalPlants!D92="-","",BaseCoalPlants!D92)</f>
        <v/>
      </c>
      <c r="F90" t="str">
        <f>IF(BaseCoalPlants!E92="-","",BaseCoalPlants!E92)</f>
        <v/>
      </c>
      <c r="G90" t="str">
        <f>IF(BaseCoalPlants!F92="-","",BaseCoalPlants!F92)</f>
        <v>ANNUAL</v>
      </c>
      <c r="H90">
        <f>IF(BaseCoalPlants!G92="-","",BaseCoalPlants!G92)</f>
        <v>1987</v>
      </c>
      <c r="I90" t="str">
        <f>IF(BaseCoalPlants!H92="-","",BaseCoalPlants!H92)</f>
        <v/>
      </c>
      <c r="J90" t="str">
        <f>IF(BaseCoalPlants!I92="-","",BaseCoalPlants!I92)</f>
        <v/>
      </c>
      <c r="K90" t="str">
        <f>IF(BaseCoalPlants!J92="-","",BaseCoalPlants!J92)</f>
        <v/>
      </c>
      <c r="L90" t="str">
        <f>IF(BaseCoalPlants!K92="-","",BaseCoalPlants!K92)</f>
        <v/>
      </c>
      <c r="M90" s="1" t="str">
        <f>IF(BaseCoalPlants!L92=0,"",BaseCoalPlants!L92)</f>
        <v/>
      </c>
      <c r="N90" s="1" t="str">
        <f>IF(BaseCoalPlants!W92=0,"",BaseCoalPlants!W92)</f>
        <v/>
      </c>
      <c r="O90" s="1" t="str">
        <f>IF(BaseCoalPlants!X92=0,"",BaseCoalPlants!X92)</f>
        <v/>
      </c>
      <c r="P90" s="1" t="str">
        <f>IF(BaseCoalPlants!Y92=0,"",BaseCoalPlants!Y92)</f>
        <v/>
      </c>
      <c r="Q90" s="1" t="str">
        <f>IF(BaseCoalPlants!Z92=0,"",BaseCoalPlants!Z92)</f>
        <v/>
      </c>
      <c r="R90" s="1">
        <f>IF(BaseCoalPlants!AA92=0,"",BaseCoalPlants!AA92)</f>
        <v>0.32446720099996129</v>
      </c>
      <c r="S90" s="1" t="str">
        <f>IF(BaseCoalPlants!AB92=0,"",BaseCoalPlants!AB92)</f>
        <v/>
      </c>
      <c r="T90" s="1" t="str">
        <f>IF(BaseCoalPlants!AC92=0,"",BaseCoalPlants!AC92)</f>
        <v/>
      </c>
      <c r="U90" s="1">
        <f>IF(BaseCoalPlants!AD92=0,"",BaseCoalPlants!AD92)</f>
        <v>0.34482414567223774</v>
      </c>
      <c r="V90" s="1" t="str">
        <f>IF(BaseCoalPlants!AE92=0,"",BaseCoalPlants!AE92)</f>
        <v/>
      </c>
    </row>
    <row r="91" spans="3:22" x14ac:dyDescent="0.35">
      <c r="C91" t="str">
        <f>IF(BaseCoalPlants!B93="VDA_FLOP",IF(BaseCoalPlants!D93="ELC","*","INPUT"),BaseCoalPlants!B93)</f>
        <v>EFF</v>
      </c>
      <c r="D91" t="str">
        <f>IF(BaseCoalPlants!C93="","\I:",BaseCoalPlants!C93&amp;"_LE")</f>
        <v>ECSTMRBOR_LE</v>
      </c>
      <c r="E91" t="str">
        <f>IF(BaseCoalPlants!D93="-","",BaseCoalPlants!D93)</f>
        <v/>
      </c>
      <c r="F91" t="str">
        <f>IF(BaseCoalPlants!E93="-","",BaseCoalPlants!E93)</f>
        <v/>
      </c>
      <c r="G91" t="str">
        <f>IF(BaseCoalPlants!F93="-","",BaseCoalPlants!F93)</f>
        <v>ANNUAL</v>
      </c>
      <c r="H91">
        <f>IF(BaseCoalPlants!G93="-","",BaseCoalPlants!G93)</f>
        <v>1988</v>
      </c>
      <c r="I91" t="str">
        <f>IF(BaseCoalPlants!H93="-","",BaseCoalPlants!H93)</f>
        <v/>
      </c>
      <c r="J91" t="str">
        <f>IF(BaseCoalPlants!I93="-","",BaseCoalPlants!I93)</f>
        <v/>
      </c>
      <c r="K91" t="str">
        <f>IF(BaseCoalPlants!J93="-","",BaseCoalPlants!J93)</f>
        <v/>
      </c>
      <c r="L91" t="str">
        <f>IF(BaseCoalPlants!K93="-","",BaseCoalPlants!K93)</f>
        <v/>
      </c>
      <c r="M91" s="1" t="str">
        <f>IF(BaseCoalPlants!L93=0,"",BaseCoalPlants!L93)</f>
        <v/>
      </c>
      <c r="N91" s="1" t="str">
        <f>IF(BaseCoalPlants!W93=0,"",BaseCoalPlants!W93)</f>
        <v/>
      </c>
      <c r="O91" s="1" t="str">
        <f>IF(BaseCoalPlants!X93=0,"",BaseCoalPlants!X93)</f>
        <v/>
      </c>
      <c r="P91" s="1" t="str">
        <f>IF(BaseCoalPlants!Y93=0,"",BaseCoalPlants!Y93)</f>
        <v/>
      </c>
      <c r="Q91" s="1" t="str">
        <f>IF(BaseCoalPlants!Z93=0,"",BaseCoalPlants!Z93)</f>
        <v/>
      </c>
      <c r="R91" s="1">
        <f>IF(BaseCoalPlants!AA93=0,"",BaseCoalPlants!AA93)</f>
        <v>0.30644474069846978</v>
      </c>
      <c r="S91" s="1" t="str">
        <f>IF(BaseCoalPlants!AB93=0,"",BaseCoalPlants!AB93)</f>
        <v/>
      </c>
      <c r="T91" s="1" t="str">
        <f>IF(BaseCoalPlants!AC93=0,"",BaseCoalPlants!AC93)</f>
        <v/>
      </c>
      <c r="U91" s="1" t="str">
        <f>IF(BaseCoalPlants!AD93=0,"",BaseCoalPlants!AD93)</f>
        <v/>
      </c>
      <c r="V91" s="1" t="str">
        <f>IF(BaseCoalPlants!AE93=0,"",BaseCoalPlants!AE93)</f>
        <v/>
      </c>
    </row>
    <row r="92" spans="3:22" x14ac:dyDescent="0.35">
      <c r="C92" t="str">
        <f>IF(BaseCoalPlants!B94="VDA_FLOP",IF(BaseCoalPlants!D94="ELC","*","INPUT"),BaseCoalPlants!B94)</f>
        <v>EFF</v>
      </c>
      <c r="D92" t="str">
        <f>IF(BaseCoalPlants!C94="","\I:",BaseCoalPlants!C94&amp;"_LE")</f>
        <v>ECSTMRBOR_LE</v>
      </c>
      <c r="E92" t="str">
        <f>IF(BaseCoalPlants!D94="-","",BaseCoalPlants!D94)</f>
        <v/>
      </c>
      <c r="F92" t="str">
        <f>IF(BaseCoalPlants!E94="-","",BaseCoalPlants!E94)</f>
        <v/>
      </c>
      <c r="G92" t="str">
        <f>IF(BaseCoalPlants!F94="-","",BaseCoalPlants!F94)</f>
        <v>ANNUAL</v>
      </c>
      <c r="H92">
        <f>IF(BaseCoalPlants!G94="-","",BaseCoalPlants!G94)</f>
        <v>1990</v>
      </c>
      <c r="I92" t="str">
        <f>IF(BaseCoalPlants!H94="-","",BaseCoalPlants!H94)</f>
        <v/>
      </c>
      <c r="J92" t="str">
        <f>IF(BaseCoalPlants!I94="-","",BaseCoalPlants!I94)</f>
        <v/>
      </c>
      <c r="K92" t="str">
        <f>IF(BaseCoalPlants!J94="-","",BaseCoalPlants!J94)</f>
        <v/>
      </c>
      <c r="L92" t="str">
        <f>IF(BaseCoalPlants!K94="-","",BaseCoalPlants!K94)</f>
        <v/>
      </c>
      <c r="M92" s="1" t="str">
        <f>IF(BaseCoalPlants!L94=0,"",BaseCoalPlants!L94)</f>
        <v/>
      </c>
      <c r="N92" s="1" t="str">
        <f>IF(BaseCoalPlants!W94=0,"",BaseCoalPlants!W94)</f>
        <v/>
      </c>
      <c r="O92" s="1" t="str">
        <f>IF(BaseCoalPlants!X94=0,"",BaseCoalPlants!X94)</f>
        <v/>
      </c>
      <c r="P92" s="1" t="str">
        <f>IF(BaseCoalPlants!Y94=0,"",BaseCoalPlants!Y94)</f>
        <v/>
      </c>
      <c r="Q92" s="1" t="str">
        <f>IF(BaseCoalPlants!Z94=0,"",BaseCoalPlants!Z94)</f>
        <v/>
      </c>
      <c r="R92" s="1" t="str">
        <f>IF(BaseCoalPlants!AA94=0,"",BaseCoalPlants!AA94)</f>
        <v/>
      </c>
      <c r="S92" s="1">
        <f>IF(BaseCoalPlants!AB94=0,"",BaseCoalPlants!AB94)</f>
        <v>0.31644410586227328</v>
      </c>
      <c r="T92" s="1" t="str">
        <f>IF(BaseCoalPlants!AC94=0,"",BaseCoalPlants!AC94)</f>
        <v/>
      </c>
      <c r="U92" s="1" t="str">
        <f>IF(BaseCoalPlants!AD94=0,"",BaseCoalPlants!AD94)</f>
        <v/>
      </c>
      <c r="V92" s="1">
        <f>IF(BaseCoalPlants!AE94=0,"",BaseCoalPlants!AE94)</f>
        <v>0.29995690723251162</v>
      </c>
    </row>
    <row r="93" spans="3:22" x14ac:dyDescent="0.35">
      <c r="C93" t="str">
        <f>IF(BaseCoalPlants!B95="VDA_FLOP",IF(BaseCoalPlants!D95="ELC","*","INPUT"),BaseCoalPlants!B95)</f>
        <v>EFF</v>
      </c>
      <c r="D93" t="str">
        <f>IF(BaseCoalPlants!C95="","\I:",BaseCoalPlants!C95&amp;"_LE")</f>
        <v>ECSTMRBOR_LE</v>
      </c>
      <c r="E93" t="str">
        <f>IF(BaseCoalPlants!D95="-","",BaseCoalPlants!D95)</f>
        <v/>
      </c>
      <c r="F93" t="str">
        <f>IF(BaseCoalPlants!E95="-","",BaseCoalPlants!E95)</f>
        <v/>
      </c>
      <c r="G93" t="str">
        <f>IF(BaseCoalPlants!F95="-","",BaseCoalPlants!F95)</f>
        <v>ANNUAL</v>
      </c>
      <c r="H93">
        <f>IF(BaseCoalPlants!G95="-","",BaseCoalPlants!G95)</f>
        <v>1991</v>
      </c>
      <c r="I93" t="str">
        <f>IF(BaseCoalPlants!H95="-","",BaseCoalPlants!H95)</f>
        <v/>
      </c>
      <c r="J93" t="str">
        <f>IF(BaseCoalPlants!I95="-","",BaseCoalPlants!I95)</f>
        <v/>
      </c>
      <c r="K93" t="str">
        <f>IF(BaseCoalPlants!J95="-","",BaseCoalPlants!J95)</f>
        <v/>
      </c>
      <c r="L93" t="str">
        <f>IF(BaseCoalPlants!K95="-","",BaseCoalPlants!K95)</f>
        <v/>
      </c>
      <c r="M93" s="1" t="str">
        <f>IF(BaseCoalPlants!L95=0,"",BaseCoalPlants!L95)</f>
        <v/>
      </c>
      <c r="N93" s="1" t="str">
        <f>IF(BaseCoalPlants!W95=0,"",BaseCoalPlants!W95)</f>
        <v/>
      </c>
      <c r="O93" s="1" t="str">
        <f>IF(BaseCoalPlants!X95=0,"",BaseCoalPlants!X95)</f>
        <v/>
      </c>
      <c r="P93" s="1">
        <f>IF(BaseCoalPlants!Y95=0,"",BaseCoalPlants!Y95)</f>
        <v>0.34038127430239579</v>
      </c>
      <c r="Q93" s="1" t="str">
        <f>IF(BaseCoalPlants!Z95=0,"",BaseCoalPlants!Z95)</f>
        <v/>
      </c>
      <c r="R93" s="1">
        <f>IF(BaseCoalPlants!AA95=0,"",BaseCoalPlants!AA95)</f>
        <v>0.34690557914712</v>
      </c>
      <c r="S93" s="1" t="str">
        <f>IF(BaseCoalPlants!AB95=0,"",BaseCoalPlants!AB95)</f>
        <v/>
      </c>
      <c r="T93" s="1" t="str">
        <f>IF(BaseCoalPlants!AC95=0,"",BaseCoalPlants!AC95)</f>
        <v/>
      </c>
      <c r="U93" s="1">
        <f>IF(BaseCoalPlants!AD95=0,"",BaseCoalPlants!AD95)</f>
        <v>0.28239908481778075</v>
      </c>
      <c r="V93" s="1" t="str">
        <f>IF(BaseCoalPlants!AE95=0,"",BaseCoalPlants!AE95)</f>
        <v/>
      </c>
    </row>
    <row r="94" spans="3:22" x14ac:dyDescent="0.35">
      <c r="C94" t="str">
        <f>IF(BaseCoalPlants!B96="VDA_FLOP",IF(BaseCoalPlants!D96="ELC","*","INPUT"),BaseCoalPlants!B96)</f>
        <v>EFF</v>
      </c>
      <c r="D94" t="str">
        <f>IF(BaseCoalPlants!C96="","\I:",BaseCoalPlants!C96&amp;"_LE")</f>
        <v>ECSTMRBOR_LE</v>
      </c>
      <c r="E94" t="str">
        <f>IF(BaseCoalPlants!D96="-","",BaseCoalPlants!D96)</f>
        <v/>
      </c>
      <c r="F94" t="str">
        <f>IF(BaseCoalPlants!E96="-","",BaseCoalPlants!E96)</f>
        <v/>
      </c>
      <c r="G94" t="str">
        <f>IF(BaseCoalPlants!F96="-","",BaseCoalPlants!F96)</f>
        <v>ANNUAL</v>
      </c>
      <c r="H94">
        <f>IF(BaseCoalPlants!G96="-","",BaseCoalPlants!G96)</f>
        <v>1992</v>
      </c>
      <c r="I94" t="str">
        <f>IF(BaseCoalPlants!H96="-","",BaseCoalPlants!H96)</f>
        <v/>
      </c>
      <c r="J94" t="str">
        <f>IF(BaseCoalPlants!I96="-","",BaseCoalPlants!I96)</f>
        <v/>
      </c>
      <c r="K94" t="str">
        <f>IF(BaseCoalPlants!J96="-","",BaseCoalPlants!J96)</f>
        <v/>
      </c>
      <c r="L94" t="str">
        <f>IF(BaseCoalPlants!K96="-","",BaseCoalPlants!K96)</f>
        <v/>
      </c>
      <c r="M94" s="1" t="str">
        <f>IF(BaseCoalPlants!L96=0,"",BaseCoalPlants!L96)</f>
        <v/>
      </c>
      <c r="N94" s="1" t="str">
        <f>IF(BaseCoalPlants!W96=0,"",BaseCoalPlants!W96)</f>
        <v/>
      </c>
      <c r="O94" s="1" t="str">
        <f>IF(BaseCoalPlants!X96=0,"",BaseCoalPlants!X96)</f>
        <v/>
      </c>
      <c r="P94" s="1" t="str">
        <f>IF(BaseCoalPlants!Y96=0,"",BaseCoalPlants!Y96)</f>
        <v/>
      </c>
      <c r="Q94" s="1" t="str">
        <f>IF(BaseCoalPlants!Z96=0,"",BaseCoalPlants!Z96)</f>
        <v/>
      </c>
      <c r="R94" s="1" t="str">
        <f>IF(BaseCoalPlants!AA96=0,"",BaseCoalPlants!AA96)</f>
        <v/>
      </c>
      <c r="S94" s="1" t="str">
        <f>IF(BaseCoalPlants!AB96=0,"",BaseCoalPlants!AB96)</f>
        <v/>
      </c>
      <c r="T94" s="1">
        <f>IF(BaseCoalPlants!AC96=0,"",BaseCoalPlants!AC96)</f>
        <v>0.29668873990257122</v>
      </c>
      <c r="U94" s="1" t="str">
        <f>IF(BaseCoalPlants!AD96=0,"",BaseCoalPlants!AD96)</f>
        <v/>
      </c>
      <c r="V94" s="1" t="str">
        <f>IF(BaseCoalPlants!AE96=0,"",BaseCoalPlants!AE96)</f>
        <v/>
      </c>
    </row>
    <row r="95" spans="3:22" x14ac:dyDescent="0.35">
      <c r="C95" t="str">
        <f>IF(BaseCoalPlants!B97="VDA_FLOP",IF(BaseCoalPlants!D97="ELC","*","INPUT"),BaseCoalPlants!B97)</f>
        <v>EFF</v>
      </c>
      <c r="D95" t="str">
        <f>IF(BaseCoalPlants!C97="","\I:",BaseCoalPlants!C97&amp;"_LE")</f>
        <v>ECSTMRBOR_LE</v>
      </c>
      <c r="E95" t="str">
        <f>IF(BaseCoalPlants!D97="-","",BaseCoalPlants!D97)</f>
        <v/>
      </c>
      <c r="F95" t="str">
        <f>IF(BaseCoalPlants!E97="-","",BaseCoalPlants!E97)</f>
        <v/>
      </c>
      <c r="G95" t="str">
        <f>IF(BaseCoalPlants!F97="-","",BaseCoalPlants!F97)</f>
        <v>ANNUAL</v>
      </c>
      <c r="H95">
        <f>IF(BaseCoalPlants!G97="-","",BaseCoalPlants!G97)</f>
        <v>1993</v>
      </c>
      <c r="I95" t="str">
        <f>IF(BaseCoalPlants!H97="-","",BaseCoalPlants!H97)</f>
        <v/>
      </c>
      <c r="J95" t="str">
        <f>IF(BaseCoalPlants!I97="-","",BaseCoalPlants!I97)</f>
        <v/>
      </c>
      <c r="K95" t="str">
        <f>IF(BaseCoalPlants!J97="-","",BaseCoalPlants!J97)</f>
        <v/>
      </c>
      <c r="L95" t="str">
        <f>IF(BaseCoalPlants!K97="-","",BaseCoalPlants!K97)</f>
        <v/>
      </c>
      <c r="M95" s="1" t="str">
        <f>IF(BaseCoalPlants!L97=0,"",BaseCoalPlants!L97)</f>
        <v/>
      </c>
      <c r="N95" s="1" t="str">
        <f>IF(BaseCoalPlants!W97=0,"",BaseCoalPlants!W97)</f>
        <v/>
      </c>
      <c r="O95" s="1">
        <f>IF(BaseCoalPlants!X97=0,"",BaseCoalPlants!X97)</f>
        <v>0.31709086677920351</v>
      </c>
      <c r="P95" s="1" t="str">
        <f>IF(BaseCoalPlants!Y97=0,"",BaseCoalPlants!Y97)</f>
        <v/>
      </c>
      <c r="Q95" s="1" t="str">
        <f>IF(BaseCoalPlants!Z97=0,"",BaseCoalPlants!Z97)</f>
        <v/>
      </c>
      <c r="R95" s="1" t="str">
        <f>IF(BaseCoalPlants!AA97=0,"",BaseCoalPlants!AA97)</f>
        <v/>
      </c>
      <c r="S95" s="1" t="str">
        <f>IF(BaseCoalPlants!AB97=0,"",BaseCoalPlants!AB97)</f>
        <v/>
      </c>
      <c r="T95" s="1" t="str">
        <f>IF(BaseCoalPlants!AC97=0,"",BaseCoalPlants!AC97)</f>
        <v/>
      </c>
      <c r="U95" s="1" t="str">
        <f>IF(BaseCoalPlants!AD97=0,"",BaseCoalPlants!AD97)</f>
        <v/>
      </c>
      <c r="V95" s="1" t="str">
        <f>IF(BaseCoalPlants!AE97=0,"",BaseCoalPlants!AE97)</f>
        <v/>
      </c>
    </row>
    <row r="96" spans="3:22" x14ac:dyDescent="0.35">
      <c r="C96" t="str">
        <f>IF(BaseCoalPlants!B98="VDA_FLOP",IF(BaseCoalPlants!D98="ELC","*","INPUT"),BaseCoalPlants!B98)</f>
        <v>EFF</v>
      </c>
      <c r="D96" t="str">
        <f>IF(BaseCoalPlants!C98="","\I:",BaseCoalPlants!C98&amp;"_LE")</f>
        <v>ECSTMRBOR_LE</v>
      </c>
      <c r="E96" t="str">
        <f>IF(BaseCoalPlants!D98="-","",BaseCoalPlants!D98)</f>
        <v/>
      </c>
      <c r="F96" t="str">
        <f>IF(BaseCoalPlants!E98="-","",BaseCoalPlants!E98)</f>
        <v/>
      </c>
      <c r="G96" t="str">
        <f>IF(BaseCoalPlants!F98="-","",BaseCoalPlants!F98)</f>
        <v>ANNUAL</v>
      </c>
      <c r="H96">
        <f>IF(BaseCoalPlants!G98="-","",BaseCoalPlants!G98)</f>
        <v>1994</v>
      </c>
      <c r="I96" t="str">
        <f>IF(BaseCoalPlants!H98="-","",BaseCoalPlants!H98)</f>
        <v/>
      </c>
      <c r="J96" t="str">
        <f>IF(BaseCoalPlants!I98="-","",BaseCoalPlants!I98)</f>
        <v/>
      </c>
      <c r="K96" t="str">
        <f>IF(BaseCoalPlants!J98="-","",BaseCoalPlants!J98)</f>
        <v/>
      </c>
      <c r="L96" t="str">
        <f>IF(BaseCoalPlants!K98="-","",BaseCoalPlants!K98)</f>
        <v/>
      </c>
      <c r="M96" s="1" t="str">
        <f>IF(BaseCoalPlants!L98=0,"",BaseCoalPlants!L98)</f>
        <v/>
      </c>
      <c r="N96" s="1" t="str">
        <f>IF(BaseCoalPlants!W98=0,"",BaseCoalPlants!W98)</f>
        <v/>
      </c>
      <c r="O96" s="1">
        <f>IF(BaseCoalPlants!X98=0,"",BaseCoalPlants!X98)</f>
        <v>0.3275829383886259</v>
      </c>
      <c r="P96" s="1" t="str">
        <f>IF(BaseCoalPlants!Y98=0,"",BaseCoalPlants!Y98)</f>
        <v/>
      </c>
      <c r="Q96" s="1" t="str">
        <f>IF(BaseCoalPlants!Z98=0,"",BaseCoalPlants!Z98)</f>
        <v/>
      </c>
      <c r="R96" s="1">
        <f>IF(BaseCoalPlants!AA98=0,"",BaseCoalPlants!AA98)</f>
        <v>0.31589482969009247</v>
      </c>
      <c r="S96" s="1" t="str">
        <f>IF(BaseCoalPlants!AB98=0,"",BaseCoalPlants!AB98)</f>
        <v/>
      </c>
      <c r="T96" s="1" t="str">
        <f>IF(BaseCoalPlants!AC98=0,"",BaseCoalPlants!AC98)</f>
        <v/>
      </c>
      <c r="U96" s="1" t="str">
        <f>IF(BaseCoalPlants!AD98=0,"",BaseCoalPlants!AD98)</f>
        <v/>
      </c>
      <c r="V96" s="1" t="str">
        <f>IF(BaseCoalPlants!AE98=0,"",BaseCoalPlants!AE98)</f>
        <v/>
      </c>
    </row>
    <row r="97" spans="3:22" x14ac:dyDescent="0.35">
      <c r="C97" t="str">
        <f>IF(BaseCoalPlants!B99="VDA_FLOP",IF(BaseCoalPlants!D99="ELC","*","INPUT"),BaseCoalPlants!B99)</f>
        <v>EFF</v>
      </c>
      <c r="D97" t="str">
        <f>IF(BaseCoalPlants!C99="","\I:",BaseCoalPlants!C99&amp;"_LE")</f>
        <v>ECSTMRBOR_LE</v>
      </c>
      <c r="E97" t="str">
        <f>IF(BaseCoalPlants!D99="-","",BaseCoalPlants!D99)</f>
        <v/>
      </c>
      <c r="F97" t="str">
        <f>IF(BaseCoalPlants!E99="-","",BaseCoalPlants!E99)</f>
        <v/>
      </c>
      <c r="G97" t="str">
        <f>IF(BaseCoalPlants!F99="-","",BaseCoalPlants!F99)</f>
        <v>ANNUAL</v>
      </c>
      <c r="H97">
        <f>IF(BaseCoalPlants!G99="-","",BaseCoalPlants!G99)</f>
        <v>1995</v>
      </c>
      <c r="I97" t="str">
        <f>IF(BaseCoalPlants!H99="-","",BaseCoalPlants!H99)</f>
        <v/>
      </c>
      <c r="J97" t="str">
        <f>IF(BaseCoalPlants!I99="-","",BaseCoalPlants!I99)</f>
        <v/>
      </c>
      <c r="K97" t="str">
        <f>IF(BaseCoalPlants!J99="-","",BaseCoalPlants!J99)</f>
        <v/>
      </c>
      <c r="L97" t="str">
        <f>IF(BaseCoalPlants!K99="-","",BaseCoalPlants!K99)</f>
        <v/>
      </c>
      <c r="M97" s="1" t="str">
        <f>IF(BaseCoalPlants!L99=0,"",BaseCoalPlants!L99)</f>
        <v/>
      </c>
      <c r="N97" s="1" t="str">
        <f>IF(BaseCoalPlants!W99=0,"",BaseCoalPlants!W99)</f>
        <v/>
      </c>
      <c r="O97" s="1">
        <f>IF(BaseCoalPlants!X99=0,"",BaseCoalPlants!X99)</f>
        <v>0.28326498336899231</v>
      </c>
      <c r="P97" s="1" t="str">
        <f>IF(BaseCoalPlants!Y99=0,"",BaseCoalPlants!Y99)</f>
        <v/>
      </c>
      <c r="Q97" s="1" t="str">
        <f>IF(BaseCoalPlants!Z99=0,"",BaseCoalPlants!Z99)</f>
        <v/>
      </c>
      <c r="R97" s="1">
        <f>IF(BaseCoalPlants!AA99=0,"",BaseCoalPlants!AA99)</f>
        <v>0.32846143137518402</v>
      </c>
      <c r="S97" s="1" t="str">
        <f>IF(BaseCoalPlants!AB99=0,"",BaseCoalPlants!AB99)</f>
        <v/>
      </c>
      <c r="T97" s="1" t="str">
        <f>IF(BaseCoalPlants!AC99=0,"",BaseCoalPlants!AC99)</f>
        <v/>
      </c>
      <c r="U97" s="1" t="str">
        <f>IF(BaseCoalPlants!AD99=0,"",BaseCoalPlants!AD99)</f>
        <v/>
      </c>
      <c r="V97" s="1" t="str">
        <f>IF(BaseCoalPlants!AE99=0,"",BaseCoalPlants!AE99)</f>
        <v/>
      </c>
    </row>
    <row r="98" spans="3:22" x14ac:dyDescent="0.35">
      <c r="C98" t="str">
        <f>IF(BaseCoalPlants!B100="VDA_FLOP",IF(BaseCoalPlants!D100="ELC","*","INPUT"),BaseCoalPlants!B100)</f>
        <v>EFF</v>
      </c>
      <c r="D98" t="str">
        <f>IF(BaseCoalPlants!C100="","\I:",BaseCoalPlants!C100&amp;"_LE")</f>
        <v>ECSTMRBOR_LE</v>
      </c>
      <c r="E98" t="str">
        <f>IF(BaseCoalPlants!D100="-","",BaseCoalPlants!D100)</f>
        <v/>
      </c>
      <c r="F98" t="str">
        <f>IF(BaseCoalPlants!E100="-","",BaseCoalPlants!E100)</f>
        <v/>
      </c>
      <c r="G98" t="str">
        <f>IF(BaseCoalPlants!F100="-","",BaseCoalPlants!F100)</f>
        <v>ANNUAL</v>
      </c>
      <c r="H98">
        <f>IF(BaseCoalPlants!G100="-","",BaseCoalPlants!G100)</f>
        <v>1996</v>
      </c>
      <c r="I98" t="str">
        <f>IF(BaseCoalPlants!H100="-","",BaseCoalPlants!H100)</f>
        <v/>
      </c>
      <c r="J98" t="str">
        <f>IF(BaseCoalPlants!I100="-","",BaseCoalPlants!I100)</f>
        <v/>
      </c>
      <c r="K98" t="str">
        <f>IF(BaseCoalPlants!J100="-","",BaseCoalPlants!J100)</f>
        <v/>
      </c>
      <c r="L98" t="str">
        <f>IF(BaseCoalPlants!K100="-","",BaseCoalPlants!K100)</f>
        <v/>
      </c>
      <c r="M98" s="1" t="str">
        <f>IF(BaseCoalPlants!L100=0,"",BaseCoalPlants!L100)</f>
        <v/>
      </c>
      <c r="N98" s="1" t="str">
        <f>IF(BaseCoalPlants!W100=0,"",BaseCoalPlants!W100)</f>
        <v/>
      </c>
      <c r="O98" s="1" t="str">
        <f>IF(BaseCoalPlants!X100=0,"",BaseCoalPlants!X100)</f>
        <v/>
      </c>
      <c r="P98" s="1" t="str">
        <f>IF(BaseCoalPlants!Y100=0,"",BaseCoalPlants!Y100)</f>
        <v/>
      </c>
      <c r="Q98" s="1" t="str">
        <f>IF(BaseCoalPlants!Z100=0,"",BaseCoalPlants!Z100)</f>
        <v/>
      </c>
      <c r="R98" s="1">
        <f>IF(BaseCoalPlants!AA100=0,"",BaseCoalPlants!AA100)</f>
        <v>0.32017720640763836</v>
      </c>
      <c r="S98" s="1" t="str">
        <f>IF(BaseCoalPlants!AB100=0,"",BaseCoalPlants!AB100)</f>
        <v/>
      </c>
      <c r="T98" s="1" t="str">
        <f>IF(BaseCoalPlants!AC100=0,"",BaseCoalPlants!AC100)</f>
        <v/>
      </c>
      <c r="U98" s="1" t="str">
        <f>IF(BaseCoalPlants!AD100=0,"",BaseCoalPlants!AD100)</f>
        <v/>
      </c>
      <c r="V98" s="1" t="str">
        <f>IF(BaseCoalPlants!AE100=0,"",BaseCoalPlants!AE100)</f>
        <v/>
      </c>
    </row>
    <row r="99" spans="3:22" x14ac:dyDescent="0.35">
      <c r="C99" t="str">
        <f>IF(BaseCoalPlants!B101="VDA_FLOP",IF(BaseCoalPlants!D101="ELC","*","INPUT"),BaseCoalPlants!B101)</f>
        <v>EFF</v>
      </c>
      <c r="D99" t="str">
        <f>IF(BaseCoalPlants!C101="","\I:",BaseCoalPlants!C101&amp;"_LE")</f>
        <v>ECSTMRBOR_LE</v>
      </c>
      <c r="E99" t="str">
        <f>IF(BaseCoalPlants!D101="-","",BaseCoalPlants!D101)</f>
        <v/>
      </c>
      <c r="F99" t="str">
        <f>IF(BaseCoalPlants!E101="-","",BaseCoalPlants!E101)</f>
        <v/>
      </c>
      <c r="G99" t="str">
        <f>IF(BaseCoalPlants!F101="-","",BaseCoalPlants!F101)</f>
        <v>ANNUAL</v>
      </c>
      <c r="H99">
        <f>IF(BaseCoalPlants!G101="-","",BaseCoalPlants!G101)</f>
        <v>2000</v>
      </c>
      <c r="I99" t="str">
        <f>IF(BaseCoalPlants!H101="-","",BaseCoalPlants!H101)</f>
        <v/>
      </c>
      <c r="J99" t="str">
        <f>IF(BaseCoalPlants!I101="-","",BaseCoalPlants!I101)</f>
        <v/>
      </c>
      <c r="K99" t="str">
        <f>IF(BaseCoalPlants!J101="-","",BaseCoalPlants!J101)</f>
        <v/>
      </c>
      <c r="L99" t="str">
        <f>IF(BaseCoalPlants!K101="-","",BaseCoalPlants!K101)</f>
        <v/>
      </c>
      <c r="M99" s="1" t="str">
        <f>IF(BaseCoalPlants!L101=0,"",BaseCoalPlants!L101)</f>
        <v/>
      </c>
      <c r="N99" s="1" t="str">
        <f>IF(BaseCoalPlants!W101=0,"",BaseCoalPlants!W101)</f>
        <v/>
      </c>
      <c r="O99" s="1" t="str">
        <f>IF(BaseCoalPlants!X101=0,"",BaseCoalPlants!X101)</f>
        <v/>
      </c>
      <c r="P99" s="1" t="str">
        <f>IF(BaseCoalPlants!Y101=0,"",BaseCoalPlants!Y101)</f>
        <v/>
      </c>
      <c r="Q99" s="1" t="str">
        <f>IF(BaseCoalPlants!Z101=0,"",BaseCoalPlants!Z101)</f>
        <v/>
      </c>
      <c r="R99" s="1">
        <f>IF(BaseCoalPlants!AA101=0,"",BaseCoalPlants!AA101)</f>
        <v>0.29308664076999741</v>
      </c>
      <c r="S99" s="1" t="str">
        <f>IF(BaseCoalPlants!AB101=0,"",BaseCoalPlants!AB101)</f>
        <v/>
      </c>
      <c r="T99" s="1" t="str">
        <f>IF(BaseCoalPlants!AC101=0,"",BaseCoalPlants!AC101)</f>
        <v/>
      </c>
      <c r="U99" s="1" t="str">
        <f>IF(BaseCoalPlants!AD101=0,"",BaseCoalPlants!AD101)</f>
        <v/>
      </c>
      <c r="V99" s="1" t="str">
        <f>IF(BaseCoalPlants!AE101=0,"",BaseCoalPlants!AE101)</f>
        <v/>
      </c>
    </row>
    <row r="100" spans="3:22" x14ac:dyDescent="0.35">
      <c r="C100" t="str">
        <f>IF(BaseCoalPlants!B102="VDA_FLOP",IF(BaseCoalPlants!D102="ELC","*","INPUT"),BaseCoalPlants!B102)</f>
        <v>EFF</v>
      </c>
      <c r="D100" t="str">
        <f>IF(BaseCoalPlants!C102="","\I:",BaseCoalPlants!C102&amp;"_LE")</f>
        <v>ECSTMRBOR_LE</v>
      </c>
      <c r="E100" t="str">
        <f>IF(BaseCoalPlants!D102="-","",BaseCoalPlants!D102)</f>
        <v/>
      </c>
      <c r="F100" t="str">
        <f>IF(BaseCoalPlants!E102="-","",BaseCoalPlants!E102)</f>
        <v/>
      </c>
      <c r="G100" t="str">
        <f>IF(BaseCoalPlants!F102="-","",BaseCoalPlants!F102)</f>
        <v>ANNUAL</v>
      </c>
      <c r="H100">
        <f>IF(BaseCoalPlants!G102="-","",BaseCoalPlants!G102)</f>
        <v>2003</v>
      </c>
      <c r="I100" t="str">
        <f>IF(BaseCoalPlants!H102="-","",BaseCoalPlants!H102)</f>
        <v/>
      </c>
      <c r="J100" t="str">
        <f>IF(BaseCoalPlants!I102="-","",BaseCoalPlants!I102)</f>
        <v/>
      </c>
      <c r="K100" t="str">
        <f>IF(BaseCoalPlants!J102="-","",BaseCoalPlants!J102)</f>
        <v/>
      </c>
      <c r="L100" t="str">
        <f>IF(BaseCoalPlants!K102="-","",BaseCoalPlants!K102)</f>
        <v/>
      </c>
      <c r="M100" s="1" t="str">
        <f>IF(BaseCoalPlants!L102=0,"",BaseCoalPlants!L102)</f>
        <v/>
      </c>
      <c r="N100" s="1" t="str">
        <f>IF(BaseCoalPlants!W102=0,"",BaseCoalPlants!W102)</f>
        <v/>
      </c>
      <c r="O100" s="1">
        <f>IF(BaseCoalPlants!X102=0,"",BaseCoalPlants!X102)</f>
        <v>0.31709086677920351</v>
      </c>
      <c r="P100" s="1">
        <f>IF(BaseCoalPlants!Y102=0,"",BaseCoalPlants!Y102)</f>
        <v>0.28485472903358783</v>
      </c>
      <c r="Q100" s="1" t="str">
        <f>IF(BaseCoalPlants!Z102=0,"",BaseCoalPlants!Z102)</f>
        <v/>
      </c>
      <c r="R100" s="1" t="str">
        <f>IF(BaseCoalPlants!AA102=0,"",BaseCoalPlants!AA102)</f>
        <v/>
      </c>
      <c r="S100" s="1" t="str">
        <f>IF(BaseCoalPlants!AB102=0,"",BaseCoalPlants!AB102)</f>
        <v/>
      </c>
      <c r="T100" s="1" t="str">
        <f>IF(BaseCoalPlants!AC102=0,"",BaseCoalPlants!AC102)</f>
        <v/>
      </c>
      <c r="U100" s="1" t="str">
        <f>IF(BaseCoalPlants!AD102=0,"",BaseCoalPlants!AD102)</f>
        <v/>
      </c>
      <c r="V100" s="1" t="str">
        <f>IF(BaseCoalPlants!AE102=0,"",BaseCoalPlants!AE102)</f>
        <v/>
      </c>
    </row>
    <row r="101" spans="3:22" x14ac:dyDescent="0.35">
      <c r="C101" t="str">
        <f>IF(BaseCoalPlants!B103="VDA_FLOP",IF(BaseCoalPlants!D103="ELC","*","INPUT"),BaseCoalPlants!B103)</f>
        <v>EFF</v>
      </c>
      <c r="D101" t="str">
        <f>IF(BaseCoalPlants!C103="","\I:",BaseCoalPlants!C103&amp;"_LE")</f>
        <v>ECSTMRBOR_LE</v>
      </c>
      <c r="E101" t="str">
        <f>IF(BaseCoalPlants!D103="-","",BaseCoalPlants!D103)</f>
        <v/>
      </c>
      <c r="F101" t="str">
        <f>IF(BaseCoalPlants!E103="-","",BaseCoalPlants!E103)</f>
        <v/>
      </c>
      <c r="G101" t="str">
        <f>IF(BaseCoalPlants!F103="-","",BaseCoalPlants!F103)</f>
        <v>ANNUAL</v>
      </c>
      <c r="H101">
        <f>IF(BaseCoalPlants!G103="-","",BaseCoalPlants!G103)</f>
        <v>2004</v>
      </c>
      <c r="I101" t="str">
        <f>IF(BaseCoalPlants!H103="-","",BaseCoalPlants!H103)</f>
        <v/>
      </c>
      <c r="J101" t="str">
        <f>IF(BaseCoalPlants!I103="-","",BaseCoalPlants!I103)</f>
        <v/>
      </c>
      <c r="K101" t="str">
        <f>IF(BaseCoalPlants!J103="-","",BaseCoalPlants!J103)</f>
        <v/>
      </c>
      <c r="L101" t="str">
        <f>IF(BaseCoalPlants!K103="-","",BaseCoalPlants!K103)</f>
        <v/>
      </c>
      <c r="M101" s="1" t="str">
        <f>IF(BaseCoalPlants!L103=0,"",BaseCoalPlants!L103)</f>
        <v/>
      </c>
      <c r="N101" s="1" t="str">
        <f>IF(BaseCoalPlants!W103=0,"",BaseCoalPlants!W103)</f>
        <v/>
      </c>
      <c r="O101" s="1">
        <f>IF(BaseCoalPlants!X103=0,"",BaseCoalPlants!X103)</f>
        <v>0.33771436947280992</v>
      </c>
      <c r="P101" s="1" t="str">
        <f>IF(BaseCoalPlants!Y103=0,"",BaseCoalPlants!Y103)</f>
        <v/>
      </c>
      <c r="Q101" s="1" t="str">
        <f>IF(BaseCoalPlants!Z103=0,"",BaseCoalPlants!Z103)</f>
        <v/>
      </c>
      <c r="R101" s="1" t="str">
        <f>IF(BaseCoalPlants!AA103=0,"",BaseCoalPlants!AA103)</f>
        <v/>
      </c>
      <c r="S101" s="1" t="str">
        <f>IF(BaseCoalPlants!AB103=0,"",BaseCoalPlants!AB103)</f>
        <v/>
      </c>
      <c r="T101" s="1" t="str">
        <f>IF(BaseCoalPlants!AC103=0,"",BaseCoalPlants!AC103)</f>
        <v/>
      </c>
      <c r="U101" s="1" t="str">
        <f>IF(BaseCoalPlants!AD103=0,"",BaseCoalPlants!AD103)</f>
        <v/>
      </c>
      <c r="V101" s="1" t="str">
        <f>IF(BaseCoalPlants!AE103=0,"",BaseCoalPlants!AE103)</f>
        <v/>
      </c>
    </row>
    <row r="102" spans="3:22" x14ac:dyDescent="0.35">
      <c r="C102" t="str">
        <f>IF(BaseCoalPlants!B104="VDA_FLOP",IF(BaseCoalPlants!D104="ELC","*","INPUT"),BaseCoalPlants!B104)</f>
        <v>EFF</v>
      </c>
      <c r="D102" t="str">
        <f>IF(BaseCoalPlants!C104="","\I:",BaseCoalPlants!C104&amp;"_LE")</f>
        <v>ECSTMRBOR_LE</v>
      </c>
      <c r="E102" t="str">
        <f>IF(BaseCoalPlants!D104="-","",BaseCoalPlants!D104)</f>
        <v/>
      </c>
      <c r="F102" t="str">
        <f>IF(BaseCoalPlants!E104="-","",BaseCoalPlants!E104)</f>
        <v/>
      </c>
      <c r="G102" t="str">
        <f>IF(BaseCoalPlants!F104="-","",BaseCoalPlants!F104)</f>
        <v>ANNUAL</v>
      </c>
      <c r="H102">
        <f>IF(BaseCoalPlants!G104="-","",BaseCoalPlants!G104)</f>
        <v>2005</v>
      </c>
      <c r="I102" t="str">
        <f>IF(BaseCoalPlants!H104="-","",BaseCoalPlants!H104)</f>
        <v/>
      </c>
      <c r="J102" t="str">
        <f>IF(BaseCoalPlants!I104="-","",BaseCoalPlants!I104)</f>
        <v/>
      </c>
      <c r="K102" t="str">
        <f>IF(BaseCoalPlants!J104="-","",BaseCoalPlants!J104)</f>
        <v/>
      </c>
      <c r="L102" t="str">
        <f>IF(BaseCoalPlants!K104="-","",BaseCoalPlants!K104)</f>
        <v/>
      </c>
      <c r="M102" s="1" t="str">
        <f>IF(BaseCoalPlants!L104=0,"",BaseCoalPlants!L104)</f>
        <v/>
      </c>
      <c r="N102" s="1" t="str">
        <f>IF(BaseCoalPlants!W104=0,"",BaseCoalPlants!W104)</f>
        <v/>
      </c>
      <c r="O102" s="1" t="str">
        <f>IF(BaseCoalPlants!X104=0,"",BaseCoalPlants!X104)</f>
        <v/>
      </c>
      <c r="P102" s="1" t="str">
        <f>IF(BaseCoalPlants!Y104=0,"",BaseCoalPlants!Y104)</f>
        <v/>
      </c>
      <c r="Q102" s="1" t="str">
        <f>IF(BaseCoalPlants!Z104=0,"",BaseCoalPlants!Z104)</f>
        <v/>
      </c>
      <c r="R102" s="1" t="str">
        <f>IF(BaseCoalPlants!AA104=0,"",BaseCoalPlants!AA104)</f>
        <v/>
      </c>
      <c r="S102" s="1">
        <f>IF(BaseCoalPlants!AB104=0,"",BaseCoalPlants!AB104)</f>
        <v>0.34573397191411676</v>
      </c>
      <c r="T102" s="1" t="str">
        <f>IF(BaseCoalPlants!AC104=0,"",BaseCoalPlants!AC104)</f>
        <v/>
      </c>
      <c r="U102" s="1" t="str">
        <f>IF(BaseCoalPlants!AD104=0,"",BaseCoalPlants!AD104)</f>
        <v/>
      </c>
      <c r="V102" s="1" t="str">
        <f>IF(BaseCoalPlants!AE104=0,"",BaseCoalPlants!AE104)</f>
        <v/>
      </c>
    </row>
    <row r="103" spans="3:22" x14ac:dyDescent="0.35">
      <c r="C103" t="str">
        <f>IF(BaseCoalPlants!B105="VDA_FLOP",IF(BaseCoalPlants!D105="ELC","*","INPUT"),BaseCoalPlants!B105)</f>
        <v>EFF</v>
      </c>
      <c r="D103" t="str">
        <f>IF(BaseCoalPlants!C105="","\I:",BaseCoalPlants!C105&amp;"_LE")</f>
        <v>ECSTMRBUO_LE</v>
      </c>
      <c r="E103" t="str">
        <f>IF(BaseCoalPlants!D105="-","",BaseCoalPlants!D105)</f>
        <v/>
      </c>
      <c r="F103" t="str">
        <f>IF(BaseCoalPlants!E105="-","",BaseCoalPlants!E105)</f>
        <v/>
      </c>
      <c r="G103" t="str">
        <f>IF(BaseCoalPlants!F105="-","",BaseCoalPlants!F105)</f>
        <v>ANNUAL</v>
      </c>
      <c r="H103">
        <f>IF(BaseCoalPlants!G105="-","",BaseCoalPlants!G105)</f>
        <v>1941</v>
      </c>
      <c r="I103" t="str">
        <f>IF(BaseCoalPlants!H105="-","",BaseCoalPlants!H105)</f>
        <v/>
      </c>
      <c r="J103" t="str">
        <f>IF(BaseCoalPlants!I105="-","",BaseCoalPlants!I105)</f>
        <v/>
      </c>
      <c r="K103" t="str">
        <f>IF(BaseCoalPlants!J105="-","",BaseCoalPlants!J105)</f>
        <v/>
      </c>
      <c r="L103" t="str">
        <f>IF(BaseCoalPlants!K105="-","",BaseCoalPlants!K105)</f>
        <v/>
      </c>
      <c r="M103" s="1" t="str">
        <f>IF(BaseCoalPlants!L105=0,"",BaseCoalPlants!L105)</f>
        <v/>
      </c>
      <c r="N103" s="1" t="str">
        <f>IF(BaseCoalPlants!W105=0,"",BaseCoalPlants!W105)</f>
        <v/>
      </c>
      <c r="O103" s="1" t="str">
        <f>IF(BaseCoalPlants!X105=0,"",BaseCoalPlants!X105)</f>
        <v/>
      </c>
      <c r="P103" s="1" t="str">
        <f>IF(BaseCoalPlants!Y105=0,"",BaseCoalPlants!Y105)</f>
        <v/>
      </c>
      <c r="Q103" s="1" t="str">
        <f>IF(BaseCoalPlants!Z105=0,"",BaseCoalPlants!Z105)</f>
        <v/>
      </c>
      <c r="R103" s="1">
        <f>IF(BaseCoalPlants!AA105=0,"",BaseCoalPlants!AA105)</f>
        <v>0.23898952242549504</v>
      </c>
      <c r="S103" s="1" t="str">
        <f>IF(BaseCoalPlants!AB105=0,"",BaseCoalPlants!AB105)</f>
        <v/>
      </c>
      <c r="T103" s="1" t="str">
        <f>IF(BaseCoalPlants!AC105=0,"",BaseCoalPlants!AC105)</f>
        <v/>
      </c>
      <c r="U103" s="1" t="str">
        <f>IF(BaseCoalPlants!AD105=0,"",BaseCoalPlants!AD105)</f>
        <v/>
      </c>
      <c r="V103" s="1" t="str">
        <f>IF(BaseCoalPlants!AE105=0,"",BaseCoalPlants!AE105)</f>
        <v/>
      </c>
    </row>
    <row r="104" spans="3:22" x14ac:dyDescent="0.35">
      <c r="C104" t="str">
        <f>IF(BaseCoalPlants!B106="VDA_FLOP",IF(BaseCoalPlants!D106="ELC","*","INPUT"),BaseCoalPlants!B106)</f>
        <v>EFF</v>
      </c>
      <c r="D104" t="str">
        <f>IF(BaseCoalPlants!C106="","\I:",BaseCoalPlants!C106&amp;"_LE")</f>
        <v>ECSTMRBUO_LE</v>
      </c>
      <c r="E104" t="str">
        <f>IF(BaseCoalPlants!D106="-","",BaseCoalPlants!D106)</f>
        <v/>
      </c>
      <c r="F104" t="str">
        <f>IF(BaseCoalPlants!E106="-","",BaseCoalPlants!E106)</f>
        <v/>
      </c>
      <c r="G104" t="str">
        <f>IF(BaseCoalPlants!F106="-","",BaseCoalPlants!F106)</f>
        <v>ANNUAL</v>
      </c>
      <c r="H104">
        <f>IF(BaseCoalPlants!G106="-","",BaseCoalPlants!G106)</f>
        <v>1942</v>
      </c>
      <c r="I104" t="str">
        <f>IF(BaseCoalPlants!H106="-","",BaseCoalPlants!H106)</f>
        <v/>
      </c>
      <c r="J104" t="str">
        <f>IF(BaseCoalPlants!I106="-","",BaseCoalPlants!I106)</f>
        <v/>
      </c>
      <c r="K104" t="str">
        <f>IF(BaseCoalPlants!J106="-","",BaseCoalPlants!J106)</f>
        <v/>
      </c>
      <c r="L104" t="str">
        <f>IF(BaseCoalPlants!K106="-","",BaseCoalPlants!K106)</f>
        <v/>
      </c>
      <c r="M104" s="1" t="str">
        <f>IF(BaseCoalPlants!L106=0,"",BaseCoalPlants!L106)</f>
        <v/>
      </c>
      <c r="N104" s="1" t="str">
        <f>IF(BaseCoalPlants!W106=0,"",BaseCoalPlants!W106)</f>
        <v/>
      </c>
      <c r="O104" s="1" t="str">
        <f>IF(BaseCoalPlants!X106=0,"",BaseCoalPlants!X106)</f>
        <v/>
      </c>
      <c r="P104" s="1" t="str">
        <f>IF(BaseCoalPlants!Y106=0,"",BaseCoalPlants!Y106)</f>
        <v/>
      </c>
      <c r="Q104" s="1" t="str">
        <f>IF(BaseCoalPlants!Z106=0,"",BaseCoalPlants!Z106)</f>
        <v/>
      </c>
      <c r="R104" s="1">
        <f>IF(BaseCoalPlants!AA106=0,"",BaseCoalPlants!AA106)</f>
        <v>0.24184786887310847</v>
      </c>
      <c r="S104" s="1" t="str">
        <f>IF(BaseCoalPlants!AB106=0,"",BaseCoalPlants!AB106)</f>
        <v/>
      </c>
      <c r="T104" s="1" t="str">
        <f>IF(BaseCoalPlants!AC106=0,"",BaseCoalPlants!AC106)</f>
        <v/>
      </c>
      <c r="U104" s="1" t="str">
        <f>IF(BaseCoalPlants!AD106=0,"",BaseCoalPlants!AD106)</f>
        <v/>
      </c>
      <c r="V104" s="1" t="str">
        <f>IF(BaseCoalPlants!AE106=0,"",BaseCoalPlants!AE106)</f>
        <v/>
      </c>
    </row>
    <row r="105" spans="3:22" x14ac:dyDescent="0.35">
      <c r="C105" t="str">
        <f>IF(BaseCoalPlants!B107="VDA_FLOP",IF(BaseCoalPlants!D107="ELC","*","INPUT"),BaseCoalPlants!B107)</f>
        <v>EFF</v>
      </c>
      <c r="D105" t="str">
        <f>IF(BaseCoalPlants!C107="","\I:",BaseCoalPlants!C107&amp;"_LE")</f>
        <v>ECSTMRBUO_LE</v>
      </c>
      <c r="E105" t="str">
        <f>IF(BaseCoalPlants!D107="-","",BaseCoalPlants!D107)</f>
        <v/>
      </c>
      <c r="F105" t="str">
        <f>IF(BaseCoalPlants!E107="-","",BaseCoalPlants!E107)</f>
        <v/>
      </c>
      <c r="G105" t="str">
        <f>IF(BaseCoalPlants!F107="-","",BaseCoalPlants!F107)</f>
        <v>ANNUAL</v>
      </c>
      <c r="H105">
        <f>IF(BaseCoalPlants!G107="-","",BaseCoalPlants!G107)</f>
        <v>1943</v>
      </c>
      <c r="I105" t="str">
        <f>IF(BaseCoalPlants!H107="-","",BaseCoalPlants!H107)</f>
        <v/>
      </c>
      <c r="J105" t="str">
        <f>IF(BaseCoalPlants!I107="-","",BaseCoalPlants!I107)</f>
        <v/>
      </c>
      <c r="K105" t="str">
        <f>IF(BaseCoalPlants!J107="-","",BaseCoalPlants!J107)</f>
        <v/>
      </c>
      <c r="L105" t="str">
        <f>IF(BaseCoalPlants!K107="-","",BaseCoalPlants!K107)</f>
        <v/>
      </c>
      <c r="M105" s="1" t="str">
        <f>IF(BaseCoalPlants!L107=0,"",BaseCoalPlants!L107)</f>
        <v/>
      </c>
      <c r="N105" s="1" t="str">
        <f>IF(BaseCoalPlants!W107=0,"",BaseCoalPlants!W107)</f>
        <v/>
      </c>
      <c r="O105" s="1">
        <f>IF(BaseCoalPlants!X107=0,"",BaseCoalPlants!X107)</f>
        <v>0.26698871559746878</v>
      </c>
      <c r="P105" s="1" t="str">
        <f>IF(BaseCoalPlants!Y107=0,"",BaseCoalPlants!Y107)</f>
        <v/>
      </c>
      <c r="Q105" s="1" t="str">
        <f>IF(BaseCoalPlants!Z107=0,"",BaseCoalPlants!Z107)</f>
        <v/>
      </c>
      <c r="R105" s="1">
        <f>IF(BaseCoalPlants!AA107=0,"",BaseCoalPlants!AA107)</f>
        <v>0.19769640216573695</v>
      </c>
      <c r="S105" s="1" t="str">
        <f>IF(BaseCoalPlants!AB107=0,"",BaseCoalPlants!AB107)</f>
        <v/>
      </c>
      <c r="T105" s="1" t="str">
        <f>IF(BaseCoalPlants!AC107=0,"",BaseCoalPlants!AC107)</f>
        <v/>
      </c>
      <c r="U105" s="1" t="str">
        <f>IF(BaseCoalPlants!AD107=0,"",BaseCoalPlants!AD107)</f>
        <v/>
      </c>
      <c r="V105" s="1" t="str">
        <f>IF(BaseCoalPlants!AE107=0,"",BaseCoalPlants!AE107)</f>
        <v/>
      </c>
    </row>
    <row r="106" spans="3:22" x14ac:dyDescent="0.35">
      <c r="C106" t="str">
        <f>IF(BaseCoalPlants!B108="VDA_FLOP",IF(BaseCoalPlants!D108="ELC","*","INPUT"),BaseCoalPlants!B108)</f>
        <v>EFF</v>
      </c>
      <c r="D106" t="str">
        <f>IF(BaseCoalPlants!C108="","\I:",BaseCoalPlants!C108&amp;"_LE")</f>
        <v>ECSTMRBUO_LE</v>
      </c>
      <c r="E106" t="str">
        <f>IF(BaseCoalPlants!D108="-","",BaseCoalPlants!D108)</f>
        <v/>
      </c>
      <c r="F106" t="str">
        <f>IF(BaseCoalPlants!E108="-","",BaseCoalPlants!E108)</f>
        <v/>
      </c>
      <c r="G106" t="str">
        <f>IF(BaseCoalPlants!F108="-","",BaseCoalPlants!F108)</f>
        <v>ANNUAL</v>
      </c>
      <c r="H106">
        <f>IF(BaseCoalPlants!G108="-","",BaseCoalPlants!G108)</f>
        <v>1944</v>
      </c>
      <c r="I106" t="str">
        <f>IF(BaseCoalPlants!H108="-","",BaseCoalPlants!H108)</f>
        <v/>
      </c>
      <c r="J106" t="str">
        <f>IF(BaseCoalPlants!I108="-","",BaseCoalPlants!I108)</f>
        <v/>
      </c>
      <c r="K106" t="str">
        <f>IF(BaseCoalPlants!J108="-","",BaseCoalPlants!J108)</f>
        <v/>
      </c>
      <c r="L106" t="str">
        <f>IF(BaseCoalPlants!K108="-","",BaseCoalPlants!K108)</f>
        <v/>
      </c>
      <c r="M106" s="1" t="str">
        <f>IF(BaseCoalPlants!L108=0,"",BaseCoalPlants!L108)</f>
        <v/>
      </c>
      <c r="N106" s="1" t="str">
        <f>IF(BaseCoalPlants!W108=0,"",BaseCoalPlants!W108)</f>
        <v/>
      </c>
      <c r="O106" s="1" t="str">
        <f>IF(BaseCoalPlants!X108=0,"",BaseCoalPlants!X108)</f>
        <v/>
      </c>
      <c r="P106" s="1" t="str">
        <f>IF(BaseCoalPlants!Y108=0,"",BaseCoalPlants!Y108)</f>
        <v/>
      </c>
      <c r="Q106" s="1" t="str">
        <f>IF(BaseCoalPlants!Z108=0,"",BaseCoalPlants!Z108)</f>
        <v/>
      </c>
      <c r="R106" s="1">
        <f>IF(BaseCoalPlants!AA108=0,"",BaseCoalPlants!AA108)</f>
        <v>0.26360580863331934</v>
      </c>
      <c r="S106" s="1" t="str">
        <f>IF(BaseCoalPlants!AB108=0,"",BaseCoalPlants!AB108)</f>
        <v/>
      </c>
      <c r="T106" s="1" t="str">
        <f>IF(BaseCoalPlants!AC108=0,"",BaseCoalPlants!AC108)</f>
        <v/>
      </c>
      <c r="U106" s="1" t="str">
        <f>IF(BaseCoalPlants!AD108=0,"",BaseCoalPlants!AD108)</f>
        <v/>
      </c>
      <c r="V106" s="1" t="str">
        <f>IF(BaseCoalPlants!AE108=0,"",BaseCoalPlants!AE108)</f>
        <v/>
      </c>
    </row>
    <row r="107" spans="3:22" x14ac:dyDescent="0.35">
      <c r="C107" t="str">
        <f>IF(BaseCoalPlants!B109="VDA_FLOP",IF(BaseCoalPlants!D109="ELC","*","INPUT"),BaseCoalPlants!B109)</f>
        <v>EFF</v>
      </c>
      <c r="D107" t="str">
        <f>IF(BaseCoalPlants!C109="","\I:",BaseCoalPlants!C109&amp;"_LE")</f>
        <v>ECSTMRBUO_LE</v>
      </c>
      <c r="E107" t="str">
        <f>IF(BaseCoalPlants!D109="-","",BaseCoalPlants!D109)</f>
        <v/>
      </c>
      <c r="F107" t="str">
        <f>IF(BaseCoalPlants!E109="-","",BaseCoalPlants!E109)</f>
        <v/>
      </c>
      <c r="G107" t="str">
        <f>IF(BaseCoalPlants!F109="-","",BaseCoalPlants!F109)</f>
        <v>ANNUAL</v>
      </c>
      <c r="H107">
        <f>IF(BaseCoalPlants!G109="-","",BaseCoalPlants!G109)</f>
        <v>1947</v>
      </c>
      <c r="I107" t="str">
        <f>IF(BaseCoalPlants!H109="-","",BaseCoalPlants!H109)</f>
        <v/>
      </c>
      <c r="J107" t="str">
        <f>IF(BaseCoalPlants!I109="-","",BaseCoalPlants!I109)</f>
        <v/>
      </c>
      <c r="K107" t="str">
        <f>IF(BaseCoalPlants!J109="-","",BaseCoalPlants!J109)</f>
        <v/>
      </c>
      <c r="L107" t="str">
        <f>IF(BaseCoalPlants!K109="-","",BaseCoalPlants!K109)</f>
        <v/>
      </c>
      <c r="M107" s="1" t="str">
        <f>IF(BaseCoalPlants!L109=0,"",BaseCoalPlants!L109)</f>
        <v/>
      </c>
      <c r="N107" s="1" t="str">
        <f>IF(BaseCoalPlants!W109=0,"",BaseCoalPlants!W109)</f>
        <v/>
      </c>
      <c r="O107" s="1" t="str">
        <f>IF(BaseCoalPlants!X109=0,"",BaseCoalPlants!X109)</f>
        <v/>
      </c>
      <c r="P107" s="1">
        <f>IF(BaseCoalPlants!Y109=0,"",BaseCoalPlants!Y109)</f>
        <v>0.27896017916088384</v>
      </c>
      <c r="Q107" s="1">
        <f>IF(BaseCoalPlants!Z109=0,"",BaseCoalPlants!Z109)</f>
        <v>0.26190019410407522</v>
      </c>
      <c r="R107" s="1">
        <f>IF(BaseCoalPlants!AA109=0,"",BaseCoalPlants!AA109)</f>
        <v>0.30161397512993759</v>
      </c>
      <c r="S107" s="1" t="str">
        <f>IF(BaseCoalPlants!AB109=0,"",BaseCoalPlants!AB109)</f>
        <v/>
      </c>
      <c r="T107" s="1" t="str">
        <f>IF(BaseCoalPlants!AC109=0,"",BaseCoalPlants!AC109)</f>
        <v/>
      </c>
      <c r="U107" s="1" t="str">
        <f>IF(BaseCoalPlants!AD109=0,"",BaseCoalPlants!AD109)</f>
        <v/>
      </c>
      <c r="V107" s="1" t="str">
        <f>IF(BaseCoalPlants!AE109=0,"",BaseCoalPlants!AE109)</f>
        <v/>
      </c>
    </row>
    <row r="108" spans="3:22" x14ac:dyDescent="0.35">
      <c r="C108" t="str">
        <f>IF(BaseCoalPlants!B110="VDA_FLOP",IF(BaseCoalPlants!D110="ELC","*","INPUT"),BaseCoalPlants!B110)</f>
        <v>EFF</v>
      </c>
      <c r="D108" t="str">
        <f>IF(BaseCoalPlants!C110="","\I:",BaseCoalPlants!C110&amp;"_LE")</f>
        <v>ECSTMRBUO_LE</v>
      </c>
      <c r="E108" t="str">
        <f>IF(BaseCoalPlants!D110="-","",BaseCoalPlants!D110)</f>
        <v/>
      </c>
      <c r="F108" t="str">
        <f>IF(BaseCoalPlants!E110="-","",BaseCoalPlants!E110)</f>
        <v/>
      </c>
      <c r="G108" t="str">
        <f>IF(BaseCoalPlants!F110="-","",BaseCoalPlants!F110)</f>
        <v>ANNUAL</v>
      </c>
      <c r="H108">
        <f>IF(BaseCoalPlants!G110="-","",BaseCoalPlants!G110)</f>
        <v>1948</v>
      </c>
      <c r="I108" t="str">
        <f>IF(BaseCoalPlants!H110="-","",BaseCoalPlants!H110)</f>
        <v/>
      </c>
      <c r="J108" t="str">
        <f>IF(BaseCoalPlants!I110="-","",BaseCoalPlants!I110)</f>
        <v/>
      </c>
      <c r="K108" t="str">
        <f>IF(BaseCoalPlants!J110="-","",BaseCoalPlants!J110)</f>
        <v/>
      </c>
      <c r="L108" t="str">
        <f>IF(BaseCoalPlants!K110="-","",BaseCoalPlants!K110)</f>
        <v/>
      </c>
      <c r="M108" s="1" t="str">
        <f>IF(BaseCoalPlants!L110=0,"",BaseCoalPlants!L110)</f>
        <v/>
      </c>
      <c r="N108" s="1" t="str">
        <f>IF(BaseCoalPlants!W110=0,"",BaseCoalPlants!W110)</f>
        <v/>
      </c>
      <c r="O108" s="1" t="str">
        <f>IF(BaseCoalPlants!X110=0,"",BaseCoalPlants!X110)</f>
        <v/>
      </c>
      <c r="P108" s="1">
        <f>IF(BaseCoalPlants!Y110=0,"",BaseCoalPlants!Y110)</f>
        <v>0.2616067126527456</v>
      </c>
      <c r="Q108" s="1">
        <f>IF(BaseCoalPlants!Z110=0,"",BaseCoalPlants!Z110)</f>
        <v>0.23868634137191133</v>
      </c>
      <c r="R108" s="1" t="str">
        <f>IF(BaseCoalPlants!AA110=0,"",BaseCoalPlants!AA110)</f>
        <v/>
      </c>
      <c r="S108" s="1" t="str">
        <f>IF(BaseCoalPlants!AB110=0,"",BaseCoalPlants!AB110)</f>
        <v/>
      </c>
      <c r="T108" s="1" t="str">
        <f>IF(BaseCoalPlants!AC110=0,"",BaseCoalPlants!AC110)</f>
        <v/>
      </c>
      <c r="U108" s="1" t="str">
        <f>IF(BaseCoalPlants!AD110=0,"",BaseCoalPlants!AD110)</f>
        <v/>
      </c>
      <c r="V108" s="1" t="str">
        <f>IF(BaseCoalPlants!AE110=0,"",BaseCoalPlants!AE110)</f>
        <v/>
      </c>
    </row>
    <row r="109" spans="3:22" x14ac:dyDescent="0.35">
      <c r="C109" t="str">
        <f>IF(BaseCoalPlants!B111="VDA_FLOP",IF(BaseCoalPlants!D111="ELC","*","INPUT"),BaseCoalPlants!B111)</f>
        <v>EFF</v>
      </c>
      <c r="D109" t="str">
        <f>IF(BaseCoalPlants!C111="","\I:",BaseCoalPlants!C111&amp;"_LE")</f>
        <v>ECSTMRBUO_LE</v>
      </c>
      <c r="E109" t="str">
        <f>IF(BaseCoalPlants!D111="-","",BaseCoalPlants!D111)</f>
        <v/>
      </c>
      <c r="F109" t="str">
        <f>IF(BaseCoalPlants!E111="-","",BaseCoalPlants!E111)</f>
        <v/>
      </c>
      <c r="G109" t="str">
        <f>IF(BaseCoalPlants!F111="-","",BaseCoalPlants!F111)</f>
        <v>ANNUAL</v>
      </c>
      <c r="H109">
        <f>IF(BaseCoalPlants!G111="-","",BaseCoalPlants!G111)</f>
        <v>1949</v>
      </c>
      <c r="I109" t="str">
        <f>IF(BaseCoalPlants!H111="-","",BaseCoalPlants!H111)</f>
        <v/>
      </c>
      <c r="J109" t="str">
        <f>IF(BaseCoalPlants!I111="-","",BaseCoalPlants!I111)</f>
        <v/>
      </c>
      <c r="K109" t="str">
        <f>IF(BaseCoalPlants!J111="-","",BaseCoalPlants!J111)</f>
        <v/>
      </c>
      <c r="L109" t="str">
        <f>IF(BaseCoalPlants!K111="-","",BaseCoalPlants!K111)</f>
        <v/>
      </c>
      <c r="M109" s="1" t="str">
        <f>IF(BaseCoalPlants!L111=0,"",BaseCoalPlants!L111)</f>
        <v/>
      </c>
      <c r="N109" s="1" t="str">
        <f>IF(BaseCoalPlants!W111=0,"",BaseCoalPlants!W111)</f>
        <v/>
      </c>
      <c r="O109" s="1">
        <f>IF(BaseCoalPlants!X111=0,"",BaseCoalPlants!X111)</f>
        <v>0.2880609729059318</v>
      </c>
      <c r="P109" s="1">
        <f>IF(BaseCoalPlants!Y111=0,"",BaseCoalPlants!Y111)</f>
        <v>0.25927967759160381</v>
      </c>
      <c r="Q109" s="1">
        <f>IF(BaseCoalPlants!Z111=0,"",BaseCoalPlants!Z111)</f>
        <v>0.22591926785422464</v>
      </c>
      <c r="R109" s="1">
        <f>IF(BaseCoalPlants!AA111=0,"",BaseCoalPlants!AA111)</f>
        <v>0.24519698579856958</v>
      </c>
      <c r="S109" s="1">
        <f>IF(BaseCoalPlants!AB111=0,"",BaseCoalPlants!AB111)</f>
        <v>0.25968551554127611</v>
      </c>
      <c r="T109" s="1" t="str">
        <f>IF(BaseCoalPlants!AC111=0,"",BaseCoalPlants!AC111)</f>
        <v/>
      </c>
      <c r="U109" s="1" t="str">
        <f>IF(BaseCoalPlants!AD111=0,"",BaseCoalPlants!AD111)</f>
        <v/>
      </c>
      <c r="V109" s="1" t="str">
        <f>IF(BaseCoalPlants!AE111=0,"",BaseCoalPlants!AE111)</f>
        <v/>
      </c>
    </row>
    <row r="110" spans="3:22" x14ac:dyDescent="0.35">
      <c r="C110" t="str">
        <f>IF(BaseCoalPlants!B112="VDA_FLOP",IF(BaseCoalPlants!D112="ELC","*","INPUT"),BaseCoalPlants!B112)</f>
        <v>EFF</v>
      </c>
      <c r="D110" t="str">
        <f>IF(BaseCoalPlants!C112="","\I:",BaseCoalPlants!C112&amp;"_LE")</f>
        <v>ECSTMRBUO_LE</v>
      </c>
      <c r="E110" t="str">
        <f>IF(BaseCoalPlants!D112="-","",BaseCoalPlants!D112)</f>
        <v/>
      </c>
      <c r="F110" t="str">
        <f>IF(BaseCoalPlants!E112="-","",BaseCoalPlants!E112)</f>
        <v/>
      </c>
      <c r="G110" t="str">
        <f>IF(BaseCoalPlants!F112="-","",BaseCoalPlants!F112)</f>
        <v>ANNUAL</v>
      </c>
      <c r="H110">
        <f>IF(BaseCoalPlants!G112="-","",BaseCoalPlants!G112)</f>
        <v>1950</v>
      </c>
      <c r="I110" t="str">
        <f>IF(BaseCoalPlants!H112="-","",BaseCoalPlants!H112)</f>
        <v/>
      </c>
      <c r="J110" t="str">
        <f>IF(BaseCoalPlants!I112="-","",BaseCoalPlants!I112)</f>
        <v/>
      </c>
      <c r="K110" t="str">
        <f>IF(BaseCoalPlants!J112="-","",BaseCoalPlants!J112)</f>
        <v/>
      </c>
      <c r="L110" t="str">
        <f>IF(BaseCoalPlants!K112="-","",BaseCoalPlants!K112)</f>
        <v/>
      </c>
      <c r="M110" s="1" t="str">
        <f>IF(BaseCoalPlants!L112=0,"",BaseCoalPlants!L112)</f>
        <v/>
      </c>
      <c r="N110" s="1" t="str">
        <f>IF(BaseCoalPlants!W112=0,"",BaseCoalPlants!W112)</f>
        <v/>
      </c>
      <c r="O110" s="1">
        <f>IF(BaseCoalPlants!X112=0,"",BaseCoalPlants!X112)</f>
        <v>0.29817016151390019</v>
      </c>
      <c r="P110" s="1">
        <f>IF(BaseCoalPlants!Y112=0,"",BaseCoalPlants!Y112)</f>
        <v>0.27736611471346267</v>
      </c>
      <c r="Q110" s="1" t="str">
        <f>IF(BaseCoalPlants!Z112=0,"",BaseCoalPlants!Z112)</f>
        <v/>
      </c>
      <c r="R110" s="1">
        <f>IF(BaseCoalPlants!AA112=0,"",BaseCoalPlants!AA112)</f>
        <v>0.28170387283599263</v>
      </c>
      <c r="S110" s="1" t="str">
        <f>IF(BaseCoalPlants!AB112=0,"",BaseCoalPlants!AB112)</f>
        <v/>
      </c>
      <c r="T110" s="1" t="str">
        <f>IF(BaseCoalPlants!AC112=0,"",BaseCoalPlants!AC112)</f>
        <v/>
      </c>
      <c r="U110" s="1" t="str">
        <f>IF(BaseCoalPlants!AD112=0,"",BaseCoalPlants!AD112)</f>
        <v/>
      </c>
      <c r="V110" s="1" t="str">
        <f>IF(BaseCoalPlants!AE112=0,"",BaseCoalPlants!AE112)</f>
        <v/>
      </c>
    </row>
    <row r="111" spans="3:22" x14ac:dyDescent="0.35">
      <c r="C111" t="str">
        <f>IF(BaseCoalPlants!B113="VDA_FLOP",IF(BaseCoalPlants!D113="ELC","*","INPUT"),BaseCoalPlants!B113)</f>
        <v>EFF</v>
      </c>
      <c r="D111" t="str">
        <f>IF(BaseCoalPlants!C113="","\I:",BaseCoalPlants!C113&amp;"_LE")</f>
        <v>ECSTMRBUO_LE</v>
      </c>
      <c r="E111" t="str">
        <f>IF(BaseCoalPlants!D113="-","",BaseCoalPlants!D113)</f>
        <v/>
      </c>
      <c r="F111" t="str">
        <f>IF(BaseCoalPlants!E113="-","",BaseCoalPlants!E113)</f>
        <v/>
      </c>
      <c r="G111" t="str">
        <f>IF(BaseCoalPlants!F113="-","",BaseCoalPlants!F113)</f>
        <v>ANNUAL</v>
      </c>
      <c r="H111">
        <f>IF(BaseCoalPlants!G113="-","",BaseCoalPlants!G113)</f>
        <v>1951</v>
      </c>
      <c r="I111" t="str">
        <f>IF(BaseCoalPlants!H113="-","",BaseCoalPlants!H113)</f>
        <v/>
      </c>
      <c r="J111" t="str">
        <f>IF(BaseCoalPlants!I113="-","",BaseCoalPlants!I113)</f>
        <v/>
      </c>
      <c r="K111" t="str">
        <f>IF(BaseCoalPlants!J113="-","",BaseCoalPlants!J113)</f>
        <v/>
      </c>
      <c r="L111" t="str">
        <f>IF(BaseCoalPlants!K113="-","",BaseCoalPlants!K113)</f>
        <v/>
      </c>
      <c r="M111" s="1" t="str">
        <f>IF(BaseCoalPlants!L113=0,"",BaseCoalPlants!L113)</f>
        <v/>
      </c>
      <c r="N111" s="1">
        <f>IF(BaseCoalPlants!W113=0,"",BaseCoalPlants!W113)</f>
        <v>0.31142022852802176</v>
      </c>
      <c r="O111" s="1">
        <f>IF(BaseCoalPlants!X113=0,"",BaseCoalPlants!X113)</f>
        <v>0.29276722916040765</v>
      </c>
      <c r="P111" s="1">
        <f>IF(BaseCoalPlants!Y113=0,"",BaseCoalPlants!Y113)</f>
        <v>0.29553912228376122</v>
      </c>
      <c r="Q111" s="1" t="str">
        <f>IF(BaseCoalPlants!Z113=0,"",BaseCoalPlants!Z113)</f>
        <v/>
      </c>
      <c r="R111" s="1">
        <f>IF(BaseCoalPlants!AA113=0,"",BaseCoalPlants!AA113)</f>
        <v>0.25284265080937435</v>
      </c>
      <c r="S111" s="1" t="str">
        <f>IF(BaseCoalPlants!AB113=0,"",BaseCoalPlants!AB113)</f>
        <v/>
      </c>
      <c r="T111" s="1" t="str">
        <f>IF(BaseCoalPlants!AC113=0,"",BaseCoalPlants!AC113)</f>
        <v/>
      </c>
      <c r="U111" s="1" t="str">
        <f>IF(BaseCoalPlants!AD113=0,"",BaseCoalPlants!AD113)</f>
        <v/>
      </c>
      <c r="V111" s="1" t="str">
        <f>IF(BaseCoalPlants!AE113=0,"",BaseCoalPlants!AE113)</f>
        <v/>
      </c>
    </row>
    <row r="112" spans="3:22" x14ac:dyDescent="0.35">
      <c r="C112" t="str">
        <f>IF(BaseCoalPlants!B114="VDA_FLOP",IF(BaseCoalPlants!D114="ELC","*","INPUT"),BaseCoalPlants!B114)</f>
        <v>EFF</v>
      </c>
      <c r="D112" t="str">
        <f>IF(BaseCoalPlants!C114="","\I:",BaseCoalPlants!C114&amp;"_LE")</f>
        <v>ECSTMRBUO_LE</v>
      </c>
      <c r="E112" t="str">
        <f>IF(BaseCoalPlants!D114="-","",BaseCoalPlants!D114)</f>
        <v/>
      </c>
      <c r="F112" t="str">
        <f>IF(BaseCoalPlants!E114="-","",BaseCoalPlants!E114)</f>
        <v/>
      </c>
      <c r="G112" t="str">
        <f>IF(BaseCoalPlants!F114="-","",BaseCoalPlants!F114)</f>
        <v>ANNUAL</v>
      </c>
      <c r="H112">
        <f>IF(BaseCoalPlants!G114="-","",BaseCoalPlants!G114)</f>
        <v>1952</v>
      </c>
      <c r="I112" t="str">
        <f>IF(BaseCoalPlants!H114="-","",BaseCoalPlants!H114)</f>
        <v/>
      </c>
      <c r="J112" t="str">
        <f>IF(BaseCoalPlants!I114="-","",BaseCoalPlants!I114)</f>
        <v/>
      </c>
      <c r="K112" t="str">
        <f>IF(BaseCoalPlants!J114="-","",BaseCoalPlants!J114)</f>
        <v/>
      </c>
      <c r="L112" t="str">
        <f>IF(BaseCoalPlants!K114="-","",BaseCoalPlants!K114)</f>
        <v/>
      </c>
      <c r="M112" s="1" t="str">
        <f>IF(BaseCoalPlants!L114=0,"",BaseCoalPlants!L114)</f>
        <v/>
      </c>
      <c r="N112" s="1">
        <f>IF(BaseCoalPlants!W114=0,"",BaseCoalPlants!W114)</f>
        <v>0.27815251031946236</v>
      </c>
      <c r="O112" s="1">
        <f>IF(BaseCoalPlants!X114=0,"",BaseCoalPlants!X114)</f>
        <v>0.29513305859599587</v>
      </c>
      <c r="P112" s="1">
        <f>IF(BaseCoalPlants!Y114=0,"",BaseCoalPlants!Y114)</f>
        <v>0.29599005354018626</v>
      </c>
      <c r="Q112" s="1" t="str">
        <f>IF(BaseCoalPlants!Z114=0,"",BaseCoalPlants!Z114)</f>
        <v/>
      </c>
      <c r="R112" s="1">
        <f>IF(BaseCoalPlants!AA114=0,"",BaseCoalPlants!AA114)</f>
        <v>0.28349460443827679</v>
      </c>
      <c r="S112" s="1" t="str">
        <f>IF(BaseCoalPlants!AB114=0,"",BaseCoalPlants!AB114)</f>
        <v/>
      </c>
      <c r="T112" s="1" t="str">
        <f>IF(BaseCoalPlants!AC114=0,"",BaseCoalPlants!AC114)</f>
        <v/>
      </c>
      <c r="U112" s="1" t="str">
        <f>IF(BaseCoalPlants!AD114=0,"",BaseCoalPlants!AD114)</f>
        <v/>
      </c>
      <c r="V112" s="1" t="str">
        <f>IF(BaseCoalPlants!AE114=0,"",BaseCoalPlants!AE114)</f>
        <v/>
      </c>
    </row>
    <row r="113" spans="3:22" x14ac:dyDescent="0.35">
      <c r="C113" t="str">
        <f>IF(BaseCoalPlants!B115="VDA_FLOP",IF(BaseCoalPlants!D115="ELC","*","INPUT"),BaseCoalPlants!B115)</f>
        <v>EFF</v>
      </c>
      <c r="D113" t="str">
        <f>IF(BaseCoalPlants!C115="","\I:",BaseCoalPlants!C115&amp;"_LE")</f>
        <v>ECSTMRBUO_LE</v>
      </c>
      <c r="E113" t="str">
        <f>IF(BaseCoalPlants!D115="-","",BaseCoalPlants!D115)</f>
        <v/>
      </c>
      <c r="F113" t="str">
        <f>IF(BaseCoalPlants!E115="-","",BaseCoalPlants!E115)</f>
        <v/>
      </c>
      <c r="G113" t="str">
        <f>IF(BaseCoalPlants!F115="-","",BaseCoalPlants!F115)</f>
        <v>ANNUAL</v>
      </c>
      <c r="H113">
        <f>IF(BaseCoalPlants!G115="-","",BaseCoalPlants!G115)</f>
        <v>1953</v>
      </c>
      <c r="I113" t="str">
        <f>IF(BaseCoalPlants!H115="-","",BaseCoalPlants!H115)</f>
        <v/>
      </c>
      <c r="J113" t="str">
        <f>IF(BaseCoalPlants!I115="-","",BaseCoalPlants!I115)</f>
        <v/>
      </c>
      <c r="K113" t="str">
        <f>IF(BaseCoalPlants!J115="-","",BaseCoalPlants!J115)</f>
        <v/>
      </c>
      <c r="L113" t="str">
        <f>IF(BaseCoalPlants!K115="-","",BaseCoalPlants!K115)</f>
        <v/>
      </c>
      <c r="M113" s="1" t="str">
        <f>IF(BaseCoalPlants!L115=0,"",BaseCoalPlants!L115)</f>
        <v/>
      </c>
      <c r="N113" s="1" t="str">
        <f>IF(BaseCoalPlants!W115=0,"",BaseCoalPlants!W115)</f>
        <v/>
      </c>
      <c r="O113" s="1">
        <f>IF(BaseCoalPlants!X115=0,"",BaseCoalPlants!X115)</f>
        <v>0.28989640565365055</v>
      </c>
      <c r="P113" s="1">
        <f>IF(BaseCoalPlants!Y115=0,"",BaseCoalPlants!Y115)</f>
        <v>0.29969746411201242</v>
      </c>
      <c r="Q113" s="1">
        <f>IF(BaseCoalPlants!Z115=0,"",BaseCoalPlants!Z115)</f>
        <v>0.24417564725519422</v>
      </c>
      <c r="R113" s="1">
        <f>IF(BaseCoalPlants!AA115=0,"",BaseCoalPlants!AA115)</f>
        <v>0.26188826668955134</v>
      </c>
      <c r="S113" s="1">
        <f>IF(BaseCoalPlants!AB115=0,"",BaseCoalPlants!AB115)</f>
        <v>0.31709086677920351</v>
      </c>
      <c r="T113" s="1" t="str">
        <f>IF(BaseCoalPlants!AC115=0,"",BaseCoalPlants!AC115)</f>
        <v/>
      </c>
      <c r="U113" s="1" t="str">
        <f>IF(BaseCoalPlants!AD115=0,"",BaseCoalPlants!AD115)</f>
        <v/>
      </c>
      <c r="V113" s="1" t="str">
        <f>IF(BaseCoalPlants!AE115=0,"",BaseCoalPlants!AE115)</f>
        <v/>
      </c>
    </row>
    <row r="114" spans="3:22" x14ac:dyDescent="0.35">
      <c r="C114" t="str">
        <f>IF(BaseCoalPlants!B116="VDA_FLOP",IF(BaseCoalPlants!D116="ELC","*","INPUT"),BaseCoalPlants!B116)</f>
        <v>EFF</v>
      </c>
      <c r="D114" t="str">
        <f>IF(BaseCoalPlants!C116="","\I:",BaseCoalPlants!C116&amp;"_LE")</f>
        <v>ECSTMRBUO_LE</v>
      </c>
      <c r="E114" t="str">
        <f>IF(BaseCoalPlants!D116="-","",BaseCoalPlants!D116)</f>
        <v/>
      </c>
      <c r="F114" t="str">
        <f>IF(BaseCoalPlants!E116="-","",BaseCoalPlants!E116)</f>
        <v/>
      </c>
      <c r="G114" t="str">
        <f>IF(BaseCoalPlants!F116="-","",BaseCoalPlants!F116)</f>
        <v>ANNUAL</v>
      </c>
      <c r="H114">
        <f>IF(BaseCoalPlants!G116="-","",BaseCoalPlants!G116)</f>
        <v>1954</v>
      </c>
      <c r="I114" t="str">
        <f>IF(BaseCoalPlants!H116="-","",BaseCoalPlants!H116)</f>
        <v/>
      </c>
      <c r="J114" t="str">
        <f>IF(BaseCoalPlants!I116="-","",BaseCoalPlants!I116)</f>
        <v/>
      </c>
      <c r="K114" t="str">
        <f>IF(BaseCoalPlants!J116="-","",BaseCoalPlants!J116)</f>
        <v/>
      </c>
      <c r="L114" t="str">
        <f>IF(BaseCoalPlants!K116="-","",BaseCoalPlants!K116)</f>
        <v/>
      </c>
      <c r="M114" s="1" t="str">
        <f>IF(BaseCoalPlants!L116=0,"",BaseCoalPlants!L116)</f>
        <v/>
      </c>
      <c r="N114" s="1" t="str">
        <f>IF(BaseCoalPlants!W116=0,"",BaseCoalPlants!W116)</f>
        <v/>
      </c>
      <c r="O114" s="1">
        <f>IF(BaseCoalPlants!X116=0,"",BaseCoalPlants!X116)</f>
        <v>0.31709086677920351</v>
      </c>
      <c r="P114" s="1">
        <f>IF(BaseCoalPlants!Y116=0,"",BaseCoalPlants!Y116)</f>
        <v>0.3179182243678435</v>
      </c>
      <c r="Q114" s="1" t="str">
        <f>IF(BaseCoalPlants!Z116=0,"",BaseCoalPlants!Z116)</f>
        <v/>
      </c>
      <c r="R114" s="1" t="str">
        <f>IF(BaseCoalPlants!AA116=0,"",BaseCoalPlants!AA116)</f>
        <v/>
      </c>
      <c r="S114" s="1">
        <f>IF(BaseCoalPlants!AB116=0,"",BaseCoalPlants!AB116)</f>
        <v>0.24146254929931293</v>
      </c>
      <c r="T114" s="1" t="str">
        <f>IF(BaseCoalPlants!AC116=0,"",BaseCoalPlants!AC116)</f>
        <v/>
      </c>
      <c r="U114" s="1" t="str">
        <f>IF(BaseCoalPlants!AD116=0,"",BaseCoalPlants!AD116)</f>
        <v/>
      </c>
      <c r="V114" s="1" t="str">
        <f>IF(BaseCoalPlants!AE116=0,"",BaseCoalPlants!AE116)</f>
        <v/>
      </c>
    </row>
    <row r="115" spans="3:22" x14ac:dyDescent="0.35">
      <c r="C115" t="str">
        <f>IF(BaseCoalPlants!B117="VDA_FLOP",IF(BaseCoalPlants!D117="ELC","*","INPUT"),BaseCoalPlants!B117)</f>
        <v>EFF</v>
      </c>
      <c r="D115" t="str">
        <f>IF(BaseCoalPlants!C117="","\I:",BaseCoalPlants!C117&amp;"_LE")</f>
        <v>ECSTMRBUO_LE</v>
      </c>
      <c r="E115" t="str">
        <f>IF(BaseCoalPlants!D117="-","",BaseCoalPlants!D117)</f>
        <v/>
      </c>
      <c r="F115" t="str">
        <f>IF(BaseCoalPlants!E117="-","",BaseCoalPlants!E117)</f>
        <v/>
      </c>
      <c r="G115" t="str">
        <f>IF(BaseCoalPlants!F117="-","",BaseCoalPlants!F117)</f>
        <v>ANNUAL</v>
      </c>
      <c r="H115">
        <f>IF(BaseCoalPlants!G117="-","",BaseCoalPlants!G117)</f>
        <v>1955</v>
      </c>
      <c r="I115" t="str">
        <f>IF(BaseCoalPlants!H117="-","",BaseCoalPlants!H117)</f>
        <v/>
      </c>
      <c r="J115" t="str">
        <f>IF(BaseCoalPlants!I117="-","",BaseCoalPlants!I117)</f>
        <v/>
      </c>
      <c r="K115" t="str">
        <f>IF(BaseCoalPlants!J117="-","",BaseCoalPlants!J117)</f>
        <v/>
      </c>
      <c r="L115" t="str">
        <f>IF(BaseCoalPlants!K117="-","",BaseCoalPlants!K117)</f>
        <v/>
      </c>
      <c r="M115" s="1" t="str">
        <f>IF(BaseCoalPlants!L117=0,"",BaseCoalPlants!L117)</f>
        <v/>
      </c>
      <c r="N115" s="1" t="str">
        <f>IF(BaseCoalPlants!W117=0,"",BaseCoalPlants!W117)</f>
        <v/>
      </c>
      <c r="O115" s="1" t="str">
        <f>IF(BaseCoalPlants!X117=0,"",BaseCoalPlants!X117)</f>
        <v/>
      </c>
      <c r="P115" s="1">
        <f>IF(BaseCoalPlants!Y117=0,"",BaseCoalPlants!Y117)</f>
        <v>0.29269891865304482</v>
      </c>
      <c r="Q115" s="1" t="str">
        <f>IF(BaseCoalPlants!Z117=0,"",BaseCoalPlants!Z117)</f>
        <v/>
      </c>
      <c r="R115" s="1">
        <f>IF(BaseCoalPlants!AA117=0,"",BaseCoalPlants!AA117)</f>
        <v>0.33314648468282876</v>
      </c>
      <c r="S115" s="1" t="str">
        <f>IF(BaseCoalPlants!AB117=0,"",BaseCoalPlants!AB117)</f>
        <v/>
      </c>
      <c r="T115" s="1" t="str">
        <f>IF(BaseCoalPlants!AC117=0,"",BaseCoalPlants!AC117)</f>
        <v/>
      </c>
      <c r="U115" s="1" t="str">
        <f>IF(BaseCoalPlants!AD117=0,"",BaseCoalPlants!AD117)</f>
        <v/>
      </c>
      <c r="V115" s="1" t="str">
        <f>IF(BaseCoalPlants!AE117=0,"",BaseCoalPlants!AE117)</f>
        <v/>
      </c>
    </row>
    <row r="116" spans="3:22" x14ac:dyDescent="0.35">
      <c r="C116" t="str">
        <f>IF(BaseCoalPlants!B118="VDA_FLOP",IF(BaseCoalPlants!D118="ELC","*","INPUT"),BaseCoalPlants!B118)</f>
        <v>EFF</v>
      </c>
      <c r="D116" t="str">
        <f>IF(BaseCoalPlants!C118="","\I:",BaseCoalPlants!C118&amp;"_LE")</f>
        <v>ECSTMRBUO_LE</v>
      </c>
      <c r="E116" t="str">
        <f>IF(BaseCoalPlants!D118="-","",BaseCoalPlants!D118)</f>
        <v/>
      </c>
      <c r="F116" t="str">
        <f>IF(BaseCoalPlants!E118="-","",BaseCoalPlants!E118)</f>
        <v/>
      </c>
      <c r="G116" t="str">
        <f>IF(BaseCoalPlants!F118="-","",BaseCoalPlants!F118)</f>
        <v>ANNUAL</v>
      </c>
      <c r="H116">
        <f>IF(BaseCoalPlants!G118="-","",BaseCoalPlants!G118)</f>
        <v>1956</v>
      </c>
      <c r="I116" t="str">
        <f>IF(BaseCoalPlants!H118="-","",BaseCoalPlants!H118)</f>
        <v/>
      </c>
      <c r="J116" t="str">
        <f>IF(BaseCoalPlants!I118="-","",BaseCoalPlants!I118)</f>
        <v/>
      </c>
      <c r="K116" t="str">
        <f>IF(BaseCoalPlants!J118="-","",BaseCoalPlants!J118)</f>
        <v/>
      </c>
      <c r="L116" t="str">
        <f>IF(BaseCoalPlants!K118="-","",BaseCoalPlants!K118)</f>
        <v/>
      </c>
      <c r="M116" s="1" t="str">
        <f>IF(BaseCoalPlants!L118=0,"",BaseCoalPlants!L118)</f>
        <v/>
      </c>
      <c r="N116" s="1" t="str">
        <f>IF(BaseCoalPlants!W118=0,"",BaseCoalPlants!W118)</f>
        <v/>
      </c>
      <c r="O116" s="1" t="str">
        <f>IF(BaseCoalPlants!X118=0,"",BaseCoalPlants!X118)</f>
        <v/>
      </c>
      <c r="P116" s="1">
        <f>IF(BaseCoalPlants!Y118=0,"",BaseCoalPlants!Y118)</f>
        <v>0.31873380364726178</v>
      </c>
      <c r="Q116" s="1" t="str">
        <f>IF(BaseCoalPlants!Z118=0,"",BaseCoalPlants!Z118)</f>
        <v/>
      </c>
      <c r="R116" s="1" t="str">
        <f>IF(BaseCoalPlants!AA118=0,"",BaseCoalPlants!AA118)</f>
        <v/>
      </c>
      <c r="S116" s="1">
        <f>IF(BaseCoalPlants!AB118=0,"",BaseCoalPlants!AB118)</f>
        <v>0.23599376009554462</v>
      </c>
      <c r="T116" s="1" t="str">
        <f>IF(BaseCoalPlants!AC118=0,"",BaseCoalPlants!AC118)</f>
        <v/>
      </c>
      <c r="U116" s="1" t="str">
        <f>IF(BaseCoalPlants!AD118=0,"",BaseCoalPlants!AD118)</f>
        <v/>
      </c>
      <c r="V116" s="1" t="str">
        <f>IF(BaseCoalPlants!AE118=0,"",BaseCoalPlants!AE118)</f>
        <v/>
      </c>
    </row>
    <row r="117" spans="3:22" x14ac:dyDescent="0.35">
      <c r="C117" t="str">
        <f>IF(BaseCoalPlants!B119="VDA_FLOP",IF(BaseCoalPlants!D119="ELC","*","INPUT"),BaseCoalPlants!B119)</f>
        <v>EFF</v>
      </c>
      <c r="D117" t="str">
        <f>IF(BaseCoalPlants!C119="","\I:",BaseCoalPlants!C119&amp;"_LE")</f>
        <v>ECSTMRBUO_LE</v>
      </c>
      <c r="E117" t="str">
        <f>IF(BaseCoalPlants!D119="-","",BaseCoalPlants!D119)</f>
        <v/>
      </c>
      <c r="F117" t="str">
        <f>IF(BaseCoalPlants!E119="-","",BaseCoalPlants!E119)</f>
        <v/>
      </c>
      <c r="G117" t="str">
        <f>IF(BaseCoalPlants!F119="-","",BaseCoalPlants!F119)</f>
        <v>ANNUAL</v>
      </c>
      <c r="H117">
        <f>IF(BaseCoalPlants!G119="-","",BaseCoalPlants!G119)</f>
        <v>1957</v>
      </c>
      <c r="I117" t="str">
        <f>IF(BaseCoalPlants!H119="-","",BaseCoalPlants!H119)</f>
        <v/>
      </c>
      <c r="J117" t="str">
        <f>IF(BaseCoalPlants!I119="-","",BaseCoalPlants!I119)</f>
        <v/>
      </c>
      <c r="K117" t="str">
        <f>IF(BaseCoalPlants!J119="-","",BaseCoalPlants!J119)</f>
        <v/>
      </c>
      <c r="L117" t="str">
        <f>IF(BaseCoalPlants!K119="-","",BaseCoalPlants!K119)</f>
        <v/>
      </c>
      <c r="M117" s="1" t="str">
        <f>IF(BaseCoalPlants!L119=0,"",BaseCoalPlants!L119)</f>
        <v/>
      </c>
      <c r="N117" s="1">
        <f>IF(BaseCoalPlants!W119=0,"",BaseCoalPlants!W119)</f>
        <v>0.26168951780526045</v>
      </c>
      <c r="O117" s="1">
        <f>IF(BaseCoalPlants!X119=0,"",BaseCoalPlants!X119)</f>
        <v>0.31709086677920351</v>
      </c>
      <c r="P117" s="1">
        <f>IF(BaseCoalPlants!Y119=0,"",BaseCoalPlants!Y119)</f>
        <v>0.30362506072780898</v>
      </c>
      <c r="Q117" s="1">
        <f>IF(BaseCoalPlants!Z119=0,"",BaseCoalPlants!Z119)</f>
        <v>0.23221304202780574</v>
      </c>
      <c r="R117" s="1">
        <f>IF(BaseCoalPlants!AA119=0,"",BaseCoalPlants!AA119)</f>
        <v>0.2381651843954064</v>
      </c>
      <c r="S117" s="1">
        <f>IF(BaseCoalPlants!AB119=0,"",BaseCoalPlants!AB119)</f>
        <v>0.2883906491668502</v>
      </c>
      <c r="T117" s="1" t="str">
        <f>IF(BaseCoalPlants!AC119=0,"",BaseCoalPlants!AC119)</f>
        <v/>
      </c>
      <c r="U117" s="1" t="str">
        <f>IF(BaseCoalPlants!AD119=0,"",BaseCoalPlants!AD119)</f>
        <v/>
      </c>
      <c r="V117" s="1" t="str">
        <f>IF(BaseCoalPlants!AE119=0,"",BaseCoalPlants!AE119)</f>
        <v/>
      </c>
    </row>
    <row r="118" spans="3:22" x14ac:dyDescent="0.35">
      <c r="C118" t="str">
        <f>IF(BaseCoalPlants!B120="VDA_FLOP",IF(BaseCoalPlants!D120="ELC","*","INPUT"),BaseCoalPlants!B120)</f>
        <v>EFF</v>
      </c>
      <c r="D118" t="str">
        <f>IF(BaseCoalPlants!C120="","\I:",BaseCoalPlants!C120&amp;"_LE")</f>
        <v>ECSTMRBUO_LE</v>
      </c>
      <c r="E118" t="str">
        <f>IF(BaseCoalPlants!D120="-","",BaseCoalPlants!D120)</f>
        <v/>
      </c>
      <c r="F118" t="str">
        <f>IF(BaseCoalPlants!E120="-","",BaseCoalPlants!E120)</f>
        <v/>
      </c>
      <c r="G118" t="str">
        <f>IF(BaseCoalPlants!F120="-","",BaseCoalPlants!F120)</f>
        <v>ANNUAL</v>
      </c>
      <c r="H118">
        <f>IF(BaseCoalPlants!G120="-","",BaseCoalPlants!G120)</f>
        <v>1958</v>
      </c>
      <c r="I118" t="str">
        <f>IF(BaseCoalPlants!H120="-","",BaseCoalPlants!H120)</f>
        <v/>
      </c>
      <c r="J118" t="str">
        <f>IF(BaseCoalPlants!I120="-","",BaseCoalPlants!I120)</f>
        <v/>
      </c>
      <c r="K118" t="str">
        <f>IF(BaseCoalPlants!J120="-","",BaseCoalPlants!J120)</f>
        <v/>
      </c>
      <c r="L118" t="str">
        <f>IF(BaseCoalPlants!K120="-","",BaseCoalPlants!K120)</f>
        <v/>
      </c>
      <c r="M118" s="1" t="str">
        <f>IF(BaseCoalPlants!L120=0,"",BaseCoalPlants!L120)</f>
        <v/>
      </c>
      <c r="N118" s="1" t="str">
        <f>IF(BaseCoalPlants!W120=0,"",BaseCoalPlants!W120)</f>
        <v/>
      </c>
      <c r="O118" s="1">
        <f>IF(BaseCoalPlants!X120=0,"",BaseCoalPlants!X120)</f>
        <v>0.33454139949818784</v>
      </c>
      <c r="P118" s="1">
        <f>IF(BaseCoalPlants!Y120=0,"",BaseCoalPlants!Y120)</f>
        <v>0.23006491631378878</v>
      </c>
      <c r="Q118" s="1">
        <f>IF(BaseCoalPlants!Z120=0,"",BaseCoalPlants!Z120)</f>
        <v>0.29538587771742619</v>
      </c>
      <c r="R118" s="1">
        <f>IF(BaseCoalPlants!AA120=0,"",BaseCoalPlants!AA120)</f>
        <v>0.25582823502797858</v>
      </c>
      <c r="S118" s="1" t="str">
        <f>IF(BaseCoalPlants!AB120=0,"",BaseCoalPlants!AB120)</f>
        <v/>
      </c>
      <c r="T118" s="1" t="str">
        <f>IF(BaseCoalPlants!AC120=0,"",BaseCoalPlants!AC120)</f>
        <v/>
      </c>
      <c r="U118" s="1" t="str">
        <f>IF(BaseCoalPlants!AD120=0,"",BaseCoalPlants!AD120)</f>
        <v/>
      </c>
      <c r="V118" s="1" t="str">
        <f>IF(BaseCoalPlants!AE120=0,"",BaseCoalPlants!AE120)</f>
        <v/>
      </c>
    </row>
    <row r="119" spans="3:22" x14ac:dyDescent="0.35">
      <c r="C119" t="str">
        <f>IF(BaseCoalPlants!B121="VDA_FLOP",IF(BaseCoalPlants!D121="ELC","*","INPUT"),BaseCoalPlants!B121)</f>
        <v>EFF</v>
      </c>
      <c r="D119" t="str">
        <f>IF(BaseCoalPlants!C121="","\I:",BaseCoalPlants!C121&amp;"_LE")</f>
        <v>ECSTMRBUO_LE</v>
      </c>
      <c r="E119" t="str">
        <f>IF(BaseCoalPlants!D121="-","",BaseCoalPlants!D121)</f>
        <v/>
      </c>
      <c r="F119" t="str">
        <f>IF(BaseCoalPlants!E121="-","",BaseCoalPlants!E121)</f>
        <v/>
      </c>
      <c r="G119" t="str">
        <f>IF(BaseCoalPlants!F121="-","",BaseCoalPlants!F121)</f>
        <v>ANNUAL</v>
      </c>
      <c r="H119">
        <f>IF(BaseCoalPlants!G121="-","",BaseCoalPlants!G121)</f>
        <v>1959</v>
      </c>
      <c r="I119" t="str">
        <f>IF(BaseCoalPlants!H121="-","",BaseCoalPlants!H121)</f>
        <v/>
      </c>
      <c r="J119" t="str">
        <f>IF(BaseCoalPlants!I121="-","",BaseCoalPlants!I121)</f>
        <v/>
      </c>
      <c r="K119" t="str">
        <f>IF(BaseCoalPlants!J121="-","",BaseCoalPlants!J121)</f>
        <v/>
      </c>
      <c r="L119" t="str">
        <f>IF(BaseCoalPlants!K121="-","",BaseCoalPlants!K121)</f>
        <v/>
      </c>
      <c r="M119" s="1" t="str">
        <f>IF(BaseCoalPlants!L121=0,"",BaseCoalPlants!L121)</f>
        <v/>
      </c>
      <c r="N119" s="1" t="str">
        <f>IF(BaseCoalPlants!W121=0,"",BaseCoalPlants!W121)</f>
        <v/>
      </c>
      <c r="O119" s="1" t="str">
        <f>IF(BaseCoalPlants!X121=0,"",BaseCoalPlants!X121)</f>
        <v/>
      </c>
      <c r="P119" s="1">
        <f>IF(BaseCoalPlants!Y121=0,"",BaseCoalPlants!Y121)</f>
        <v>0.23259225957726909</v>
      </c>
      <c r="Q119" s="1" t="str">
        <f>IF(BaseCoalPlants!Z121=0,"",BaseCoalPlants!Z121)</f>
        <v/>
      </c>
      <c r="R119" s="1">
        <f>IF(BaseCoalPlants!AA121=0,"",BaseCoalPlants!AA121)</f>
        <v>0.29408648746622307</v>
      </c>
      <c r="S119" s="1">
        <f>IF(BaseCoalPlants!AB121=0,"",BaseCoalPlants!AB121)</f>
        <v>0.31709086677920351</v>
      </c>
      <c r="T119" s="1" t="str">
        <f>IF(BaseCoalPlants!AC121=0,"",BaseCoalPlants!AC121)</f>
        <v/>
      </c>
      <c r="U119" s="1" t="str">
        <f>IF(BaseCoalPlants!AD121=0,"",BaseCoalPlants!AD121)</f>
        <v/>
      </c>
      <c r="V119" s="1" t="str">
        <f>IF(BaseCoalPlants!AE121=0,"",BaseCoalPlants!AE121)</f>
        <v/>
      </c>
    </row>
    <row r="120" spans="3:22" x14ac:dyDescent="0.35">
      <c r="C120" t="str">
        <f>IF(BaseCoalPlants!B122="VDA_FLOP",IF(BaseCoalPlants!D122="ELC","*","INPUT"),BaseCoalPlants!B122)</f>
        <v>EFF</v>
      </c>
      <c r="D120" t="str">
        <f>IF(BaseCoalPlants!C122="","\I:",BaseCoalPlants!C122&amp;"_LE")</f>
        <v>ECSTMRBUO_LE</v>
      </c>
      <c r="E120" t="str">
        <f>IF(BaseCoalPlants!D122="-","",BaseCoalPlants!D122)</f>
        <v/>
      </c>
      <c r="F120" t="str">
        <f>IF(BaseCoalPlants!E122="-","",BaseCoalPlants!E122)</f>
        <v/>
      </c>
      <c r="G120" t="str">
        <f>IF(BaseCoalPlants!F122="-","",BaseCoalPlants!F122)</f>
        <v>ANNUAL</v>
      </c>
      <c r="H120">
        <f>IF(BaseCoalPlants!G122="-","",BaseCoalPlants!G122)</f>
        <v>1960</v>
      </c>
      <c r="I120" t="str">
        <f>IF(BaseCoalPlants!H122="-","",BaseCoalPlants!H122)</f>
        <v/>
      </c>
      <c r="J120" t="str">
        <f>IF(BaseCoalPlants!I122="-","",BaseCoalPlants!I122)</f>
        <v/>
      </c>
      <c r="K120" t="str">
        <f>IF(BaseCoalPlants!J122="-","",BaseCoalPlants!J122)</f>
        <v/>
      </c>
      <c r="L120" t="str">
        <f>IF(BaseCoalPlants!K122="-","",BaseCoalPlants!K122)</f>
        <v/>
      </c>
      <c r="M120" s="1" t="str">
        <f>IF(BaseCoalPlants!L122=0,"",BaseCoalPlants!L122)</f>
        <v/>
      </c>
      <c r="N120" s="1" t="str">
        <f>IF(BaseCoalPlants!W122=0,"",BaseCoalPlants!W122)</f>
        <v/>
      </c>
      <c r="O120" s="1" t="str">
        <f>IF(BaseCoalPlants!X122=0,"",BaseCoalPlants!X122)</f>
        <v/>
      </c>
      <c r="P120" s="1">
        <f>IF(BaseCoalPlants!Y122=0,"",BaseCoalPlants!Y122)</f>
        <v>0.29810077203442176</v>
      </c>
      <c r="Q120" s="1">
        <f>IF(BaseCoalPlants!Z122=0,"",BaseCoalPlants!Z122)</f>
        <v>0.28020095662357819</v>
      </c>
      <c r="R120" s="1" t="str">
        <f>IF(BaseCoalPlants!AA122=0,"",BaseCoalPlants!AA122)</f>
        <v/>
      </c>
      <c r="S120" s="1">
        <f>IF(BaseCoalPlants!AB122=0,"",BaseCoalPlants!AB122)</f>
        <v>0.28826376134162784</v>
      </c>
      <c r="T120" s="1" t="str">
        <f>IF(BaseCoalPlants!AC122=0,"",BaseCoalPlants!AC122)</f>
        <v/>
      </c>
      <c r="U120" s="1" t="str">
        <f>IF(BaseCoalPlants!AD122=0,"",BaseCoalPlants!AD122)</f>
        <v/>
      </c>
      <c r="V120" s="1" t="str">
        <f>IF(BaseCoalPlants!AE122=0,"",BaseCoalPlants!AE122)</f>
        <v/>
      </c>
    </row>
    <row r="121" spans="3:22" x14ac:dyDescent="0.35">
      <c r="C121" t="str">
        <f>IF(BaseCoalPlants!B123="VDA_FLOP",IF(BaseCoalPlants!D123="ELC","*","INPUT"),BaseCoalPlants!B123)</f>
        <v>EFF</v>
      </c>
      <c r="D121" t="str">
        <f>IF(BaseCoalPlants!C123="","\I:",BaseCoalPlants!C123&amp;"_LE")</f>
        <v>ECSTMRBUO_LE</v>
      </c>
      <c r="E121" t="str">
        <f>IF(BaseCoalPlants!D123="-","",BaseCoalPlants!D123)</f>
        <v/>
      </c>
      <c r="F121" t="str">
        <f>IF(BaseCoalPlants!E123="-","",BaseCoalPlants!E123)</f>
        <v/>
      </c>
      <c r="G121" t="str">
        <f>IF(BaseCoalPlants!F123="-","",BaseCoalPlants!F123)</f>
        <v>ANNUAL</v>
      </c>
      <c r="H121">
        <f>IF(BaseCoalPlants!G123="-","",BaseCoalPlants!G123)</f>
        <v>1961</v>
      </c>
      <c r="I121" t="str">
        <f>IF(BaseCoalPlants!H123="-","",BaseCoalPlants!H123)</f>
        <v/>
      </c>
      <c r="J121" t="str">
        <f>IF(BaseCoalPlants!I123="-","",BaseCoalPlants!I123)</f>
        <v/>
      </c>
      <c r="K121" t="str">
        <f>IF(BaseCoalPlants!J123="-","",BaseCoalPlants!J123)</f>
        <v/>
      </c>
      <c r="L121" t="str">
        <f>IF(BaseCoalPlants!K123="-","",BaseCoalPlants!K123)</f>
        <v/>
      </c>
      <c r="M121" s="1" t="str">
        <f>IF(BaseCoalPlants!L123=0,"",BaseCoalPlants!L123)</f>
        <v/>
      </c>
      <c r="N121" s="1" t="str">
        <f>IF(BaseCoalPlants!W123=0,"",BaseCoalPlants!W123)</f>
        <v/>
      </c>
      <c r="O121" s="1" t="str">
        <f>IF(BaseCoalPlants!X123=0,"",BaseCoalPlants!X123)</f>
        <v/>
      </c>
      <c r="P121" s="1">
        <f>IF(BaseCoalPlants!Y123=0,"",BaseCoalPlants!Y123)</f>
        <v>0.31709086677920351</v>
      </c>
      <c r="Q121" s="1" t="str">
        <f>IF(BaseCoalPlants!Z123=0,"",BaseCoalPlants!Z123)</f>
        <v/>
      </c>
      <c r="R121" s="1">
        <f>IF(BaseCoalPlants!AA123=0,"",BaseCoalPlants!AA123)</f>
        <v>0.31535352855140258</v>
      </c>
      <c r="S121" s="1" t="str">
        <f>IF(BaseCoalPlants!AB123=0,"",BaseCoalPlants!AB123)</f>
        <v/>
      </c>
      <c r="T121" s="1" t="str">
        <f>IF(BaseCoalPlants!AC123=0,"",BaseCoalPlants!AC123)</f>
        <v/>
      </c>
      <c r="U121" s="1" t="str">
        <f>IF(BaseCoalPlants!AD123=0,"",BaseCoalPlants!AD123)</f>
        <v/>
      </c>
      <c r="V121" s="1" t="str">
        <f>IF(BaseCoalPlants!AE123=0,"",BaseCoalPlants!AE123)</f>
        <v/>
      </c>
    </row>
    <row r="122" spans="3:22" x14ac:dyDescent="0.35">
      <c r="C122" t="str">
        <f>IF(BaseCoalPlants!B124="VDA_FLOP",IF(BaseCoalPlants!D124="ELC","*","INPUT"),BaseCoalPlants!B124)</f>
        <v>EFF</v>
      </c>
      <c r="D122" t="str">
        <f>IF(BaseCoalPlants!C124="","\I:",BaseCoalPlants!C124&amp;"_LE")</f>
        <v>ECSTMRBUO_LE</v>
      </c>
      <c r="E122" t="str">
        <f>IF(BaseCoalPlants!D124="-","",BaseCoalPlants!D124)</f>
        <v/>
      </c>
      <c r="F122" t="str">
        <f>IF(BaseCoalPlants!E124="-","",BaseCoalPlants!E124)</f>
        <v/>
      </c>
      <c r="G122" t="str">
        <f>IF(BaseCoalPlants!F124="-","",BaseCoalPlants!F124)</f>
        <v>ANNUAL</v>
      </c>
      <c r="H122">
        <f>IF(BaseCoalPlants!G124="-","",BaseCoalPlants!G124)</f>
        <v>1962</v>
      </c>
      <c r="I122" t="str">
        <f>IF(BaseCoalPlants!H124="-","",BaseCoalPlants!H124)</f>
        <v/>
      </c>
      <c r="J122" t="str">
        <f>IF(BaseCoalPlants!I124="-","",BaseCoalPlants!I124)</f>
        <v/>
      </c>
      <c r="K122" t="str">
        <f>IF(BaseCoalPlants!J124="-","",BaseCoalPlants!J124)</f>
        <v/>
      </c>
      <c r="L122" t="str">
        <f>IF(BaseCoalPlants!K124="-","",BaseCoalPlants!K124)</f>
        <v/>
      </c>
      <c r="M122" s="1" t="str">
        <f>IF(BaseCoalPlants!L124=0,"",BaseCoalPlants!L124)</f>
        <v/>
      </c>
      <c r="N122" s="1" t="str">
        <f>IF(BaseCoalPlants!W124=0,"",BaseCoalPlants!W124)</f>
        <v/>
      </c>
      <c r="O122" s="1" t="str">
        <f>IF(BaseCoalPlants!X124=0,"",BaseCoalPlants!X124)</f>
        <v/>
      </c>
      <c r="P122" s="1">
        <f>IF(BaseCoalPlants!Y124=0,"",BaseCoalPlants!Y124)</f>
        <v>0.26206635071090012</v>
      </c>
      <c r="Q122" s="1">
        <f>IF(BaseCoalPlants!Z124=0,"",BaseCoalPlants!Z124)</f>
        <v>0.279985417426176</v>
      </c>
      <c r="R122" s="1" t="str">
        <f>IF(BaseCoalPlants!AA124=0,"",BaseCoalPlants!AA124)</f>
        <v/>
      </c>
      <c r="S122" s="1" t="str">
        <f>IF(BaseCoalPlants!AB124=0,"",BaseCoalPlants!AB124)</f>
        <v/>
      </c>
      <c r="T122" s="1" t="str">
        <f>IF(BaseCoalPlants!AC124=0,"",BaseCoalPlants!AC124)</f>
        <v/>
      </c>
      <c r="U122" s="1" t="str">
        <f>IF(BaseCoalPlants!AD124=0,"",BaseCoalPlants!AD124)</f>
        <v/>
      </c>
      <c r="V122" s="1" t="str">
        <f>IF(BaseCoalPlants!AE124=0,"",BaseCoalPlants!AE124)</f>
        <v/>
      </c>
    </row>
    <row r="123" spans="3:22" x14ac:dyDescent="0.35">
      <c r="C123" t="str">
        <f>IF(BaseCoalPlants!B125="VDA_FLOP",IF(BaseCoalPlants!D125="ELC","*","INPUT"),BaseCoalPlants!B125)</f>
        <v>EFF</v>
      </c>
      <c r="D123" t="str">
        <f>IF(BaseCoalPlants!C125="","\I:",BaseCoalPlants!C125&amp;"_LE")</f>
        <v>ECSTMRBUO_LE</v>
      </c>
      <c r="E123" t="str">
        <f>IF(BaseCoalPlants!D125="-","",BaseCoalPlants!D125)</f>
        <v/>
      </c>
      <c r="F123" t="str">
        <f>IF(BaseCoalPlants!E125="-","",BaseCoalPlants!E125)</f>
        <v/>
      </c>
      <c r="G123" t="str">
        <f>IF(BaseCoalPlants!F125="-","",BaseCoalPlants!F125)</f>
        <v>ANNUAL</v>
      </c>
      <c r="H123">
        <f>IF(BaseCoalPlants!G125="-","",BaseCoalPlants!G125)</f>
        <v>1964</v>
      </c>
      <c r="I123" t="str">
        <f>IF(BaseCoalPlants!H125="-","",BaseCoalPlants!H125)</f>
        <v/>
      </c>
      <c r="J123" t="str">
        <f>IF(BaseCoalPlants!I125="-","",BaseCoalPlants!I125)</f>
        <v/>
      </c>
      <c r="K123" t="str">
        <f>IF(BaseCoalPlants!J125="-","",BaseCoalPlants!J125)</f>
        <v/>
      </c>
      <c r="L123" t="str">
        <f>IF(BaseCoalPlants!K125="-","",BaseCoalPlants!K125)</f>
        <v/>
      </c>
      <c r="M123" s="1" t="str">
        <f>IF(BaseCoalPlants!L125=0,"",BaseCoalPlants!L125)</f>
        <v/>
      </c>
      <c r="N123" s="1" t="str">
        <f>IF(BaseCoalPlants!W125=0,"",BaseCoalPlants!W125)</f>
        <v/>
      </c>
      <c r="O123" s="1" t="str">
        <f>IF(BaseCoalPlants!X125=0,"",BaseCoalPlants!X125)</f>
        <v/>
      </c>
      <c r="P123" s="1">
        <f>IF(BaseCoalPlants!Y125=0,"",BaseCoalPlants!Y125)</f>
        <v>0.24320046779644991</v>
      </c>
      <c r="Q123" s="1" t="str">
        <f>IF(BaseCoalPlants!Z125=0,"",BaseCoalPlants!Z125)</f>
        <v/>
      </c>
      <c r="R123" s="1" t="str">
        <f>IF(BaseCoalPlants!AA125=0,"",BaseCoalPlants!AA125)</f>
        <v/>
      </c>
      <c r="S123" s="1" t="str">
        <f>IF(BaseCoalPlants!AB125=0,"",BaseCoalPlants!AB125)</f>
        <v/>
      </c>
      <c r="T123" s="1" t="str">
        <f>IF(BaseCoalPlants!AC125=0,"",BaseCoalPlants!AC125)</f>
        <v/>
      </c>
      <c r="U123" s="1" t="str">
        <f>IF(BaseCoalPlants!AD125=0,"",BaseCoalPlants!AD125)</f>
        <v/>
      </c>
      <c r="V123" s="1" t="str">
        <f>IF(BaseCoalPlants!AE125=0,"",BaseCoalPlants!AE125)</f>
        <v/>
      </c>
    </row>
    <row r="124" spans="3:22" x14ac:dyDescent="0.35">
      <c r="C124" t="str">
        <f>IF(BaseCoalPlants!B126="VDA_FLOP",IF(BaseCoalPlants!D126="ELC","*","INPUT"),BaseCoalPlants!B126)</f>
        <v>EFF</v>
      </c>
      <c r="D124" t="str">
        <f>IF(BaseCoalPlants!C126="","\I:",BaseCoalPlants!C126&amp;"_LE")</f>
        <v>ECSTMRBUO_LE</v>
      </c>
      <c r="E124" t="str">
        <f>IF(BaseCoalPlants!D126="-","",BaseCoalPlants!D126)</f>
        <v/>
      </c>
      <c r="F124" t="str">
        <f>IF(BaseCoalPlants!E126="-","",BaseCoalPlants!E126)</f>
        <v/>
      </c>
      <c r="G124" t="str">
        <f>IF(BaseCoalPlants!F126="-","",BaseCoalPlants!F126)</f>
        <v>ANNUAL</v>
      </c>
      <c r="H124">
        <f>IF(BaseCoalPlants!G126="-","",BaseCoalPlants!G126)</f>
        <v>1966</v>
      </c>
      <c r="I124" t="str">
        <f>IF(BaseCoalPlants!H126="-","",BaseCoalPlants!H126)</f>
        <v/>
      </c>
      <c r="J124" t="str">
        <f>IF(BaseCoalPlants!I126="-","",BaseCoalPlants!I126)</f>
        <v/>
      </c>
      <c r="K124" t="str">
        <f>IF(BaseCoalPlants!J126="-","",BaseCoalPlants!J126)</f>
        <v/>
      </c>
      <c r="L124" t="str">
        <f>IF(BaseCoalPlants!K126="-","",BaseCoalPlants!K126)</f>
        <v/>
      </c>
      <c r="M124" s="1" t="str">
        <f>IF(BaseCoalPlants!L126=0,"",BaseCoalPlants!L126)</f>
        <v/>
      </c>
      <c r="N124" s="1" t="str">
        <f>IF(BaseCoalPlants!W126=0,"",BaseCoalPlants!W126)</f>
        <v/>
      </c>
      <c r="O124" s="1" t="str">
        <f>IF(BaseCoalPlants!X126=0,"",BaseCoalPlants!X126)</f>
        <v/>
      </c>
      <c r="P124" s="1">
        <f>IF(BaseCoalPlants!Y126=0,"",BaseCoalPlants!Y126)</f>
        <v>0.27298578199052159</v>
      </c>
      <c r="Q124" s="1" t="str">
        <f>IF(BaseCoalPlants!Z126=0,"",BaseCoalPlants!Z126)</f>
        <v/>
      </c>
      <c r="R124" s="1">
        <f>IF(BaseCoalPlants!AA126=0,"",BaseCoalPlants!AA126)</f>
        <v>0.30802344935460768</v>
      </c>
      <c r="S124" s="1" t="str">
        <f>IF(BaseCoalPlants!AB126=0,"",BaseCoalPlants!AB126)</f>
        <v/>
      </c>
      <c r="T124" s="1" t="str">
        <f>IF(BaseCoalPlants!AC126=0,"",BaseCoalPlants!AC126)</f>
        <v/>
      </c>
      <c r="U124" s="1" t="str">
        <f>IF(BaseCoalPlants!AD126=0,"",BaseCoalPlants!AD126)</f>
        <v/>
      </c>
      <c r="V124" s="1" t="str">
        <f>IF(BaseCoalPlants!AE126=0,"",BaseCoalPlants!AE126)</f>
        <v/>
      </c>
    </row>
    <row r="125" spans="3:22" x14ac:dyDescent="0.35">
      <c r="C125" t="str">
        <f>IF(BaseCoalPlants!B127="VDA_FLOP",IF(BaseCoalPlants!D127="ELC","*","INPUT"),BaseCoalPlants!B127)</f>
        <v>EFF</v>
      </c>
      <c r="D125" t="str">
        <f>IF(BaseCoalPlants!C127="","\I:",BaseCoalPlants!C127&amp;"_LE")</f>
        <v>ECSTMRBUO_LE</v>
      </c>
      <c r="E125" t="str">
        <f>IF(BaseCoalPlants!D127="-","",BaseCoalPlants!D127)</f>
        <v/>
      </c>
      <c r="F125" t="str">
        <f>IF(BaseCoalPlants!E127="-","",BaseCoalPlants!E127)</f>
        <v/>
      </c>
      <c r="G125" t="str">
        <f>IF(BaseCoalPlants!F127="-","",BaseCoalPlants!F127)</f>
        <v>ANNUAL</v>
      </c>
      <c r="H125">
        <f>IF(BaseCoalPlants!G127="-","",BaseCoalPlants!G127)</f>
        <v>1967</v>
      </c>
      <c r="I125" t="str">
        <f>IF(BaseCoalPlants!H127="-","",BaseCoalPlants!H127)</f>
        <v/>
      </c>
      <c r="J125" t="str">
        <f>IF(BaseCoalPlants!I127="-","",BaseCoalPlants!I127)</f>
        <v/>
      </c>
      <c r="K125" t="str">
        <f>IF(BaseCoalPlants!J127="-","",BaseCoalPlants!J127)</f>
        <v/>
      </c>
      <c r="L125" t="str">
        <f>IF(BaseCoalPlants!K127="-","",BaseCoalPlants!K127)</f>
        <v/>
      </c>
      <c r="M125" s="1" t="str">
        <f>IF(BaseCoalPlants!L127=0,"",BaseCoalPlants!L127)</f>
        <v/>
      </c>
      <c r="N125" s="1" t="str">
        <f>IF(BaseCoalPlants!W127=0,"",BaseCoalPlants!W127)</f>
        <v/>
      </c>
      <c r="O125" s="1" t="str">
        <f>IF(BaseCoalPlants!X127=0,"",BaseCoalPlants!X127)</f>
        <v/>
      </c>
      <c r="P125" s="1">
        <f>IF(BaseCoalPlants!Y127=0,"",BaseCoalPlants!Y127)</f>
        <v>0.27578739642897598</v>
      </c>
      <c r="Q125" s="1">
        <f>IF(BaseCoalPlants!Z127=0,"",BaseCoalPlants!Z127)</f>
        <v>0.29215115396346719</v>
      </c>
      <c r="R125" s="1" t="str">
        <f>IF(BaseCoalPlants!AA127=0,"",BaseCoalPlants!AA127)</f>
        <v/>
      </c>
      <c r="S125" s="1" t="str">
        <f>IF(BaseCoalPlants!AB127=0,"",BaseCoalPlants!AB127)</f>
        <v/>
      </c>
      <c r="T125" s="1" t="str">
        <f>IF(BaseCoalPlants!AC127=0,"",BaseCoalPlants!AC127)</f>
        <v/>
      </c>
      <c r="U125" s="1" t="str">
        <f>IF(BaseCoalPlants!AD127=0,"",BaseCoalPlants!AD127)</f>
        <v/>
      </c>
      <c r="V125" s="1" t="str">
        <f>IF(BaseCoalPlants!AE127=0,"",BaseCoalPlants!AE127)</f>
        <v/>
      </c>
    </row>
    <row r="126" spans="3:22" x14ac:dyDescent="0.35">
      <c r="C126" t="str">
        <f>IF(BaseCoalPlants!B128="VDA_FLOP",IF(BaseCoalPlants!D128="ELC","*","INPUT"),BaseCoalPlants!B128)</f>
        <v>EFF</v>
      </c>
      <c r="D126" t="str">
        <f>IF(BaseCoalPlants!C128="","\I:",BaseCoalPlants!C128&amp;"_LE")</f>
        <v>ECSTMRBUO_LE</v>
      </c>
      <c r="E126" t="str">
        <f>IF(BaseCoalPlants!D128="-","",BaseCoalPlants!D128)</f>
        <v/>
      </c>
      <c r="F126" t="str">
        <f>IF(BaseCoalPlants!E128="-","",BaseCoalPlants!E128)</f>
        <v/>
      </c>
      <c r="G126" t="str">
        <f>IF(BaseCoalPlants!F128="-","",BaseCoalPlants!F128)</f>
        <v>ANNUAL</v>
      </c>
      <c r="H126">
        <f>IF(BaseCoalPlants!G128="-","",BaseCoalPlants!G128)</f>
        <v>1968</v>
      </c>
      <c r="I126" t="str">
        <f>IF(BaseCoalPlants!H128="-","",BaseCoalPlants!H128)</f>
        <v/>
      </c>
      <c r="J126" t="str">
        <f>IF(BaseCoalPlants!I128="-","",BaseCoalPlants!I128)</f>
        <v/>
      </c>
      <c r="K126" t="str">
        <f>IF(BaseCoalPlants!J128="-","",BaseCoalPlants!J128)</f>
        <v/>
      </c>
      <c r="L126" t="str">
        <f>IF(BaseCoalPlants!K128="-","",BaseCoalPlants!K128)</f>
        <v/>
      </c>
      <c r="M126" s="1" t="str">
        <f>IF(BaseCoalPlants!L128=0,"",BaseCoalPlants!L128)</f>
        <v/>
      </c>
      <c r="N126" s="1" t="str">
        <f>IF(BaseCoalPlants!W128=0,"",BaseCoalPlants!W128)</f>
        <v/>
      </c>
      <c r="O126" s="1" t="str">
        <f>IF(BaseCoalPlants!X128=0,"",BaseCoalPlants!X128)</f>
        <v/>
      </c>
      <c r="P126" s="1">
        <f>IF(BaseCoalPlants!Y128=0,"",BaseCoalPlants!Y128)</f>
        <v>0.26014310368564225</v>
      </c>
      <c r="Q126" s="1" t="str">
        <f>IF(BaseCoalPlants!Z128=0,"",BaseCoalPlants!Z128)</f>
        <v/>
      </c>
      <c r="R126" s="1" t="str">
        <f>IF(BaseCoalPlants!AA128=0,"",BaseCoalPlants!AA128)</f>
        <v/>
      </c>
      <c r="S126" s="1">
        <f>IF(BaseCoalPlants!AB128=0,"",BaseCoalPlants!AB128)</f>
        <v>0.25262816255774301</v>
      </c>
      <c r="T126" s="1" t="str">
        <f>IF(BaseCoalPlants!AC128=0,"",BaseCoalPlants!AC128)</f>
        <v/>
      </c>
      <c r="U126" s="1" t="str">
        <f>IF(BaseCoalPlants!AD128=0,"",BaseCoalPlants!AD128)</f>
        <v/>
      </c>
      <c r="V126" s="1" t="str">
        <f>IF(BaseCoalPlants!AE128=0,"",BaseCoalPlants!AE128)</f>
        <v/>
      </c>
    </row>
    <row r="127" spans="3:22" x14ac:dyDescent="0.35">
      <c r="C127" t="str">
        <f>IF(BaseCoalPlants!B129="VDA_FLOP",IF(BaseCoalPlants!D129="ELC","*","INPUT"),BaseCoalPlants!B129)</f>
        <v>EFF</v>
      </c>
      <c r="D127" t="str">
        <f>IF(BaseCoalPlants!C129="","\I:",BaseCoalPlants!C129&amp;"_LE")</f>
        <v>ECSTMRBUO_LE</v>
      </c>
      <c r="E127" t="str">
        <f>IF(BaseCoalPlants!D129="-","",BaseCoalPlants!D129)</f>
        <v/>
      </c>
      <c r="F127" t="str">
        <f>IF(BaseCoalPlants!E129="-","",BaseCoalPlants!E129)</f>
        <v/>
      </c>
      <c r="G127" t="str">
        <f>IF(BaseCoalPlants!F129="-","",BaseCoalPlants!F129)</f>
        <v>ANNUAL</v>
      </c>
      <c r="H127">
        <f>IF(BaseCoalPlants!G129="-","",BaseCoalPlants!G129)</f>
        <v>1969</v>
      </c>
      <c r="I127" t="str">
        <f>IF(BaseCoalPlants!H129="-","",BaseCoalPlants!H129)</f>
        <v/>
      </c>
      <c r="J127" t="str">
        <f>IF(BaseCoalPlants!I129="-","",BaseCoalPlants!I129)</f>
        <v/>
      </c>
      <c r="K127" t="str">
        <f>IF(BaseCoalPlants!J129="-","",BaseCoalPlants!J129)</f>
        <v/>
      </c>
      <c r="L127" t="str">
        <f>IF(BaseCoalPlants!K129="-","",BaseCoalPlants!K129)</f>
        <v/>
      </c>
      <c r="M127" s="1" t="str">
        <f>IF(BaseCoalPlants!L129=0,"",BaseCoalPlants!L129)</f>
        <v/>
      </c>
      <c r="N127" s="1" t="str">
        <f>IF(BaseCoalPlants!W129=0,"",BaseCoalPlants!W129)</f>
        <v/>
      </c>
      <c r="O127" s="1" t="str">
        <f>IF(BaseCoalPlants!X129=0,"",BaseCoalPlants!X129)</f>
        <v/>
      </c>
      <c r="P127" s="1">
        <f>IF(BaseCoalPlants!Y129=0,"",BaseCoalPlants!Y129)</f>
        <v>0.24429457841035102</v>
      </c>
      <c r="Q127" s="1">
        <f>IF(BaseCoalPlants!Z129=0,"",BaseCoalPlants!Z129)</f>
        <v>0.28413820659955391</v>
      </c>
      <c r="R127" s="1" t="str">
        <f>IF(BaseCoalPlants!AA129=0,"",BaseCoalPlants!AA129)</f>
        <v/>
      </c>
      <c r="S127" s="1">
        <f>IF(BaseCoalPlants!AB129=0,"",BaseCoalPlants!AB129)</f>
        <v>0.27192075901770241</v>
      </c>
      <c r="T127" s="1" t="str">
        <f>IF(BaseCoalPlants!AC129=0,"",BaseCoalPlants!AC129)</f>
        <v/>
      </c>
      <c r="U127" s="1" t="str">
        <f>IF(BaseCoalPlants!AD129=0,"",BaseCoalPlants!AD129)</f>
        <v/>
      </c>
      <c r="V127" s="1" t="str">
        <f>IF(BaseCoalPlants!AE129=0,"",BaseCoalPlants!AE129)</f>
        <v/>
      </c>
    </row>
    <row r="128" spans="3:22" x14ac:dyDescent="0.35">
      <c r="C128" t="str">
        <f>IF(BaseCoalPlants!B130="VDA_FLOP",IF(BaseCoalPlants!D130="ELC","*","INPUT"),BaseCoalPlants!B130)</f>
        <v>EFF</v>
      </c>
      <c r="D128" t="str">
        <f>IF(BaseCoalPlants!C130="","\I:",BaseCoalPlants!C130&amp;"_LE")</f>
        <v>ECSTMRBUO_LE</v>
      </c>
      <c r="E128" t="str">
        <f>IF(BaseCoalPlants!D130="-","",BaseCoalPlants!D130)</f>
        <v/>
      </c>
      <c r="F128" t="str">
        <f>IF(BaseCoalPlants!E130="-","",BaseCoalPlants!E130)</f>
        <v/>
      </c>
      <c r="G128" t="str">
        <f>IF(BaseCoalPlants!F130="-","",BaseCoalPlants!F130)</f>
        <v>ANNUAL</v>
      </c>
      <c r="H128">
        <f>IF(BaseCoalPlants!G130="-","",BaseCoalPlants!G130)</f>
        <v>1972</v>
      </c>
      <c r="I128" t="str">
        <f>IF(BaseCoalPlants!H130="-","",BaseCoalPlants!H130)</f>
        <v/>
      </c>
      <c r="J128" t="str">
        <f>IF(BaseCoalPlants!I130="-","",BaseCoalPlants!I130)</f>
        <v/>
      </c>
      <c r="K128" t="str">
        <f>IF(BaseCoalPlants!J130="-","",BaseCoalPlants!J130)</f>
        <v/>
      </c>
      <c r="L128" t="str">
        <f>IF(BaseCoalPlants!K130="-","",BaseCoalPlants!K130)</f>
        <v/>
      </c>
      <c r="M128" s="1" t="str">
        <f>IF(BaseCoalPlants!L130=0,"",BaseCoalPlants!L130)</f>
        <v/>
      </c>
      <c r="N128" s="1" t="str">
        <f>IF(BaseCoalPlants!W130=0,"",BaseCoalPlants!W130)</f>
        <v/>
      </c>
      <c r="O128" s="1" t="str">
        <f>IF(BaseCoalPlants!X130=0,"",BaseCoalPlants!X130)</f>
        <v/>
      </c>
      <c r="P128" s="1">
        <f>IF(BaseCoalPlants!Y130=0,"",BaseCoalPlants!Y130)</f>
        <v>0.2534424536323171</v>
      </c>
      <c r="Q128" s="1" t="str">
        <f>IF(BaseCoalPlants!Z130=0,"",BaseCoalPlants!Z130)</f>
        <v/>
      </c>
      <c r="R128" s="1" t="str">
        <f>IF(BaseCoalPlants!AA130=0,"",BaseCoalPlants!AA130)</f>
        <v/>
      </c>
      <c r="S128" s="1" t="str">
        <f>IF(BaseCoalPlants!AB130=0,"",BaseCoalPlants!AB130)</f>
        <v/>
      </c>
      <c r="T128" s="1" t="str">
        <f>IF(BaseCoalPlants!AC130=0,"",BaseCoalPlants!AC130)</f>
        <v/>
      </c>
      <c r="U128" s="1" t="str">
        <f>IF(BaseCoalPlants!AD130=0,"",BaseCoalPlants!AD130)</f>
        <v/>
      </c>
      <c r="V128" s="1" t="str">
        <f>IF(BaseCoalPlants!AE130=0,"",BaseCoalPlants!AE130)</f>
        <v/>
      </c>
    </row>
    <row r="129" spans="3:22" x14ac:dyDescent="0.35">
      <c r="C129" t="str">
        <f>IF(BaseCoalPlants!B131="VDA_FLOP",IF(BaseCoalPlants!D131="ELC","*","INPUT"),BaseCoalPlants!B131)</f>
        <v>EFF</v>
      </c>
      <c r="D129" t="str">
        <f>IF(BaseCoalPlants!C131="","\I:",BaseCoalPlants!C131&amp;"_LE")</f>
        <v>ECSTMRBUO_LE</v>
      </c>
      <c r="E129" t="str">
        <f>IF(BaseCoalPlants!D131="-","",BaseCoalPlants!D131)</f>
        <v/>
      </c>
      <c r="F129" t="str">
        <f>IF(BaseCoalPlants!E131="-","",BaseCoalPlants!E131)</f>
        <v/>
      </c>
      <c r="G129" t="str">
        <f>IF(BaseCoalPlants!F131="-","",BaseCoalPlants!F131)</f>
        <v>ANNUAL</v>
      </c>
      <c r="H129">
        <f>IF(BaseCoalPlants!G131="-","",BaseCoalPlants!G131)</f>
        <v>1974</v>
      </c>
      <c r="I129" t="str">
        <f>IF(BaseCoalPlants!H131="-","",BaseCoalPlants!H131)</f>
        <v/>
      </c>
      <c r="J129" t="str">
        <f>IF(BaseCoalPlants!I131="-","",BaseCoalPlants!I131)</f>
        <v/>
      </c>
      <c r="K129" t="str">
        <f>IF(BaseCoalPlants!J131="-","",BaseCoalPlants!J131)</f>
        <v/>
      </c>
      <c r="L129" t="str">
        <f>IF(BaseCoalPlants!K131="-","",BaseCoalPlants!K131)</f>
        <v/>
      </c>
      <c r="M129" s="1" t="str">
        <f>IF(BaseCoalPlants!L131=0,"",BaseCoalPlants!L131)</f>
        <v/>
      </c>
      <c r="N129" s="1" t="str">
        <f>IF(BaseCoalPlants!W131=0,"",BaseCoalPlants!W131)</f>
        <v/>
      </c>
      <c r="O129" s="1" t="str">
        <f>IF(BaseCoalPlants!X131=0,"",BaseCoalPlants!X131)</f>
        <v/>
      </c>
      <c r="P129" s="1">
        <f>IF(BaseCoalPlants!Y131=0,"",BaseCoalPlants!Y131)</f>
        <v>0.2754951330434765</v>
      </c>
      <c r="Q129" s="1" t="str">
        <f>IF(BaseCoalPlants!Z131=0,"",BaseCoalPlants!Z131)</f>
        <v/>
      </c>
      <c r="R129" s="1" t="str">
        <f>IF(BaseCoalPlants!AA131=0,"",BaseCoalPlants!AA131)</f>
        <v/>
      </c>
      <c r="S129" s="1" t="str">
        <f>IF(BaseCoalPlants!AB131=0,"",BaseCoalPlants!AB131)</f>
        <v/>
      </c>
      <c r="T129" s="1" t="str">
        <f>IF(BaseCoalPlants!AC131=0,"",BaseCoalPlants!AC131)</f>
        <v/>
      </c>
      <c r="U129" s="1" t="str">
        <f>IF(BaseCoalPlants!AD131=0,"",BaseCoalPlants!AD131)</f>
        <v/>
      </c>
      <c r="V129" s="1" t="str">
        <f>IF(BaseCoalPlants!AE131=0,"",BaseCoalPlants!AE131)</f>
        <v/>
      </c>
    </row>
    <row r="130" spans="3:22" x14ac:dyDescent="0.35">
      <c r="C130" t="str">
        <f>IF(BaseCoalPlants!B132="VDA_FLOP",IF(BaseCoalPlants!D132="ELC","*","INPUT"),BaseCoalPlants!B132)</f>
        <v>EFF</v>
      </c>
      <c r="D130" t="str">
        <f>IF(BaseCoalPlants!C132="","\I:",BaseCoalPlants!C132&amp;"_LE")</f>
        <v>ECSTMRBUO_LE</v>
      </c>
      <c r="E130" t="str">
        <f>IF(BaseCoalPlants!D132="-","",BaseCoalPlants!D132)</f>
        <v/>
      </c>
      <c r="F130" t="str">
        <f>IF(BaseCoalPlants!E132="-","",BaseCoalPlants!E132)</f>
        <v/>
      </c>
      <c r="G130" t="str">
        <f>IF(BaseCoalPlants!F132="-","",BaseCoalPlants!F132)</f>
        <v>ANNUAL</v>
      </c>
      <c r="H130">
        <f>IF(BaseCoalPlants!G132="-","",BaseCoalPlants!G132)</f>
        <v>1975</v>
      </c>
      <c r="I130" t="str">
        <f>IF(BaseCoalPlants!H132="-","",BaseCoalPlants!H132)</f>
        <v/>
      </c>
      <c r="J130" t="str">
        <f>IF(BaseCoalPlants!I132="-","",BaseCoalPlants!I132)</f>
        <v/>
      </c>
      <c r="K130" t="str">
        <f>IF(BaseCoalPlants!J132="-","",BaseCoalPlants!J132)</f>
        <v/>
      </c>
      <c r="L130" t="str">
        <f>IF(BaseCoalPlants!K132="-","",BaseCoalPlants!K132)</f>
        <v/>
      </c>
      <c r="M130" s="1" t="str">
        <f>IF(BaseCoalPlants!L132=0,"",BaseCoalPlants!L132)</f>
        <v/>
      </c>
      <c r="N130" s="1" t="str">
        <f>IF(BaseCoalPlants!W132=0,"",BaseCoalPlants!W132)</f>
        <v/>
      </c>
      <c r="O130" s="1" t="str">
        <f>IF(BaseCoalPlants!X132=0,"",BaseCoalPlants!X132)</f>
        <v/>
      </c>
      <c r="P130" s="1">
        <f>IF(BaseCoalPlants!Y132=0,"",BaseCoalPlants!Y132)</f>
        <v>0.291599553488184</v>
      </c>
      <c r="Q130" s="1" t="str">
        <f>IF(BaseCoalPlants!Z132=0,"",BaseCoalPlants!Z132)</f>
        <v/>
      </c>
      <c r="R130" s="1" t="str">
        <f>IF(BaseCoalPlants!AA132=0,"",BaseCoalPlants!AA132)</f>
        <v/>
      </c>
      <c r="S130" s="1" t="str">
        <f>IF(BaseCoalPlants!AB132=0,"",BaseCoalPlants!AB132)</f>
        <v/>
      </c>
      <c r="T130" s="1" t="str">
        <f>IF(BaseCoalPlants!AC132=0,"",BaseCoalPlants!AC132)</f>
        <v/>
      </c>
      <c r="U130" s="1" t="str">
        <f>IF(BaseCoalPlants!AD132=0,"",BaseCoalPlants!AD132)</f>
        <v/>
      </c>
      <c r="V130" s="1" t="str">
        <f>IF(BaseCoalPlants!AE132=0,"",BaseCoalPlants!AE132)</f>
        <v/>
      </c>
    </row>
    <row r="131" spans="3:22" x14ac:dyDescent="0.35">
      <c r="C131" t="str">
        <f>IF(BaseCoalPlants!B133="VDA_FLOP",IF(BaseCoalPlants!D133="ELC","*","INPUT"),BaseCoalPlants!B133)</f>
        <v>EFF</v>
      </c>
      <c r="D131" t="str">
        <f>IF(BaseCoalPlants!C133="","\I:",BaseCoalPlants!C133&amp;"_LE")</f>
        <v>ECSTMRBUO_LE</v>
      </c>
      <c r="E131" t="str">
        <f>IF(BaseCoalPlants!D133="-","",BaseCoalPlants!D133)</f>
        <v/>
      </c>
      <c r="F131" t="str">
        <f>IF(BaseCoalPlants!E133="-","",BaseCoalPlants!E133)</f>
        <v/>
      </c>
      <c r="G131" t="str">
        <f>IF(BaseCoalPlants!F133="-","",BaseCoalPlants!F133)</f>
        <v>ANNUAL</v>
      </c>
      <c r="H131">
        <f>IF(BaseCoalPlants!G133="-","",BaseCoalPlants!G133)</f>
        <v>1983</v>
      </c>
      <c r="I131" t="str">
        <f>IF(BaseCoalPlants!H133="-","",BaseCoalPlants!H133)</f>
        <v/>
      </c>
      <c r="J131" t="str">
        <f>IF(BaseCoalPlants!I133="-","",BaseCoalPlants!I133)</f>
        <v/>
      </c>
      <c r="K131" t="str">
        <f>IF(BaseCoalPlants!J133="-","",BaseCoalPlants!J133)</f>
        <v/>
      </c>
      <c r="L131" t="str">
        <f>IF(BaseCoalPlants!K133="-","",BaseCoalPlants!K133)</f>
        <v/>
      </c>
      <c r="M131" s="1" t="str">
        <f>IF(BaseCoalPlants!L133=0,"",BaseCoalPlants!L133)</f>
        <v/>
      </c>
      <c r="N131" s="1" t="str">
        <f>IF(BaseCoalPlants!W133=0,"",BaseCoalPlants!W133)</f>
        <v/>
      </c>
      <c r="O131" s="1" t="str">
        <f>IF(BaseCoalPlants!X133=0,"",BaseCoalPlants!X133)</f>
        <v/>
      </c>
      <c r="P131" s="1">
        <f>IF(BaseCoalPlants!Y133=0,"",BaseCoalPlants!Y133)</f>
        <v>0.30892393284479996</v>
      </c>
      <c r="Q131" s="1" t="str">
        <f>IF(BaseCoalPlants!Z133=0,"",BaseCoalPlants!Z133)</f>
        <v/>
      </c>
      <c r="R131" s="1" t="str">
        <f>IF(BaseCoalPlants!AA133=0,"",BaseCoalPlants!AA133)</f>
        <v/>
      </c>
      <c r="S131" s="1" t="str">
        <f>IF(BaseCoalPlants!AB133=0,"",BaseCoalPlants!AB133)</f>
        <v/>
      </c>
      <c r="T131" s="1" t="str">
        <f>IF(BaseCoalPlants!AC133=0,"",BaseCoalPlants!AC133)</f>
        <v/>
      </c>
      <c r="U131" s="1" t="str">
        <f>IF(BaseCoalPlants!AD133=0,"",BaseCoalPlants!AD133)</f>
        <v/>
      </c>
      <c r="V131" s="1" t="str">
        <f>IF(BaseCoalPlants!AE133=0,"",BaseCoalPlants!AE133)</f>
        <v/>
      </c>
    </row>
    <row r="132" spans="3:22" x14ac:dyDescent="0.35">
      <c r="C132" t="str">
        <f>IF(BaseCoalPlants!B134="VDA_FLOP",IF(BaseCoalPlants!D134="ELC","*","INPUT"),BaseCoalPlants!B134)</f>
        <v>EFF</v>
      </c>
      <c r="D132" t="str">
        <f>IF(BaseCoalPlants!C134="","\I:",BaseCoalPlants!C134&amp;"_LE")</f>
        <v>ECSTMRBUO_LE</v>
      </c>
      <c r="E132" t="str">
        <f>IF(BaseCoalPlants!D134="-","",BaseCoalPlants!D134)</f>
        <v/>
      </c>
      <c r="F132" t="str">
        <f>IF(BaseCoalPlants!E134="-","",BaseCoalPlants!E134)</f>
        <v/>
      </c>
      <c r="G132" t="str">
        <f>IF(BaseCoalPlants!F134="-","",BaseCoalPlants!F134)</f>
        <v>ANNUAL</v>
      </c>
      <c r="H132">
        <f>IF(BaseCoalPlants!G134="-","",BaseCoalPlants!G134)</f>
        <v>1989</v>
      </c>
      <c r="I132" t="str">
        <f>IF(BaseCoalPlants!H134="-","",BaseCoalPlants!H134)</f>
        <v/>
      </c>
      <c r="J132" t="str">
        <f>IF(BaseCoalPlants!I134="-","",BaseCoalPlants!I134)</f>
        <v/>
      </c>
      <c r="K132" t="str">
        <f>IF(BaseCoalPlants!J134="-","",BaseCoalPlants!J134)</f>
        <v/>
      </c>
      <c r="L132" t="str">
        <f>IF(BaseCoalPlants!K134="-","",BaseCoalPlants!K134)</f>
        <v/>
      </c>
      <c r="M132" s="1" t="str">
        <f>IF(BaseCoalPlants!L134=0,"",BaseCoalPlants!L134)</f>
        <v/>
      </c>
      <c r="N132" s="1" t="str">
        <f>IF(BaseCoalPlants!W134=0,"",BaseCoalPlants!W134)</f>
        <v/>
      </c>
      <c r="O132" s="1">
        <f>IF(BaseCoalPlants!X134=0,"",BaseCoalPlants!X134)</f>
        <v>0.3061640040908275</v>
      </c>
      <c r="P132" s="1" t="str">
        <f>IF(BaseCoalPlants!Y134=0,"",BaseCoalPlants!Y134)</f>
        <v/>
      </c>
      <c r="Q132" s="1" t="str">
        <f>IF(BaseCoalPlants!Z134=0,"",BaseCoalPlants!Z134)</f>
        <v/>
      </c>
      <c r="R132" s="1" t="str">
        <f>IF(BaseCoalPlants!AA134=0,"",BaseCoalPlants!AA134)</f>
        <v/>
      </c>
      <c r="S132" s="1" t="str">
        <f>IF(BaseCoalPlants!AB134=0,"",BaseCoalPlants!AB134)</f>
        <v/>
      </c>
      <c r="T132" s="1" t="str">
        <f>IF(BaseCoalPlants!AC134=0,"",BaseCoalPlants!AC134)</f>
        <v/>
      </c>
      <c r="U132" s="1" t="str">
        <f>IF(BaseCoalPlants!AD134=0,"",BaseCoalPlants!AD134)</f>
        <v/>
      </c>
      <c r="V132" s="1" t="str">
        <f>IF(BaseCoalPlants!AE134=0,"",BaseCoalPlants!AE134)</f>
        <v/>
      </c>
    </row>
    <row r="133" spans="3:22" x14ac:dyDescent="0.35">
      <c r="C133" t="str">
        <f>IF(BaseCoalPlants!B135="VDA_FLOP",IF(BaseCoalPlants!D135="ELC","*","INPUT"),BaseCoalPlants!B135)</f>
        <v>EFF</v>
      </c>
      <c r="D133" t="str">
        <f>IF(BaseCoalPlants!C135="","\I:",BaseCoalPlants!C135&amp;"_LE")</f>
        <v>ECSTMRBUO_LE</v>
      </c>
      <c r="E133" t="str">
        <f>IF(BaseCoalPlants!D135="-","",BaseCoalPlants!D135)</f>
        <v/>
      </c>
      <c r="F133" t="str">
        <f>IF(BaseCoalPlants!E135="-","",BaseCoalPlants!E135)</f>
        <v/>
      </c>
      <c r="G133" t="str">
        <f>IF(BaseCoalPlants!F135="-","",BaseCoalPlants!F135)</f>
        <v>ANNUAL</v>
      </c>
      <c r="H133">
        <f>IF(BaseCoalPlants!G135="-","",BaseCoalPlants!G135)</f>
        <v>1990</v>
      </c>
      <c r="I133" t="str">
        <f>IF(BaseCoalPlants!H135="-","",BaseCoalPlants!H135)</f>
        <v/>
      </c>
      <c r="J133" t="str">
        <f>IF(BaseCoalPlants!I135="-","",BaseCoalPlants!I135)</f>
        <v/>
      </c>
      <c r="K133" t="str">
        <f>IF(BaseCoalPlants!J135="-","",BaseCoalPlants!J135)</f>
        <v/>
      </c>
      <c r="L133" t="str">
        <f>IF(BaseCoalPlants!K135="-","",BaseCoalPlants!K135)</f>
        <v/>
      </c>
      <c r="M133" s="1" t="str">
        <f>IF(BaseCoalPlants!L135=0,"",BaseCoalPlants!L135)</f>
        <v/>
      </c>
      <c r="N133" s="1">
        <f>IF(BaseCoalPlants!W135=0,"",BaseCoalPlants!W135)</f>
        <v>0.31953255016435966</v>
      </c>
      <c r="O133" s="1" t="str">
        <f>IF(BaseCoalPlants!X135=0,"",BaseCoalPlants!X135)</f>
        <v/>
      </c>
      <c r="P133" s="1">
        <f>IF(BaseCoalPlants!Y135=0,"",BaseCoalPlants!Y135)</f>
        <v>0.30630231656911777</v>
      </c>
      <c r="Q133" s="1" t="str">
        <f>IF(BaseCoalPlants!Z135=0,"",BaseCoalPlants!Z135)</f>
        <v/>
      </c>
      <c r="R133" s="1" t="str">
        <f>IF(BaseCoalPlants!AA135=0,"",BaseCoalPlants!AA135)</f>
        <v/>
      </c>
      <c r="S133" s="1" t="str">
        <f>IF(BaseCoalPlants!AB135=0,"",BaseCoalPlants!AB135)</f>
        <v/>
      </c>
      <c r="T133" s="1" t="str">
        <f>IF(BaseCoalPlants!AC135=0,"",BaseCoalPlants!AC135)</f>
        <v/>
      </c>
      <c r="U133" s="1">
        <f>IF(BaseCoalPlants!AD135=0,"",BaseCoalPlants!AD135)</f>
        <v>0.28394117915283457</v>
      </c>
      <c r="V133" s="1" t="str">
        <f>IF(BaseCoalPlants!AE135=0,"",BaseCoalPlants!AE135)</f>
        <v/>
      </c>
    </row>
    <row r="134" spans="3:22" x14ac:dyDescent="0.35">
      <c r="C134" t="str">
        <f>IF(BaseCoalPlants!B136="VDA_FLOP",IF(BaseCoalPlants!D136="ELC","*","INPUT"),BaseCoalPlants!B136)</f>
        <v>EFF</v>
      </c>
      <c r="D134" t="str">
        <f>IF(BaseCoalPlants!C136="","\I:",BaseCoalPlants!C136&amp;"_LE")</f>
        <v>ECSTMRBUO_LE</v>
      </c>
      <c r="E134" t="str">
        <f>IF(BaseCoalPlants!D136="-","",BaseCoalPlants!D136)</f>
        <v/>
      </c>
      <c r="F134" t="str">
        <f>IF(BaseCoalPlants!E136="-","",BaseCoalPlants!E136)</f>
        <v/>
      </c>
      <c r="G134" t="str">
        <f>IF(BaseCoalPlants!F136="-","",BaseCoalPlants!F136)</f>
        <v>ANNUAL</v>
      </c>
      <c r="H134">
        <f>IF(BaseCoalPlants!G136="-","",BaseCoalPlants!G136)</f>
        <v>1991</v>
      </c>
      <c r="I134" t="str">
        <f>IF(BaseCoalPlants!H136="-","",BaseCoalPlants!H136)</f>
        <v/>
      </c>
      <c r="J134" t="str">
        <f>IF(BaseCoalPlants!I136="-","",BaseCoalPlants!I136)</f>
        <v/>
      </c>
      <c r="K134" t="str">
        <f>IF(BaseCoalPlants!J136="-","",BaseCoalPlants!J136)</f>
        <v/>
      </c>
      <c r="L134" t="str">
        <f>IF(BaseCoalPlants!K136="-","",BaseCoalPlants!K136)</f>
        <v/>
      </c>
      <c r="M134" s="1" t="str">
        <f>IF(BaseCoalPlants!L136=0,"",BaseCoalPlants!L136)</f>
        <v/>
      </c>
      <c r="N134" s="1" t="str">
        <f>IF(BaseCoalPlants!W136=0,"",BaseCoalPlants!W136)</f>
        <v/>
      </c>
      <c r="O134" s="1" t="str">
        <f>IF(BaseCoalPlants!X136=0,"",BaseCoalPlants!X136)</f>
        <v/>
      </c>
      <c r="P134" s="1" t="str">
        <f>IF(BaseCoalPlants!Y136=0,"",BaseCoalPlants!Y136)</f>
        <v/>
      </c>
      <c r="Q134" s="1" t="str">
        <f>IF(BaseCoalPlants!Z136=0,"",BaseCoalPlants!Z136)</f>
        <v/>
      </c>
      <c r="R134" s="1">
        <f>IF(BaseCoalPlants!AA136=0,"",BaseCoalPlants!AA136)</f>
        <v>0.30291245562641855</v>
      </c>
      <c r="S134" s="1" t="str">
        <f>IF(BaseCoalPlants!AB136=0,"",BaseCoalPlants!AB136)</f>
        <v/>
      </c>
      <c r="T134" s="1" t="str">
        <f>IF(BaseCoalPlants!AC136=0,"",BaseCoalPlants!AC136)</f>
        <v/>
      </c>
      <c r="U134" s="1" t="str">
        <f>IF(BaseCoalPlants!AD136=0,"",BaseCoalPlants!AD136)</f>
        <v/>
      </c>
      <c r="V134" s="1" t="str">
        <f>IF(BaseCoalPlants!AE136=0,"",BaseCoalPlants!AE136)</f>
        <v/>
      </c>
    </row>
    <row r="135" spans="3:22" x14ac:dyDescent="0.35">
      <c r="C135" t="str">
        <f>IF(BaseCoalPlants!B137="VDA_FLOP",IF(BaseCoalPlants!D137="ELC","*","INPUT"),BaseCoalPlants!B137)</f>
        <v>EFF</v>
      </c>
      <c r="D135" t="str">
        <f>IF(BaseCoalPlants!C137="","\I:",BaseCoalPlants!C137&amp;"_LE")</f>
        <v>ECSTMRBUO_LE</v>
      </c>
      <c r="E135" t="str">
        <f>IF(BaseCoalPlants!D137="-","",BaseCoalPlants!D137)</f>
        <v/>
      </c>
      <c r="F135" t="str">
        <f>IF(BaseCoalPlants!E137="-","",BaseCoalPlants!E137)</f>
        <v/>
      </c>
      <c r="G135" t="str">
        <f>IF(BaseCoalPlants!F137="-","",BaseCoalPlants!F137)</f>
        <v>ANNUAL</v>
      </c>
      <c r="H135">
        <f>IF(BaseCoalPlants!G137="-","",BaseCoalPlants!G137)</f>
        <v>1992</v>
      </c>
      <c r="I135" t="str">
        <f>IF(BaseCoalPlants!H137="-","",BaseCoalPlants!H137)</f>
        <v/>
      </c>
      <c r="J135" t="str">
        <f>IF(BaseCoalPlants!I137="-","",BaseCoalPlants!I137)</f>
        <v/>
      </c>
      <c r="K135" t="str">
        <f>IF(BaseCoalPlants!J137="-","",BaseCoalPlants!J137)</f>
        <v/>
      </c>
      <c r="L135" t="str">
        <f>IF(BaseCoalPlants!K137="-","",BaseCoalPlants!K137)</f>
        <v/>
      </c>
      <c r="M135" s="1" t="str">
        <f>IF(BaseCoalPlants!L137=0,"",BaseCoalPlants!L137)</f>
        <v/>
      </c>
      <c r="N135" s="1" t="str">
        <f>IF(BaseCoalPlants!W137=0,"",BaseCoalPlants!W137)</f>
        <v/>
      </c>
      <c r="O135" s="1">
        <f>IF(BaseCoalPlants!X137=0,"",BaseCoalPlants!X137)</f>
        <v>0.27775389044312832</v>
      </c>
      <c r="P135" s="1" t="str">
        <f>IF(BaseCoalPlants!Y137=0,"",BaseCoalPlants!Y137)</f>
        <v/>
      </c>
      <c r="Q135" s="1" t="str">
        <f>IF(BaseCoalPlants!Z137=0,"",BaseCoalPlants!Z137)</f>
        <v/>
      </c>
      <c r="R135" s="1" t="str">
        <f>IF(BaseCoalPlants!AA137=0,"",BaseCoalPlants!AA137)</f>
        <v/>
      </c>
      <c r="S135" s="1" t="str">
        <f>IF(BaseCoalPlants!AB137=0,"",BaseCoalPlants!AB137)</f>
        <v/>
      </c>
      <c r="T135" s="1" t="str">
        <f>IF(BaseCoalPlants!AC137=0,"",BaseCoalPlants!AC137)</f>
        <v/>
      </c>
      <c r="U135" s="1" t="str">
        <f>IF(BaseCoalPlants!AD137=0,"",BaseCoalPlants!AD137)</f>
        <v/>
      </c>
      <c r="V135" s="1" t="str">
        <f>IF(BaseCoalPlants!AE137=0,"",BaseCoalPlants!AE137)</f>
        <v/>
      </c>
    </row>
    <row r="136" spans="3:22" x14ac:dyDescent="0.35">
      <c r="C136" t="str">
        <f>IF(BaseCoalPlants!B138="VDA_FLOP",IF(BaseCoalPlants!D138="ELC","*","INPUT"),BaseCoalPlants!B138)</f>
        <v>EFF</v>
      </c>
      <c r="D136" t="str">
        <f>IF(BaseCoalPlants!C138="","\I:",BaseCoalPlants!C138&amp;"_LE")</f>
        <v>ECSTMRBUR_LE</v>
      </c>
      <c r="E136" t="str">
        <f>IF(BaseCoalPlants!D138="-","",BaseCoalPlants!D138)</f>
        <v/>
      </c>
      <c r="F136" t="str">
        <f>IF(BaseCoalPlants!E138="-","",BaseCoalPlants!E138)</f>
        <v/>
      </c>
      <c r="G136" t="str">
        <f>IF(BaseCoalPlants!F138="-","",BaseCoalPlants!F138)</f>
        <v>ANNUAL</v>
      </c>
      <c r="H136">
        <f>IF(BaseCoalPlants!G138="-","",BaseCoalPlants!G138)</f>
        <v>1943</v>
      </c>
      <c r="I136" t="str">
        <f>IF(BaseCoalPlants!H138="-","",BaseCoalPlants!H138)</f>
        <v/>
      </c>
      <c r="J136" t="str">
        <f>IF(BaseCoalPlants!I138="-","",BaseCoalPlants!I138)</f>
        <v/>
      </c>
      <c r="K136" t="str">
        <f>IF(BaseCoalPlants!J138="-","",BaseCoalPlants!J138)</f>
        <v/>
      </c>
      <c r="L136" t="str">
        <f>IF(BaseCoalPlants!K138="-","",BaseCoalPlants!K138)</f>
        <v/>
      </c>
      <c r="M136" s="1" t="str">
        <f>IF(BaseCoalPlants!L138=0,"",BaseCoalPlants!L138)</f>
        <v/>
      </c>
      <c r="N136" s="1" t="str">
        <f>IF(BaseCoalPlants!W138=0,"",BaseCoalPlants!W138)</f>
        <v/>
      </c>
      <c r="O136" s="1" t="str">
        <f>IF(BaseCoalPlants!X138=0,"",BaseCoalPlants!X138)</f>
        <v/>
      </c>
      <c r="P136" s="1" t="str">
        <f>IF(BaseCoalPlants!Y138=0,"",BaseCoalPlants!Y138)</f>
        <v/>
      </c>
      <c r="Q136" s="1">
        <f>IF(BaseCoalPlants!Z138=0,"",BaseCoalPlants!Z138)</f>
        <v>0.26190019410407522</v>
      </c>
      <c r="R136" s="1" t="str">
        <f>IF(BaseCoalPlants!AA138=0,"",BaseCoalPlants!AA138)</f>
        <v/>
      </c>
      <c r="S136" s="1" t="str">
        <f>IF(BaseCoalPlants!AB138=0,"",BaseCoalPlants!AB138)</f>
        <v/>
      </c>
      <c r="T136" s="1" t="str">
        <f>IF(BaseCoalPlants!AC138=0,"",BaseCoalPlants!AC138)</f>
        <v/>
      </c>
      <c r="U136" s="1" t="str">
        <f>IF(BaseCoalPlants!AD138=0,"",BaseCoalPlants!AD138)</f>
        <v/>
      </c>
      <c r="V136" s="1" t="str">
        <f>IF(BaseCoalPlants!AE138=0,"",BaseCoalPlants!AE138)</f>
        <v/>
      </c>
    </row>
    <row r="137" spans="3:22" x14ac:dyDescent="0.35">
      <c r="C137" t="str">
        <f>IF(BaseCoalPlants!B139="VDA_FLOP",IF(BaseCoalPlants!D139="ELC","*","INPUT"),BaseCoalPlants!B139)</f>
        <v>EFF</v>
      </c>
      <c r="D137" t="str">
        <f>IF(BaseCoalPlants!C139="","\I:",BaseCoalPlants!C139&amp;"_LE")</f>
        <v>ECSTMRBUR_LE</v>
      </c>
      <c r="E137" t="str">
        <f>IF(BaseCoalPlants!D139="-","",BaseCoalPlants!D139)</f>
        <v/>
      </c>
      <c r="F137" t="str">
        <f>IF(BaseCoalPlants!E139="-","",BaseCoalPlants!E139)</f>
        <v/>
      </c>
      <c r="G137" t="str">
        <f>IF(BaseCoalPlants!F139="-","",BaseCoalPlants!F139)</f>
        <v>ANNUAL</v>
      </c>
      <c r="H137">
        <f>IF(BaseCoalPlants!G139="-","",BaseCoalPlants!G139)</f>
        <v>1944</v>
      </c>
      <c r="I137" t="str">
        <f>IF(BaseCoalPlants!H139="-","",BaseCoalPlants!H139)</f>
        <v/>
      </c>
      <c r="J137" t="str">
        <f>IF(BaseCoalPlants!I139="-","",BaseCoalPlants!I139)</f>
        <v/>
      </c>
      <c r="K137" t="str">
        <f>IF(BaseCoalPlants!J139="-","",BaseCoalPlants!J139)</f>
        <v/>
      </c>
      <c r="L137" t="str">
        <f>IF(BaseCoalPlants!K139="-","",BaseCoalPlants!K139)</f>
        <v/>
      </c>
      <c r="M137" s="1" t="str">
        <f>IF(BaseCoalPlants!L139=0,"",BaseCoalPlants!L139)</f>
        <v/>
      </c>
      <c r="N137" s="1" t="str">
        <f>IF(BaseCoalPlants!W139=0,"",BaseCoalPlants!W139)</f>
        <v/>
      </c>
      <c r="O137" s="1" t="str">
        <f>IF(BaseCoalPlants!X139=0,"",BaseCoalPlants!X139)</f>
        <v/>
      </c>
      <c r="P137" s="1" t="str">
        <f>IF(BaseCoalPlants!Y139=0,"",BaseCoalPlants!Y139)</f>
        <v/>
      </c>
      <c r="Q137" s="1" t="str">
        <f>IF(BaseCoalPlants!Z139=0,"",BaseCoalPlants!Z139)</f>
        <v/>
      </c>
      <c r="R137" s="1" t="str">
        <f>IF(BaseCoalPlants!AA139=0,"",BaseCoalPlants!AA139)</f>
        <v/>
      </c>
      <c r="S137" s="1" t="str">
        <f>IF(BaseCoalPlants!AB139=0,"",BaseCoalPlants!AB139)</f>
        <v/>
      </c>
      <c r="T137" s="1" t="str">
        <f>IF(BaseCoalPlants!AC139=0,"",BaseCoalPlants!AC139)</f>
        <v/>
      </c>
      <c r="U137" s="1">
        <f>IF(BaseCoalPlants!AD139=0,"",BaseCoalPlants!AD139)</f>
        <v>0.26190019410407522</v>
      </c>
      <c r="V137" s="1" t="str">
        <f>IF(BaseCoalPlants!AE139=0,"",BaseCoalPlants!AE139)</f>
        <v/>
      </c>
    </row>
    <row r="138" spans="3:22" x14ac:dyDescent="0.35">
      <c r="C138" t="str">
        <f>IF(BaseCoalPlants!B140="VDA_FLOP",IF(BaseCoalPlants!D140="ELC","*","INPUT"),BaseCoalPlants!B140)</f>
        <v>EFF</v>
      </c>
      <c r="D138" t="str">
        <f>IF(BaseCoalPlants!C140="","\I:",BaseCoalPlants!C140&amp;"_LE")</f>
        <v>ECSTMRBUR_LE</v>
      </c>
      <c r="E138" t="str">
        <f>IF(BaseCoalPlants!D140="-","",BaseCoalPlants!D140)</f>
        <v/>
      </c>
      <c r="F138" t="str">
        <f>IF(BaseCoalPlants!E140="-","",BaseCoalPlants!E140)</f>
        <v/>
      </c>
      <c r="G138" t="str">
        <f>IF(BaseCoalPlants!F140="-","",BaseCoalPlants!F140)</f>
        <v>ANNUAL</v>
      </c>
      <c r="H138">
        <f>IF(BaseCoalPlants!G140="-","",BaseCoalPlants!G140)</f>
        <v>1945</v>
      </c>
      <c r="I138" t="str">
        <f>IF(BaseCoalPlants!H140="-","",BaseCoalPlants!H140)</f>
        <v/>
      </c>
      <c r="J138" t="str">
        <f>IF(BaseCoalPlants!I140="-","",BaseCoalPlants!I140)</f>
        <v/>
      </c>
      <c r="K138" t="str">
        <f>IF(BaseCoalPlants!J140="-","",BaseCoalPlants!J140)</f>
        <v/>
      </c>
      <c r="L138" t="str">
        <f>IF(BaseCoalPlants!K140="-","",BaseCoalPlants!K140)</f>
        <v/>
      </c>
      <c r="M138" s="1" t="str">
        <f>IF(BaseCoalPlants!L140=0,"",BaseCoalPlants!L140)</f>
        <v/>
      </c>
      <c r="N138" s="1" t="str">
        <f>IF(BaseCoalPlants!W140=0,"",BaseCoalPlants!W140)</f>
        <v/>
      </c>
      <c r="O138" s="1" t="str">
        <f>IF(BaseCoalPlants!X140=0,"",BaseCoalPlants!X140)</f>
        <v/>
      </c>
      <c r="P138" s="1" t="str">
        <f>IF(BaseCoalPlants!Y140=0,"",BaseCoalPlants!Y140)</f>
        <v/>
      </c>
      <c r="Q138" s="1" t="str">
        <f>IF(BaseCoalPlants!Z140=0,"",BaseCoalPlants!Z140)</f>
        <v/>
      </c>
      <c r="R138" s="1" t="str">
        <f>IF(BaseCoalPlants!AA140=0,"",BaseCoalPlants!AA140)</f>
        <v/>
      </c>
      <c r="S138" s="1" t="str">
        <f>IF(BaseCoalPlants!AB140=0,"",BaseCoalPlants!AB140)</f>
        <v/>
      </c>
      <c r="T138" s="1" t="str">
        <f>IF(BaseCoalPlants!AC140=0,"",BaseCoalPlants!AC140)</f>
        <v/>
      </c>
      <c r="U138" s="1">
        <f>IF(BaseCoalPlants!AD140=0,"",BaseCoalPlants!AD140)</f>
        <v>0.26190019410407522</v>
      </c>
      <c r="V138" s="1" t="str">
        <f>IF(BaseCoalPlants!AE140=0,"",BaseCoalPlants!AE140)</f>
        <v/>
      </c>
    </row>
    <row r="139" spans="3:22" x14ac:dyDescent="0.35">
      <c r="C139" t="str">
        <f>IF(BaseCoalPlants!B141="VDA_FLOP",IF(BaseCoalPlants!D141="ELC","*","INPUT"),BaseCoalPlants!B141)</f>
        <v>EFF</v>
      </c>
      <c r="D139" t="str">
        <f>IF(BaseCoalPlants!C141="","\I:",BaseCoalPlants!C141&amp;"_LE")</f>
        <v>ECSTMRBUR_LE</v>
      </c>
      <c r="E139" t="str">
        <f>IF(BaseCoalPlants!D141="-","",BaseCoalPlants!D141)</f>
        <v/>
      </c>
      <c r="F139" t="str">
        <f>IF(BaseCoalPlants!E141="-","",BaseCoalPlants!E141)</f>
        <v/>
      </c>
      <c r="G139" t="str">
        <f>IF(BaseCoalPlants!F141="-","",BaseCoalPlants!F141)</f>
        <v>ANNUAL</v>
      </c>
      <c r="H139">
        <f>IF(BaseCoalPlants!G141="-","",BaseCoalPlants!G141)</f>
        <v>1947</v>
      </c>
      <c r="I139" t="str">
        <f>IF(BaseCoalPlants!H141="-","",BaseCoalPlants!H141)</f>
        <v/>
      </c>
      <c r="J139" t="str">
        <f>IF(BaseCoalPlants!I141="-","",BaseCoalPlants!I141)</f>
        <v/>
      </c>
      <c r="K139" t="str">
        <f>IF(BaseCoalPlants!J141="-","",BaseCoalPlants!J141)</f>
        <v/>
      </c>
      <c r="L139" t="str">
        <f>IF(BaseCoalPlants!K141="-","",BaseCoalPlants!K141)</f>
        <v/>
      </c>
      <c r="M139" s="1" t="str">
        <f>IF(BaseCoalPlants!L141=0,"",BaseCoalPlants!L141)</f>
        <v/>
      </c>
      <c r="N139" s="1" t="str">
        <f>IF(BaseCoalPlants!W141=0,"",BaseCoalPlants!W141)</f>
        <v/>
      </c>
      <c r="O139" s="1">
        <f>IF(BaseCoalPlants!X141=0,"",BaseCoalPlants!X141)</f>
        <v>0.26190019410407522</v>
      </c>
      <c r="P139" s="1" t="str">
        <f>IF(BaseCoalPlants!Y141=0,"",BaseCoalPlants!Y141)</f>
        <v/>
      </c>
      <c r="Q139" s="1" t="str">
        <f>IF(BaseCoalPlants!Z141=0,"",BaseCoalPlants!Z141)</f>
        <v/>
      </c>
      <c r="R139" s="1" t="str">
        <f>IF(BaseCoalPlants!AA141=0,"",BaseCoalPlants!AA141)</f>
        <v/>
      </c>
      <c r="S139" s="1" t="str">
        <f>IF(BaseCoalPlants!AB141=0,"",BaseCoalPlants!AB141)</f>
        <v/>
      </c>
      <c r="T139" s="1" t="str">
        <f>IF(BaseCoalPlants!AC141=0,"",BaseCoalPlants!AC141)</f>
        <v/>
      </c>
      <c r="U139" s="1" t="str">
        <f>IF(BaseCoalPlants!AD141=0,"",BaseCoalPlants!AD141)</f>
        <v/>
      </c>
      <c r="V139" s="1" t="str">
        <f>IF(BaseCoalPlants!AE141=0,"",BaseCoalPlants!AE141)</f>
        <v/>
      </c>
    </row>
    <row r="140" spans="3:22" x14ac:dyDescent="0.35">
      <c r="C140" t="str">
        <f>IF(BaseCoalPlants!B142="VDA_FLOP",IF(BaseCoalPlants!D142="ELC","*","INPUT"),BaseCoalPlants!B142)</f>
        <v>EFF</v>
      </c>
      <c r="D140" t="str">
        <f>IF(BaseCoalPlants!C142="","\I:",BaseCoalPlants!C142&amp;"_LE")</f>
        <v>ECSTMRBUR_LE</v>
      </c>
      <c r="E140" t="str">
        <f>IF(BaseCoalPlants!D142="-","",BaseCoalPlants!D142)</f>
        <v/>
      </c>
      <c r="F140" t="str">
        <f>IF(BaseCoalPlants!E142="-","",BaseCoalPlants!E142)</f>
        <v/>
      </c>
      <c r="G140" t="str">
        <f>IF(BaseCoalPlants!F142="-","",BaseCoalPlants!F142)</f>
        <v>ANNUAL</v>
      </c>
      <c r="H140">
        <f>IF(BaseCoalPlants!G142="-","",BaseCoalPlants!G142)</f>
        <v>1949</v>
      </c>
      <c r="I140" t="str">
        <f>IF(BaseCoalPlants!H142="-","",BaseCoalPlants!H142)</f>
        <v/>
      </c>
      <c r="J140" t="str">
        <f>IF(BaseCoalPlants!I142="-","",BaseCoalPlants!I142)</f>
        <v/>
      </c>
      <c r="K140" t="str">
        <f>IF(BaseCoalPlants!J142="-","",BaseCoalPlants!J142)</f>
        <v/>
      </c>
      <c r="L140" t="str">
        <f>IF(BaseCoalPlants!K142="-","",BaseCoalPlants!K142)</f>
        <v/>
      </c>
      <c r="M140" s="1" t="str">
        <f>IF(BaseCoalPlants!L142=0,"",BaseCoalPlants!L142)</f>
        <v/>
      </c>
      <c r="N140" s="1" t="str">
        <f>IF(BaseCoalPlants!W142=0,"",BaseCoalPlants!W142)</f>
        <v/>
      </c>
      <c r="O140" s="1" t="str">
        <f>IF(BaseCoalPlants!X142=0,"",BaseCoalPlants!X142)</f>
        <v/>
      </c>
      <c r="P140" s="1">
        <f>IF(BaseCoalPlants!Y142=0,"",BaseCoalPlants!Y142)</f>
        <v>0.26712311813253026</v>
      </c>
      <c r="Q140" s="1" t="str">
        <f>IF(BaseCoalPlants!Z142=0,"",BaseCoalPlants!Z142)</f>
        <v/>
      </c>
      <c r="R140" s="1">
        <f>IF(BaseCoalPlants!AA142=0,"",BaseCoalPlants!AA142)</f>
        <v>0.27239559154217952</v>
      </c>
      <c r="S140" s="1" t="str">
        <f>IF(BaseCoalPlants!AB142=0,"",BaseCoalPlants!AB142)</f>
        <v/>
      </c>
      <c r="T140" s="1" t="str">
        <f>IF(BaseCoalPlants!AC142=0,"",BaseCoalPlants!AC142)</f>
        <v/>
      </c>
      <c r="U140" s="1" t="str">
        <f>IF(BaseCoalPlants!AD142=0,"",BaseCoalPlants!AD142)</f>
        <v/>
      </c>
      <c r="V140" s="1" t="str">
        <f>IF(BaseCoalPlants!AE142=0,"",BaseCoalPlants!AE142)</f>
        <v/>
      </c>
    </row>
    <row r="141" spans="3:22" x14ac:dyDescent="0.35">
      <c r="C141" t="str">
        <f>IF(BaseCoalPlants!B143="VDA_FLOP",IF(BaseCoalPlants!D143="ELC","*","INPUT"),BaseCoalPlants!B143)</f>
        <v>EFF</v>
      </c>
      <c r="D141" t="str">
        <f>IF(BaseCoalPlants!C143="","\I:",BaseCoalPlants!C143&amp;"_LE")</f>
        <v>ECSTMRBUR_LE</v>
      </c>
      <c r="E141" t="str">
        <f>IF(BaseCoalPlants!D143="-","",BaseCoalPlants!D143)</f>
        <v/>
      </c>
      <c r="F141" t="str">
        <f>IF(BaseCoalPlants!E143="-","",BaseCoalPlants!E143)</f>
        <v/>
      </c>
      <c r="G141" t="str">
        <f>IF(BaseCoalPlants!F143="-","",BaseCoalPlants!F143)</f>
        <v>ANNUAL</v>
      </c>
      <c r="H141">
        <f>IF(BaseCoalPlants!G143="-","",BaseCoalPlants!G143)</f>
        <v>1950</v>
      </c>
      <c r="I141" t="str">
        <f>IF(BaseCoalPlants!H143="-","",BaseCoalPlants!H143)</f>
        <v/>
      </c>
      <c r="J141" t="str">
        <f>IF(BaseCoalPlants!I143="-","",BaseCoalPlants!I143)</f>
        <v/>
      </c>
      <c r="K141" t="str">
        <f>IF(BaseCoalPlants!J143="-","",BaseCoalPlants!J143)</f>
        <v/>
      </c>
      <c r="L141" t="str">
        <f>IF(BaseCoalPlants!K143="-","",BaseCoalPlants!K143)</f>
        <v/>
      </c>
      <c r="M141" s="1" t="str">
        <f>IF(BaseCoalPlants!L143=0,"",BaseCoalPlants!L143)</f>
        <v/>
      </c>
      <c r="N141" s="1" t="str">
        <f>IF(BaseCoalPlants!W143=0,"",BaseCoalPlants!W143)</f>
        <v/>
      </c>
      <c r="O141" s="1" t="str">
        <f>IF(BaseCoalPlants!X143=0,"",BaseCoalPlants!X143)</f>
        <v/>
      </c>
      <c r="P141" s="1" t="str">
        <f>IF(BaseCoalPlants!Y143=0,"",BaseCoalPlants!Y143)</f>
        <v/>
      </c>
      <c r="Q141" s="1" t="str">
        <f>IF(BaseCoalPlants!Z143=0,"",BaseCoalPlants!Z143)</f>
        <v/>
      </c>
      <c r="R141" s="1">
        <f>IF(BaseCoalPlants!AA143=0,"",BaseCoalPlants!AA143)</f>
        <v>0.28877903592066717</v>
      </c>
      <c r="S141" s="1" t="str">
        <f>IF(BaseCoalPlants!AB143=0,"",BaseCoalPlants!AB143)</f>
        <v/>
      </c>
      <c r="T141" s="1" t="str">
        <f>IF(BaseCoalPlants!AC143=0,"",BaseCoalPlants!AC143)</f>
        <v/>
      </c>
      <c r="U141" s="1" t="str">
        <f>IF(BaseCoalPlants!AD143=0,"",BaseCoalPlants!AD143)</f>
        <v/>
      </c>
      <c r="V141" s="1" t="str">
        <f>IF(BaseCoalPlants!AE143=0,"",BaseCoalPlants!AE143)</f>
        <v/>
      </c>
    </row>
    <row r="142" spans="3:22" x14ac:dyDescent="0.35">
      <c r="C142" t="str">
        <f>IF(BaseCoalPlants!B144="VDA_FLOP",IF(BaseCoalPlants!D144="ELC","*","INPUT"),BaseCoalPlants!B144)</f>
        <v>EFF</v>
      </c>
      <c r="D142" t="str">
        <f>IF(BaseCoalPlants!C144="","\I:",BaseCoalPlants!C144&amp;"_LE")</f>
        <v>ECSTMRBUR_LE</v>
      </c>
      <c r="E142" t="str">
        <f>IF(BaseCoalPlants!D144="-","",BaseCoalPlants!D144)</f>
        <v/>
      </c>
      <c r="F142" t="str">
        <f>IF(BaseCoalPlants!E144="-","",BaseCoalPlants!E144)</f>
        <v/>
      </c>
      <c r="G142" t="str">
        <f>IF(BaseCoalPlants!F144="-","",BaseCoalPlants!F144)</f>
        <v>ANNUAL</v>
      </c>
      <c r="H142">
        <f>IF(BaseCoalPlants!G144="-","",BaseCoalPlants!G144)</f>
        <v>1951</v>
      </c>
      <c r="I142" t="str">
        <f>IF(BaseCoalPlants!H144="-","",BaseCoalPlants!H144)</f>
        <v/>
      </c>
      <c r="J142" t="str">
        <f>IF(BaseCoalPlants!I144="-","",BaseCoalPlants!I144)</f>
        <v/>
      </c>
      <c r="K142" t="str">
        <f>IF(BaseCoalPlants!J144="-","",BaseCoalPlants!J144)</f>
        <v/>
      </c>
      <c r="L142" t="str">
        <f>IF(BaseCoalPlants!K144="-","",BaseCoalPlants!K144)</f>
        <v/>
      </c>
      <c r="M142" s="1" t="str">
        <f>IF(BaseCoalPlants!L144=0,"",BaseCoalPlants!L144)</f>
        <v/>
      </c>
      <c r="N142" s="1" t="str">
        <f>IF(BaseCoalPlants!W144=0,"",BaseCoalPlants!W144)</f>
        <v/>
      </c>
      <c r="O142" s="1">
        <f>IF(BaseCoalPlants!X144=0,"",BaseCoalPlants!X144)</f>
        <v>0.31875982655485058</v>
      </c>
      <c r="P142" s="1" t="str">
        <f>IF(BaseCoalPlants!Y144=0,"",BaseCoalPlants!Y144)</f>
        <v/>
      </c>
      <c r="Q142" s="1" t="str">
        <f>IF(BaseCoalPlants!Z144=0,"",BaseCoalPlants!Z144)</f>
        <v/>
      </c>
      <c r="R142" s="1">
        <f>IF(BaseCoalPlants!AA144=0,"",BaseCoalPlants!AA144)</f>
        <v>0.31278806300833151</v>
      </c>
      <c r="S142" s="1" t="str">
        <f>IF(BaseCoalPlants!AB144=0,"",BaseCoalPlants!AB144)</f>
        <v/>
      </c>
      <c r="T142" s="1">
        <f>IF(BaseCoalPlants!AC144=0,"",BaseCoalPlants!AC144)</f>
        <v>0.31709086677920351</v>
      </c>
      <c r="U142" s="1" t="str">
        <f>IF(BaseCoalPlants!AD144=0,"",BaseCoalPlants!AD144)</f>
        <v/>
      </c>
      <c r="V142" s="1" t="str">
        <f>IF(BaseCoalPlants!AE144=0,"",BaseCoalPlants!AE144)</f>
        <v/>
      </c>
    </row>
    <row r="143" spans="3:22" x14ac:dyDescent="0.35">
      <c r="C143" t="str">
        <f>IF(BaseCoalPlants!B145="VDA_FLOP",IF(BaseCoalPlants!D145="ELC","*","INPUT"),BaseCoalPlants!B145)</f>
        <v>EFF</v>
      </c>
      <c r="D143" t="str">
        <f>IF(BaseCoalPlants!C145="","\I:",BaseCoalPlants!C145&amp;"_LE")</f>
        <v>ECSTMRBUR_LE</v>
      </c>
      <c r="E143" t="str">
        <f>IF(BaseCoalPlants!D145="-","",BaseCoalPlants!D145)</f>
        <v/>
      </c>
      <c r="F143" t="str">
        <f>IF(BaseCoalPlants!E145="-","",BaseCoalPlants!E145)</f>
        <v/>
      </c>
      <c r="G143" t="str">
        <f>IF(BaseCoalPlants!F145="-","",BaseCoalPlants!F145)</f>
        <v>ANNUAL</v>
      </c>
      <c r="H143">
        <f>IF(BaseCoalPlants!G145="-","",BaseCoalPlants!G145)</f>
        <v>1952</v>
      </c>
      <c r="I143" t="str">
        <f>IF(BaseCoalPlants!H145="-","",BaseCoalPlants!H145)</f>
        <v/>
      </c>
      <c r="J143" t="str">
        <f>IF(BaseCoalPlants!I145="-","",BaseCoalPlants!I145)</f>
        <v/>
      </c>
      <c r="K143" t="str">
        <f>IF(BaseCoalPlants!J145="-","",BaseCoalPlants!J145)</f>
        <v/>
      </c>
      <c r="L143" t="str">
        <f>IF(BaseCoalPlants!K145="-","",BaseCoalPlants!K145)</f>
        <v/>
      </c>
      <c r="M143" s="1" t="str">
        <f>IF(BaseCoalPlants!L145=0,"",BaseCoalPlants!L145)</f>
        <v/>
      </c>
      <c r="N143" s="1" t="str">
        <f>IF(BaseCoalPlants!W145=0,"",BaseCoalPlants!W145)</f>
        <v/>
      </c>
      <c r="O143" s="1" t="str">
        <f>IF(BaseCoalPlants!X145=0,"",BaseCoalPlants!X145)</f>
        <v/>
      </c>
      <c r="P143" s="1" t="str">
        <f>IF(BaseCoalPlants!Y145=0,"",BaseCoalPlants!Y145)</f>
        <v/>
      </c>
      <c r="Q143" s="1" t="str">
        <f>IF(BaseCoalPlants!Z145=0,"",BaseCoalPlants!Z145)</f>
        <v/>
      </c>
      <c r="R143" s="1">
        <f>IF(BaseCoalPlants!AA145=0,"",BaseCoalPlants!AA145)</f>
        <v>0.30462062589025823</v>
      </c>
      <c r="S143" s="1" t="str">
        <f>IF(BaseCoalPlants!AB145=0,"",BaseCoalPlants!AB145)</f>
        <v/>
      </c>
      <c r="T143" s="1" t="str">
        <f>IF(BaseCoalPlants!AC145=0,"",BaseCoalPlants!AC145)</f>
        <v/>
      </c>
      <c r="U143" s="1" t="str">
        <f>IF(BaseCoalPlants!AD145=0,"",BaseCoalPlants!AD145)</f>
        <v/>
      </c>
      <c r="V143" s="1" t="str">
        <f>IF(BaseCoalPlants!AE145=0,"",BaseCoalPlants!AE145)</f>
        <v/>
      </c>
    </row>
    <row r="144" spans="3:22" x14ac:dyDescent="0.35">
      <c r="C144" t="str">
        <f>IF(BaseCoalPlants!B146="VDA_FLOP",IF(BaseCoalPlants!D146="ELC","*","INPUT"),BaseCoalPlants!B146)</f>
        <v>EFF</v>
      </c>
      <c r="D144" t="str">
        <f>IF(BaseCoalPlants!C146="","\I:",BaseCoalPlants!C146&amp;"_LE")</f>
        <v>ECSTMRBUR_LE</v>
      </c>
      <c r="E144" t="str">
        <f>IF(BaseCoalPlants!D146="-","",BaseCoalPlants!D146)</f>
        <v/>
      </c>
      <c r="F144" t="str">
        <f>IF(BaseCoalPlants!E146="-","",BaseCoalPlants!E146)</f>
        <v/>
      </c>
      <c r="G144" t="str">
        <f>IF(BaseCoalPlants!F146="-","",BaseCoalPlants!F146)</f>
        <v>ANNUAL</v>
      </c>
      <c r="H144">
        <f>IF(BaseCoalPlants!G146="-","",BaseCoalPlants!G146)</f>
        <v>1953</v>
      </c>
      <c r="I144" t="str">
        <f>IF(BaseCoalPlants!H146="-","",BaseCoalPlants!H146)</f>
        <v/>
      </c>
      <c r="J144" t="str">
        <f>IF(BaseCoalPlants!I146="-","",BaseCoalPlants!I146)</f>
        <v/>
      </c>
      <c r="K144" t="str">
        <f>IF(BaseCoalPlants!J146="-","",BaseCoalPlants!J146)</f>
        <v/>
      </c>
      <c r="L144" t="str">
        <f>IF(BaseCoalPlants!K146="-","",BaseCoalPlants!K146)</f>
        <v/>
      </c>
      <c r="M144" s="1" t="str">
        <f>IF(BaseCoalPlants!L146=0,"",BaseCoalPlants!L146)</f>
        <v/>
      </c>
      <c r="N144" s="1" t="str">
        <f>IF(BaseCoalPlants!W146=0,"",BaseCoalPlants!W146)</f>
        <v/>
      </c>
      <c r="O144" s="1">
        <f>IF(BaseCoalPlants!X146=0,"",BaseCoalPlants!X146)</f>
        <v>0.31940614117455746</v>
      </c>
      <c r="P144" s="1" t="str">
        <f>IF(BaseCoalPlants!Y146=0,"",BaseCoalPlants!Y146)</f>
        <v/>
      </c>
      <c r="Q144" s="1" t="str">
        <f>IF(BaseCoalPlants!Z146=0,"",BaseCoalPlants!Z146)</f>
        <v/>
      </c>
      <c r="R144" s="1" t="str">
        <f>IF(BaseCoalPlants!AA146=0,"",BaseCoalPlants!AA146)</f>
        <v/>
      </c>
      <c r="S144" s="1" t="str">
        <f>IF(BaseCoalPlants!AB146=0,"",BaseCoalPlants!AB146)</f>
        <v/>
      </c>
      <c r="T144" s="1" t="str">
        <f>IF(BaseCoalPlants!AC146=0,"",BaseCoalPlants!AC146)</f>
        <v/>
      </c>
      <c r="U144" s="1" t="str">
        <f>IF(BaseCoalPlants!AD146=0,"",BaseCoalPlants!AD146)</f>
        <v/>
      </c>
      <c r="V144" s="1" t="str">
        <f>IF(BaseCoalPlants!AE146=0,"",BaseCoalPlants!AE146)</f>
        <v/>
      </c>
    </row>
    <row r="145" spans="3:22" x14ac:dyDescent="0.35">
      <c r="C145" t="str">
        <f>IF(BaseCoalPlants!B147="VDA_FLOP",IF(BaseCoalPlants!D147="ELC","*","INPUT"),BaseCoalPlants!B147)</f>
        <v>EFF</v>
      </c>
      <c r="D145" t="str">
        <f>IF(BaseCoalPlants!C147="","\I:",BaseCoalPlants!C147&amp;"_LE")</f>
        <v>ECSTMRBUR_LE</v>
      </c>
      <c r="E145" t="str">
        <f>IF(BaseCoalPlants!D147="-","",BaseCoalPlants!D147)</f>
        <v/>
      </c>
      <c r="F145" t="str">
        <f>IF(BaseCoalPlants!E147="-","",BaseCoalPlants!E147)</f>
        <v/>
      </c>
      <c r="G145" t="str">
        <f>IF(BaseCoalPlants!F147="-","",BaseCoalPlants!F147)</f>
        <v>ANNUAL</v>
      </c>
      <c r="H145">
        <f>IF(BaseCoalPlants!G147="-","",BaseCoalPlants!G147)</f>
        <v>1954</v>
      </c>
      <c r="I145" t="str">
        <f>IF(BaseCoalPlants!H147="-","",BaseCoalPlants!H147)</f>
        <v/>
      </c>
      <c r="J145" t="str">
        <f>IF(BaseCoalPlants!I147="-","",BaseCoalPlants!I147)</f>
        <v/>
      </c>
      <c r="K145" t="str">
        <f>IF(BaseCoalPlants!J147="-","",BaseCoalPlants!J147)</f>
        <v/>
      </c>
      <c r="L145" t="str">
        <f>IF(BaseCoalPlants!K147="-","",BaseCoalPlants!K147)</f>
        <v/>
      </c>
      <c r="M145" s="1" t="str">
        <f>IF(BaseCoalPlants!L147=0,"",BaseCoalPlants!L147)</f>
        <v/>
      </c>
      <c r="N145" s="1" t="str">
        <f>IF(BaseCoalPlants!W147=0,"",BaseCoalPlants!W147)</f>
        <v/>
      </c>
      <c r="O145" s="1" t="str">
        <f>IF(BaseCoalPlants!X147=0,"",BaseCoalPlants!X147)</f>
        <v/>
      </c>
      <c r="P145" s="1" t="str">
        <f>IF(BaseCoalPlants!Y147=0,"",BaseCoalPlants!Y147)</f>
        <v/>
      </c>
      <c r="Q145" s="1">
        <f>IF(BaseCoalPlants!Z147=0,"",BaseCoalPlants!Z147)</f>
        <v>0.25877473606811424</v>
      </c>
      <c r="R145" s="1">
        <f>IF(BaseCoalPlants!AA147=0,"",BaseCoalPlants!AA147)</f>
        <v>0.27034987075070205</v>
      </c>
      <c r="S145" s="1" t="str">
        <f>IF(BaseCoalPlants!AB147=0,"",BaseCoalPlants!AB147)</f>
        <v/>
      </c>
      <c r="T145" s="1" t="str">
        <f>IF(BaseCoalPlants!AC147=0,"",BaseCoalPlants!AC147)</f>
        <v/>
      </c>
      <c r="U145" s="1">
        <f>IF(BaseCoalPlants!AD147=0,"",BaseCoalPlants!AD147)</f>
        <v>0.27157382441508288</v>
      </c>
      <c r="V145" s="1" t="str">
        <f>IF(BaseCoalPlants!AE147=0,"",BaseCoalPlants!AE147)</f>
        <v/>
      </c>
    </row>
    <row r="146" spans="3:22" x14ac:dyDescent="0.35">
      <c r="C146" t="str">
        <f>IF(BaseCoalPlants!B148="VDA_FLOP",IF(BaseCoalPlants!D148="ELC","*","INPUT"),BaseCoalPlants!B148)</f>
        <v>EFF</v>
      </c>
      <c r="D146" t="str">
        <f>IF(BaseCoalPlants!C148="","\I:",BaseCoalPlants!C148&amp;"_LE")</f>
        <v>ECSTMRBUR_LE</v>
      </c>
      <c r="E146" t="str">
        <f>IF(BaseCoalPlants!D148="-","",BaseCoalPlants!D148)</f>
        <v/>
      </c>
      <c r="F146" t="str">
        <f>IF(BaseCoalPlants!E148="-","",BaseCoalPlants!E148)</f>
        <v/>
      </c>
      <c r="G146" t="str">
        <f>IF(BaseCoalPlants!F148="-","",BaseCoalPlants!F148)</f>
        <v>ANNUAL</v>
      </c>
      <c r="H146">
        <f>IF(BaseCoalPlants!G148="-","",BaseCoalPlants!G148)</f>
        <v>1955</v>
      </c>
      <c r="I146" t="str">
        <f>IF(BaseCoalPlants!H148="-","",BaseCoalPlants!H148)</f>
        <v/>
      </c>
      <c r="J146" t="str">
        <f>IF(BaseCoalPlants!I148="-","",BaseCoalPlants!I148)</f>
        <v/>
      </c>
      <c r="K146" t="str">
        <f>IF(BaseCoalPlants!J148="-","",BaseCoalPlants!J148)</f>
        <v/>
      </c>
      <c r="L146" t="str">
        <f>IF(BaseCoalPlants!K148="-","",BaseCoalPlants!K148)</f>
        <v/>
      </c>
      <c r="M146" s="1" t="str">
        <f>IF(BaseCoalPlants!L148=0,"",BaseCoalPlants!L148)</f>
        <v/>
      </c>
      <c r="N146" s="1" t="str">
        <f>IF(BaseCoalPlants!W148=0,"",BaseCoalPlants!W148)</f>
        <v/>
      </c>
      <c r="O146" s="1" t="str">
        <f>IF(BaseCoalPlants!X148=0,"",BaseCoalPlants!X148)</f>
        <v/>
      </c>
      <c r="P146" s="1">
        <f>IF(BaseCoalPlants!Y148=0,"",BaseCoalPlants!Y148)</f>
        <v>0.30148734738392352</v>
      </c>
      <c r="Q146" s="1" t="str">
        <f>IF(BaseCoalPlants!Z148=0,"",BaseCoalPlants!Z148)</f>
        <v/>
      </c>
      <c r="R146" s="1" t="str">
        <f>IF(BaseCoalPlants!AA148=0,"",BaseCoalPlants!AA148)</f>
        <v/>
      </c>
      <c r="S146" s="1" t="str">
        <f>IF(BaseCoalPlants!AB148=0,"",BaseCoalPlants!AB148)</f>
        <v/>
      </c>
      <c r="T146" s="1" t="str">
        <f>IF(BaseCoalPlants!AC148=0,"",BaseCoalPlants!AC148)</f>
        <v/>
      </c>
      <c r="U146" s="1">
        <f>IF(BaseCoalPlants!AD148=0,"",BaseCoalPlants!AD148)</f>
        <v>0.25006331174704222</v>
      </c>
      <c r="V146" s="1" t="str">
        <f>IF(BaseCoalPlants!AE148=0,"",BaseCoalPlants!AE148)</f>
        <v/>
      </c>
    </row>
    <row r="147" spans="3:22" x14ac:dyDescent="0.35">
      <c r="C147" t="str">
        <f>IF(BaseCoalPlants!B149="VDA_FLOP",IF(BaseCoalPlants!D149="ELC","*","INPUT"),BaseCoalPlants!B149)</f>
        <v>EFF</v>
      </c>
      <c r="D147" t="str">
        <f>IF(BaseCoalPlants!C149="","\I:",BaseCoalPlants!C149&amp;"_LE")</f>
        <v>ECSTMRBUR_LE</v>
      </c>
      <c r="E147" t="str">
        <f>IF(BaseCoalPlants!D149="-","",BaseCoalPlants!D149)</f>
        <v/>
      </c>
      <c r="F147" t="str">
        <f>IF(BaseCoalPlants!E149="-","",BaseCoalPlants!E149)</f>
        <v/>
      </c>
      <c r="G147" t="str">
        <f>IF(BaseCoalPlants!F149="-","",BaseCoalPlants!F149)</f>
        <v>ANNUAL</v>
      </c>
      <c r="H147">
        <f>IF(BaseCoalPlants!G149="-","",BaseCoalPlants!G149)</f>
        <v>1956</v>
      </c>
      <c r="I147" t="str">
        <f>IF(BaseCoalPlants!H149="-","",BaseCoalPlants!H149)</f>
        <v/>
      </c>
      <c r="J147" t="str">
        <f>IF(BaseCoalPlants!I149="-","",BaseCoalPlants!I149)</f>
        <v/>
      </c>
      <c r="K147" t="str">
        <f>IF(BaseCoalPlants!J149="-","",BaseCoalPlants!J149)</f>
        <v/>
      </c>
      <c r="L147" t="str">
        <f>IF(BaseCoalPlants!K149="-","",BaseCoalPlants!K149)</f>
        <v/>
      </c>
      <c r="M147" s="1" t="str">
        <f>IF(BaseCoalPlants!L149=0,"",BaseCoalPlants!L149)</f>
        <v/>
      </c>
      <c r="N147" s="1" t="str">
        <f>IF(BaseCoalPlants!W149=0,"",BaseCoalPlants!W149)</f>
        <v/>
      </c>
      <c r="O147" s="1">
        <f>IF(BaseCoalPlants!X149=0,"",BaseCoalPlants!X149)</f>
        <v>0.31709086677920351</v>
      </c>
      <c r="P147" s="1" t="str">
        <f>IF(BaseCoalPlants!Y149=0,"",BaseCoalPlants!Y149)</f>
        <v/>
      </c>
      <c r="Q147" s="1" t="str">
        <f>IF(BaseCoalPlants!Z149=0,"",BaseCoalPlants!Z149)</f>
        <v/>
      </c>
      <c r="R147" s="1" t="str">
        <f>IF(BaseCoalPlants!AA149=0,"",BaseCoalPlants!AA149)</f>
        <v/>
      </c>
      <c r="S147" s="1" t="str">
        <f>IF(BaseCoalPlants!AB149=0,"",BaseCoalPlants!AB149)</f>
        <v/>
      </c>
      <c r="T147" s="1" t="str">
        <f>IF(BaseCoalPlants!AC149=0,"",BaseCoalPlants!AC149)</f>
        <v/>
      </c>
      <c r="U147" s="1" t="str">
        <f>IF(BaseCoalPlants!AD149=0,"",BaseCoalPlants!AD149)</f>
        <v/>
      </c>
      <c r="V147" s="1" t="str">
        <f>IF(BaseCoalPlants!AE149=0,"",BaseCoalPlants!AE149)</f>
        <v/>
      </c>
    </row>
    <row r="148" spans="3:22" x14ac:dyDescent="0.35">
      <c r="C148" t="str">
        <f>IF(BaseCoalPlants!B150="VDA_FLOP",IF(BaseCoalPlants!D150="ELC","*","INPUT"),BaseCoalPlants!B150)</f>
        <v>EFF</v>
      </c>
      <c r="D148" t="str">
        <f>IF(BaseCoalPlants!C150="","\I:",BaseCoalPlants!C150&amp;"_LE")</f>
        <v>ECSTMRBUR_LE</v>
      </c>
      <c r="E148" t="str">
        <f>IF(BaseCoalPlants!D150="-","",BaseCoalPlants!D150)</f>
        <v/>
      </c>
      <c r="F148" t="str">
        <f>IF(BaseCoalPlants!E150="-","",BaseCoalPlants!E150)</f>
        <v/>
      </c>
      <c r="G148" t="str">
        <f>IF(BaseCoalPlants!F150="-","",BaseCoalPlants!F150)</f>
        <v>ANNUAL</v>
      </c>
      <c r="H148">
        <f>IF(BaseCoalPlants!G150="-","",BaseCoalPlants!G150)</f>
        <v>1957</v>
      </c>
      <c r="I148" t="str">
        <f>IF(BaseCoalPlants!H150="-","",BaseCoalPlants!H150)</f>
        <v/>
      </c>
      <c r="J148" t="str">
        <f>IF(BaseCoalPlants!I150="-","",BaseCoalPlants!I150)</f>
        <v/>
      </c>
      <c r="K148" t="str">
        <f>IF(BaseCoalPlants!J150="-","",BaseCoalPlants!J150)</f>
        <v/>
      </c>
      <c r="L148" t="str">
        <f>IF(BaseCoalPlants!K150="-","",BaseCoalPlants!K150)</f>
        <v/>
      </c>
      <c r="M148" s="1" t="str">
        <f>IF(BaseCoalPlants!L150=0,"",BaseCoalPlants!L150)</f>
        <v/>
      </c>
      <c r="N148" s="1" t="str">
        <f>IF(BaseCoalPlants!W150=0,"",BaseCoalPlants!W150)</f>
        <v/>
      </c>
      <c r="O148" s="1" t="str">
        <f>IF(BaseCoalPlants!X150=0,"",BaseCoalPlants!X150)</f>
        <v/>
      </c>
      <c r="P148" s="1" t="str">
        <f>IF(BaseCoalPlants!Y150=0,"",BaseCoalPlants!Y150)</f>
        <v/>
      </c>
      <c r="Q148" s="1">
        <f>IF(BaseCoalPlants!Z150=0,"",BaseCoalPlants!Z150)</f>
        <v>0.26578737394614621</v>
      </c>
      <c r="R148" s="1" t="str">
        <f>IF(BaseCoalPlants!AA150=0,"",BaseCoalPlants!AA150)</f>
        <v/>
      </c>
      <c r="S148" s="1">
        <f>IF(BaseCoalPlants!AB150=0,"",BaseCoalPlants!AB150)</f>
        <v>0.27726021023159136</v>
      </c>
      <c r="T148" s="1" t="str">
        <f>IF(BaseCoalPlants!AC150=0,"",BaseCoalPlants!AC150)</f>
        <v/>
      </c>
      <c r="U148" s="1" t="str">
        <f>IF(BaseCoalPlants!AD150=0,"",BaseCoalPlants!AD150)</f>
        <v/>
      </c>
      <c r="V148" s="1" t="str">
        <f>IF(BaseCoalPlants!AE150=0,"",BaseCoalPlants!AE150)</f>
        <v/>
      </c>
    </row>
    <row r="149" spans="3:22" x14ac:dyDescent="0.35">
      <c r="C149" t="str">
        <f>IF(BaseCoalPlants!B151="VDA_FLOP",IF(BaseCoalPlants!D151="ELC","*","INPUT"),BaseCoalPlants!B151)</f>
        <v>EFF</v>
      </c>
      <c r="D149" t="str">
        <f>IF(BaseCoalPlants!C151="","\I:",BaseCoalPlants!C151&amp;"_LE")</f>
        <v>ECSTMRBUR_LE</v>
      </c>
      <c r="E149" t="str">
        <f>IF(BaseCoalPlants!D151="-","",BaseCoalPlants!D151)</f>
        <v/>
      </c>
      <c r="F149" t="str">
        <f>IF(BaseCoalPlants!E151="-","",BaseCoalPlants!E151)</f>
        <v/>
      </c>
      <c r="G149" t="str">
        <f>IF(BaseCoalPlants!F151="-","",BaseCoalPlants!F151)</f>
        <v>ANNUAL</v>
      </c>
      <c r="H149">
        <f>IF(BaseCoalPlants!G151="-","",BaseCoalPlants!G151)</f>
        <v>1958</v>
      </c>
      <c r="I149" t="str">
        <f>IF(BaseCoalPlants!H151="-","",BaseCoalPlants!H151)</f>
        <v/>
      </c>
      <c r="J149" t="str">
        <f>IF(BaseCoalPlants!I151="-","",BaseCoalPlants!I151)</f>
        <v/>
      </c>
      <c r="K149" t="str">
        <f>IF(BaseCoalPlants!J151="-","",BaseCoalPlants!J151)</f>
        <v/>
      </c>
      <c r="L149" t="str">
        <f>IF(BaseCoalPlants!K151="-","",BaseCoalPlants!K151)</f>
        <v/>
      </c>
      <c r="M149" s="1" t="str">
        <f>IF(BaseCoalPlants!L151=0,"",BaseCoalPlants!L151)</f>
        <v/>
      </c>
      <c r="N149" s="1" t="str">
        <f>IF(BaseCoalPlants!W151=0,"",BaseCoalPlants!W151)</f>
        <v/>
      </c>
      <c r="O149" s="1" t="str">
        <f>IF(BaseCoalPlants!X151=0,"",BaseCoalPlants!X151)</f>
        <v/>
      </c>
      <c r="P149" s="1" t="str">
        <f>IF(BaseCoalPlants!Y151=0,"",BaseCoalPlants!Y151)</f>
        <v/>
      </c>
      <c r="Q149" s="1">
        <f>IF(BaseCoalPlants!Z151=0,"",BaseCoalPlants!Z151)</f>
        <v>0.30918635053197313</v>
      </c>
      <c r="R149" s="1" t="str">
        <f>IF(BaseCoalPlants!AA151=0,"",BaseCoalPlants!AA151)</f>
        <v/>
      </c>
      <c r="S149" s="1" t="str">
        <f>IF(BaseCoalPlants!AB151=0,"",BaseCoalPlants!AB151)</f>
        <v/>
      </c>
      <c r="T149" s="1" t="str">
        <f>IF(BaseCoalPlants!AC151=0,"",BaseCoalPlants!AC151)</f>
        <v/>
      </c>
      <c r="U149" s="1" t="str">
        <f>IF(BaseCoalPlants!AD151=0,"",BaseCoalPlants!AD151)</f>
        <v/>
      </c>
      <c r="V149" s="1" t="str">
        <f>IF(BaseCoalPlants!AE151=0,"",BaseCoalPlants!AE151)</f>
        <v/>
      </c>
    </row>
    <row r="150" spans="3:22" x14ac:dyDescent="0.35">
      <c r="C150" t="str">
        <f>IF(BaseCoalPlants!B152="VDA_FLOP",IF(BaseCoalPlants!D152="ELC","*","INPUT"),BaseCoalPlants!B152)</f>
        <v>EFF</v>
      </c>
      <c r="D150" t="str">
        <f>IF(BaseCoalPlants!C152="","\I:",BaseCoalPlants!C152&amp;"_LE")</f>
        <v>ECSTMRBUR_LE</v>
      </c>
      <c r="E150" t="str">
        <f>IF(BaseCoalPlants!D152="-","",BaseCoalPlants!D152)</f>
        <v/>
      </c>
      <c r="F150" t="str">
        <f>IF(BaseCoalPlants!E152="-","",BaseCoalPlants!E152)</f>
        <v/>
      </c>
      <c r="G150" t="str">
        <f>IF(BaseCoalPlants!F152="-","",BaseCoalPlants!F152)</f>
        <v>ANNUAL</v>
      </c>
      <c r="H150">
        <f>IF(BaseCoalPlants!G152="-","",BaseCoalPlants!G152)</f>
        <v>1959</v>
      </c>
      <c r="I150" t="str">
        <f>IF(BaseCoalPlants!H152="-","",BaseCoalPlants!H152)</f>
        <v/>
      </c>
      <c r="J150" t="str">
        <f>IF(BaseCoalPlants!I152="-","",BaseCoalPlants!I152)</f>
        <v/>
      </c>
      <c r="K150" t="str">
        <f>IF(BaseCoalPlants!J152="-","",BaseCoalPlants!J152)</f>
        <v/>
      </c>
      <c r="L150" t="str">
        <f>IF(BaseCoalPlants!K152="-","",BaseCoalPlants!K152)</f>
        <v/>
      </c>
      <c r="M150" s="1" t="str">
        <f>IF(BaseCoalPlants!L152=0,"",BaseCoalPlants!L152)</f>
        <v/>
      </c>
      <c r="N150" s="1" t="str">
        <f>IF(BaseCoalPlants!W152=0,"",BaseCoalPlants!W152)</f>
        <v/>
      </c>
      <c r="O150" s="1" t="str">
        <f>IF(BaseCoalPlants!X152=0,"",BaseCoalPlants!X152)</f>
        <v/>
      </c>
      <c r="P150" s="1" t="str">
        <f>IF(BaseCoalPlants!Y152=0,"",BaseCoalPlants!Y152)</f>
        <v/>
      </c>
      <c r="Q150" s="1" t="str">
        <f>IF(BaseCoalPlants!Z152=0,"",BaseCoalPlants!Z152)</f>
        <v/>
      </c>
      <c r="R150" s="1" t="str">
        <f>IF(BaseCoalPlants!AA152=0,"",BaseCoalPlants!AA152)</f>
        <v/>
      </c>
      <c r="S150" s="1" t="str">
        <f>IF(BaseCoalPlants!AB152=0,"",BaseCoalPlants!AB152)</f>
        <v/>
      </c>
      <c r="T150" s="1" t="str">
        <f>IF(BaseCoalPlants!AC152=0,"",BaseCoalPlants!AC152)</f>
        <v/>
      </c>
      <c r="U150" s="1">
        <f>IF(BaseCoalPlants!AD152=0,"",BaseCoalPlants!AD152)</f>
        <v>0.2981490655656624</v>
      </c>
      <c r="V150" s="1" t="str">
        <f>IF(BaseCoalPlants!AE152=0,"",BaseCoalPlants!AE152)</f>
        <v/>
      </c>
    </row>
    <row r="151" spans="3:22" x14ac:dyDescent="0.35">
      <c r="C151" t="str">
        <f>IF(BaseCoalPlants!B153="VDA_FLOP",IF(BaseCoalPlants!D153="ELC","*","INPUT"),BaseCoalPlants!B153)</f>
        <v>EFF</v>
      </c>
      <c r="D151" t="str">
        <f>IF(BaseCoalPlants!C153="","\I:",BaseCoalPlants!C153&amp;"_LE")</f>
        <v>ECSTMRBUR_LE</v>
      </c>
      <c r="E151" t="str">
        <f>IF(BaseCoalPlants!D153="-","",BaseCoalPlants!D153)</f>
        <v/>
      </c>
      <c r="F151" t="str">
        <f>IF(BaseCoalPlants!E153="-","",BaseCoalPlants!E153)</f>
        <v/>
      </c>
      <c r="G151" t="str">
        <f>IF(BaseCoalPlants!F153="-","",BaseCoalPlants!F153)</f>
        <v>ANNUAL</v>
      </c>
      <c r="H151">
        <f>IF(BaseCoalPlants!G153="-","",BaseCoalPlants!G153)</f>
        <v>1960</v>
      </c>
      <c r="I151" t="str">
        <f>IF(BaseCoalPlants!H153="-","",BaseCoalPlants!H153)</f>
        <v/>
      </c>
      <c r="J151" t="str">
        <f>IF(BaseCoalPlants!I153="-","",BaseCoalPlants!I153)</f>
        <v/>
      </c>
      <c r="K151" t="str">
        <f>IF(BaseCoalPlants!J153="-","",BaseCoalPlants!J153)</f>
        <v/>
      </c>
      <c r="L151" t="str">
        <f>IF(BaseCoalPlants!K153="-","",BaseCoalPlants!K153)</f>
        <v/>
      </c>
      <c r="M151" s="1" t="str">
        <f>IF(BaseCoalPlants!L153=0,"",BaseCoalPlants!L153)</f>
        <v/>
      </c>
      <c r="N151" s="1" t="str">
        <f>IF(BaseCoalPlants!W153=0,"",BaseCoalPlants!W153)</f>
        <v/>
      </c>
      <c r="O151" s="1" t="str">
        <f>IF(BaseCoalPlants!X153=0,"",BaseCoalPlants!X153)</f>
        <v/>
      </c>
      <c r="P151" s="1" t="str">
        <f>IF(BaseCoalPlants!Y153=0,"",BaseCoalPlants!Y153)</f>
        <v/>
      </c>
      <c r="Q151" s="1">
        <f>IF(BaseCoalPlants!Z153=0,"",BaseCoalPlants!Z153)</f>
        <v>0.26851060523657855</v>
      </c>
      <c r="R151" s="1" t="str">
        <f>IF(BaseCoalPlants!AA153=0,"",BaseCoalPlants!AA153)</f>
        <v/>
      </c>
      <c r="S151" s="1">
        <f>IF(BaseCoalPlants!AB153=0,"",BaseCoalPlants!AB153)</f>
        <v>0.30053480586112413</v>
      </c>
      <c r="T151" s="1" t="str">
        <f>IF(BaseCoalPlants!AC153=0,"",BaseCoalPlants!AC153)</f>
        <v/>
      </c>
      <c r="U151" s="1" t="str">
        <f>IF(BaseCoalPlants!AD153=0,"",BaseCoalPlants!AD153)</f>
        <v/>
      </c>
      <c r="V151" s="1" t="str">
        <f>IF(BaseCoalPlants!AE153=0,"",BaseCoalPlants!AE153)</f>
        <v/>
      </c>
    </row>
    <row r="152" spans="3:22" x14ac:dyDescent="0.35">
      <c r="C152" t="str">
        <f>IF(BaseCoalPlants!B154="VDA_FLOP",IF(BaseCoalPlants!D154="ELC","*","INPUT"),BaseCoalPlants!B154)</f>
        <v>EFF</v>
      </c>
      <c r="D152" t="str">
        <f>IF(BaseCoalPlants!C154="","\I:",BaseCoalPlants!C154&amp;"_LE")</f>
        <v>ECSTMRBUR_LE</v>
      </c>
      <c r="E152" t="str">
        <f>IF(BaseCoalPlants!D154="-","",BaseCoalPlants!D154)</f>
        <v/>
      </c>
      <c r="F152" t="str">
        <f>IF(BaseCoalPlants!E154="-","",BaseCoalPlants!E154)</f>
        <v/>
      </c>
      <c r="G152" t="str">
        <f>IF(BaseCoalPlants!F154="-","",BaseCoalPlants!F154)</f>
        <v>ANNUAL</v>
      </c>
      <c r="H152">
        <f>IF(BaseCoalPlants!G154="-","",BaseCoalPlants!G154)</f>
        <v>1961</v>
      </c>
      <c r="I152" t="str">
        <f>IF(BaseCoalPlants!H154="-","",BaseCoalPlants!H154)</f>
        <v/>
      </c>
      <c r="J152" t="str">
        <f>IF(BaseCoalPlants!I154="-","",BaseCoalPlants!I154)</f>
        <v/>
      </c>
      <c r="K152" t="str">
        <f>IF(BaseCoalPlants!J154="-","",BaseCoalPlants!J154)</f>
        <v/>
      </c>
      <c r="L152" t="str">
        <f>IF(BaseCoalPlants!K154="-","",BaseCoalPlants!K154)</f>
        <v/>
      </c>
      <c r="M152" s="1" t="str">
        <f>IF(BaseCoalPlants!L154=0,"",BaseCoalPlants!L154)</f>
        <v/>
      </c>
      <c r="N152" s="1" t="str">
        <f>IF(BaseCoalPlants!W154=0,"",BaseCoalPlants!W154)</f>
        <v/>
      </c>
      <c r="O152" s="1" t="str">
        <f>IF(BaseCoalPlants!X154=0,"",BaseCoalPlants!X154)</f>
        <v/>
      </c>
      <c r="P152" s="1">
        <f>IF(BaseCoalPlants!Y154=0,"",BaseCoalPlants!Y154)</f>
        <v>0.31709086677920351</v>
      </c>
      <c r="Q152" s="1" t="str">
        <f>IF(BaseCoalPlants!Z154=0,"",BaseCoalPlants!Z154)</f>
        <v/>
      </c>
      <c r="R152" s="1" t="str">
        <f>IF(BaseCoalPlants!AA154=0,"",BaseCoalPlants!AA154)</f>
        <v/>
      </c>
      <c r="S152" s="1" t="str">
        <f>IF(BaseCoalPlants!AB154=0,"",BaseCoalPlants!AB154)</f>
        <v/>
      </c>
      <c r="T152" s="1" t="str">
        <f>IF(BaseCoalPlants!AC154=0,"",BaseCoalPlants!AC154)</f>
        <v/>
      </c>
      <c r="U152" s="1">
        <f>IF(BaseCoalPlants!AD154=0,"",BaseCoalPlants!AD154)</f>
        <v>0.23069221013283456</v>
      </c>
      <c r="V152" s="1" t="str">
        <f>IF(BaseCoalPlants!AE154=0,"",BaseCoalPlants!AE154)</f>
        <v/>
      </c>
    </row>
    <row r="153" spans="3:22" x14ac:dyDescent="0.35">
      <c r="C153" t="str">
        <f>IF(BaseCoalPlants!B155="VDA_FLOP",IF(BaseCoalPlants!D155="ELC","*","INPUT"),BaseCoalPlants!B155)</f>
        <v>EFF</v>
      </c>
      <c r="D153" t="str">
        <f>IF(BaseCoalPlants!C155="","\I:",BaseCoalPlants!C155&amp;"_LE")</f>
        <v>ECSTMRBUR_LE</v>
      </c>
      <c r="E153" t="str">
        <f>IF(BaseCoalPlants!D155="-","",BaseCoalPlants!D155)</f>
        <v/>
      </c>
      <c r="F153" t="str">
        <f>IF(BaseCoalPlants!E155="-","",BaseCoalPlants!E155)</f>
        <v/>
      </c>
      <c r="G153" t="str">
        <f>IF(BaseCoalPlants!F155="-","",BaseCoalPlants!F155)</f>
        <v>ANNUAL</v>
      </c>
      <c r="H153">
        <f>IF(BaseCoalPlants!G155="-","",BaseCoalPlants!G155)</f>
        <v>1962</v>
      </c>
      <c r="I153" t="str">
        <f>IF(BaseCoalPlants!H155="-","",BaseCoalPlants!H155)</f>
        <v/>
      </c>
      <c r="J153" t="str">
        <f>IF(BaseCoalPlants!I155="-","",BaseCoalPlants!I155)</f>
        <v/>
      </c>
      <c r="K153" t="str">
        <f>IF(BaseCoalPlants!J155="-","",BaseCoalPlants!J155)</f>
        <v/>
      </c>
      <c r="L153" t="str">
        <f>IF(BaseCoalPlants!K155="-","",BaseCoalPlants!K155)</f>
        <v/>
      </c>
      <c r="M153" s="1" t="str">
        <f>IF(BaseCoalPlants!L155=0,"",BaseCoalPlants!L155)</f>
        <v/>
      </c>
      <c r="N153" s="1" t="str">
        <f>IF(BaseCoalPlants!W155=0,"",BaseCoalPlants!W155)</f>
        <v/>
      </c>
      <c r="O153" s="1" t="str">
        <f>IF(BaseCoalPlants!X155=0,"",BaseCoalPlants!X155)</f>
        <v/>
      </c>
      <c r="P153" s="1" t="str">
        <f>IF(BaseCoalPlants!Y155=0,"",BaseCoalPlants!Y155)</f>
        <v/>
      </c>
      <c r="Q153" s="1" t="str">
        <f>IF(BaseCoalPlants!Z155=0,"",BaseCoalPlants!Z155)</f>
        <v/>
      </c>
      <c r="R153" s="1" t="str">
        <f>IF(BaseCoalPlants!AA155=0,"",BaseCoalPlants!AA155)</f>
        <v/>
      </c>
      <c r="S153" s="1" t="str">
        <f>IF(BaseCoalPlants!AB155=0,"",BaseCoalPlants!AB155)</f>
        <v/>
      </c>
      <c r="T153" s="1" t="str">
        <f>IF(BaseCoalPlants!AC155=0,"",BaseCoalPlants!AC155)</f>
        <v/>
      </c>
      <c r="U153" s="1">
        <f>IF(BaseCoalPlants!AD155=0,"",BaseCoalPlants!AD155)</f>
        <v>0.28145282102296226</v>
      </c>
      <c r="V153" s="1" t="str">
        <f>IF(BaseCoalPlants!AE155=0,"",BaseCoalPlants!AE155)</f>
        <v/>
      </c>
    </row>
    <row r="154" spans="3:22" x14ac:dyDescent="0.35">
      <c r="C154" t="str">
        <f>IF(BaseCoalPlants!B156="VDA_FLOP",IF(BaseCoalPlants!D156="ELC","*","INPUT"),BaseCoalPlants!B156)</f>
        <v>EFF</v>
      </c>
      <c r="D154" t="str">
        <f>IF(BaseCoalPlants!C156="","\I:",BaseCoalPlants!C156&amp;"_LE")</f>
        <v>ECSTMRBUR_LE</v>
      </c>
      <c r="E154" t="str">
        <f>IF(BaseCoalPlants!D156="-","",BaseCoalPlants!D156)</f>
        <v/>
      </c>
      <c r="F154" t="str">
        <f>IF(BaseCoalPlants!E156="-","",BaseCoalPlants!E156)</f>
        <v/>
      </c>
      <c r="G154" t="str">
        <f>IF(BaseCoalPlants!F156="-","",BaseCoalPlants!F156)</f>
        <v>ANNUAL</v>
      </c>
      <c r="H154">
        <f>IF(BaseCoalPlants!G156="-","",BaseCoalPlants!G156)</f>
        <v>1963</v>
      </c>
      <c r="I154" t="str">
        <f>IF(BaseCoalPlants!H156="-","",BaseCoalPlants!H156)</f>
        <v/>
      </c>
      <c r="J154" t="str">
        <f>IF(BaseCoalPlants!I156="-","",BaseCoalPlants!I156)</f>
        <v/>
      </c>
      <c r="K154" t="str">
        <f>IF(BaseCoalPlants!J156="-","",BaseCoalPlants!J156)</f>
        <v/>
      </c>
      <c r="L154" t="str">
        <f>IF(BaseCoalPlants!K156="-","",BaseCoalPlants!K156)</f>
        <v/>
      </c>
      <c r="M154" s="1" t="str">
        <f>IF(BaseCoalPlants!L156=0,"",BaseCoalPlants!L156)</f>
        <v/>
      </c>
      <c r="N154" s="1" t="str">
        <f>IF(BaseCoalPlants!W156=0,"",BaseCoalPlants!W156)</f>
        <v/>
      </c>
      <c r="O154" s="1" t="str">
        <f>IF(BaseCoalPlants!X156=0,"",BaseCoalPlants!X156)</f>
        <v/>
      </c>
      <c r="P154" s="1" t="str">
        <f>IF(BaseCoalPlants!Y156=0,"",BaseCoalPlants!Y156)</f>
        <v/>
      </c>
      <c r="Q154" s="1">
        <f>IF(BaseCoalPlants!Z156=0,"",BaseCoalPlants!Z156)</f>
        <v>0.25998645903859197</v>
      </c>
      <c r="R154" s="1" t="str">
        <f>IF(BaseCoalPlants!AA156=0,"",BaseCoalPlants!AA156)</f>
        <v/>
      </c>
      <c r="S154" s="1" t="str">
        <f>IF(BaseCoalPlants!AB156=0,"",BaseCoalPlants!AB156)</f>
        <v/>
      </c>
      <c r="T154" s="1" t="str">
        <f>IF(BaseCoalPlants!AC156=0,"",BaseCoalPlants!AC156)</f>
        <v/>
      </c>
      <c r="U154" s="1" t="str">
        <f>IF(BaseCoalPlants!AD156=0,"",BaseCoalPlants!AD156)</f>
        <v/>
      </c>
      <c r="V154" s="1" t="str">
        <f>IF(BaseCoalPlants!AE156=0,"",BaseCoalPlants!AE156)</f>
        <v/>
      </c>
    </row>
    <row r="155" spans="3:22" x14ac:dyDescent="0.35">
      <c r="C155" t="str">
        <f>IF(BaseCoalPlants!B157="VDA_FLOP",IF(BaseCoalPlants!D157="ELC","*","INPUT"),BaseCoalPlants!B157)</f>
        <v>EFF</v>
      </c>
      <c r="D155" t="str">
        <f>IF(BaseCoalPlants!C157="","\I:",BaseCoalPlants!C157&amp;"_LE")</f>
        <v>ECSTMRBUR_LE</v>
      </c>
      <c r="E155" t="str">
        <f>IF(BaseCoalPlants!D157="-","",BaseCoalPlants!D157)</f>
        <v/>
      </c>
      <c r="F155" t="str">
        <f>IF(BaseCoalPlants!E157="-","",BaseCoalPlants!E157)</f>
        <v/>
      </c>
      <c r="G155" t="str">
        <f>IF(BaseCoalPlants!F157="-","",BaseCoalPlants!F157)</f>
        <v>ANNUAL</v>
      </c>
      <c r="H155">
        <f>IF(BaseCoalPlants!G157="-","",BaseCoalPlants!G157)</f>
        <v>1965</v>
      </c>
      <c r="I155" t="str">
        <f>IF(BaseCoalPlants!H157="-","",BaseCoalPlants!H157)</f>
        <v/>
      </c>
      <c r="J155" t="str">
        <f>IF(BaseCoalPlants!I157="-","",BaseCoalPlants!I157)</f>
        <v/>
      </c>
      <c r="K155" t="str">
        <f>IF(BaseCoalPlants!J157="-","",BaseCoalPlants!J157)</f>
        <v/>
      </c>
      <c r="L155" t="str">
        <f>IF(BaseCoalPlants!K157="-","",BaseCoalPlants!K157)</f>
        <v/>
      </c>
      <c r="M155" s="1" t="str">
        <f>IF(BaseCoalPlants!L157=0,"",BaseCoalPlants!L157)</f>
        <v/>
      </c>
      <c r="N155" s="1" t="str">
        <f>IF(BaseCoalPlants!W157=0,"",BaseCoalPlants!W157)</f>
        <v/>
      </c>
      <c r="O155" s="1">
        <f>IF(BaseCoalPlants!X157=0,"",BaseCoalPlants!X157)</f>
        <v>0.31709086677920351</v>
      </c>
      <c r="P155" s="1">
        <f>IF(BaseCoalPlants!Y157=0,"",BaseCoalPlants!Y157)</f>
        <v>0.31709086677920351</v>
      </c>
      <c r="Q155" s="1">
        <f>IF(BaseCoalPlants!Z157=0,"",BaseCoalPlants!Z157)</f>
        <v>0.23803439789901598</v>
      </c>
      <c r="R155" s="1" t="str">
        <f>IF(BaseCoalPlants!AA157=0,"",BaseCoalPlants!AA157)</f>
        <v/>
      </c>
      <c r="S155" s="1" t="str">
        <f>IF(BaseCoalPlants!AB157=0,"",BaseCoalPlants!AB157)</f>
        <v/>
      </c>
      <c r="T155" s="1" t="str">
        <f>IF(BaseCoalPlants!AC157=0,"",BaseCoalPlants!AC157)</f>
        <v/>
      </c>
      <c r="U155" s="1" t="str">
        <f>IF(BaseCoalPlants!AD157=0,"",BaseCoalPlants!AD157)</f>
        <v/>
      </c>
      <c r="V155" s="1" t="str">
        <f>IF(BaseCoalPlants!AE157=0,"",BaseCoalPlants!AE157)</f>
        <v/>
      </c>
    </row>
    <row r="156" spans="3:22" x14ac:dyDescent="0.35">
      <c r="C156" t="str">
        <f>IF(BaseCoalPlants!B158="VDA_FLOP",IF(BaseCoalPlants!D158="ELC","*","INPUT"),BaseCoalPlants!B158)</f>
        <v>EFF</v>
      </c>
      <c r="D156" t="str">
        <f>IF(BaseCoalPlants!C158="","\I:",BaseCoalPlants!C158&amp;"_LE")</f>
        <v>ECSTMRBUR_LE</v>
      </c>
      <c r="E156" t="str">
        <f>IF(BaseCoalPlants!D158="-","",BaseCoalPlants!D158)</f>
        <v/>
      </c>
      <c r="F156" t="str">
        <f>IF(BaseCoalPlants!E158="-","",BaseCoalPlants!E158)</f>
        <v/>
      </c>
      <c r="G156" t="str">
        <f>IF(BaseCoalPlants!F158="-","",BaseCoalPlants!F158)</f>
        <v>ANNUAL</v>
      </c>
      <c r="H156">
        <f>IF(BaseCoalPlants!G158="-","",BaseCoalPlants!G158)</f>
        <v>1966</v>
      </c>
      <c r="I156" t="str">
        <f>IF(BaseCoalPlants!H158="-","",BaseCoalPlants!H158)</f>
        <v/>
      </c>
      <c r="J156" t="str">
        <f>IF(BaseCoalPlants!I158="-","",BaseCoalPlants!I158)</f>
        <v/>
      </c>
      <c r="K156" t="str">
        <f>IF(BaseCoalPlants!J158="-","",BaseCoalPlants!J158)</f>
        <v/>
      </c>
      <c r="L156" t="str">
        <f>IF(BaseCoalPlants!K158="-","",BaseCoalPlants!K158)</f>
        <v/>
      </c>
      <c r="M156" s="1" t="str">
        <f>IF(BaseCoalPlants!L158=0,"",BaseCoalPlants!L158)</f>
        <v/>
      </c>
      <c r="N156" s="1" t="str">
        <f>IF(BaseCoalPlants!W158=0,"",BaseCoalPlants!W158)</f>
        <v/>
      </c>
      <c r="O156" s="1" t="str">
        <f>IF(BaseCoalPlants!X158=0,"",BaseCoalPlants!X158)</f>
        <v/>
      </c>
      <c r="P156" s="1" t="str">
        <f>IF(BaseCoalPlants!Y158=0,"",BaseCoalPlants!Y158)</f>
        <v/>
      </c>
      <c r="Q156" s="1" t="str">
        <f>IF(BaseCoalPlants!Z158=0,"",BaseCoalPlants!Z158)</f>
        <v/>
      </c>
      <c r="R156" s="1" t="str">
        <f>IF(BaseCoalPlants!AA158=0,"",BaseCoalPlants!AA158)</f>
        <v/>
      </c>
      <c r="S156" s="1">
        <f>IF(BaseCoalPlants!AB158=0,"",BaseCoalPlants!AB158)</f>
        <v>0.27335024898917376</v>
      </c>
      <c r="T156" s="1" t="str">
        <f>IF(BaseCoalPlants!AC158=0,"",BaseCoalPlants!AC158)</f>
        <v/>
      </c>
      <c r="U156" s="1" t="str">
        <f>IF(BaseCoalPlants!AD158=0,"",BaseCoalPlants!AD158)</f>
        <v/>
      </c>
      <c r="V156" s="1" t="str">
        <f>IF(BaseCoalPlants!AE158=0,"",BaseCoalPlants!AE158)</f>
        <v/>
      </c>
    </row>
    <row r="157" spans="3:22" x14ac:dyDescent="0.35">
      <c r="C157" t="str">
        <f>IF(BaseCoalPlants!B159="VDA_FLOP",IF(BaseCoalPlants!D159="ELC","*","INPUT"),BaseCoalPlants!B159)</f>
        <v>EFF</v>
      </c>
      <c r="D157" t="str">
        <f>IF(BaseCoalPlants!C159="","\I:",BaseCoalPlants!C159&amp;"_LE")</f>
        <v>ECSTMRBUR_LE</v>
      </c>
      <c r="E157" t="str">
        <f>IF(BaseCoalPlants!D159="-","",BaseCoalPlants!D159)</f>
        <v/>
      </c>
      <c r="F157" t="str">
        <f>IF(BaseCoalPlants!E159="-","",BaseCoalPlants!E159)</f>
        <v/>
      </c>
      <c r="G157" t="str">
        <f>IF(BaseCoalPlants!F159="-","",BaseCoalPlants!F159)</f>
        <v>ANNUAL</v>
      </c>
      <c r="H157">
        <f>IF(BaseCoalPlants!G159="-","",BaseCoalPlants!G159)</f>
        <v>1967</v>
      </c>
      <c r="I157" t="str">
        <f>IF(BaseCoalPlants!H159="-","",BaseCoalPlants!H159)</f>
        <v/>
      </c>
      <c r="J157" t="str">
        <f>IF(BaseCoalPlants!I159="-","",BaseCoalPlants!I159)</f>
        <v/>
      </c>
      <c r="K157" t="str">
        <f>IF(BaseCoalPlants!J159="-","",BaseCoalPlants!J159)</f>
        <v/>
      </c>
      <c r="L157" t="str">
        <f>IF(BaseCoalPlants!K159="-","",BaseCoalPlants!K159)</f>
        <v/>
      </c>
      <c r="M157" s="1" t="str">
        <f>IF(BaseCoalPlants!L159=0,"",BaseCoalPlants!L159)</f>
        <v/>
      </c>
      <c r="N157" s="1" t="str">
        <f>IF(BaseCoalPlants!W159=0,"",BaseCoalPlants!W159)</f>
        <v/>
      </c>
      <c r="O157" s="1" t="str">
        <f>IF(BaseCoalPlants!X159=0,"",BaseCoalPlants!X159)</f>
        <v/>
      </c>
      <c r="P157" s="1" t="str">
        <f>IF(BaseCoalPlants!Y159=0,"",BaseCoalPlants!Y159)</f>
        <v/>
      </c>
      <c r="Q157" s="1" t="str">
        <f>IF(BaseCoalPlants!Z159=0,"",BaseCoalPlants!Z159)</f>
        <v/>
      </c>
      <c r="R157" s="1" t="str">
        <f>IF(BaseCoalPlants!AA159=0,"",BaseCoalPlants!AA159)</f>
        <v/>
      </c>
      <c r="S157" s="1">
        <f>IF(BaseCoalPlants!AB159=0,"",BaseCoalPlants!AB159)</f>
        <v>0.30053480586112413</v>
      </c>
      <c r="T157" s="1" t="str">
        <f>IF(BaseCoalPlants!AC159=0,"",BaseCoalPlants!AC159)</f>
        <v/>
      </c>
      <c r="U157" s="1" t="str">
        <f>IF(BaseCoalPlants!AD159=0,"",BaseCoalPlants!AD159)</f>
        <v/>
      </c>
      <c r="V157" s="1" t="str">
        <f>IF(BaseCoalPlants!AE159=0,"",BaseCoalPlants!AE159)</f>
        <v/>
      </c>
    </row>
    <row r="158" spans="3:22" x14ac:dyDescent="0.35">
      <c r="C158" t="str">
        <f>IF(BaseCoalPlants!B160="VDA_FLOP",IF(BaseCoalPlants!D160="ELC","*","INPUT"),BaseCoalPlants!B160)</f>
        <v>EFF</v>
      </c>
      <c r="D158" t="str">
        <f>IF(BaseCoalPlants!C160="","\I:",BaseCoalPlants!C160&amp;"_LE")</f>
        <v>ECSTMRBUR_LE</v>
      </c>
      <c r="E158" t="str">
        <f>IF(BaseCoalPlants!D160="-","",BaseCoalPlants!D160)</f>
        <v/>
      </c>
      <c r="F158" t="str">
        <f>IF(BaseCoalPlants!E160="-","",BaseCoalPlants!E160)</f>
        <v/>
      </c>
      <c r="G158" t="str">
        <f>IF(BaseCoalPlants!F160="-","",BaseCoalPlants!F160)</f>
        <v>ANNUAL</v>
      </c>
      <c r="H158">
        <f>IF(BaseCoalPlants!G160="-","",BaseCoalPlants!G160)</f>
        <v>1968</v>
      </c>
      <c r="I158" t="str">
        <f>IF(BaseCoalPlants!H160="-","",BaseCoalPlants!H160)</f>
        <v/>
      </c>
      <c r="J158" t="str">
        <f>IF(BaseCoalPlants!I160="-","",BaseCoalPlants!I160)</f>
        <v/>
      </c>
      <c r="K158" t="str">
        <f>IF(BaseCoalPlants!J160="-","",BaseCoalPlants!J160)</f>
        <v/>
      </c>
      <c r="L158" t="str">
        <f>IF(BaseCoalPlants!K160="-","",BaseCoalPlants!K160)</f>
        <v/>
      </c>
      <c r="M158" s="1" t="str">
        <f>IF(BaseCoalPlants!L160=0,"",BaseCoalPlants!L160)</f>
        <v/>
      </c>
      <c r="N158" s="1" t="str">
        <f>IF(BaseCoalPlants!W160=0,"",BaseCoalPlants!W160)</f>
        <v/>
      </c>
      <c r="O158" s="1" t="str">
        <f>IF(BaseCoalPlants!X160=0,"",BaseCoalPlants!X160)</f>
        <v/>
      </c>
      <c r="P158" s="1">
        <f>IF(BaseCoalPlants!Y160=0,"",BaseCoalPlants!Y160)</f>
        <v>0.24821837804123134</v>
      </c>
      <c r="Q158" s="1" t="str">
        <f>IF(BaseCoalPlants!Z160=0,"",BaseCoalPlants!Z160)</f>
        <v/>
      </c>
      <c r="R158" s="1" t="str">
        <f>IF(BaseCoalPlants!AA160=0,"",BaseCoalPlants!AA160)</f>
        <v/>
      </c>
      <c r="S158" s="1" t="str">
        <f>IF(BaseCoalPlants!AB160=0,"",BaseCoalPlants!AB160)</f>
        <v/>
      </c>
      <c r="T158" s="1" t="str">
        <f>IF(BaseCoalPlants!AC160=0,"",BaseCoalPlants!AC160)</f>
        <v/>
      </c>
      <c r="U158" s="1">
        <f>IF(BaseCoalPlants!AD160=0,"",BaseCoalPlants!AD160)</f>
        <v>0.2739904135067126</v>
      </c>
      <c r="V158" s="1" t="str">
        <f>IF(BaseCoalPlants!AE160=0,"",BaseCoalPlants!AE160)</f>
        <v/>
      </c>
    </row>
    <row r="159" spans="3:22" x14ac:dyDescent="0.35">
      <c r="C159" t="str">
        <f>IF(BaseCoalPlants!B161="VDA_FLOP",IF(BaseCoalPlants!D161="ELC","*","INPUT"),BaseCoalPlants!B161)</f>
        <v>EFF</v>
      </c>
      <c r="D159" t="str">
        <f>IF(BaseCoalPlants!C161="","\I:",BaseCoalPlants!C161&amp;"_LE")</f>
        <v>ECSTMRBUR_LE</v>
      </c>
      <c r="E159" t="str">
        <f>IF(BaseCoalPlants!D161="-","",BaseCoalPlants!D161)</f>
        <v/>
      </c>
      <c r="F159" t="str">
        <f>IF(BaseCoalPlants!E161="-","",BaseCoalPlants!E161)</f>
        <v/>
      </c>
      <c r="G159" t="str">
        <f>IF(BaseCoalPlants!F161="-","",BaseCoalPlants!F161)</f>
        <v>ANNUAL</v>
      </c>
      <c r="H159">
        <f>IF(BaseCoalPlants!G161="-","",BaseCoalPlants!G161)</f>
        <v>1970</v>
      </c>
      <c r="I159" t="str">
        <f>IF(BaseCoalPlants!H161="-","",BaseCoalPlants!H161)</f>
        <v/>
      </c>
      <c r="J159" t="str">
        <f>IF(BaseCoalPlants!I161="-","",BaseCoalPlants!I161)</f>
        <v/>
      </c>
      <c r="K159" t="str">
        <f>IF(BaseCoalPlants!J161="-","",BaseCoalPlants!J161)</f>
        <v/>
      </c>
      <c r="L159" t="str">
        <f>IF(BaseCoalPlants!K161="-","",BaseCoalPlants!K161)</f>
        <v/>
      </c>
      <c r="M159" s="1" t="str">
        <f>IF(BaseCoalPlants!L161=0,"",BaseCoalPlants!L161)</f>
        <v/>
      </c>
      <c r="N159" s="1" t="str">
        <f>IF(BaseCoalPlants!W161=0,"",BaseCoalPlants!W161)</f>
        <v/>
      </c>
      <c r="O159" s="1">
        <f>IF(BaseCoalPlants!X161=0,"",BaseCoalPlants!X161)</f>
        <v>0.22782038972711999</v>
      </c>
      <c r="P159" s="1" t="str">
        <f>IF(BaseCoalPlants!Y161=0,"",BaseCoalPlants!Y161)</f>
        <v/>
      </c>
      <c r="Q159" s="1" t="str">
        <f>IF(BaseCoalPlants!Z161=0,"",BaseCoalPlants!Z161)</f>
        <v/>
      </c>
      <c r="R159" s="1" t="str">
        <f>IF(BaseCoalPlants!AA161=0,"",BaseCoalPlants!AA161)</f>
        <v/>
      </c>
      <c r="S159" s="1" t="str">
        <f>IF(BaseCoalPlants!AB161=0,"",BaseCoalPlants!AB161)</f>
        <v/>
      </c>
      <c r="T159" s="1" t="str">
        <f>IF(BaseCoalPlants!AC161=0,"",BaseCoalPlants!AC161)</f>
        <v/>
      </c>
      <c r="U159" s="1" t="str">
        <f>IF(BaseCoalPlants!AD161=0,"",BaseCoalPlants!AD161)</f>
        <v/>
      </c>
      <c r="V159" s="1" t="str">
        <f>IF(BaseCoalPlants!AE161=0,"",BaseCoalPlants!AE161)</f>
        <v/>
      </c>
    </row>
    <row r="160" spans="3:22" x14ac:dyDescent="0.35">
      <c r="C160" t="str">
        <f>IF(BaseCoalPlants!B162="VDA_FLOP",IF(BaseCoalPlants!D162="ELC","*","INPUT"),BaseCoalPlants!B162)</f>
        <v>EFF</v>
      </c>
      <c r="D160" t="str">
        <f>IF(BaseCoalPlants!C162="","\I:",BaseCoalPlants!C162&amp;"_LE")</f>
        <v>ECSTMRBUR_LE</v>
      </c>
      <c r="E160" t="str">
        <f>IF(BaseCoalPlants!D162="-","",BaseCoalPlants!D162)</f>
        <v/>
      </c>
      <c r="F160" t="str">
        <f>IF(BaseCoalPlants!E162="-","",BaseCoalPlants!E162)</f>
        <v/>
      </c>
      <c r="G160" t="str">
        <f>IF(BaseCoalPlants!F162="-","",BaseCoalPlants!F162)</f>
        <v>ANNUAL</v>
      </c>
      <c r="H160">
        <f>IF(BaseCoalPlants!G162="-","",BaseCoalPlants!G162)</f>
        <v>1971</v>
      </c>
      <c r="I160" t="str">
        <f>IF(BaseCoalPlants!H162="-","",BaseCoalPlants!H162)</f>
        <v/>
      </c>
      <c r="J160" t="str">
        <f>IF(BaseCoalPlants!I162="-","",BaseCoalPlants!I162)</f>
        <v/>
      </c>
      <c r="K160" t="str">
        <f>IF(BaseCoalPlants!J162="-","",BaseCoalPlants!J162)</f>
        <v/>
      </c>
      <c r="L160" t="str">
        <f>IF(BaseCoalPlants!K162="-","",BaseCoalPlants!K162)</f>
        <v/>
      </c>
      <c r="M160" s="1" t="str">
        <f>IF(BaseCoalPlants!L162=0,"",BaseCoalPlants!L162)</f>
        <v/>
      </c>
      <c r="N160" s="1" t="str">
        <f>IF(BaseCoalPlants!W162=0,"",BaseCoalPlants!W162)</f>
        <v/>
      </c>
      <c r="O160" s="1" t="str">
        <f>IF(BaseCoalPlants!X162=0,"",BaseCoalPlants!X162)</f>
        <v/>
      </c>
      <c r="P160" s="1">
        <f>IF(BaseCoalPlants!Y162=0,"",BaseCoalPlants!Y162)</f>
        <v>0.31709086677920351</v>
      </c>
      <c r="Q160" s="1">
        <f>IF(BaseCoalPlants!Z162=0,"",BaseCoalPlants!Z162)</f>
        <v>0.24021627805868256</v>
      </c>
      <c r="R160" s="1" t="str">
        <f>IF(BaseCoalPlants!AA162=0,"",BaseCoalPlants!AA162)</f>
        <v/>
      </c>
      <c r="S160" s="1" t="str">
        <f>IF(BaseCoalPlants!AB162=0,"",BaseCoalPlants!AB162)</f>
        <v/>
      </c>
      <c r="T160" s="1" t="str">
        <f>IF(BaseCoalPlants!AC162=0,"",BaseCoalPlants!AC162)</f>
        <v/>
      </c>
      <c r="U160" s="1" t="str">
        <f>IF(BaseCoalPlants!AD162=0,"",BaseCoalPlants!AD162)</f>
        <v/>
      </c>
      <c r="V160" s="1" t="str">
        <f>IF(BaseCoalPlants!AE162=0,"",BaseCoalPlants!AE162)</f>
        <v/>
      </c>
    </row>
    <row r="161" spans="3:22" x14ac:dyDescent="0.35">
      <c r="C161" t="str">
        <f>IF(BaseCoalPlants!B163="VDA_FLOP",IF(BaseCoalPlants!D163="ELC","*","INPUT"),BaseCoalPlants!B163)</f>
        <v>EFF</v>
      </c>
      <c r="D161" t="str">
        <f>IF(BaseCoalPlants!C163="","\I:",BaseCoalPlants!C163&amp;"_LE")</f>
        <v>ECSTMRBUR_LE</v>
      </c>
      <c r="E161" t="str">
        <f>IF(BaseCoalPlants!D163="-","",BaseCoalPlants!D163)</f>
        <v/>
      </c>
      <c r="F161" t="str">
        <f>IF(BaseCoalPlants!E163="-","",BaseCoalPlants!E163)</f>
        <v/>
      </c>
      <c r="G161" t="str">
        <f>IF(BaseCoalPlants!F163="-","",BaseCoalPlants!F163)</f>
        <v>ANNUAL</v>
      </c>
      <c r="H161">
        <f>IF(BaseCoalPlants!G163="-","",BaseCoalPlants!G163)</f>
        <v>1973</v>
      </c>
      <c r="I161" t="str">
        <f>IF(BaseCoalPlants!H163="-","",BaseCoalPlants!H163)</f>
        <v/>
      </c>
      <c r="J161" t="str">
        <f>IF(BaseCoalPlants!I163="-","",BaseCoalPlants!I163)</f>
        <v/>
      </c>
      <c r="K161" t="str">
        <f>IF(BaseCoalPlants!J163="-","",BaseCoalPlants!J163)</f>
        <v/>
      </c>
      <c r="L161" t="str">
        <f>IF(BaseCoalPlants!K163="-","",BaseCoalPlants!K163)</f>
        <v/>
      </c>
      <c r="M161" s="1" t="str">
        <f>IF(BaseCoalPlants!L163=0,"",BaseCoalPlants!L163)</f>
        <v/>
      </c>
      <c r="N161" s="1" t="str">
        <f>IF(BaseCoalPlants!W163=0,"",BaseCoalPlants!W163)</f>
        <v/>
      </c>
      <c r="O161" s="1" t="str">
        <f>IF(BaseCoalPlants!X163=0,"",BaseCoalPlants!X163)</f>
        <v/>
      </c>
      <c r="P161" s="1">
        <f>IF(BaseCoalPlants!Y163=0,"",BaseCoalPlants!Y163)</f>
        <v>0.27784529622143422</v>
      </c>
      <c r="Q161" s="1">
        <f>IF(BaseCoalPlants!Z163=0,"",BaseCoalPlants!Z163)</f>
        <v>0.24756872610990432</v>
      </c>
      <c r="R161" s="1" t="str">
        <f>IF(BaseCoalPlants!AA163=0,"",BaseCoalPlants!AA163)</f>
        <v/>
      </c>
      <c r="S161" s="1" t="str">
        <f>IF(BaseCoalPlants!AB163=0,"",BaseCoalPlants!AB163)</f>
        <v/>
      </c>
      <c r="T161" s="1" t="str">
        <f>IF(BaseCoalPlants!AC163=0,"",BaseCoalPlants!AC163)</f>
        <v/>
      </c>
      <c r="U161" s="1" t="str">
        <f>IF(BaseCoalPlants!AD163=0,"",BaseCoalPlants!AD163)</f>
        <v/>
      </c>
      <c r="V161" s="1" t="str">
        <f>IF(BaseCoalPlants!AE163=0,"",BaseCoalPlants!AE163)</f>
        <v/>
      </c>
    </row>
    <row r="162" spans="3:22" x14ac:dyDescent="0.35">
      <c r="C162" t="str">
        <f>IF(BaseCoalPlants!B164="VDA_FLOP",IF(BaseCoalPlants!D164="ELC","*","INPUT"),BaseCoalPlants!B164)</f>
        <v>EFF</v>
      </c>
      <c r="D162" t="str">
        <f>IF(BaseCoalPlants!C164="","\I:",BaseCoalPlants!C164&amp;"_LE")</f>
        <v>ECSTMRBUR_LE</v>
      </c>
      <c r="E162" t="str">
        <f>IF(BaseCoalPlants!D164="-","",BaseCoalPlants!D164)</f>
        <v/>
      </c>
      <c r="F162" t="str">
        <f>IF(BaseCoalPlants!E164="-","",BaseCoalPlants!E164)</f>
        <v/>
      </c>
      <c r="G162" t="str">
        <f>IF(BaseCoalPlants!F164="-","",BaseCoalPlants!F164)</f>
        <v>ANNUAL</v>
      </c>
      <c r="H162">
        <f>IF(BaseCoalPlants!G164="-","",BaseCoalPlants!G164)</f>
        <v>1976</v>
      </c>
      <c r="I162" t="str">
        <f>IF(BaseCoalPlants!H164="-","",BaseCoalPlants!H164)</f>
        <v/>
      </c>
      <c r="J162" t="str">
        <f>IF(BaseCoalPlants!I164="-","",BaseCoalPlants!I164)</f>
        <v/>
      </c>
      <c r="K162" t="str">
        <f>IF(BaseCoalPlants!J164="-","",BaseCoalPlants!J164)</f>
        <v/>
      </c>
      <c r="L162" t="str">
        <f>IF(BaseCoalPlants!K164="-","",BaseCoalPlants!K164)</f>
        <v/>
      </c>
      <c r="M162" s="1" t="str">
        <f>IF(BaseCoalPlants!L164=0,"",BaseCoalPlants!L164)</f>
        <v/>
      </c>
      <c r="N162" s="1" t="str">
        <f>IF(BaseCoalPlants!W164=0,"",BaseCoalPlants!W164)</f>
        <v/>
      </c>
      <c r="O162" s="1" t="str">
        <f>IF(BaseCoalPlants!X164=0,"",BaseCoalPlants!X164)</f>
        <v/>
      </c>
      <c r="P162" s="1" t="str">
        <f>IF(BaseCoalPlants!Y164=0,"",BaseCoalPlants!Y164)</f>
        <v/>
      </c>
      <c r="Q162" s="1" t="str">
        <f>IF(BaseCoalPlants!Z164=0,"",BaseCoalPlants!Z164)</f>
        <v/>
      </c>
      <c r="R162" s="1" t="str">
        <f>IF(BaseCoalPlants!AA164=0,"",BaseCoalPlants!AA164)</f>
        <v/>
      </c>
      <c r="S162" s="1" t="str">
        <f>IF(BaseCoalPlants!AB164=0,"",BaseCoalPlants!AB164)</f>
        <v/>
      </c>
      <c r="T162" s="1" t="str">
        <f>IF(BaseCoalPlants!AC164=0,"",BaseCoalPlants!AC164)</f>
        <v/>
      </c>
      <c r="U162" s="1">
        <f>IF(BaseCoalPlants!AD164=0,"",BaseCoalPlants!AD164)</f>
        <v>0.30303908882649983</v>
      </c>
      <c r="V162" s="1" t="str">
        <f>IF(BaseCoalPlants!AE164=0,"",BaseCoalPlants!AE164)</f>
        <v/>
      </c>
    </row>
    <row r="163" spans="3:22" x14ac:dyDescent="0.35">
      <c r="C163" t="str">
        <f>IF(BaseCoalPlants!B165="VDA_FLOP",IF(BaseCoalPlants!D165="ELC","*","INPUT"),BaseCoalPlants!B165)</f>
        <v>EFF</v>
      </c>
      <c r="D163" t="str">
        <f>IF(BaseCoalPlants!C165="","\I:",BaseCoalPlants!C165&amp;"_LE")</f>
        <v>ECSTMRBUR_LE</v>
      </c>
      <c r="E163" t="str">
        <f>IF(BaseCoalPlants!D165="-","",BaseCoalPlants!D165)</f>
        <v/>
      </c>
      <c r="F163" t="str">
        <f>IF(BaseCoalPlants!E165="-","",BaseCoalPlants!E165)</f>
        <v/>
      </c>
      <c r="G163" t="str">
        <f>IF(BaseCoalPlants!F165="-","",BaseCoalPlants!F165)</f>
        <v>ANNUAL</v>
      </c>
      <c r="H163">
        <f>IF(BaseCoalPlants!G165="-","",BaseCoalPlants!G165)</f>
        <v>1978</v>
      </c>
      <c r="I163" t="str">
        <f>IF(BaseCoalPlants!H165="-","",BaseCoalPlants!H165)</f>
        <v/>
      </c>
      <c r="J163" t="str">
        <f>IF(BaseCoalPlants!I165="-","",BaseCoalPlants!I165)</f>
        <v/>
      </c>
      <c r="K163" t="str">
        <f>IF(BaseCoalPlants!J165="-","",BaseCoalPlants!J165)</f>
        <v/>
      </c>
      <c r="L163" t="str">
        <f>IF(BaseCoalPlants!K165="-","",BaseCoalPlants!K165)</f>
        <v/>
      </c>
      <c r="M163" s="1" t="str">
        <f>IF(BaseCoalPlants!L165=0,"",BaseCoalPlants!L165)</f>
        <v/>
      </c>
      <c r="N163" s="1" t="str">
        <f>IF(BaseCoalPlants!W165=0,"",BaseCoalPlants!W165)</f>
        <v/>
      </c>
      <c r="O163" s="1" t="str">
        <f>IF(BaseCoalPlants!X165=0,"",BaseCoalPlants!X165)</f>
        <v/>
      </c>
      <c r="P163" s="1" t="str">
        <f>IF(BaseCoalPlants!Y165=0,"",BaseCoalPlants!Y165)</f>
        <v/>
      </c>
      <c r="Q163" s="1" t="str">
        <f>IF(BaseCoalPlants!Z165=0,"",BaseCoalPlants!Z165)</f>
        <v/>
      </c>
      <c r="R163" s="1" t="str">
        <f>IF(BaseCoalPlants!AA165=0,"",BaseCoalPlants!AA165)</f>
        <v/>
      </c>
      <c r="S163" s="1" t="str">
        <f>IF(BaseCoalPlants!AB165=0,"",BaseCoalPlants!AB165)</f>
        <v/>
      </c>
      <c r="T163" s="1" t="str">
        <f>IF(BaseCoalPlants!AC165=0,"",BaseCoalPlants!AC165)</f>
        <v/>
      </c>
      <c r="U163" s="1" t="str">
        <f>IF(BaseCoalPlants!AD165=0,"",BaseCoalPlants!AD165)</f>
        <v/>
      </c>
      <c r="V163" s="1">
        <f>IF(BaseCoalPlants!AE165=0,"",BaseCoalPlants!AE165)</f>
        <v>0.31709086677920351</v>
      </c>
    </row>
    <row r="164" spans="3:22" x14ac:dyDescent="0.35">
      <c r="C164" t="str">
        <f>IF(BaseCoalPlants!B166="VDA_FLOP",IF(BaseCoalPlants!D166="ELC","*","INPUT"),BaseCoalPlants!B166)</f>
        <v>EFF</v>
      </c>
      <c r="D164" t="str">
        <f>IF(BaseCoalPlants!C166="","\I:",BaseCoalPlants!C166&amp;"_LE")</f>
        <v>ECSTMRBUR_LE</v>
      </c>
      <c r="E164" t="str">
        <f>IF(BaseCoalPlants!D166="-","",BaseCoalPlants!D166)</f>
        <v/>
      </c>
      <c r="F164" t="str">
        <f>IF(BaseCoalPlants!E166="-","",BaseCoalPlants!E166)</f>
        <v/>
      </c>
      <c r="G164" t="str">
        <f>IF(BaseCoalPlants!F166="-","",BaseCoalPlants!F166)</f>
        <v>ANNUAL</v>
      </c>
      <c r="H164">
        <f>IF(BaseCoalPlants!G166="-","",BaseCoalPlants!G166)</f>
        <v>1982</v>
      </c>
      <c r="I164" t="str">
        <f>IF(BaseCoalPlants!H166="-","",BaseCoalPlants!H166)</f>
        <v/>
      </c>
      <c r="J164" t="str">
        <f>IF(BaseCoalPlants!I166="-","",BaseCoalPlants!I166)</f>
        <v/>
      </c>
      <c r="K164" t="str">
        <f>IF(BaseCoalPlants!J166="-","",BaseCoalPlants!J166)</f>
        <v/>
      </c>
      <c r="L164" t="str">
        <f>IF(BaseCoalPlants!K166="-","",BaseCoalPlants!K166)</f>
        <v/>
      </c>
      <c r="M164" s="1" t="str">
        <f>IF(BaseCoalPlants!L166=0,"",BaseCoalPlants!L166)</f>
        <v/>
      </c>
      <c r="N164" s="1" t="str">
        <f>IF(BaseCoalPlants!W166=0,"",BaseCoalPlants!W166)</f>
        <v/>
      </c>
      <c r="O164" s="1" t="str">
        <f>IF(BaseCoalPlants!X166=0,"",BaseCoalPlants!X166)</f>
        <v/>
      </c>
      <c r="P164" s="1">
        <f>IF(BaseCoalPlants!Y166=0,"",BaseCoalPlants!Y166)</f>
        <v>0.279985417426176</v>
      </c>
      <c r="Q164" s="1" t="str">
        <f>IF(BaseCoalPlants!Z166=0,"",BaseCoalPlants!Z166)</f>
        <v/>
      </c>
      <c r="R164" s="1" t="str">
        <f>IF(BaseCoalPlants!AA166=0,"",BaseCoalPlants!AA166)</f>
        <v/>
      </c>
      <c r="S164" s="1" t="str">
        <f>IF(BaseCoalPlants!AB166=0,"",BaseCoalPlants!AB166)</f>
        <v/>
      </c>
      <c r="T164" s="1" t="str">
        <f>IF(BaseCoalPlants!AC166=0,"",BaseCoalPlants!AC166)</f>
        <v/>
      </c>
      <c r="U164" s="1" t="str">
        <f>IF(BaseCoalPlants!AD166=0,"",BaseCoalPlants!AD166)</f>
        <v/>
      </c>
      <c r="V164" s="1" t="str">
        <f>IF(BaseCoalPlants!AE166=0,"",BaseCoalPlants!AE166)</f>
        <v/>
      </c>
    </row>
    <row r="165" spans="3:22" x14ac:dyDescent="0.35">
      <c r="C165" t="str">
        <f>IF(BaseCoalPlants!B167="VDA_FLOP",IF(BaseCoalPlants!D167="ELC","*","INPUT"),BaseCoalPlants!B167)</f>
        <v>EFF</v>
      </c>
      <c r="D165" t="str">
        <f>IF(BaseCoalPlants!C167="","\I:",BaseCoalPlants!C167&amp;"_LE")</f>
        <v>ECSTMRBUR_LE</v>
      </c>
      <c r="E165" t="str">
        <f>IF(BaseCoalPlants!D167="-","",BaseCoalPlants!D167)</f>
        <v/>
      </c>
      <c r="F165" t="str">
        <f>IF(BaseCoalPlants!E167="-","",BaseCoalPlants!E167)</f>
        <v/>
      </c>
      <c r="G165" t="str">
        <f>IF(BaseCoalPlants!F167="-","",BaseCoalPlants!F167)</f>
        <v>ANNUAL</v>
      </c>
      <c r="H165">
        <f>IF(BaseCoalPlants!G167="-","",BaseCoalPlants!G167)</f>
        <v>1983</v>
      </c>
      <c r="I165" t="str">
        <f>IF(BaseCoalPlants!H167="-","",BaseCoalPlants!H167)</f>
        <v/>
      </c>
      <c r="J165" t="str">
        <f>IF(BaseCoalPlants!I167="-","",BaseCoalPlants!I167)</f>
        <v/>
      </c>
      <c r="K165" t="str">
        <f>IF(BaseCoalPlants!J167="-","",BaseCoalPlants!J167)</f>
        <v/>
      </c>
      <c r="L165" t="str">
        <f>IF(BaseCoalPlants!K167="-","",BaseCoalPlants!K167)</f>
        <v/>
      </c>
      <c r="M165" s="1" t="str">
        <f>IF(BaseCoalPlants!L167=0,"",BaseCoalPlants!L167)</f>
        <v/>
      </c>
      <c r="N165" s="1" t="str">
        <f>IF(BaseCoalPlants!W167=0,"",BaseCoalPlants!W167)</f>
        <v/>
      </c>
      <c r="O165" s="1" t="str">
        <f>IF(BaseCoalPlants!X167=0,"",BaseCoalPlants!X167)</f>
        <v/>
      </c>
      <c r="P165" s="1" t="str">
        <f>IF(BaseCoalPlants!Y167=0,"",BaseCoalPlants!Y167)</f>
        <v/>
      </c>
      <c r="Q165" s="1" t="str">
        <f>IF(BaseCoalPlants!Z167=0,"",BaseCoalPlants!Z167)</f>
        <v/>
      </c>
      <c r="R165" s="1" t="str">
        <f>IF(BaseCoalPlants!AA167=0,"",BaseCoalPlants!AA167)</f>
        <v/>
      </c>
      <c r="S165" s="1" t="str">
        <f>IF(BaseCoalPlants!AB167=0,"",BaseCoalPlants!AB167)</f>
        <v/>
      </c>
      <c r="T165" s="1" t="str">
        <f>IF(BaseCoalPlants!AC167=0,"",BaseCoalPlants!AC167)</f>
        <v/>
      </c>
      <c r="U165" s="1" t="str">
        <f>IF(BaseCoalPlants!AD167=0,"",BaseCoalPlants!AD167)</f>
        <v/>
      </c>
      <c r="V165" s="1">
        <f>IF(BaseCoalPlants!AE167=0,"",BaseCoalPlants!AE167)</f>
        <v>0.31709086677920351</v>
      </c>
    </row>
    <row r="166" spans="3:22" x14ac:dyDescent="0.35">
      <c r="C166" t="str">
        <f>IF(BaseCoalPlants!B168="VDA_FLOP",IF(BaseCoalPlants!D168="ELC","*","INPUT"),BaseCoalPlants!B168)</f>
        <v>EFF</v>
      </c>
      <c r="D166" t="str">
        <f>IF(BaseCoalPlants!C168="","\I:",BaseCoalPlants!C168&amp;"_LE")</f>
        <v>ECSTMRBUR_LE</v>
      </c>
      <c r="E166" t="str">
        <f>IF(BaseCoalPlants!D168="-","",BaseCoalPlants!D168)</f>
        <v/>
      </c>
      <c r="F166" t="str">
        <f>IF(BaseCoalPlants!E168="-","",BaseCoalPlants!E168)</f>
        <v/>
      </c>
      <c r="G166" t="str">
        <f>IF(BaseCoalPlants!F168="-","",BaseCoalPlants!F168)</f>
        <v>ANNUAL</v>
      </c>
      <c r="H166">
        <f>IF(BaseCoalPlants!G168="-","",BaseCoalPlants!G168)</f>
        <v>1985</v>
      </c>
      <c r="I166" t="str">
        <f>IF(BaseCoalPlants!H168="-","",BaseCoalPlants!H168)</f>
        <v/>
      </c>
      <c r="J166" t="str">
        <f>IF(BaseCoalPlants!I168="-","",BaseCoalPlants!I168)</f>
        <v/>
      </c>
      <c r="K166" t="str">
        <f>IF(BaseCoalPlants!J168="-","",BaseCoalPlants!J168)</f>
        <v/>
      </c>
      <c r="L166" t="str">
        <f>IF(BaseCoalPlants!K168="-","",BaseCoalPlants!K168)</f>
        <v/>
      </c>
      <c r="M166" s="1" t="str">
        <f>IF(BaseCoalPlants!L168=0,"",BaseCoalPlants!L168)</f>
        <v/>
      </c>
      <c r="N166" s="1" t="str">
        <f>IF(BaseCoalPlants!W168=0,"",BaseCoalPlants!W168)</f>
        <v/>
      </c>
      <c r="O166" s="1" t="str">
        <f>IF(BaseCoalPlants!X168=0,"",BaseCoalPlants!X168)</f>
        <v/>
      </c>
      <c r="P166" s="1" t="str">
        <f>IF(BaseCoalPlants!Y168=0,"",BaseCoalPlants!Y168)</f>
        <v/>
      </c>
      <c r="Q166" s="1" t="str">
        <f>IF(BaseCoalPlants!Z168=0,"",BaseCoalPlants!Z168)</f>
        <v/>
      </c>
      <c r="R166" s="1">
        <f>IF(BaseCoalPlants!AA168=0,"",BaseCoalPlants!AA168)</f>
        <v>0.27803678355850081</v>
      </c>
      <c r="S166" s="1" t="str">
        <f>IF(BaseCoalPlants!AB168=0,"",BaseCoalPlants!AB168)</f>
        <v/>
      </c>
      <c r="T166" s="1" t="str">
        <f>IF(BaseCoalPlants!AC168=0,"",BaseCoalPlants!AC168)</f>
        <v/>
      </c>
      <c r="U166" s="1" t="str">
        <f>IF(BaseCoalPlants!AD168=0,"",BaseCoalPlants!AD168)</f>
        <v/>
      </c>
      <c r="V166" s="1" t="str">
        <f>IF(BaseCoalPlants!AE168=0,"",BaseCoalPlants!AE168)</f>
        <v/>
      </c>
    </row>
    <row r="167" spans="3:22" x14ac:dyDescent="0.35">
      <c r="C167" t="str">
        <f>IF(BaseCoalPlants!B169="VDA_FLOP",IF(BaseCoalPlants!D169="ELC","*","INPUT"),BaseCoalPlants!B169)</f>
        <v>EFF</v>
      </c>
      <c r="D167" t="str">
        <f>IF(BaseCoalPlants!C169="","\I:",BaseCoalPlants!C169&amp;"_LE")</f>
        <v>ECSTMRBUR_LE</v>
      </c>
      <c r="E167" t="str">
        <f>IF(BaseCoalPlants!D169="-","",BaseCoalPlants!D169)</f>
        <v/>
      </c>
      <c r="F167" t="str">
        <f>IF(BaseCoalPlants!E169="-","",BaseCoalPlants!E169)</f>
        <v/>
      </c>
      <c r="G167" t="str">
        <f>IF(BaseCoalPlants!F169="-","",BaseCoalPlants!F169)</f>
        <v>ANNUAL</v>
      </c>
      <c r="H167">
        <f>IF(BaseCoalPlants!G169="-","",BaseCoalPlants!G169)</f>
        <v>1986</v>
      </c>
      <c r="I167" t="str">
        <f>IF(BaseCoalPlants!H169="-","",BaseCoalPlants!H169)</f>
        <v/>
      </c>
      <c r="J167" t="str">
        <f>IF(BaseCoalPlants!I169="-","",BaseCoalPlants!I169)</f>
        <v/>
      </c>
      <c r="K167" t="str">
        <f>IF(BaseCoalPlants!J169="-","",BaseCoalPlants!J169)</f>
        <v/>
      </c>
      <c r="L167" t="str">
        <f>IF(BaseCoalPlants!K169="-","",BaseCoalPlants!K169)</f>
        <v/>
      </c>
      <c r="M167" s="1" t="str">
        <f>IF(BaseCoalPlants!L169=0,"",BaseCoalPlants!L169)</f>
        <v/>
      </c>
      <c r="N167" s="1" t="str">
        <f>IF(BaseCoalPlants!W169=0,"",BaseCoalPlants!W169)</f>
        <v/>
      </c>
      <c r="O167" s="1">
        <f>IF(BaseCoalPlants!X169=0,"",BaseCoalPlants!X169)</f>
        <v>0.31709086677920351</v>
      </c>
      <c r="P167" s="1" t="str">
        <f>IF(BaseCoalPlants!Y169=0,"",BaseCoalPlants!Y169)</f>
        <v/>
      </c>
      <c r="Q167" s="1" t="str">
        <f>IF(BaseCoalPlants!Z169=0,"",BaseCoalPlants!Z169)</f>
        <v/>
      </c>
      <c r="R167" s="1" t="str">
        <f>IF(BaseCoalPlants!AA169=0,"",BaseCoalPlants!AA169)</f>
        <v/>
      </c>
      <c r="S167" s="1" t="str">
        <f>IF(BaseCoalPlants!AB169=0,"",BaseCoalPlants!AB169)</f>
        <v/>
      </c>
      <c r="T167" s="1" t="str">
        <f>IF(BaseCoalPlants!AC169=0,"",BaseCoalPlants!AC169)</f>
        <v/>
      </c>
      <c r="U167" s="1" t="str">
        <f>IF(BaseCoalPlants!AD169=0,"",BaseCoalPlants!AD169)</f>
        <v/>
      </c>
      <c r="V167" s="1" t="str">
        <f>IF(BaseCoalPlants!AE169=0,"",BaseCoalPlants!AE169)</f>
        <v/>
      </c>
    </row>
    <row r="168" spans="3:22" x14ac:dyDescent="0.35">
      <c r="C168" t="str">
        <f>IF(BaseCoalPlants!B170="VDA_FLOP",IF(BaseCoalPlants!D170="ELC","*","INPUT"),BaseCoalPlants!B170)</f>
        <v>EFF</v>
      </c>
      <c r="D168" t="str">
        <f>IF(BaseCoalPlants!C170="","\I:",BaseCoalPlants!C170&amp;"_LE")</f>
        <v>ECSTMRBUR_LE</v>
      </c>
      <c r="E168" t="str">
        <f>IF(BaseCoalPlants!D170="-","",BaseCoalPlants!D170)</f>
        <v/>
      </c>
      <c r="F168" t="str">
        <f>IF(BaseCoalPlants!E170="-","",BaseCoalPlants!E170)</f>
        <v/>
      </c>
      <c r="G168" t="str">
        <f>IF(BaseCoalPlants!F170="-","",BaseCoalPlants!F170)</f>
        <v>ANNUAL</v>
      </c>
      <c r="H168">
        <f>IF(BaseCoalPlants!G170="-","",BaseCoalPlants!G170)</f>
        <v>1987</v>
      </c>
      <c r="I168" t="str">
        <f>IF(BaseCoalPlants!H170="-","",BaseCoalPlants!H170)</f>
        <v/>
      </c>
      <c r="J168" t="str">
        <f>IF(BaseCoalPlants!I170="-","",BaseCoalPlants!I170)</f>
        <v/>
      </c>
      <c r="K168" t="str">
        <f>IF(BaseCoalPlants!J170="-","",BaseCoalPlants!J170)</f>
        <v/>
      </c>
      <c r="L168" t="str">
        <f>IF(BaseCoalPlants!K170="-","",BaseCoalPlants!K170)</f>
        <v/>
      </c>
      <c r="M168" s="1" t="str">
        <f>IF(BaseCoalPlants!L170=0,"",BaseCoalPlants!L170)</f>
        <v/>
      </c>
      <c r="N168" s="1" t="str">
        <f>IF(BaseCoalPlants!W170=0,"",BaseCoalPlants!W170)</f>
        <v/>
      </c>
      <c r="O168" s="1">
        <f>IF(BaseCoalPlants!X170=0,"",BaseCoalPlants!X170)</f>
        <v>0.24265402843601855</v>
      </c>
      <c r="P168" s="1" t="str">
        <f>IF(BaseCoalPlants!Y170=0,"",BaseCoalPlants!Y170)</f>
        <v/>
      </c>
      <c r="Q168" s="1" t="str">
        <f>IF(BaseCoalPlants!Z170=0,"",BaseCoalPlants!Z170)</f>
        <v/>
      </c>
      <c r="R168" s="1">
        <f>IF(BaseCoalPlants!AA170=0,"",BaseCoalPlants!AA170)</f>
        <v>0.30903468939875994</v>
      </c>
      <c r="S168" s="1" t="str">
        <f>IF(BaseCoalPlants!AB170=0,"",BaseCoalPlants!AB170)</f>
        <v/>
      </c>
      <c r="T168" s="1" t="str">
        <f>IF(BaseCoalPlants!AC170=0,"",BaseCoalPlants!AC170)</f>
        <v/>
      </c>
      <c r="U168" s="1" t="str">
        <f>IF(BaseCoalPlants!AD170=0,"",BaseCoalPlants!AD170)</f>
        <v/>
      </c>
      <c r="V168" s="1">
        <f>IF(BaseCoalPlants!AE170=0,"",BaseCoalPlants!AE170)</f>
        <v>0.30059154141147743</v>
      </c>
    </row>
    <row r="169" spans="3:22" x14ac:dyDescent="0.35">
      <c r="C169" t="str">
        <f>IF(BaseCoalPlants!B171="VDA_FLOP",IF(BaseCoalPlants!D171="ELC","*","INPUT"),BaseCoalPlants!B171)</f>
        <v>EFF</v>
      </c>
      <c r="D169" t="str">
        <f>IF(BaseCoalPlants!C171="","\I:",BaseCoalPlants!C171&amp;"_LE")</f>
        <v>ECSTMRBUR_LE</v>
      </c>
      <c r="E169" t="str">
        <f>IF(BaseCoalPlants!D171="-","",BaseCoalPlants!D171)</f>
        <v/>
      </c>
      <c r="F169" t="str">
        <f>IF(BaseCoalPlants!E171="-","",BaseCoalPlants!E171)</f>
        <v/>
      </c>
      <c r="G169" t="str">
        <f>IF(BaseCoalPlants!F171="-","",BaseCoalPlants!F171)</f>
        <v>ANNUAL</v>
      </c>
      <c r="H169">
        <f>IF(BaseCoalPlants!G171="-","",BaseCoalPlants!G171)</f>
        <v>1988</v>
      </c>
      <c r="I169" t="str">
        <f>IF(BaseCoalPlants!H171="-","",BaseCoalPlants!H171)</f>
        <v/>
      </c>
      <c r="J169" t="str">
        <f>IF(BaseCoalPlants!I171="-","",BaseCoalPlants!I171)</f>
        <v/>
      </c>
      <c r="K169" t="str">
        <f>IF(BaseCoalPlants!J171="-","",BaseCoalPlants!J171)</f>
        <v/>
      </c>
      <c r="L169" t="str">
        <f>IF(BaseCoalPlants!K171="-","",BaseCoalPlants!K171)</f>
        <v/>
      </c>
      <c r="M169" s="1" t="str">
        <f>IF(BaseCoalPlants!L171=0,"",BaseCoalPlants!L171)</f>
        <v/>
      </c>
      <c r="N169" s="1" t="str">
        <f>IF(BaseCoalPlants!W171=0,"",BaseCoalPlants!W171)</f>
        <v/>
      </c>
      <c r="O169" s="1">
        <f>IF(BaseCoalPlants!X171=0,"",BaseCoalPlants!X171)</f>
        <v>0.29014617762526079</v>
      </c>
      <c r="P169" s="1" t="str">
        <f>IF(BaseCoalPlants!Y171=0,"",BaseCoalPlants!Y171)</f>
        <v/>
      </c>
      <c r="Q169" s="1" t="str">
        <f>IF(BaseCoalPlants!Z171=0,"",BaseCoalPlants!Z171)</f>
        <v/>
      </c>
      <c r="R169" s="1">
        <f>IF(BaseCoalPlants!AA171=0,"",BaseCoalPlants!AA171)</f>
        <v>0.30696251973085054</v>
      </c>
      <c r="S169" s="1" t="str">
        <f>IF(BaseCoalPlants!AB171=0,"",BaseCoalPlants!AB171)</f>
        <v/>
      </c>
      <c r="T169" s="1" t="str">
        <f>IF(BaseCoalPlants!AC171=0,"",BaseCoalPlants!AC171)</f>
        <v/>
      </c>
      <c r="U169" s="1" t="str">
        <f>IF(BaseCoalPlants!AD171=0,"",BaseCoalPlants!AD171)</f>
        <v/>
      </c>
      <c r="V169" s="1" t="str">
        <f>IF(BaseCoalPlants!AE171=0,"",BaseCoalPlants!AE171)</f>
        <v/>
      </c>
    </row>
    <row r="170" spans="3:22" x14ac:dyDescent="0.35">
      <c r="C170" t="str">
        <f>IF(BaseCoalPlants!B172="VDA_FLOP",IF(BaseCoalPlants!D172="ELC","*","INPUT"),BaseCoalPlants!B172)</f>
        <v>EFF</v>
      </c>
      <c r="D170" t="str">
        <f>IF(BaseCoalPlants!C172="","\I:",BaseCoalPlants!C172&amp;"_LE")</f>
        <v>ECSTMRBUR_LE</v>
      </c>
      <c r="E170" t="str">
        <f>IF(BaseCoalPlants!D172="-","",BaseCoalPlants!D172)</f>
        <v/>
      </c>
      <c r="F170" t="str">
        <f>IF(BaseCoalPlants!E172="-","",BaseCoalPlants!E172)</f>
        <v/>
      </c>
      <c r="G170" t="str">
        <f>IF(BaseCoalPlants!F172="-","",BaseCoalPlants!F172)</f>
        <v>ANNUAL</v>
      </c>
      <c r="H170">
        <f>IF(BaseCoalPlants!G172="-","",BaseCoalPlants!G172)</f>
        <v>1989</v>
      </c>
      <c r="I170" t="str">
        <f>IF(BaseCoalPlants!H172="-","",BaseCoalPlants!H172)</f>
        <v/>
      </c>
      <c r="J170" t="str">
        <f>IF(BaseCoalPlants!I172="-","",BaseCoalPlants!I172)</f>
        <v/>
      </c>
      <c r="K170" t="str">
        <f>IF(BaseCoalPlants!J172="-","",BaseCoalPlants!J172)</f>
        <v/>
      </c>
      <c r="L170" t="str">
        <f>IF(BaseCoalPlants!K172="-","",BaseCoalPlants!K172)</f>
        <v/>
      </c>
      <c r="M170" s="1" t="str">
        <f>IF(BaseCoalPlants!L172=0,"",BaseCoalPlants!L172)</f>
        <v/>
      </c>
      <c r="N170" s="1" t="str">
        <f>IF(BaseCoalPlants!W172=0,"",BaseCoalPlants!W172)</f>
        <v/>
      </c>
      <c r="O170" s="1">
        <f>IF(BaseCoalPlants!X172=0,"",BaseCoalPlants!X172)</f>
        <v>0.29906713381432604</v>
      </c>
      <c r="P170" s="1" t="str">
        <f>IF(BaseCoalPlants!Y172=0,"",BaseCoalPlants!Y172)</f>
        <v/>
      </c>
      <c r="Q170" s="1" t="str">
        <f>IF(BaseCoalPlants!Z172=0,"",BaseCoalPlants!Z172)</f>
        <v/>
      </c>
      <c r="R170" s="1" t="str">
        <f>IF(BaseCoalPlants!AA172=0,"",BaseCoalPlants!AA172)</f>
        <v/>
      </c>
      <c r="S170" s="1" t="str">
        <f>IF(BaseCoalPlants!AB172=0,"",BaseCoalPlants!AB172)</f>
        <v/>
      </c>
      <c r="T170" s="1" t="str">
        <f>IF(BaseCoalPlants!AC172=0,"",BaseCoalPlants!AC172)</f>
        <v/>
      </c>
      <c r="U170" s="1" t="str">
        <f>IF(BaseCoalPlants!AD172=0,"",BaseCoalPlants!AD172)</f>
        <v/>
      </c>
      <c r="V170" s="1">
        <f>IF(BaseCoalPlants!AE172=0,"",BaseCoalPlants!AE172)</f>
        <v>0.27379403108799355</v>
      </c>
    </row>
    <row r="171" spans="3:22" x14ac:dyDescent="0.35">
      <c r="C171" t="str">
        <f>IF(BaseCoalPlants!B173="VDA_FLOP",IF(BaseCoalPlants!D173="ELC","*","INPUT"),BaseCoalPlants!B173)</f>
        <v>EFF</v>
      </c>
      <c r="D171" t="str">
        <f>IF(BaseCoalPlants!C173="","\I:",BaseCoalPlants!C173&amp;"_LE")</f>
        <v>ECSTMRBUR_LE</v>
      </c>
      <c r="E171" t="str">
        <f>IF(BaseCoalPlants!D173="-","",BaseCoalPlants!D173)</f>
        <v/>
      </c>
      <c r="F171" t="str">
        <f>IF(BaseCoalPlants!E173="-","",BaseCoalPlants!E173)</f>
        <v/>
      </c>
      <c r="G171" t="str">
        <f>IF(BaseCoalPlants!F173="-","",BaseCoalPlants!F173)</f>
        <v>ANNUAL</v>
      </c>
      <c r="H171">
        <f>IF(BaseCoalPlants!G173="-","",BaseCoalPlants!G173)</f>
        <v>1990</v>
      </c>
      <c r="I171" t="str">
        <f>IF(BaseCoalPlants!H173="-","",BaseCoalPlants!H173)</f>
        <v/>
      </c>
      <c r="J171" t="str">
        <f>IF(BaseCoalPlants!I173="-","",BaseCoalPlants!I173)</f>
        <v/>
      </c>
      <c r="K171" t="str">
        <f>IF(BaseCoalPlants!J173="-","",BaseCoalPlants!J173)</f>
        <v/>
      </c>
      <c r="L171" t="str">
        <f>IF(BaseCoalPlants!K173="-","",BaseCoalPlants!K173)</f>
        <v/>
      </c>
      <c r="M171" s="1" t="str">
        <f>IF(BaseCoalPlants!L173=0,"",BaseCoalPlants!L173)</f>
        <v/>
      </c>
      <c r="N171" s="1">
        <f>IF(BaseCoalPlants!W173=0,"",BaseCoalPlants!W173)</f>
        <v>0.30631136997977088</v>
      </c>
      <c r="O171" s="1">
        <f>IF(BaseCoalPlants!X173=0,"",BaseCoalPlants!X173)</f>
        <v>0.26206635071090012</v>
      </c>
      <c r="P171" s="1" t="str">
        <f>IF(BaseCoalPlants!Y173=0,"",BaseCoalPlants!Y173)</f>
        <v/>
      </c>
      <c r="Q171" s="1" t="str">
        <f>IF(BaseCoalPlants!Z173=0,"",BaseCoalPlants!Z173)</f>
        <v/>
      </c>
      <c r="R171" s="1">
        <f>IF(BaseCoalPlants!AA173=0,"",BaseCoalPlants!AA173)</f>
        <v>0.30253479217940255</v>
      </c>
      <c r="S171" s="1" t="str">
        <f>IF(BaseCoalPlants!AB173=0,"",BaseCoalPlants!AB173)</f>
        <v/>
      </c>
      <c r="T171" s="1" t="str">
        <f>IF(BaseCoalPlants!AC173=0,"",BaseCoalPlants!AC173)</f>
        <v/>
      </c>
      <c r="U171" s="1" t="str">
        <f>IF(BaseCoalPlants!AD173=0,"",BaseCoalPlants!AD173)</f>
        <v/>
      </c>
      <c r="V171" s="1">
        <f>IF(BaseCoalPlants!AE173=0,"",BaseCoalPlants!AE173)</f>
        <v>0.25079873251546175</v>
      </c>
    </row>
    <row r="172" spans="3:22" x14ac:dyDescent="0.35">
      <c r="C172" t="str">
        <f>IF(BaseCoalPlants!B174="VDA_FLOP",IF(BaseCoalPlants!D174="ELC","*","INPUT"),BaseCoalPlants!B174)</f>
        <v>EFF</v>
      </c>
      <c r="D172" t="str">
        <f>IF(BaseCoalPlants!C174="","\I:",BaseCoalPlants!C174&amp;"_LE")</f>
        <v>ECSTMRBUR_LE</v>
      </c>
      <c r="E172" t="str">
        <f>IF(BaseCoalPlants!D174="-","",BaseCoalPlants!D174)</f>
        <v/>
      </c>
      <c r="F172" t="str">
        <f>IF(BaseCoalPlants!E174="-","",BaseCoalPlants!E174)</f>
        <v/>
      </c>
      <c r="G172" t="str">
        <f>IF(BaseCoalPlants!F174="-","",BaseCoalPlants!F174)</f>
        <v>ANNUAL</v>
      </c>
      <c r="H172">
        <f>IF(BaseCoalPlants!G174="-","",BaseCoalPlants!G174)</f>
        <v>1991</v>
      </c>
      <c r="I172" t="str">
        <f>IF(BaseCoalPlants!H174="-","",BaseCoalPlants!H174)</f>
        <v/>
      </c>
      <c r="J172" t="str">
        <f>IF(BaseCoalPlants!I174="-","",BaseCoalPlants!I174)</f>
        <v/>
      </c>
      <c r="K172" t="str">
        <f>IF(BaseCoalPlants!J174="-","",BaseCoalPlants!J174)</f>
        <v/>
      </c>
      <c r="L172" t="str">
        <f>IF(BaseCoalPlants!K174="-","",BaseCoalPlants!K174)</f>
        <v/>
      </c>
      <c r="M172" s="1" t="str">
        <f>IF(BaseCoalPlants!L174=0,"",BaseCoalPlants!L174)</f>
        <v/>
      </c>
      <c r="N172" s="1" t="str">
        <f>IF(BaseCoalPlants!W174=0,"",BaseCoalPlants!W174)</f>
        <v/>
      </c>
      <c r="O172" s="1">
        <f>IF(BaseCoalPlants!X174=0,"",BaseCoalPlants!X174)</f>
        <v>0.29611452707925312</v>
      </c>
      <c r="P172" s="1" t="str">
        <f>IF(BaseCoalPlants!Y174=0,"",BaseCoalPlants!Y174)</f>
        <v/>
      </c>
      <c r="Q172" s="1" t="str">
        <f>IF(BaseCoalPlants!Z174=0,"",BaseCoalPlants!Z174)</f>
        <v/>
      </c>
      <c r="R172" s="1" t="str">
        <f>IF(BaseCoalPlants!AA174=0,"",BaseCoalPlants!AA174)</f>
        <v/>
      </c>
      <c r="S172" s="1" t="str">
        <f>IF(BaseCoalPlants!AB174=0,"",BaseCoalPlants!AB174)</f>
        <v/>
      </c>
      <c r="T172" s="1">
        <f>IF(BaseCoalPlants!AC174=0,"",BaseCoalPlants!AC174)</f>
        <v>0.31497018823152767</v>
      </c>
      <c r="U172" s="1" t="str">
        <f>IF(BaseCoalPlants!AD174=0,"",BaseCoalPlants!AD174)</f>
        <v/>
      </c>
      <c r="V172" s="1" t="str">
        <f>IF(BaseCoalPlants!AE174=0,"",BaseCoalPlants!AE174)</f>
        <v/>
      </c>
    </row>
    <row r="173" spans="3:22" x14ac:dyDescent="0.35">
      <c r="C173" t="str">
        <f>IF(BaseCoalPlants!B175="VDA_FLOP",IF(BaseCoalPlants!D175="ELC","*","INPUT"),BaseCoalPlants!B175)</f>
        <v>EFF</v>
      </c>
      <c r="D173" t="str">
        <f>IF(BaseCoalPlants!C175="","\I:",BaseCoalPlants!C175&amp;"_LE")</f>
        <v>ECSTMRBUR_LE</v>
      </c>
      <c r="E173" t="str">
        <f>IF(BaseCoalPlants!D175="-","",BaseCoalPlants!D175)</f>
        <v/>
      </c>
      <c r="F173" t="str">
        <f>IF(BaseCoalPlants!E175="-","",BaseCoalPlants!E175)</f>
        <v/>
      </c>
      <c r="G173" t="str">
        <f>IF(BaseCoalPlants!F175="-","",BaseCoalPlants!F175)</f>
        <v>ANNUAL</v>
      </c>
      <c r="H173">
        <f>IF(BaseCoalPlants!G175="-","",BaseCoalPlants!G175)</f>
        <v>1992</v>
      </c>
      <c r="I173" t="str">
        <f>IF(BaseCoalPlants!H175="-","",BaseCoalPlants!H175)</f>
        <v/>
      </c>
      <c r="J173" t="str">
        <f>IF(BaseCoalPlants!I175="-","",BaseCoalPlants!I175)</f>
        <v/>
      </c>
      <c r="K173" t="str">
        <f>IF(BaseCoalPlants!J175="-","",BaseCoalPlants!J175)</f>
        <v/>
      </c>
      <c r="L173" t="str">
        <f>IF(BaseCoalPlants!K175="-","",BaseCoalPlants!K175)</f>
        <v/>
      </c>
      <c r="M173" s="1" t="str">
        <f>IF(BaseCoalPlants!L175=0,"",BaseCoalPlants!L175)</f>
        <v/>
      </c>
      <c r="N173" s="1" t="str">
        <f>IF(BaseCoalPlants!W175=0,"",BaseCoalPlants!W175)</f>
        <v/>
      </c>
      <c r="O173" s="1">
        <f>IF(BaseCoalPlants!X175=0,"",BaseCoalPlants!X175)</f>
        <v>0.32225152330700352</v>
      </c>
      <c r="P173" s="1" t="str">
        <f>IF(BaseCoalPlants!Y175=0,"",BaseCoalPlants!Y175)</f>
        <v/>
      </c>
      <c r="Q173" s="1" t="str">
        <f>IF(BaseCoalPlants!Z175=0,"",BaseCoalPlants!Z175)</f>
        <v/>
      </c>
      <c r="R173" s="1">
        <f>IF(BaseCoalPlants!AA175=0,"",BaseCoalPlants!AA175)</f>
        <v>0.29789261020998914</v>
      </c>
      <c r="S173" s="1" t="str">
        <f>IF(BaseCoalPlants!AB175=0,"",BaseCoalPlants!AB175)</f>
        <v/>
      </c>
      <c r="T173" s="1" t="str">
        <f>IF(BaseCoalPlants!AC175=0,"",BaseCoalPlants!AC175)</f>
        <v/>
      </c>
      <c r="U173" s="1" t="str">
        <f>IF(BaseCoalPlants!AD175=0,"",BaseCoalPlants!AD175)</f>
        <v/>
      </c>
      <c r="V173" s="1" t="str">
        <f>IF(BaseCoalPlants!AE175=0,"",BaseCoalPlants!AE175)</f>
        <v/>
      </c>
    </row>
    <row r="174" spans="3:22" x14ac:dyDescent="0.35">
      <c r="C174" t="str">
        <f>IF(BaseCoalPlants!B176="VDA_FLOP",IF(BaseCoalPlants!D176="ELC","*","INPUT"),BaseCoalPlants!B176)</f>
        <v>EFF</v>
      </c>
      <c r="D174" t="str">
        <f>IF(BaseCoalPlants!C176="","\I:",BaseCoalPlants!C176&amp;"_LE")</f>
        <v>ECSTMRBUR_LE</v>
      </c>
      <c r="E174" t="str">
        <f>IF(BaseCoalPlants!D176="-","",BaseCoalPlants!D176)</f>
        <v/>
      </c>
      <c r="F174" t="str">
        <f>IF(BaseCoalPlants!E176="-","",BaseCoalPlants!E176)</f>
        <v/>
      </c>
      <c r="G174" t="str">
        <f>IF(BaseCoalPlants!F176="-","",BaseCoalPlants!F176)</f>
        <v>ANNUAL</v>
      </c>
      <c r="H174">
        <f>IF(BaseCoalPlants!G176="-","",BaseCoalPlants!G176)</f>
        <v>1993</v>
      </c>
      <c r="I174" t="str">
        <f>IF(BaseCoalPlants!H176="-","",BaseCoalPlants!H176)</f>
        <v/>
      </c>
      <c r="J174" t="str">
        <f>IF(BaseCoalPlants!I176="-","",BaseCoalPlants!I176)</f>
        <v/>
      </c>
      <c r="K174" t="str">
        <f>IF(BaseCoalPlants!J176="-","",BaseCoalPlants!J176)</f>
        <v/>
      </c>
      <c r="L174" t="str">
        <f>IF(BaseCoalPlants!K176="-","",BaseCoalPlants!K176)</f>
        <v/>
      </c>
      <c r="M174" s="1" t="str">
        <f>IF(BaseCoalPlants!L176=0,"",BaseCoalPlants!L176)</f>
        <v/>
      </c>
      <c r="N174" s="1" t="str">
        <f>IF(BaseCoalPlants!W176=0,"",BaseCoalPlants!W176)</f>
        <v/>
      </c>
      <c r="O174" s="1">
        <f>IF(BaseCoalPlants!X176=0,"",BaseCoalPlants!X176)</f>
        <v>0.30601092284189763</v>
      </c>
      <c r="P174" s="1" t="str">
        <f>IF(BaseCoalPlants!Y176=0,"",BaseCoalPlants!Y176)</f>
        <v/>
      </c>
      <c r="Q174" s="1" t="str">
        <f>IF(BaseCoalPlants!Z176=0,"",BaseCoalPlants!Z176)</f>
        <v/>
      </c>
      <c r="R174" s="1" t="str">
        <f>IF(BaseCoalPlants!AA176=0,"",BaseCoalPlants!AA176)</f>
        <v/>
      </c>
      <c r="S174" s="1" t="str">
        <f>IF(BaseCoalPlants!AB176=0,"",BaseCoalPlants!AB176)</f>
        <v/>
      </c>
      <c r="T174" s="1" t="str">
        <f>IF(BaseCoalPlants!AC176=0,"",BaseCoalPlants!AC176)</f>
        <v/>
      </c>
      <c r="U174" s="1" t="str">
        <f>IF(BaseCoalPlants!AD176=0,"",BaseCoalPlants!AD176)</f>
        <v/>
      </c>
      <c r="V174" s="1">
        <f>IF(BaseCoalPlants!AE176=0,"",BaseCoalPlants!AE176)</f>
        <v>0.28816233144671516</v>
      </c>
    </row>
    <row r="175" spans="3:22" x14ac:dyDescent="0.35">
      <c r="C175" t="str">
        <f>IF(BaseCoalPlants!B177="VDA_FLOP",IF(BaseCoalPlants!D177="ELC","*","INPUT"),BaseCoalPlants!B177)</f>
        <v>EFF</v>
      </c>
      <c r="D175" t="str">
        <f>IF(BaseCoalPlants!C177="","\I:",BaseCoalPlants!C177&amp;"_LE")</f>
        <v>ECSTMRBUR_LE</v>
      </c>
      <c r="E175" t="str">
        <f>IF(BaseCoalPlants!D177="-","",BaseCoalPlants!D177)</f>
        <v/>
      </c>
      <c r="F175" t="str">
        <f>IF(BaseCoalPlants!E177="-","",BaseCoalPlants!E177)</f>
        <v/>
      </c>
      <c r="G175" t="str">
        <f>IF(BaseCoalPlants!F177="-","",BaseCoalPlants!F177)</f>
        <v>ANNUAL</v>
      </c>
      <c r="H175">
        <f>IF(BaseCoalPlants!G177="-","",BaseCoalPlants!G177)</f>
        <v>1994</v>
      </c>
      <c r="I175" t="str">
        <f>IF(BaseCoalPlants!H177="-","",BaseCoalPlants!H177)</f>
        <v/>
      </c>
      <c r="J175" t="str">
        <f>IF(BaseCoalPlants!I177="-","",BaseCoalPlants!I177)</f>
        <v/>
      </c>
      <c r="K175" t="str">
        <f>IF(BaseCoalPlants!J177="-","",BaseCoalPlants!J177)</f>
        <v/>
      </c>
      <c r="L175" t="str">
        <f>IF(BaseCoalPlants!K177="-","",BaseCoalPlants!K177)</f>
        <v/>
      </c>
      <c r="M175" s="1" t="str">
        <f>IF(BaseCoalPlants!L177=0,"",BaseCoalPlants!L177)</f>
        <v/>
      </c>
      <c r="N175" s="1" t="str">
        <f>IF(BaseCoalPlants!W177=0,"",BaseCoalPlants!W177)</f>
        <v/>
      </c>
      <c r="O175" s="1" t="str">
        <f>IF(BaseCoalPlants!X177=0,"",BaseCoalPlants!X177)</f>
        <v/>
      </c>
      <c r="P175" s="1" t="str">
        <f>IF(BaseCoalPlants!Y177=0,"",BaseCoalPlants!Y177)</f>
        <v/>
      </c>
      <c r="Q175" s="1" t="str">
        <f>IF(BaseCoalPlants!Z177=0,"",BaseCoalPlants!Z177)</f>
        <v/>
      </c>
      <c r="R175" s="1">
        <f>IF(BaseCoalPlants!AA177=0,"",BaseCoalPlants!AA177)</f>
        <v>0.32578276426035646</v>
      </c>
      <c r="S175" s="1" t="str">
        <f>IF(BaseCoalPlants!AB177=0,"",BaseCoalPlants!AB177)</f>
        <v/>
      </c>
      <c r="T175" s="1" t="str">
        <f>IF(BaseCoalPlants!AC177=0,"",BaseCoalPlants!AC177)</f>
        <v/>
      </c>
      <c r="U175" s="1" t="str">
        <f>IF(BaseCoalPlants!AD177=0,"",BaseCoalPlants!AD177)</f>
        <v/>
      </c>
      <c r="V175" s="1" t="str">
        <f>IF(BaseCoalPlants!AE177=0,"",BaseCoalPlants!AE177)</f>
        <v/>
      </c>
    </row>
    <row r="176" spans="3:22" x14ac:dyDescent="0.35">
      <c r="C176" t="str">
        <f>IF(BaseCoalPlants!B178="VDA_FLOP",IF(BaseCoalPlants!D178="ELC","*","INPUT"),BaseCoalPlants!B178)</f>
        <v>EFF</v>
      </c>
      <c r="D176" t="str">
        <f>IF(BaseCoalPlants!C178="","\I:",BaseCoalPlants!C178&amp;"_LE")</f>
        <v>ECSTMRBUR_LE</v>
      </c>
      <c r="E176" t="str">
        <f>IF(BaseCoalPlants!D178="-","",BaseCoalPlants!D178)</f>
        <v/>
      </c>
      <c r="F176" t="str">
        <f>IF(BaseCoalPlants!E178="-","",BaseCoalPlants!E178)</f>
        <v/>
      </c>
      <c r="G176" t="str">
        <f>IF(BaseCoalPlants!F178="-","",BaseCoalPlants!F178)</f>
        <v>ANNUAL</v>
      </c>
      <c r="H176">
        <f>IF(BaseCoalPlants!G178="-","",BaseCoalPlants!G178)</f>
        <v>1995</v>
      </c>
      <c r="I176" t="str">
        <f>IF(BaseCoalPlants!H178="-","",BaseCoalPlants!H178)</f>
        <v/>
      </c>
      <c r="J176" t="str">
        <f>IF(BaseCoalPlants!I178="-","",BaseCoalPlants!I178)</f>
        <v/>
      </c>
      <c r="K176" t="str">
        <f>IF(BaseCoalPlants!J178="-","",BaseCoalPlants!J178)</f>
        <v/>
      </c>
      <c r="L176" t="str">
        <f>IF(BaseCoalPlants!K178="-","",BaseCoalPlants!K178)</f>
        <v/>
      </c>
      <c r="M176" s="1" t="str">
        <f>IF(BaseCoalPlants!L178=0,"",BaseCoalPlants!L178)</f>
        <v/>
      </c>
      <c r="N176" s="1" t="str">
        <f>IF(BaseCoalPlants!W178=0,"",BaseCoalPlants!W178)</f>
        <v/>
      </c>
      <c r="O176" s="1" t="str">
        <f>IF(BaseCoalPlants!X178=0,"",BaseCoalPlants!X178)</f>
        <v/>
      </c>
      <c r="P176" s="1" t="str">
        <f>IF(BaseCoalPlants!Y178=0,"",BaseCoalPlants!Y178)</f>
        <v/>
      </c>
      <c r="Q176" s="1" t="str">
        <f>IF(BaseCoalPlants!Z178=0,"",BaseCoalPlants!Z178)</f>
        <v/>
      </c>
      <c r="R176" s="1">
        <f>IF(BaseCoalPlants!AA178=0,"",BaseCoalPlants!AA178)</f>
        <v>0.2887210808995469</v>
      </c>
      <c r="S176" s="1" t="str">
        <f>IF(BaseCoalPlants!AB178=0,"",BaseCoalPlants!AB178)</f>
        <v/>
      </c>
      <c r="T176" s="1" t="str">
        <f>IF(BaseCoalPlants!AC178=0,"",BaseCoalPlants!AC178)</f>
        <v/>
      </c>
      <c r="U176" s="1">
        <f>IF(BaseCoalPlants!AD178=0,"",BaseCoalPlants!AD178)</f>
        <v>0.2638511950219104</v>
      </c>
      <c r="V176" s="1" t="str">
        <f>IF(BaseCoalPlants!AE178=0,"",BaseCoalPlants!AE178)</f>
        <v/>
      </c>
    </row>
    <row r="177" spans="3:22" x14ac:dyDescent="0.35">
      <c r="C177" t="str">
        <f>IF(BaseCoalPlants!B179="VDA_FLOP",IF(BaseCoalPlants!D179="ELC","*","INPUT"),BaseCoalPlants!B179)</f>
        <v>EFF</v>
      </c>
      <c r="D177" t="str">
        <f>IF(BaseCoalPlants!C179="","\I:",BaseCoalPlants!C179&amp;"_LE")</f>
        <v>ECSTMRBUR_LE</v>
      </c>
      <c r="E177" t="str">
        <f>IF(BaseCoalPlants!D179="-","",BaseCoalPlants!D179)</f>
        <v/>
      </c>
      <c r="F177" t="str">
        <f>IF(BaseCoalPlants!E179="-","",BaseCoalPlants!E179)</f>
        <v/>
      </c>
      <c r="G177" t="str">
        <f>IF(BaseCoalPlants!F179="-","",BaseCoalPlants!F179)</f>
        <v>ANNUAL</v>
      </c>
      <c r="H177">
        <f>IF(BaseCoalPlants!G179="-","",BaseCoalPlants!G179)</f>
        <v>1996</v>
      </c>
      <c r="I177" t="str">
        <f>IF(BaseCoalPlants!H179="-","",BaseCoalPlants!H179)</f>
        <v/>
      </c>
      <c r="J177" t="str">
        <f>IF(BaseCoalPlants!I179="-","",BaseCoalPlants!I179)</f>
        <v/>
      </c>
      <c r="K177" t="str">
        <f>IF(BaseCoalPlants!J179="-","",BaseCoalPlants!J179)</f>
        <v/>
      </c>
      <c r="L177" t="str">
        <f>IF(BaseCoalPlants!K179="-","",BaseCoalPlants!K179)</f>
        <v/>
      </c>
      <c r="M177" s="1" t="str">
        <f>IF(BaseCoalPlants!L179=0,"",BaseCoalPlants!L179)</f>
        <v/>
      </c>
      <c r="N177" s="1" t="str">
        <f>IF(BaseCoalPlants!W179=0,"",BaseCoalPlants!W179)</f>
        <v/>
      </c>
      <c r="O177" s="1" t="str">
        <f>IF(BaseCoalPlants!X179=0,"",BaseCoalPlants!X179)</f>
        <v/>
      </c>
      <c r="P177" s="1">
        <f>IF(BaseCoalPlants!Y179=0,"",BaseCoalPlants!Y179)</f>
        <v>0.30363831761943166</v>
      </c>
      <c r="Q177" s="1" t="str">
        <f>IF(BaseCoalPlants!Z179=0,"",BaseCoalPlants!Z179)</f>
        <v/>
      </c>
      <c r="R177" s="1" t="str">
        <f>IF(BaseCoalPlants!AA179=0,"",BaseCoalPlants!AA179)</f>
        <v/>
      </c>
      <c r="S177" s="1" t="str">
        <f>IF(BaseCoalPlants!AB179=0,"",BaseCoalPlants!AB179)</f>
        <v/>
      </c>
      <c r="T177" s="1" t="str">
        <f>IF(BaseCoalPlants!AC179=0,"",BaseCoalPlants!AC179)</f>
        <v/>
      </c>
      <c r="U177" s="1" t="str">
        <f>IF(BaseCoalPlants!AD179=0,"",BaseCoalPlants!AD179)</f>
        <v/>
      </c>
      <c r="V177" s="1" t="str">
        <f>IF(BaseCoalPlants!AE179=0,"",BaseCoalPlants!AE179)</f>
        <v/>
      </c>
    </row>
    <row r="178" spans="3:22" x14ac:dyDescent="0.35">
      <c r="C178" t="str">
        <f>IF(BaseCoalPlants!B180="VDA_FLOP",IF(BaseCoalPlants!D180="ELC","*","INPUT"),BaseCoalPlants!B180)</f>
        <v>EFF</v>
      </c>
      <c r="D178" t="str">
        <f>IF(BaseCoalPlants!C180="","\I:",BaseCoalPlants!C180&amp;"_LE")</f>
        <v>ECSTMRBUR_LE</v>
      </c>
      <c r="E178" t="str">
        <f>IF(BaseCoalPlants!D180="-","",BaseCoalPlants!D180)</f>
        <v/>
      </c>
      <c r="F178" t="str">
        <f>IF(BaseCoalPlants!E180="-","",BaseCoalPlants!E180)</f>
        <v/>
      </c>
      <c r="G178" t="str">
        <f>IF(BaseCoalPlants!F180="-","",BaseCoalPlants!F180)</f>
        <v>ANNUAL</v>
      </c>
      <c r="H178">
        <f>IF(BaseCoalPlants!G180="-","",BaseCoalPlants!G180)</f>
        <v>1999</v>
      </c>
      <c r="I178" t="str">
        <f>IF(BaseCoalPlants!H180="-","",BaseCoalPlants!H180)</f>
        <v/>
      </c>
      <c r="J178" t="str">
        <f>IF(BaseCoalPlants!I180="-","",BaseCoalPlants!I180)</f>
        <v/>
      </c>
      <c r="K178" t="str">
        <f>IF(BaseCoalPlants!J180="-","",BaseCoalPlants!J180)</f>
        <v/>
      </c>
      <c r="L178" t="str">
        <f>IF(BaseCoalPlants!K180="-","",BaseCoalPlants!K180)</f>
        <v/>
      </c>
      <c r="M178" s="1" t="str">
        <f>IF(BaseCoalPlants!L180=0,"",BaseCoalPlants!L180)</f>
        <v/>
      </c>
      <c r="N178" s="1" t="str">
        <f>IF(BaseCoalPlants!W180=0,"",BaseCoalPlants!W180)</f>
        <v/>
      </c>
      <c r="O178" s="1" t="str">
        <f>IF(BaseCoalPlants!X180=0,"",BaseCoalPlants!X180)</f>
        <v/>
      </c>
      <c r="P178" s="1">
        <f>IF(BaseCoalPlants!Y180=0,"",BaseCoalPlants!Y180)</f>
        <v>0.31709086677920351</v>
      </c>
      <c r="Q178" s="1" t="str">
        <f>IF(BaseCoalPlants!Z180=0,"",BaseCoalPlants!Z180)</f>
        <v/>
      </c>
      <c r="R178" s="1">
        <f>IF(BaseCoalPlants!AA180=0,"",BaseCoalPlants!AA180)</f>
        <v>0.29872600619061213</v>
      </c>
      <c r="S178" s="1" t="str">
        <f>IF(BaseCoalPlants!AB180=0,"",BaseCoalPlants!AB180)</f>
        <v/>
      </c>
      <c r="T178" s="1" t="str">
        <f>IF(BaseCoalPlants!AC180=0,"",BaseCoalPlants!AC180)</f>
        <v/>
      </c>
      <c r="U178" s="1" t="str">
        <f>IF(BaseCoalPlants!AD180=0,"",BaseCoalPlants!AD180)</f>
        <v/>
      </c>
      <c r="V178" s="1" t="str">
        <f>IF(BaseCoalPlants!AE180=0,"",BaseCoalPlants!AE180)</f>
        <v/>
      </c>
    </row>
    <row r="179" spans="3:22" x14ac:dyDescent="0.35">
      <c r="C179" t="str">
        <f>IF(BaseCoalPlants!B181="VDA_FLOP",IF(BaseCoalPlants!D181="ELC","*","INPUT"),BaseCoalPlants!B181)</f>
        <v>EFF</v>
      </c>
      <c r="D179" t="str">
        <f>IF(BaseCoalPlants!C181="","\I:",BaseCoalPlants!C181&amp;"_LE")</f>
        <v>ECSTMRLOO_LE</v>
      </c>
      <c r="E179" t="str">
        <f>IF(BaseCoalPlants!D181="-","",BaseCoalPlants!D181)</f>
        <v/>
      </c>
      <c r="F179" t="str">
        <f>IF(BaseCoalPlants!E181="-","",BaseCoalPlants!E181)</f>
        <v/>
      </c>
      <c r="G179" t="str">
        <f>IF(BaseCoalPlants!F181="-","",BaseCoalPlants!F181)</f>
        <v>ANNUAL</v>
      </c>
      <c r="H179">
        <f>IF(BaseCoalPlants!G181="-","",BaseCoalPlants!G181)</f>
        <v>1966</v>
      </c>
      <c r="I179" t="str">
        <f>IF(BaseCoalPlants!H181="-","",BaseCoalPlants!H181)</f>
        <v/>
      </c>
      <c r="J179" t="str">
        <f>IF(BaseCoalPlants!I181="-","",BaseCoalPlants!I181)</f>
        <v/>
      </c>
      <c r="K179" t="str">
        <f>IF(BaseCoalPlants!J181="-","",BaseCoalPlants!J181)</f>
        <v/>
      </c>
      <c r="L179" t="str">
        <f>IF(BaseCoalPlants!K181="-","",BaseCoalPlants!K181)</f>
        <v/>
      </c>
      <c r="M179" s="1" t="str">
        <f>IF(BaseCoalPlants!L181=0,"",BaseCoalPlants!L181)</f>
        <v/>
      </c>
      <c r="N179" s="1" t="str">
        <f>IF(BaseCoalPlants!W181=0,"",BaseCoalPlants!W181)</f>
        <v/>
      </c>
      <c r="O179" s="1" t="str">
        <f>IF(BaseCoalPlants!X181=0,"",BaseCoalPlants!X181)</f>
        <v/>
      </c>
      <c r="P179" s="1" t="str">
        <f>IF(BaseCoalPlants!Y181=0,"",BaseCoalPlants!Y181)</f>
        <v/>
      </c>
      <c r="Q179" s="1">
        <f>IF(BaseCoalPlants!Z181=0,"",BaseCoalPlants!Z181)</f>
        <v>0.28725266431833218</v>
      </c>
      <c r="R179" s="1" t="str">
        <f>IF(BaseCoalPlants!AA181=0,"",BaseCoalPlants!AA181)</f>
        <v/>
      </c>
      <c r="S179" s="1" t="str">
        <f>IF(BaseCoalPlants!AB181=0,"",BaseCoalPlants!AB181)</f>
        <v/>
      </c>
      <c r="T179" s="1" t="str">
        <f>IF(BaseCoalPlants!AC181=0,"",BaseCoalPlants!AC181)</f>
        <v/>
      </c>
      <c r="U179" s="1" t="str">
        <f>IF(BaseCoalPlants!AD181=0,"",BaseCoalPlants!AD181)</f>
        <v/>
      </c>
      <c r="V179" s="1" t="str">
        <f>IF(BaseCoalPlants!AE181=0,"",BaseCoalPlants!AE181)</f>
        <v/>
      </c>
    </row>
    <row r="180" spans="3:22" x14ac:dyDescent="0.35">
      <c r="C180" t="str">
        <f>IF(BaseCoalPlants!B182="VDA_FLOP",IF(BaseCoalPlants!D182="ELC","*","INPUT"),BaseCoalPlants!B182)</f>
        <v>EFF</v>
      </c>
      <c r="D180" t="str">
        <f>IF(BaseCoalPlants!C182="","\I:",BaseCoalPlants!C182&amp;"_LE")</f>
        <v>ECSTMRLOO_LE</v>
      </c>
      <c r="E180" t="str">
        <f>IF(BaseCoalPlants!D182="-","",BaseCoalPlants!D182)</f>
        <v/>
      </c>
      <c r="F180" t="str">
        <f>IF(BaseCoalPlants!E182="-","",BaseCoalPlants!E182)</f>
        <v/>
      </c>
      <c r="G180" t="str">
        <f>IF(BaseCoalPlants!F182="-","",BaseCoalPlants!F182)</f>
        <v>ANNUAL</v>
      </c>
      <c r="H180">
        <f>IF(BaseCoalPlants!G182="-","",BaseCoalPlants!G182)</f>
        <v>1970</v>
      </c>
      <c r="I180" t="str">
        <f>IF(BaseCoalPlants!H182="-","",BaseCoalPlants!H182)</f>
        <v/>
      </c>
      <c r="J180" t="str">
        <f>IF(BaseCoalPlants!I182="-","",BaseCoalPlants!I182)</f>
        <v/>
      </c>
      <c r="K180" t="str">
        <f>IF(BaseCoalPlants!J182="-","",BaseCoalPlants!J182)</f>
        <v/>
      </c>
      <c r="L180" t="str">
        <f>IF(BaseCoalPlants!K182="-","",BaseCoalPlants!K182)</f>
        <v/>
      </c>
      <c r="M180" s="1" t="str">
        <f>IF(BaseCoalPlants!L182=0,"",BaseCoalPlants!L182)</f>
        <v/>
      </c>
      <c r="N180" s="1" t="str">
        <f>IF(BaseCoalPlants!W182=0,"",BaseCoalPlants!W182)</f>
        <v/>
      </c>
      <c r="O180" s="1" t="str">
        <f>IF(BaseCoalPlants!X182=0,"",BaseCoalPlants!X182)</f>
        <v/>
      </c>
      <c r="P180" s="1" t="str">
        <f>IF(BaseCoalPlants!Y182=0,"",BaseCoalPlants!Y182)</f>
        <v/>
      </c>
      <c r="Q180" s="1">
        <f>IF(BaseCoalPlants!Z182=0,"",BaseCoalPlants!Z182)</f>
        <v>0.30727224311849277</v>
      </c>
      <c r="R180" s="1" t="str">
        <f>IF(BaseCoalPlants!AA182=0,"",BaseCoalPlants!AA182)</f>
        <v/>
      </c>
      <c r="S180" s="1" t="str">
        <f>IF(BaseCoalPlants!AB182=0,"",BaseCoalPlants!AB182)</f>
        <v/>
      </c>
      <c r="T180" s="1" t="str">
        <f>IF(BaseCoalPlants!AC182=0,"",BaseCoalPlants!AC182)</f>
        <v/>
      </c>
      <c r="U180" s="1" t="str">
        <f>IF(BaseCoalPlants!AD182=0,"",BaseCoalPlants!AD182)</f>
        <v/>
      </c>
      <c r="V180" s="1" t="str">
        <f>IF(BaseCoalPlants!AE182=0,"",BaseCoalPlants!AE182)</f>
        <v/>
      </c>
    </row>
    <row r="181" spans="3:22" x14ac:dyDescent="0.35">
      <c r="C181" t="str">
        <f>IF(BaseCoalPlants!B183="VDA_FLOP",IF(BaseCoalPlants!D183="ELC","*","INPUT"),BaseCoalPlants!B183)</f>
        <v>EFF</v>
      </c>
      <c r="D181" t="str">
        <f>IF(BaseCoalPlants!C183="","\I:",BaseCoalPlants!C183&amp;"_LE")</f>
        <v>ECSTMRLOO_LE</v>
      </c>
      <c r="E181" t="str">
        <f>IF(BaseCoalPlants!D183="-","",BaseCoalPlants!D183)</f>
        <v/>
      </c>
      <c r="F181" t="str">
        <f>IF(BaseCoalPlants!E183="-","",BaseCoalPlants!E183)</f>
        <v/>
      </c>
      <c r="G181" t="str">
        <f>IF(BaseCoalPlants!F183="-","",BaseCoalPlants!F183)</f>
        <v>ANNUAL</v>
      </c>
      <c r="H181">
        <f>IF(BaseCoalPlants!G183="-","",BaseCoalPlants!G183)</f>
        <v>1971</v>
      </c>
      <c r="I181" t="str">
        <f>IF(BaseCoalPlants!H183="-","",BaseCoalPlants!H183)</f>
        <v/>
      </c>
      <c r="J181" t="str">
        <f>IF(BaseCoalPlants!I183="-","",BaseCoalPlants!I183)</f>
        <v/>
      </c>
      <c r="K181" t="str">
        <f>IF(BaseCoalPlants!J183="-","",BaseCoalPlants!J183)</f>
        <v/>
      </c>
      <c r="L181" t="str">
        <f>IF(BaseCoalPlants!K183="-","",BaseCoalPlants!K183)</f>
        <v/>
      </c>
      <c r="M181" s="1" t="str">
        <f>IF(BaseCoalPlants!L183=0,"",BaseCoalPlants!L183)</f>
        <v/>
      </c>
      <c r="N181" s="1" t="str">
        <f>IF(BaseCoalPlants!W183=0,"",BaseCoalPlants!W183)</f>
        <v/>
      </c>
      <c r="O181" s="1" t="str">
        <f>IF(BaseCoalPlants!X183=0,"",BaseCoalPlants!X183)</f>
        <v/>
      </c>
      <c r="P181" s="1" t="str">
        <f>IF(BaseCoalPlants!Y183=0,"",BaseCoalPlants!Y183)</f>
        <v/>
      </c>
      <c r="Q181" s="1" t="str">
        <f>IF(BaseCoalPlants!Z183=0,"",BaseCoalPlants!Z183)</f>
        <v/>
      </c>
      <c r="R181" s="1" t="str">
        <f>IF(BaseCoalPlants!AA183=0,"",BaseCoalPlants!AA183)</f>
        <v/>
      </c>
      <c r="S181" s="1" t="str">
        <f>IF(BaseCoalPlants!AB183=0,"",BaseCoalPlants!AB183)</f>
        <v/>
      </c>
      <c r="T181" s="1">
        <f>IF(BaseCoalPlants!AC183=0,"",BaseCoalPlants!AC183)</f>
        <v>0.29777560075322784</v>
      </c>
      <c r="U181" s="1" t="str">
        <f>IF(BaseCoalPlants!AD183=0,"",BaseCoalPlants!AD183)</f>
        <v/>
      </c>
      <c r="V181" s="1" t="str">
        <f>IF(BaseCoalPlants!AE183=0,"",BaseCoalPlants!AE183)</f>
        <v/>
      </c>
    </row>
    <row r="182" spans="3:22" x14ac:dyDescent="0.35">
      <c r="C182" t="str">
        <f>IF(BaseCoalPlants!B184="VDA_FLOP",IF(BaseCoalPlants!D184="ELC","*","INPUT"),BaseCoalPlants!B184)</f>
        <v>EFF</v>
      </c>
      <c r="D182" t="str">
        <f>IF(BaseCoalPlants!C184="","\I:",BaseCoalPlants!C184&amp;"_LE")</f>
        <v>ECSTMRLOO_LE</v>
      </c>
      <c r="E182" t="str">
        <f>IF(BaseCoalPlants!D184="-","",BaseCoalPlants!D184)</f>
        <v/>
      </c>
      <c r="F182" t="str">
        <f>IF(BaseCoalPlants!E184="-","",BaseCoalPlants!E184)</f>
        <v/>
      </c>
      <c r="G182" t="str">
        <f>IF(BaseCoalPlants!F184="-","",BaseCoalPlants!F184)</f>
        <v>ANNUAL</v>
      </c>
      <c r="H182">
        <f>IF(BaseCoalPlants!G184="-","",BaseCoalPlants!G184)</f>
        <v>1972</v>
      </c>
      <c r="I182" t="str">
        <f>IF(BaseCoalPlants!H184="-","",BaseCoalPlants!H184)</f>
        <v/>
      </c>
      <c r="J182" t="str">
        <f>IF(BaseCoalPlants!I184="-","",BaseCoalPlants!I184)</f>
        <v/>
      </c>
      <c r="K182" t="str">
        <f>IF(BaseCoalPlants!J184="-","",BaseCoalPlants!J184)</f>
        <v/>
      </c>
      <c r="L182" t="str">
        <f>IF(BaseCoalPlants!K184="-","",BaseCoalPlants!K184)</f>
        <v/>
      </c>
      <c r="M182" s="1" t="str">
        <f>IF(BaseCoalPlants!L184=0,"",BaseCoalPlants!L184)</f>
        <v/>
      </c>
      <c r="N182" s="1" t="str">
        <f>IF(BaseCoalPlants!W184=0,"",BaseCoalPlants!W184)</f>
        <v/>
      </c>
      <c r="O182" s="1" t="str">
        <f>IF(BaseCoalPlants!X184=0,"",BaseCoalPlants!X184)</f>
        <v/>
      </c>
      <c r="P182" s="1" t="str">
        <f>IF(BaseCoalPlants!Y184=0,"",BaseCoalPlants!Y184)</f>
        <v/>
      </c>
      <c r="Q182" s="1" t="str">
        <f>IF(BaseCoalPlants!Z184=0,"",BaseCoalPlants!Z184)</f>
        <v/>
      </c>
      <c r="R182" s="1" t="str">
        <f>IF(BaseCoalPlants!AA184=0,"",BaseCoalPlants!AA184)</f>
        <v/>
      </c>
      <c r="S182" s="1" t="str">
        <f>IF(BaseCoalPlants!AB184=0,"",BaseCoalPlants!AB184)</f>
        <v/>
      </c>
      <c r="T182" s="1">
        <f>IF(BaseCoalPlants!AC184=0,"",BaseCoalPlants!AC184)</f>
        <v>0.29968249783974527</v>
      </c>
      <c r="U182" s="1" t="str">
        <f>IF(BaseCoalPlants!AD184=0,"",BaseCoalPlants!AD184)</f>
        <v/>
      </c>
      <c r="V182" s="1" t="str">
        <f>IF(BaseCoalPlants!AE184=0,"",BaseCoalPlants!AE184)</f>
        <v/>
      </c>
    </row>
    <row r="183" spans="3:22" x14ac:dyDescent="0.35">
      <c r="C183" t="str">
        <f>IF(BaseCoalPlants!B185="VDA_FLOP",IF(BaseCoalPlants!D185="ELC","*","INPUT"),BaseCoalPlants!B185)</f>
        <v>EFF</v>
      </c>
      <c r="D183" t="str">
        <f>IF(BaseCoalPlants!C185="","\I:",BaseCoalPlants!C185&amp;"_LE")</f>
        <v>ECSTMRLOO_LE</v>
      </c>
      <c r="E183" t="str">
        <f>IF(BaseCoalPlants!D185="-","",BaseCoalPlants!D185)</f>
        <v/>
      </c>
      <c r="F183" t="str">
        <f>IF(BaseCoalPlants!E185="-","",BaseCoalPlants!E185)</f>
        <v/>
      </c>
      <c r="G183" t="str">
        <f>IF(BaseCoalPlants!F185="-","",BaseCoalPlants!F185)</f>
        <v>ANNUAL</v>
      </c>
      <c r="H183">
        <f>IF(BaseCoalPlants!G185="-","",BaseCoalPlants!G185)</f>
        <v>1975</v>
      </c>
      <c r="I183" t="str">
        <f>IF(BaseCoalPlants!H185="-","",BaseCoalPlants!H185)</f>
        <v/>
      </c>
      <c r="J183" t="str">
        <f>IF(BaseCoalPlants!I185="-","",BaseCoalPlants!I185)</f>
        <v/>
      </c>
      <c r="K183" t="str">
        <f>IF(BaseCoalPlants!J185="-","",BaseCoalPlants!J185)</f>
        <v/>
      </c>
      <c r="L183" t="str">
        <f>IF(BaseCoalPlants!K185="-","",BaseCoalPlants!K185)</f>
        <v/>
      </c>
      <c r="M183" s="1" t="str">
        <f>IF(BaseCoalPlants!L185=0,"",BaseCoalPlants!L185)</f>
        <v/>
      </c>
      <c r="N183" s="1" t="str">
        <f>IF(BaseCoalPlants!W185=0,"",BaseCoalPlants!W185)</f>
        <v/>
      </c>
      <c r="O183" s="1" t="str">
        <f>IF(BaseCoalPlants!X185=0,"",BaseCoalPlants!X185)</f>
        <v/>
      </c>
      <c r="P183" s="1" t="str">
        <f>IF(BaseCoalPlants!Y185=0,"",BaseCoalPlants!Y185)</f>
        <v/>
      </c>
      <c r="Q183" s="1">
        <f>IF(BaseCoalPlants!Z185=0,"",BaseCoalPlants!Z185)</f>
        <v>0.29723522220182014</v>
      </c>
      <c r="R183" s="1" t="str">
        <f>IF(BaseCoalPlants!AA185=0,"",BaseCoalPlants!AA185)</f>
        <v/>
      </c>
      <c r="S183" s="1" t="str">
        <f>IF(BaseCoalPlants!AB185=0,"",BaseCoalPlants!AB185)</f>
        <v/>
      </c>
      <c r="T183" s="1" t="str">
        <f>IF(BaseCoalPlants!AC185=0,"",BaseCoalPlants!AC185)</f>
        <v/>
      </c>
      <c r="U183" s="1" t="str">
        <f>IF(BaseCoalPlants!AD185=0,"",BaseCoalPlants!AD185)</f>
        <v/>
      </c>
      <c r="V183" s="1" t="str">
        <f>IF(BaseCoalPlants!AE185=0,"",BaseCoalPlants!AE185)</f>
        <v/>
      </c>
    </row>
    <row r="184" spans="3:22" x14ac:dyDescent="0.35">
      <c r="C184" t="str">
        <f>IF(BaseCoalPlants!B186="VDA_FLOP",IF(BaseCoalPlants!D186="ELC","*","INPUT"),BaseCoalPlants!B186)</f>
        <v>EFF</v>
      </c>
      <c r="D184" t="str">
        <f>IF(BaseCoalPlants!C186="","\I:",BaseCoalPlants!C186&amp;"_LE")</f>
        <v>ECSTMRLOO_LE</v>
      </c>
      <c r="E184" t="str">
        <f>IF(BaseCoalPlants!D186="-","",BaseCoalPlants!D186)</f>
        <v/>
      </c>
      <c r="F184" t="str">
        <f>IF(BaseCoalPlants!E186="-","",BaseCoalPlants!E186)</f>
        <v/>
      </c>
      <c r="G184" t="str">
        <f>IF(BaseCoalPlants!F186="-","",BaseCoalPlants!F186)</f>
        <v>ANNUAL</v>
      </c>
      <c r="H184">
        <f>IF(BaseCoalPlants!G186="-","",BaseCoalPlants!G186)</f>
        <v>1977</v>
      </c>
      <c r="I184" t="str">
        <f>IF(BaseCoalPlants!H186="-","",BaseCoalPlants!H186)</f>
        <v/>
      </c>
      <c r="J184" t="str">
        <f>IF(BaseCoalPlants!I186="-","",BaseCoalPlants!I186)</f>
        <v/>
      </c>
      <c r="K184" t="str">
        <f>IF(BaseCoalPlants!J186="-","",BaseCoalPlants!J186)</f>
        <v/>
      </c>
      <c r="L184" t="str">
        <f>IF(BaseCoalPlants!K186="-","",BaseCoalPlants!K186)</f>
        <v/>
      </c>
      <c r="M184" s="1" t="str">
        <f>IF(BaseCoalPlants!L186=0,"",BaseCoalPlants!L186)</f>
        <v/>
      </c>
      <c r="N184" s="1" t="str">
        <f>IF(BaseCoalPlants!W186=0,"",BaseCoalPlants!W186)</f>
        <v/>
      </c>
      <c r="O184" s="1" t="str">
        <f>IF(BaseCoalPlants!X186=0,"",BaseCoalPlants!X186)</f>
        <v/>
      </c>
      <c r="P184" s="1" t="str">
        <f>IF(BaseCoalPlants!Y186=0,"",BaseCoalPlants!Y186)</f>
        <v/>
      </c>
      <c r="Q184" s="1">
        <f>IF(BaseCoalPlants!Z186=0,"",BaseCoalPlants!Z186)</f>
        <v>0.30727224311849277</v>
      </c>
      <c r="R184" s="1" t="str">
        <f>IF(BaseCoalPlants!AA186=0,"",BaseCoalPlants!AA186)</f>
        <v/>
      </c>
      <c r="S184" s="1" t="str">
        <f>IF(BaseCoalPlants!AB186=0,"",BaseCoalPlants!AB186)</f>
        <v/>
      </c>
      <c r="T184" s="1">
        <f>IF(BaseCoalPlants!AC186=0,"",BaseCoalPlants!AC186)</f>
        <v>0.28455779915620699</v>
      </c>
      <c r="U184" s="1" t="str">
        <f>IF(BaseCoalPlants!AD186=0,"",BaseCoalPlants!AD186)</f>
        <v/>
      </c>
      <c r="V184" s="1" t="str">
        <f>IF(BaseCoalPlants!AE186=0,"",BaseCoalPlants!AE186)</f>
        <v/>
      </c>
    </row>
    <row r="185" spans="3:22" x14ac:dyDescent="0.35">
      <c r="C185" t="str">
        <f>IF(BaseCoalPlants!B187="VDA_FLOP",IF(BaseCoalPlants!D187="ELC","*","INPUT"),BaseCoalPlants!B187)</f>
        <v>EFF</v>
      </c>
      <c r="D185" t="str">
        <f>IF(BaseCoalPlants!C187="","\I:",BaseCoalPlants!C187&amp;"_LE")</f>
        <v>ECSTMRLOO_LE</v>
      </c>
      <c r="E185" t="str">
        <f>IF(BaseCoalPlants!D187="-","",BaseCoalPlants!D187)</f>
        <v/>
      </c>
      <c r="F185" t="str">
        <f>IF(BaseCoalPlants!E187="-","",BaseCoalPlants!E187)</f>
        <v/>
      </c>
      <c r="G185" t="str">
        <f>IF(BaseCoalPlants!F187="-","",BaseCoalPlants!F187)</f>
        <v>ANNUAL</v>
      </c>
      <c r="H185">
        <f>IF(BaseCoalPlants!G187="-","",BaseCoalPlants!G187)</f>
        <v>1978</v>
      </c>
      <c r="I185" t="str">
        <f>IF(BaseCoalPlants!H187="-","",BaseCoalPlants!H187)</f>
        <v/>
      </c>
      <c r="J185" t="str">
        <f>IF(BaseCoalPlants!I187="-","",BaseCoalPlants!I187)</f>
        <v/>
      </c>
      <c r="K185" t="str">
        <f>IF(BaseCoalPlants!J187="-","",BaseCoalPlants!J187)</f>
        <v/>
      </c>
      <c r="L185" t="str">
        <f>IF(BaseCoalPlants!K187="-","",BaseCoalPlants!K187)</f>
        <v/>
      </c>
      <c r="M185" s="1" t="str">
        <f>IF(BaseCoalPlants!L187=0,"",BaseCoalPlants!L187)</f>
        <v/>
      </c>
      <c r="N185" s="1" t="str">
        <f>IF(BaseCoalPlants!W187=0,"",BaseCoalPlants!W187)</f>
        <v/>
      </c>
      <c r="O185" s="1" t="str">
        <f>IF(BaseCoalPlants!X187=0,"",BaseCoalPlants!X187)</f>
        <v/>
      </c>
      <c r="P185" s="1" t="str">
        <f>IF(BaseCoalPlants!Y187=0,"",BaseCoalPlants!Y187)</f>
        <v/>
      </c>
      <c r="Q185" s="1" t="str">
        <f>IF(BaseCoalPlants!Z187=0,"",BaseCoalPlants!Z187)</f>
        <v/>
      </c>
      <c r="R185" s="1" t="str">
        <f>IF(BaseCoalPlants!AA187=0,"",BaseCoalPlants!AA187)</f>
        <v/>
      </c>
      <c r="S185" s="1" t="str">
        <f>IF(BaseCoalPlants!AB187=0,"",BaseCoalPlants!AB187)</f>
        <v/>
      </c>
      <c r="T185" s="1">
        <f>IF(BaseCoalPlants!AC187=0,"",BaseCoalPlants!AC187)</f>
        <v>0.29243254632085824</v>
      </c>
      <c r="U185" s="1" t="str">
        <f>IF(BaseCoalPlants!AD187=0,"",BaseCoalPlants!AD187)</f>
        <v/>
      </c>
      <c r="V185" s="1" t="str">
        <f>IF(BaseCoalPlants!AE187=0,"",BaseCoalPlants!AE187)</f>
        <v/>
      </c>
    </row>
    <row r="186" spans="3:22" x14ac:dyDescent="0.35">
      <c r="C186" t="str">
        <f>IF(BaseCoalPlants!B188="VDA_FLOP",IF(BaseCoalPlants!D188="ELC","*","INPUT"),BaseCoalPlants!B188)</f>
        <v>EFF</v>
      </c>
      <c r="D186" t="str">
        <f>IF(BaseCoalPlants!C188="","\I:",BaseCoalPlants!C188&amp;"_LE")</f>
        <v>ECSTMRLOO_LE</v>
      </c>
      <c r="E186" t="str">
        <f>IF(BaseCoalPlants!D188="-","",BaseCoalPlants!D188)</f>
        <v/>
      </c>
      <c r="F186" t="str">
        <f>IF(BaseCoalPlants!E188="-","",BaseCoalPlants!E188)</f>
        <v/>
      </c>
      <c r="G186" t="str">
        <f>IF(BaseCoalPlants!F188="-","",BaseCoalPlants!F188)</f>
        <v>ANNUAL</v>
      </c>
      <c r="H186">
        <f>IF(BaseCoalPlants!G188="-","",BaseCoalPlants!G188)</f>
        <v>1979</v>
      </c>
      <c r="I186" t="str">
        <f>IF(BaseCoalPlants!H188="-","",BaseCoalPlants!H188)</f>
        <v/>
      </c>
      <c r="J186" t="str">
        <f>IF(BaseCoalPlants!I188="-","",BaseCoalPlants!I188)</f>
        <v/>
      </c>
      <c r="K186" t="str">
        <f>IF(BaseCoalPlants!J188="-","",BaseCoalPlants!J188)</f>
        <v/>
      </c>
      <c r="L186" t="str">
        <f>IF(BaseCoalPlants!K188="-","",BaseCoalPlants!K188)</f>
        <v/>
      </c>
      <c r="M186" s="1" t="str">
        <f>IF(BaseCoalPlants!L188=0,"",BaseCoalPlants!L188)</f>
        <v/>
      </c>
      <c r="N186" s="1" t="str">
        <f>IF(BaseCoalPlants!W188=0,"",BaseCoalPlants!W188)</f>
        <v/>
      </c>
      <c r="O186" s="1" t="str">
        <f>IF(BaseCoalPlants!X188=0,"",BaseCoalPlants!X188)</f>
        <v/>
      </c>
      <c r="P186" s="1" t="str">
        <f>IF(BaseCoalPlants!Y188=0,"",BaseCoalPlants!Y188)</f>
        <v/>
      </c>
      <c r="Q186" s="1" t="str">
        <f>IF(BaseCoalPlants!Z188=0,"",BaseCoalPlants!Z188)</f>
        <v/>
      </c>
      <c r="R186" s="1" t="str">
        <f>IF(BaseCoalPlants!AA188=0,"",BaseCoalPlants!AA188)</f>
        <v/>
      </c>
      <c r="S186" s="1" t="str">
        <f>IF(BaseCoalPlants!AB188=0,"",BaseCoalPlants!AB188)</f>
        <v/>
      </c>
      <c r="T186" s="1">
        <f>IF(BaseCoalPlants!AC188=0,"",BaseCoalPlants!AC188)</f>
        <v>0.30376756156215262</v>
      </c>
      <c r="U186" s="1" t="str">
        <f>IF(BaseCoalPlants!AD188=0,"",BaseCoalPlants!AD188)</f>
        <v/>
      </c>
      <c r="V186" s="1" t="str">
        <f>IF(BaseCoalPlants!AE188=0,"",BaseCoalPlants!AE188)</f>
        <v/>
      </c>
    </row>
    <row r="187" spans="3:22" x14ac:dyDescent="0.35">
      <c r="C187" t="str">
        <f>IF(BaseCoalPlants!B189="VDA_FLOP",IF(BaseCoalPlants!D189="ELC","*","INPUT"),BaseCoalPlants!B189)</f>
        <v>EFF</v>
      </c>
      <c r="D187" t="str">
        <f>IF(BaseCoalPlants!C189="","\I:",BaseCoalPlants!C189&amp;"_LE")</f>
        <v>ECSTMRLOR_LE</v>
      </c>
      <c r="E187" t="str">
        <f>IF(BaseCoalPlants!D189="-","",BaseCoalPlants!D189)</f>
        <v/>
      </c>
      <c r="F187" t="str">
        <f>IF(BaseCoalPlants!E189="-","",BaseCoalPlants!E189)</f>
        <v/>
      </c>
      <c r="G187" t="str">
        <f>IF(BaseCoalPlants!F189="-","",BaseCoalPlants!F189)</f>
        <v>ANNUAL</v>
      </c>
      <c r="H187">
        <f>IF(BaseCoalPlants!G189="-","",BaseCoalPlants!G189)</f>
        <v>1979</v>
      </c>
      <c r="I187" t="str">
        <f>IF(BaseCoalPlants!H189="-","",BaseCoalPlants!H189)</f>
        <v/>
      </c>
      <c r="J187" t="str">
        <f>IF(BaseCoalPlants!I189="-","",BaseCoalPlants!I189)</f>
        <v/>
      </c>
      <c r="K187" t="str">
        <f>IF(BaseCoalPlants!J189="-","",BaseCoalPlants!J189)</f>
        <v/>
      </c>
      <c r="L187" t="str">
        <f>IF(BaseCoalPlants!K189="-","",BaseCoalPlants!K189)</f>
        <v/>
      </c>
      <c r="M187" s="1" t="str">
        <f>IF(BaseCoalPlants!L189=0,"",BaseCoalPlants!L189)</f>
        <v/>
      </c>
      <c r="N187" s="1" t="str">
        <f>IF(BaseCoalPlants!W189=0,"",BaseCoalPlants!W189)</f>
        <v/>
      </c>
      <c r="O187" s="1" t="str">
        <f>IF(BaseCoalPlants!X189=0,"",BaseCoalPlants!X189)</f>
        <v/>
      </c>
      <c r="P187" s="1" t="str">
        <f>IF(BaseCoalPlants!Y189=0,"",BaseCoalPlants!Y189)</f>
        <v/>
      </c>
      <c r="Q187" s="1">
        <f>IF(BaseCoalPlants!Z189=0,"",BaseCoalPlants!Z189)</f>
        <v>0.29198942721153887</v>
      </c>
      <c r="R187" s="1" t="str">
        <f>IF(BaseCoalPlants!AA189=0,"",BaseCoalPlants!AA189)</f>
        <v/>
      </c>
      <c r="S187" s="1" t="str">
        <f>IF(BaseCoalPlants!AB189=0,"",BaseCoalPlants!AB189)</f>
        <v/>
      </c>
      <c r="T187" s="1" t="str">
        <f>IF(BaseCoalPlants!AC189=0,"",BaseCoalPlants!AC189)</f>
        <v/>
      </c>
      <c r="U187" s="1" t="str">
        <f>IF(BaseCoalPlants!AD189=0,"",BaseCoalPlants!AD189)</f>
        <v/>
      </c>
      <c r="V187" s="1" t="str">
        <f>IF(BaseCoalPlants!AE189=0,"",BaseCoalPlants!AE189)</f>
        <v/>
      </c>
    </row>
    <row r="188" spans="3:22" x14ac:dyDescent="0.35">
      <c r="C188" t="str">
        <f>IF(BaseCoalPlants!B190="VDA_FLOP",IF(BaseCoalPlants!D190="ELC","*","INPUT"),BaseCoalPlants!B190)</f>
        <v>EFF</v>
      </c>
      <c r="D188" t="str">
        <f>IF(BaseCoalPlants!C190="","\I:",BaseCoalPlants!C190&amp;"_LE")</f>
        <v>ECSTMRLOR_LE</v>
      </c>
      <c r="E188" t="str">
        <f>IF(BaseCoalPlants!D190="-","",BaseCoalPlants!D190)</f>
        <v/>
      </c>
      <c r="F188" t="str">
        <f>IF(BaseCoalPlants!E190="-","",BaseCoalPlants!E190)</f>
        <v/>
      </c>
      <c r="G188" t="str">
        <f>IF(BaseCoalPlants!F190="-","",BaseCoalPlants!F190)</f>
        <v>ANNUAL</v>
      </c>
      <c r="H188">
        <f>IF(BaseCoalPlants!G190="-","",BaseCoalPlants!G190)</f>
        <v>1980</v>
      </c>
      <c r="I188" t="str">
        <f>IF(BaseCoalPlants!H190="-","",BaseCoalPlants!H190)</f>
        <v/>
      </c>
      <c r="J188" t="str">
        <f>IF(BaseCoalPlants!I190="-","",BaseCoalPlants!I190)</f>
        <v/>
      </c>
      <c r="K188" t="str">
        <f>IF(BaseCoalPlants!J190="-","",BaseCoalPlants!J190)</f>
        <v/>
      </c>
      <c r="L188" t="str">
        <f>IF(BaseCoalPlants!K190="-","",BaseCoalPlants!K190)</f>
        <v/>
      </c>
      <c r="M188" s="1" t="str">
        <f>IF(BaseCoalPlants!L190=0,"",BaseCoalPlants!L190)</f>
        <v/>
      </c>
      <c r="N188" s="1" t="str">
        <f>IF(BaseCoalPlants!W190=0,"",BaseCoalPlants!W190)</f>
        <v/>
      </c>
      <c r="O188" s="1" t="str">
        <f>IF(BaseCoalPlants!X190=0,"",BaseCoalPlants!X190)</f>
        <v/>
      </c>
      <c r="P188" s="1" t="str">
        <f>IF(BaseCoalPlants!Y190=0,"",BaseCoalPlants!Y190)</f>
        <v/>
      </c>
      <c r="Q188" s="1" t="str">
        <f>IF(BaseCoalPlants!Z190=0,"",BaseCoalPlants!Z190)</f>
        <v/>
      </c>
      <c r="R188" s="1" t="str">
        <f>IF(BaseCoalPlants!AA190=0,"",BaseCoalPlants!AA190)</f>
        <v/>
      </c>
      <c r="S188" s="1" t="str">
        <f>IF(BaseCoalPlants!AB190=0,"",BaseCoalPlants!AB190)</f>
        <v/>
      </c>
      <c r="T188" s="1" t="str">
        <f>IF(BaseCoalPlants!AC190=0,"",BaseCoalPlants!AC190)</f>
        <v/>
      </c>
      <c r="U188" s="1">
        <f>IF(BaseCoalPlants!AD190=0,"",BaseCoalPlants!AD190)</f>
        <v>0.28958887764199581</v>
      </c>
      <c r="V188" s="1" t="str">
        <f>IF(BaseCoalPlants!AE190=0,"",BaseCoalPlants!AE190)</f>
        <v/>
      </c>
    </row>
    <row r="189" spans="3:22" x14ac:dyDescent="0.35">
      <c r="C189" t="str">
        <f>IF(BaseCoalPlants!B191="VDA_FLOP",IF(BaseCoalPlants!D191="ELC","*","INPUT"),BaseCoalPlants!B191)</f>
        <v>EFF</v>
      </c>
      <c r="D189" t="str">
        <f>IF(BaseCoalPlants!C191="","\I:",BaseCoalPlants!C191&amp;"_LE")</f>
        <v>ECSTMRLOR_LE</v>
      </c>
      <c r="E189" t="str">
        <f>IF(BaseCoalPlants!D191="-","",BaseCoalPlants!D191)</f>
        <v/>
      </c>
      <c r="F189" t="str">
        <f>IF(BaseCoalPlants!E191="-","",BaseCoalPlants!E191)</f>
        <v/>
      </c>
      <c r="G189" t="str">
        <f>IF(BaseCoalPlants!F191="-","",BaseCoalPlants!F191)</f>
        <v>ANNUAL</v>
      </c>
      <c r="H189">
        <f>IF(BaseCoalPlants!G191="-","",BaseCoalPlants!G191)</f>
        <v>1981</v>
      </c>
      <c r="I189" t="str">
        <f>IF(BaseCoalPlants!H191="-","",BaseCoalPlants!H191)</f>
        <v/>
      </c>
      <c r="J189" t="str">
        <f>IF(BaseCoalPlants!I191="-","",BaseCoalPlants!I191)</f>
        <v/>
      </c>
      <c r="K189" t="str">
        <f>IF(BaseCoalPlants!J191="-","",BaseCoalPlants!J191)</f>
        <v/>
      </c>
      <c r="L189" t="str">
        <f>IF(BaseCoalPlants!K191="-","",BaseCoalPlants!K191)</f>
        <v/>
      </c>
      <c r="M189" s="1" t="str">
        <f>IF(BaseCoalPlants!L191=0,"",BaseCoalPlants!L191)</f>
        <v/>
      </c>
      <c r="N189" s="1" t="str">
        <f>IF(BaseCoalPlants!W191=0,"",BaseCoalPlants!W191)</f>
        <v/>
      </c>
      <c r="O189" s="1" t="str">
        <f>IF(BaseCoalPlants!X191=0,"",BaseCoalPlants!X191)</f>
        <v/>
      </c>
      <c r="P189" s="1" t="str">
        <f>IF(BaseCoalPlants!Y191=0,"",BaseCoalPlants!Y191)</f>
        <v/>
      </c>
      <c r="Q189" s="1">
        <f>IF(BaseCoalPlants!Z191=0,"",BaseCoalPlants!Z191)</f>
        <v>0.29318956084609243</v>
      </c>
      <c r="R189" s="1" t="str">
        <f>IF(BaseCoalPlants!AA191=0,"",BaseCoalPlants!AA191)</f>
        <v/>
      </c>
      <c r="S189" s="1" t="str">
        <f>IF(BaseCoalPlants!AB191=0,"",BaseCoalPlants!AB191)</f>
        <v/>
      </c>
      <c r="T189" s="1">
        <f>IF(BaseCoalPlants!AC191=0,"",BaseCoalPlants!AC191)</f>
        <v>0.28669957849520927</v>
      </c>
      <c r="U189" s="1">
        <f>IF(BaseCoalPlants!AD191=0,"",BaseCoalPlants!AD191)</f>
        <v>0.29908056093182306</v>
      </c>
      <c r="V189" s="1" t="str">
        <f>IF(BaseCoalPlants!AE191=0,"",BaseCoalPlants!AE191)</f>
        <v/>
      </c>
    </row>
    <row r="190" spans="3:22" x14ac:dyDescent="0.35">
      <c r="C190" t="str">
        <f>IF(BaseCoalPlants!B192="VDA_FLOP",IF(BaseCoalPlants!D192="ELC","*","INPUT"),BaseCoalPlants!B192)</f>
        <v>EFF</v>
      </c>
      <c r="D190" t="str">
        <f>IF(BaseCoalPlants!C192="","\I:",BaseCoalPlants!C192&amp;"_LE")</f>
        <v>ECSTMRLOR_LE</v>
      </c>
      <c r="E190" t="str">
        <f>IF(BaseCoalPlants!D192="-","",BaseCoalPlants!D192)</f>
        <v/>
      </c>
      <c r="F190" t="str">
        <f>IF(BaseCoalPlants!E192="-","",BaseCoalPlants!E192)</f>
        <v/>
      </c>
      <c r="G190" t="str">
        <f>IF(BaseCoalPlants!F192="-","",BaseCoalPlants!F192)</f>
        <v>ANNUAL</v>
      </c>
      <c r="H190">
        <f>IF(BaseCoalPlants!G192="-","",BaseCoalPlants!G192)</f>
        <v>1982</v>
      </c>
      <c r="I190" t="str">
        <f>IF(BaseCoalPlants!H192="-","",BaseCoalPlants!H192)</f>
        <v/>
      </c>
      <c r="J190" t="str">
        <f>IF(BaseCoalPlants!I192="-","",BaseCoalPlants!I192)</f>
        <v/>
      </c>
      <c r="K190" t="str">
        <f>IF(BaseCoalPlants!J192="-","",BaseCoalPlants!J192)</f>
        <v/>
      </c>
      <c r="L190" t="str">
        <f>IF(BaseCoalPlants!K192="-","",BaseCoalPlants!K192)</f>
        <v/>
      </c>
      <c r="M190" s="1" t="str">
        <f>IF(BaseCoalPlants!L192=0,"",BaseCoalPlants!L192)</f>
        <v/>
      </c>
      <c r="N190" s="1" t="str">
        <f>IF(BaseCoalPlants!W192=0,"",BaseCoalPlants!W192)</f>
        <v/>
      </c>
      <c r="O190" s="1" t="str">
        <f>IF(BaseCoalPlants!X192=0,"",BaseCoalPlants!X192)</f>
        <v/>
      </c>
      <c r="P190" s="1" t="str">
        <f>IF(BaseCoalPlants!Y192=0,"",BaseCoalPlants!Y192)</f>
        <v/>
      </c>
      <c r="Q190" s="1" t="str">
        <f>IF(BaseCoalPlants!Z192=0,"",BaseCoalPlants!Z192)</f>
        <v/>
      </c>
      <c r="R190" s="1" t="str">
        <f>IF(BaseCoalPlants!AA192=0,"",BaseCoalPlants!AA192)</f>
        <v/>
      </c>
      <c r="S190" s="1" t="str">
        <f>IF(BaseCoalPlants!AB192=0,"",BaseCoalPlants!AB192)</f>
        <v/>
      </c>
      <c r="T190" s="1">
        <f>IF(BaseCoalPlants!AC192=0,"",BaseCoalPlants!AC192)</f>
        <v>0.28184026360545983</v>
      </c>
      <c r="U190" s="1">
        <f>IF(BaseCoalPlants!AD192=0,"",BaseCoalPlants!AD192)</f>
        <v>0.28032084407720831</v>
      </c>
      <c r="V190" s="1" t="str">
        <f>IF(BaseCoalPlants!AE192=0,"",BaseCoalPlants!AE192)</f>
        <v/>
      </c>
    </row>
    <row r="191" spans="3:22" x14ac:dyDescent="0.35">
      <c r="C191" t="str">
        <f>IF(BaseCoalPlants!B193="VDA_FLOP",IF(BaseCoalPlants!D193="ELC","*","INPUT"),BaseCoalPlants!B193)</f>
        <v>EFF</v>
      </c>
      <c r="D191" t="str">
        <f>IF(BaseCoalPlants!C193="","\I:",BaseCoalPlants!C193&amp;"_LE")</f>
        <v>ECSTMRLOR_LE</v>
      </c>
      <c r="E191" t="str">
        <f>IF(BaseCoalPlants!D193="-","",BaseCoalPlants!D193)</f>
        <v/>
      </c>
      <c r="F191" t="str">
        <f>IF(BaseCoalPlants!E193="-","",BaseCoalPlants!E193)</f>
        <v/>
      </c>
      <c r="G191" t="str">
        <f>IF(BaseCoalPlants!F193="-","",BaseCoalPlants!F193)</f>
        <v>ANNUAL</v>
      </c>
      <c r="H191">
        <f>IF(BaseCoalPlants!G193="-","",BaseCoalPlants!G193)</f>
        <v>1984</v>
      </c>
      <c r="I191" t="str">
        <f>IF(BaseCoalPlants!H193="-","",BaseCoalPlants!H193)</f>
        <v/>
      </c>
      <c r="J191" t="str">
        <f>IF(BaseCoalPlants!I193="-","",BaseCoalPlants!I193)</f>
        <v/>
      </c>
      <c r="K191" t="str">
        <f>IF(BaseCoalPlants!J193="-","",BaseCoalPlants!J193)</f>
        <v/>
      </c>
      <c r="L191" t="str">
        <f>IF(BaseCoalPlants!K193="-","",BaseCoalPlants!K193)</f>
        <v/>
      </c>
      <c r="M191" s="1" t="str">
        <f>IF(BaseCoalPlants!L193=0,"",BaseCoalPlants!L193)</f>
        <v/>
      </c>
      <c r="N191" s="1" t="str">
        <f>IF(BaseCoalPlants!W193=0,"",BaseCoalPlants!W193)</f>
        <v/>
      </c>
      <c r="O191" s="1" t="str">
        <f>IF(BaseCoalPlants!X193=0,"",BaseCoalPlants!X193)</f>
        <v/>
      </c>
      <c r="P191" s="1" t="str">
        <f>IF(BaseCoalPlants!Y193=0,"",BaseCoalPlants!Y193)</f>
        <v/>
      </c>
      <c r="Q191" s="1">
        <f>IF(BaseCoalPlants!Z193=0,"",BaseCoalPlants!Z193)</f>
        <v>0.2981279017006061</v>
      </c>
      <c r="R191" s="1" t="str">
        <f>IF(BaseCoalPlants!AA193=0,"",BaseCoalPlants!AA193)</f>
        <v/>
      </c>
      <c r="S191" s="1" t="str">
        <f>IF(BaseCoalPlants!AB193=0,"",BaseCoalPlants!AB193)</f>
        <v/>
      </c>
      <c r="T191" s="1" t="str">
        <f>IF(BaseCoalPlants!AC193=0,"",BaseCoalPlants!AC193)</f>
        <v/>
      </c>
      <c r="U191" s="1" t="str">
        <f>IF(BaseCoalPlants!AD193=0,"",BaseCoalPlants!AD193)</f>
        <v/>
      </c>
      <c r="V191" s="1" t="str">
        <f>IF(BaseCoalPlants!AE193=0,"",BaseCoalPlants!AE193)</f>
        <v/>
      </c>
    </row>
    <row r="192" spans="3:22" x14ac:dyDescent="0.35">
      <c r="C192" t="str">
        <f>IF(BaseCoalPlants!B194="VDA_FLOP",IF(BaseCoalPlants!D194="ELC","*","INPUT"),BaseCoalPlants!B194)</f>
        <v>EFF</v>
      </c>
      <c r="D192" t="str">
        <f>IF(BaseCoalPlants!C194="","\I:",BaseCoalPlants!C194&amp;"_LE")</f>
        <v>ECSTMRLOR_LE</v>
      </c>
      <c r="E192" t="str">
        <f>IF(BaseCoalPlants!D194="-","",BaseCoalPlants!D194)</f>
        <v/>
      </c>
      <c r="F192" t="str">
        <f>IF(BaseCoalPlants!E194="-","",BaseCoalPlants!E194)</f>
        <v/>
      </c>
      <c r="G192" t="str">
        <f>IF(BaseCoalPlants!F194="-","",BaseCoalPlants!F194)</f>
        <v>ANNUAL</v>
      </c>
      <c r="H192">
        <f>IF(BaseCoalPlants!G194="-","",BaseCoalPlants!G194)</f>
        <v>1985</v>
      </c>
      <c r="I192" t="str">
        <f>IF(BaseCoalPlants!H194="-","",BaseCoalPlants!H194)</f>
        <v/>
      </c>
      <c r="J192" t="str">
        <f>IF(BaseCoalPlants!I194="-","",BaseCoalPlants!I194)</f>
        <v/>
      </c>
      <c r="K192" t="str">
        <f>IF(BaseCoalPlants!J194="-","",BaseCoalPlants!J194)</f>
        <v/>
      </c>
      <c r="L192" t="str">
        <f>IF(BaseCoalPlants!K194="-","",BaseCoalPlants!K194)</f>
        <v/>
      </c>
      <c r="M192" s="1" t="str">
        <f>IF(BaseCoalPlants!L194=0,"",BaseCoalPlants!L194)</f>
        <v/>
      </c>
      <c r="N192" s="1" t="str">
        <f>IF(BaseCoalPlants!W194=0,"",BaseCoalPlants!W194)</f>
        <v/>
      </c>
      <c r="O192" s="1" t="str">
        <f>IF(BaseCoalPlants!X194=0,"",BaseCoalPlants!X194)</f>
        <v/>
      </c>
      <c r="P192" s="1" t="str">
        <f>IF(BaseCoalPlants!Y194=0,"",BaseCoalPlants!Y194)</f>
        <v/>
      </c>
      <c r="Q192" s="1" t="str">
        <f>IF(BaseCoalPlants!Z194=0,"",BaseCoalPlants!Z194)</f>
        <v/>
      </c>
      <c r="R192" s="1" t="str">
        <f>IF(BaseCoalPlants!AA194=0,"",BaseCoalPlants!AA194)</f>
        <v/>
      </c>
      <c r="S192" s="1" t="str">
        <f>IF(BaseCoalPlants!AB194=0,"",BaseCoalPlants!AB194)</f>
        <v/>
      </c>
      <c r="T192" s="1">
        <f>IF(BaseCoalPlants!AC194=0,"",BaseCoalPlants!AC194)</f>
        <v>0.31599665327102494</v>
      </c>
      <c r="U192" s="1" t="str">
        <f>IF(BaseCoalPlants!AD194=0,"",BaseCoalPlants!AD194)</f>
        <v/>
      </c>
      <c r="V192" s="1" t="str">
        <f>IF(BaseCoalPlants!AE194=0,"",BaseCoalPlants!AE194)</f>
        <v/>
      </c>
    </row>
    <row r="193" spans="3:22" x14ac:dyDescent="0.35">
      <c r="C193" t="str">
        <f>IF(BaseCoalPlants!B195="VDA_FLOP",IF(BaseCoalPlants!D195="ELC","*","INPUT"),BaseCoalPlants!B195)</f>
        <v>EFF</v>
      </c>
      <c r="D193" t="str">
        <f>IF(BaseCoalPlants!C195="","\I:",BaseCoalPlants!C195&amp;"_LE")</f>
        <v>ECSTMRLOR_LE</v>
      </c>
      <c r="E193" t="str">
        <f>IF(BaseCoalPlants!D195="-","",BaseCoalPlants!D195)</f>
        <v/>
      </c>
      <c r="F193" t="str">
        <f>IF(BaseCoalPlants!E195="-","",BaseCoalPlants!E195)</f>
        <v/>
      </c>
      <c r="G193" t="str">
        <f>IF(BaseCoalPlants!F195="-","",BaseCoalPlants!F195)</f>
        <v>ANNUAL</v>
      </c>
      <c r="H193">
        <f>IF(BaseCoalPlants!G195="-","",BaseCoalPlants!G195)</f>
        <v>1986</v>
      </c>
      <c r="I193" t="str">
        <f>IF(BaseCoalPlants!H195="-","",BaseCoalPlants!H195)</f>
        <v/>
      </c>
      <c r="J193" t="str">
        <f>IF(BaseCoalPlants!I195="-","",BaseCoalPlants!I195)</f>
        <v/>
      </c>
      <c r="K193" t="str">
        <f>IF(BaseCoalPlants!J195="-","",BaseCoalPlants!J195)</f>
        <v/>
      </c>
      <c r="L193" t="str">
        <f>IF(BaseCoalPlants!K195="-","",BaseCoalPlants!K195)</f>
        <v/>
      </c>
      <c r="M193" s="1" t="str">
        <f>IF(BaseCoalPlants!L195=0,"",BaseCoalPlants!L195)</f>
        <v/>
      </c>
      <c r="N193" s="1" t="str">
        <f>IF(BaseCoalPlants!W195=0,"",BaseCoalPlants!W195)</f>
        <v/>
      </c>
      <c r="O193" s="1" t="str">
        <f>IF(BaseCoalPlants!X195=0,"",BaseCoalPlants!X195)</f>
        <v/>
      </c>
      <c r="P193" s="1" t="str">
        <f>IF(BaseCoalPlants!Y195=0,"",BaseCoalPlants!Y195)</f>
        <v/>
      </c>
      <c r="Q193" s="1">
        <f>IF(BaseCoalPlants!Z195=0,"",BaseCoalPlants!Z195)</f>
        <v>0.29232816204589152</v>
      </c>
      <c r="R193" s="1" t="str">
        <f>IF(BaseCoalPlants!AA195=0,"",BaseCoalPlants!AA195)</f>
        <v/>
      </c>
      <c r="S193" s="1" t="str">
        <f>IF(BaseCoalPlants!AB195=0,"",BaseCoalPlants!AB195)</f>
        <v/>
      </c>
      <c r="T193" s="1">
        <f>IF(BaseCoalPlants!AC195=0,"",BaseCoalPlants!AC195)</f>
        <v>0.31645357569926497</v>
      </c>
      <c r="U193" s="1" t="str">
        <f>IF(BaseCoalPlants!AD195=0,"",BaseCoalPlants!AD195)</f>
        <v/>
      </c>
      <c r="V193" s="1" t="str">
        <f>IF(BaseCoalPlants!AE195=0,"",BaseCoalPlants!AE195)</f>
        <v/>
      </c>
    </row>
    <row r="194" spans="3:22" x14ac:dyDescent="0.35">
      <c r="C194" t="str">
        <f>IF(BaseCoalPlants!B196="VDA_FLOP",IF(BaseCoalPlants!D196="ELC","*","INPUT"),BaseCoalPlants!B196)</f>
        <v>EFF</v>
      </c>
      <c r="D194" t="str">
        <f>IF(BaseCoalPlants!C196="","\I:",BaseCoalPlants!C196&amp;"_LE")</f>
        <v>ECSTMRLOR_LE</v>
      </c>
      <c r="E194" t="str">
        <f>IF(BaseCoalPlants!D196="-","",BaseCoalPlants!D196)</f>
        <v/>
      </c>
      <c r="F194" t="str">
        <f>IF(BaseCoalPlants!E196="-","",BaseCoalPlants!E196)</f>
        <v/>
      </c>
      <c r="G194" t="str">
        <f>IF(BaseCoalPlants!F196="-","",BaseCoalPlants!F196)</f>
        <v>ANNUAL</v>
      </c>
      <c r="H194">
        <f>IF(BaseCoalPlants!G196="-","",BaseCoalPlants!G196)</f>
        <v>1990</v>
      </c>
      <c r="I194" t="str">
        <f>IF(BaseCoalPlants!H196="-","",BaseCoalPlants!H196)</f>
        <v/>
      </c>
      <c r="J194" t="str">
        <f>IF(BaseCoalPlants!I196="-","",BaseCoalPlants!I196)</f>
        <v/>
      </c>
      <c r="K194" t="str">
        <f>IF(BaseCoalPlants!J196="-","",BaseCoalPlants!J196)</f>
        <v/>
      </c>
      <c r="L194" t="str">
        <f>IF(BaseCoalPlants!K196="-","",BaseCoalPlants!K196)</f>
        <v/>
      </c>
      <c r="M194" s="1" t="str">
        <f>IF(BaseCoalPlants!L196=0,"",BaseCoalPlants!L196)</f>
        <v/>
      </c>
      <c r="N194" s="1" t="str">
        <f>IF(BaseCoalPlants!W196=0,"",BaseCoalPlants!W196)</f>
        <v/>
      </c>
      <c r="O194" s="1" t="str">
        <f>IF(BaseCoalPlants!X196=0,"",BaseCoalPlants!X196)</f>
        <v/>
      </c>
      <c r="P194" s="1" t="str">
        <f>IF(BaseCoalPlants!Y196=0,"",BaseCoalPlants!Y196)</f>
        <v/>
      </c>
      <c r="Q194" s="1" t="str">
        <f>IF(BaseCoalPlants!Z196=0,"",BaseCoalPlants!Z196)</f>
        <v/>
      </c>
      <c r="R194" s="1" t="str">
        <f>IF(BaseCoalPlants!AA196=0,"",BaseCoalPlants!AA196)</f>
        <v/>
      </c>
      <c r="S194" s="1" t="str">
        <f>IF(BaseCoalPlants!AB196=0,"",BaseCoalPlants!AB196)</f>
        <v/>
      </c>
      <c r="T194" s="1">
        <f>IF(BaseCoalPlants!AC196=0,"",BaseCoalPlants!AC196)</f>
        <v>0.3449330719054704</v>
      </c>
      <c r="U194" s="1" t="str">
        <f>IF(BaseCoalPlants!AD196=0,"",BaseCoalPlants!AD196)</f>
        <v/>
      </c>
      <c r="V194" s="1" t="str">
        <f>IF(BaseCoalPlants!AE196=0,"",BaseCoalPlants!AE196)</f>
        <v/>
      </c>
    </row>
    <row r="195" spans="3:22" x14ac:dyDescent="0.35">
      <c r="C195" t="str">
        <f>IF(BaseCoalPlants!B197="VDA_FLOP",IF(BaseCoalPlants!D197="ELC","*","INPUT"),BaseCoalPlants!B197)</f>
        <v>EFF</v>
      </c>
      <c r="D195" t="str">
        <f>IF(BaseCoalPlants!C197="","\I:",BaseCoalPlants!C197&amp;"_LE")</f>
        <v>ECSTMRLOR_LE</v>
      </c>
      <c r="E195" t="str">
        <f>IF(BaseCoalPlants!D197="-","",BaseCoalPlants!D197)</f>
        <v/>
      </c>
      <c r="F195" t="str">
        <f>IF(BaseCoalPlants!E197="-","",BaseCoalPlants!E197)</f>
        <v/>
      </c>
      <c r="G195" t="str">
        <f>IF(BaseCoalPlants!F197="-","",BaseCoalPlants!F197)</f>
        <v>ANNUAL</v>
      </c>
      <c r="H195">
        <f>IF(BaseCoalPlants!G197="-","",BaseCoalPlants!G197)</f>
        <v>1991</v>
      </c>
      <c r="I195" t="str">
        <f>IF(BaseCoalPlants!H197="-","",BaseCoalPlants!H197)</f>
        <v/>
      </c>
      <c r="J195" t="str">
        <f>IF(BaseCoalPlants!I197="-","",BaseCoalPlants!I197)</f>
        <v/>
      </c>
      <c r="K195" t="str">
        <f>IF(BaseCoalPlants!J197="-","",BaseCoalPlants!J197)</f>
        <v/>
      </c>
      <c r="L195" t="str">
        <f>IF(BaseCoalPlants!K197="-","",BaseCoalPlants!K197)</f>
        <v/>
      </c>
      <c r="M195" s="1" t="str">
        <f>IF(BaseCoalPlants!L197=0,"",BaseCoalPlants!L197)</f>
        <v/>
      </c>
      <c r="N195" s="1" t="str">
        <f>IF(BaseCoalPlants!W197=0,"",BaseCoalPlants!W197)</f>
        <v/>
      </c>
      <c r="O195" s="1" t="str">
        <f>IF(BaseCoalPlants!X197=0,"",BaseCoalPlants!X197)</f>
        <v/>
      </c>
      <c r="P195" s="1" t="str">
        <f>IF(BaseCoalPlants!Y197=0,"",BaseCoalPlants!Y197)</f>
        <v/>
      </c>
      <c r="Q195" s="1" t="str">
        <f>IF(BaseCoalPlants!Z197=0,"",BaseCoalPlants!Z197)</f>
        <v/>
      </c>
      <c r="R195" s="1" t="str">
        <f>IF(BaseCoalPlants!AA197=0,"",BaseCoalPlants!AA197)</f>
        <v/>
      </c>
      <c r="S195" s="1" t="str">
        <f>IF(BaseCoalPlants!AB197=0,"",BaseCoalPlants!AB197)</f>
        <v/>
      </c>
      <c r="T195" s="1">
        <f>IF(BaseCoalPlants!AC197=0,"",BaseCoalPlants!AC197)</f>
        <v>0.31607770975359456</v>
      </c>
      <c r="U195" s="1" t="str">
        <f>IF(BaseCoalPlants!AD197=0,"",BaseCoalPlants!AD197)</f>
        <v/>
      </c>
      <c r="V195" s="1" t="str">
        <f>IF(BaseCoalPlants!AE197=0,"",BaseCoalPlants!AE197)</f>
        <v/>
      </c>
    </row>
    <row r="196" spans="3:22" x14ac:dyDescent="0.35">
      <c r="C196" t="str">
        <f>IF(BaseCoalPlants!B198="VDA_FLOP",IF(BaseCoalPlants!D198="ELC","*","INPUT"),BaseCoalPlants!B198)</f>
        <v>EFF</v>
      </c>
      <c r="D196" t="str">
        <f>IF(BaseCoalPlants!C198="","\I:",BaseCoalPlants!C198&amp;"_LE")</f>
        <v>ECSTMRLOR_LE</v>
      </c>
      <c r="E196" t="str">
        <f>IF(BaseCoalPlants!D198="-","",BaseCoalPlants!D198)</f>
        <v/>
      </c>
      <c r="F196" t="str">
        <f>IF(BaseCoalPlants!E198="-","",BaseCoalPlants!E198)</f>
        <v/>
      </c>
      <c r="G196" t="str">
        <f>IF(BaseCoalPlants!F198="-","",BaseCoalPlants!F198)</f>
        <v>ANNUAL</v>
      </c>
      <c r="H196">
        <f>IF(BaseCoalPlants!G198="-","",BaseCoalPlants!G198)</f>
        <v>2002</v>
      </c>
      <c r="I196" t="str">
        <f>IF(BaseCoalPlants!H198="-","",BaseCoalPlants!H198)</f>
        <v/>
      </c>
      <c r="J196" t="str">
        <f>IF(BaseCoalPlants!I198="-","",BaseCoalPlants!I198)</f>
        <v/>
      </c>
      <c r="K196" t="str">
        <f>IF(BaseCoalPlants!J198="-","",BaseCoalPlants!J198)</f>
        <v/>
      </c>
      <c r="L196" t="str">
        <f>IF(BaseCoalPlants!K198="-","",BaseCoalPlants!K198)</f>
        <v/>
      </c>
      <c r="M196" s="1" t="str">
        <f>IF(BaseCoalPlants!L198=0,"",BaseCoalPlants!L198)</f>
        <v/>
      </c>
      <c r="N196" s="1" t="str">
        <f>IF(BaseCoalPlants!W198=0,"",BaseCoalPlants!W198)</f>
        <v/>
      </c>
      <c r="O196" s="1" t="str">
        <f>IF(BaseCoalPlants!X198=0,"",BaseCoalPlants!X198)</f>
        <v/>
      </c>
      <c r="P196" s="1" t="str">
        <f>IF(BaseCoalPlants!Y198=0,"",BaseCoalPlants!Y198)</f>
        <v/>
      </c>
      <c r="Q196" s="1" t="str">
        <f>IF(BaseCoalPlants!Z198=0,"",BaseCoalPlants!Z198)</f>
        <v/>
      </c>
      <c r="R196" s="1" t="str">
        <f>IF(BaseCoalPlants!AA198=0,"",BaseCoalPlants!AA198)</f>
        <v/>
      </c>
      <c r="S196" s="1">
        <f>IF(BaseCoalPlants!AB198=0,"",BaseCoalPlants!AB198)</f>
        <v>0.32707784303273757</v>
      </c>
      <c r="T196" s="1" t="str">
        <f>IF(BaseCoalPlants!AC198=0,"",BaseCoalPlants!AC198)</f>
        <v/>
      </c>
      <c r="U196" s="1" t="str">
        <f>IF(BaseCoalPlants!AD198=0,"",BaseCoalPlants!AD198)</f>
        <v/>
      </c>
      <c r="V196" s="1" t="str">
        <f>IF(BaseCoalPlants!AE198=0,"",BaseCoalPlants!AE198)</f>
        <v/>
      </c>
    </row>
    <row r="197" spans="3:22" x14ac:dyDescent="0.35">
      <c r="C197" t="str">
        <f>IF(BaseCoalPlants!B199="VDA_FLOP",IF(BaseCoalPlants!D199="ELC","*","INPUT"),BaseCoalPlants!B199)</f>
        <v>EFF</v>
      </c>
      <c r="D197" t="str">
        <f>IF(BaseCoalPlants!C199="","\I:",BaseCoalPlants!C199&amp;"_LE")</f>
        <v>ECSTMRLUO_LE</v>
      </c>
      <c r="E197" t="str">
        <f>IF(BaseCoalPlants!D199="-","",BaseCoalPlants!D199)</f>
        <v/>
      </c>
      <c r="F197" t="str">
        <f>IF(BaseCoalPlants!E199="-","",BaseCoalPlants!E199)</f>
        <v/>
      </c>
      <c r="G197" t="str">
        <f>IF(BaseCoalPlants!F199="-","",BaseCoalPlants!F199)</f>
        <v>ANNUAL</v>
      </c>
      <c r="H197">
        <f>IF(BaseCoalPlants!G199="-","",BaseCoalPlants!G199)</f>
        <v>1954</v>
      </c>
      <c r="I197" t="str">
        <f>IF(BaseCoalPlants!H199="-","",BaseCoalPlants!H199)</f>
        <v/>
      </c>
      <c r="J197" t="str">
        <f>IF(BaseCoalPlants!I199="-","",BaseCoalPlants!I199)</f>
        <v/>
      </c>
      <c r="K197" t="str">
        <f>IF(BaseCoalPlants!J199="-","",BaseCoalPlants!J199)</f>
        <v/>
      </c>
      <c r="L197" t="str">
        <f>IF(BaseCoalPlants!K199="-","",BaseCoalPlants!K199)</f>
        <v/>
      </c>
      <c r="M197" s="1" t="str">
        <f>IF(BaseCoalPlants!L199=0,"",BaseCoalPlants!L199)</f>
        <v/>
      </c>
      <c r="N197" s="1" t="str">
        <f>IF(BaseCoalPlants!W199=0,"",BaseCoalPlants!W199)</f>
        <v/>
      </c>
      <c r="O197" s="1" t="str">
        <f>IF(BaseCoalPlants!X199=0,"",BaseCoalPlants!X199)</f>
        <v/>
      </c>
      <c r="P197" s="1" t="str">
        <f>IF(BaseCoalPlants!Y199=0,"",BaseCoalPlants!Y199)</f>
        <v/>
      </c>
      <c r="Q197" s="1">
        <f>IF(BaseCoalPlants!Z199=0,"",BaseCoalPlants!Z199)</f>
        <v>0.2733274412921366</v>
      </c>
      <c r="R197" s="1" t="str">
        <f>IF(BaseCoalPlants!AA199=0,"",BaseCoalPlants!AA199)</f>
        <v/>
      </c>
      <c r="S197" s="1" t="str">
        <f>IF(BaseCoalPlants!AB199=0,"",BaseCoalPlants!AB199)</f>
        <v/>
      </c>
      <c r="T197" s="1" t="str">
        <f>IF(BaseCoalPlants!AC199=0,"",BaseCoalPlants!AC199)</f>
        <v/>
      </c>
      <c r="U197" s="1" t="str">
        <f>IF(BaseCoalPlants!AD199=0,"",BaseCoalPlants!AD199)</f>
        <v/>
      </c>
      <c r="V197" s="1" t="str">
        <f>IF(BaseCoalPlants!AE199=0,"",BaseCoalPlants!AE199)</f>
        <v/>
      </c>
    </row>
    <row r="198" spans="3:22" x14ac:dyDescent="0.35">
      <c r="C198" t="str">
        <f>IF(BaseCoalPlants!B200="VDA_FLOP",IF(BaseCoalPlants!D200="ELC","*","INPUT"),BaseCoalPlants!B200)</f>
        <v>EFF</v>
      </c>
      <c r="D198" t="str">
        <f>IF(BaseCoalPlants!C200="","\I:",BaseCoalPlants!C200&amp;"_LE")</f>
        <v>ECSTMRLUO_LE</v>
      </c>
      <c r="E198" t="str">
        <f>IF(BaseCoalPlants!D200="-","",BaseCoalPlants!D200)</f>
        <v/>
      </c>
      <c r="F198" t="str">
        <f>IF(BaseCoalPlants!E200="-","",BaseCoalPlants!E200)</f>
        <v/>
      </c>
      <c r="G198" t="str">
        <f>IF(BaseCoalPlants!F200="-","",BaseCoalPlants!F200)</f>
        <v>ANNUAL</v>
      </c>
      <c r="H198">
        <f>IF(BaseCoalPlants!G200="-","",BaseCoalPlants!G200)</f>
        <v>1958</v>
      </c>
      <c r="I198" t="str">
        <f>IF(BaseCoalPlants!H200="-","",BaseCoalPlants!H200)</f>
        <v/>
      </c>
      <c r="J198" t="str">
        <f>IF(BaseCoalPlants!I200="-","",BaseCoalPlants!I200)</f>
        <v/>
      </c>
      <c r="K198" t="str">
        <f>IF(BaseCoalPlants!J200="-","",BaseCoalPlants!J200)</f>
        <v/>
      </c>
      <c r="L198" t="str">
        <f>IF(BaseCoalPlants!K200="-","",BaseCoalPlants!K200)</f>
        <v/>
      </c>
      <c r="M198" s="1" t="str">
        <f>IF(BaseCoalPlants!L200=0,"",BaseCoalPlants!L200)</f>
        <v/>
      </c>
      <c r="N198" s="1" t="str">
        <f>IF(BaseCoalPlants!W200=0,"",BaseCoalPlants!W200)</f>
        <v/>
      </c>
      <c r="O198" s="1" t="str">
        <f>IF(BaseCoalPlants!X200=0,"",BaseCoalPlants!X200)</f>
        <v/>
      </c>
      <c r="P198" s="1" t="str">
        <f>IF(BaseCoalPlants!Y200=0,"",BaseCoalPlants!Y200)</f>
        <v/>
      </c>
      <c r="Q198" s="1" t="str">
        <f>IF(BaseCoalPlants!Z200=0,"",BaseCoalPlants!Z200)</f>
        <v/>
      </c>
      <c r="R198" s="1" t="str">
        <f>IF(BaseCoalPlants!AA200=0,"",BaseCoalPlants!AA200)</f>
        <v/>
      </c>
      <c r="S198" s="1" t="str">
        <f>IF(BaseCoalPlants!AB200=0,"",BaseCoalPlants!AB200)</f>
        <v/>
      </c>
      <c r="T198" s="1" t="str">
        <f>IF(BaseCoalPlants!AC200=0,"",BaseCoalPlants!AC200)</f>
        <v/>
      </c>
      <c r="U198" s="1">
        <f>IF(BaseCoalPlants!AD200=0,"",BaseCoalPlants!AD200)</f>
        <v>0.23760276955728285</v>
      </c>
      <c r="V198" s="1" t="str">
        <f>IF(BaseCoalPlants!AE200=0,"",BaseCoalPlants!AE200)</f>
        <v/>
      </c>
    </row>
    <row r="199" spans="3:22" x14ac:dyDescent="0.35">
      <c r="C199" t="str">
        <f>IF(BaseCoalPlants!B201="VDA_FLOP",IF(BaseCoalPlants!D201="ELC","*","INPUT"),BaseCoalPlants!B201)</f>
        <v>EFF</v>
      </c>
      <c r="D199" t="str">
        <f>IF(BaseCoalPlants!C201="","\I:",BaseCoalPlants!C201&amp;"_LE")</f>
        <v>ECSTMRLUO_LE</v>
      </c>
      <c r="E199" t="str">
        <f>IF(BaseCoalPlants!D201="-","",BaseCoalPlants!D201)</f>
        <v/>
      </c>
      <c r="F199" t="str">
        <f>IF(BaseCoalPlants!E201="-","",BaseCoalPlants!E201)</f>
        <v/>
      </c>
      <c r="G199" t="str">
        <f>IF(BaseCoalPlants!F201="-","",BaseCoalPlants!F201)</f>
        <v>ANNUAL</v>
      </c>
      <c r="H199">
        <f>IF(BaseCoalPlants!G201="-","",BaseCoalPlants!G201)</f>
        <v>1963</v>
      </c>
      <c r="I199" t="str">
        <f>IF(BaseCoalPlants!H201="-","",BaseCoalPlants!H201)</f>
        <v/>
      </c>
      <c r="J199" t="str">
        <f>IF(BaseCoalPlants!I201="-","",BaseCoalPlants!I201)</f>
        <v/>
      </c>
      <c r="K199" t="str">
        <f>IF(BaseCoalPlants!J201="-","",BaseCoalPlants!J201)</f>
        <v/>
      </c>
      <c r="L199" t="str">
        <f>IF(BaseCoalPlants!K201="-","",BaseCoalPlants!K201)</f>
        <v/>
      </c>
      <c r="M199" s="1" t="str">
        <f>IF(BaseCoalPlants!L201=0,"",BaseCoalPlants!L201)</f>
        <v/>
      </c>
      <c r="N199" s="1" t="str">
        <f>IF(BaseCoalPlants!W201=0,"",BaseCoalPlants!W201)</f>
        <v/>
      </c>
      <c r="O199" s="1" t="str">
        <f>IF(BaseCoalPlants!X201=0,"",BaseCoalPlants!X201)</f>
        <v/>
      </c>
      <c r="P199" s="1" t="str">
        <f>IF(BaseCoalPlants!Y201=0,"",BaseCoalPlants!Y201)</f>
        <v/>
      </c>
      <c r="Q199" s="1">
        <f>IF(BaseCoalPlants!Z201=0,"",BaseCoalPlants!Z201)</f>
        <v>0.28770677884123103</v>
      </c>
      <c r="R199" s="1" t="str">
        <f>IF(BaseCoalPlants!AA201=0,"",BaseCoalPlants!AA201)</f>
        <v/>
      </c>
      <c r="S199" s="1" t="str">
        <f>IF(BaseCoalPlants!AB201=0,"",BaseCoalPlants!AB201)</f>
        <v/>
      </c>
      <c r="T199" s="1" t="str">
        <f>IF(BaseCoalPlants!AC201=0,"",BaseCoalPlants!AC201)</f>
        <v/>
      </c>
      <c r="U199" s="1" t="str">
        <f>IF(BaseCoalPlants!AD201=0,"",BaseCoalPlants!AD201)</f>
        <v/>
      </c>
      <c r="V199" s="1" t="str">
        <f>IF(BaseCoalPlants!AE201=0,"",BaseCoalPlants!AE201)</f>
        <v/>
      </c>
    </row>
    <row r="200" spans="3:22" x14ac:dyDescent="0.35">
      <c r="C200" t="str">
        <f>IF(BaseCoalPlants!B202="VDA_FLOP",IF(BaseCoalPlants!D202="ELC","*","INPUT"),BaseCoalPlants!B202)</f>
        <v>EFF</v>
      </c>
      <c r="D200" t="str">
        <f>IF(BaseCoalPlants!C202="","\I:",BaseCoalPlants!C202&amp;"_LE")</f>
        <v>ECSTMRSOO_LE</v>
      </c>
      <c r="E200" t="str">
        <f>IF(BaseCoalPlants!D202="-","",BaseCoalPlants!D202)</f>
        <v/>
      </c>
      <c r="F200" t="str">
        <f>IF(BaseCoalPlants!E202="-","",BaseCoalPlants!E202)</f>
        <v/>
      </c>
      <c r="G200" t="str">
        <f>IF(BaseCoalPlants!F202="-","",BaseCoalPlants!F202)</f>
        <v>ANNUAL</v>
      </c>
      <c r="H200">
        <f>IF(BaseCoalPlants!G202="-","",BaseCoalPlants!G202)</f>
        <v>1951</v>
      </c>
      <c r="I200" t="str">
        <f>IF(BaseCoalPlants!H202="-","",BaseCoalPlants!H202)</f>
        <v/>
      </c>
      <c r="J200" t="str">
        <f>IF(BaseCoalPlants!I202="-","",BaseCoalPlants!I202)</f>
        <v/>
      </c>
      <c r="K200" t="str">
        <f>IF(BaseCoalPlants!J202="-","",BaseCoalPlants!J202)</f>
        <v/>
      </c>
      <c r="L200" t="str">
        <f>IF(BaseCoalPlants!K202="-","",BaseCoalPlants!K202)</f>
        <v/>
      </c>
      <c r="M200" s="1" t="str">
        <f>IF(BaseCoalPlants!L202=0,"",BaseCoalPlants!L202)</f>
        <v/>
      </c>
      <c r="N200" s="1" t="str">
        <f>IF(BaseCoalPlants!W202=0,"",BaseCoalPlants!W202)</f>
        <v/>
      </c>
      <c r="O200" s="1" t="str">
        <f>IF(BaseCoalPlants!X202=0,"",BaseCoalPlants!X202)</f>
        <v/>
      </c>
      <c r="P200" s="1" t="str">
        <f>IF(BaseCoalPlants!Y202=0,"",BaseCoalPlants!Y202)</f>
        <v/>
      </c>
      <c r="Q200" s="1" t="str">
        <f>IF(BaseCoalPlants!Z202=0,"",BaseCoalPlants!Z202)</f>
        <v/>
      </c>
      <c r="R200" s="1" t="str">
        <f>IF(BaseCoalPlants!AA202=0,"",BaseCoalPlants!AA202)</f>
        <v/>
      </c>
      <c r="S200" s="1">
        <f>IF(BaseCoalPlants!AB202=0,"",BaseCoalPlants!AB202)</f>
        <v>0.27396749886144189</v>
      </c>
      <c r="T200" s="1" t="str">
        <f>IF(BaseCoalPlants!AC202=0,"",BaseCoalPlants!AC202)</f>
        <v/>
      </c>
      <c r="U200" s="1" t="str">
        <f>IF(BaseCoalPlants!AD202=0,"",BaseCoalPlants!AD202)</f>
        <v/>
      </c>
      <c r="V200" s="1" t="str">
        <f>IF(BaseCoalPlants!AE202=0,"",BaseCoalPlants!AE202)</f>
        <v/>
      </c>
    </row>
    <row r="201" spans="3:22" x14ac:dyDescent="0.35">
      <c r="C201" t="str">
        <f>IF(BaseCoalPlants!B203="VDA_FLOP",IF(BaseCoalPlants!D203="ELC","*","INPUT"),BaseCoalPlants!B203)</f>
        <v>EFF</v>
      </c>
      <c r="D201" t="str">
        <f>IF(BaseCoalPlants!C203="","\I:",BaseCoalPlants!C203&amp;"_LE")</f>
        <v>ECSTMRSOO_LE</v>
      </c>
      <c r="E201" t="str">
        <f>IF(BaseCoalPlants!D203="-","",BaseCoalPlants!D203)</f>
        <v/>
      </c>
      <c r="F201" t="str">
        <f>IF(BaseCoalPlants!E203="-","",BaseCoalPlants!E203)</f>
        <v/>
      </c>
      <c r="G201" t="str">
        <f>IF(BaseCoalPlants!F203="-","",BaseCoalPlants!F203)</f>
        <v>ANNUAL</v>
      </c>
      <c r="H201">
        <f>IF(BaseCoalPlants!G203="-","",BaseCoalPlants!G203)</f>
        <v>1952</v>
      </c>
      <c r="I201" t="str">
        <f>IF(BaseCoalPlants!H203="-","",BaseCoalPlants!H203)</f>
        <v/>
      </c>
      <c r="J201" t="str">
        <f>IF(BaseCoalPlants!I203="-","",BaseCoalPlants!I203)</f>
        <v/>
      </c>
      <c r="K201" t="str">
        <f>IF(BaseCoalPlants!J203="-","",BaseCoalPlants!J203)</f>
        <v/>
      </c>
      <c r="L201" t="str">
        <f>IF(BaseCoalPlants!K203="-","",BaseCoalPlants!K203)</f>
        <v/>
      </c>
      <c r="M201" s="1" t="str">
        <f>IF(BaseCoalPlants!L203=0,"",BaseCoalPlants!L203)</f>
        <v/>
      </c>
      <c r="N201" s="1" t="str">
        <f>IF(BaseCoalPlants!W203=0,"",BaseCoalPlants!W203)</f>
        <v/>
      </c>
      <c r="O201" s="1" t="str">
        <f>IF(BaseCoalPlants!X203=0,"",BaseCoalPlants!X203)</f>
        <v/>
      </c>
      <c r="P201" s="1">
        <f>IF(BaseCoalPlants!Y203=0,"",BaseCoalPlants!Y203)</f>
        <v>0.30581457413647389</v>
      </c>
      <c r="Q201" s="1" t="str">
        <f>IF(BaseCoalPlants!Z203=0,"",BaseCoalPlants!Z203)</f>
        <v/>
      </c>
      <c r="R201" s="1" t="str">
        <f>IF(BaseCoalPlants!AA203=0,"",BaseCoalPlants!AA203)</f>
        <v/>
      </c>
      <c r="S201" s="1">
        <f>IF(BaseCoalPlants!AB203=0,"",BaseCoalPlants!AB203)</f>
        <v>0.28122730438285248</v>
      </c>
      <c r="T201" s="1" t="str">
        <f>IF(BaseCoalPlants!AC203=0,"",BaseCoalPlants!AC203)</f>
        <v/>
      </c>
      <c r="U201" s="1" t="str">
        <f>IF(BaseCoalPlants!AD203=0,"",BaseCoalPlants!AD203)</f>
        <v/>
      </c>
      <c r="V201" s="1" t="str">
        <f>IF(BaseCoalPlants!AE203=0,"",BaseCoalPlants!AE203)</f>
        <v/>
      </c>
    </row>
    <row r="202" spans="3:22" x14ac:dyDescent="0.35">
      <c r="C202" t="str">
        <f>IF(BaseCoalPlants!B204="VDA_FLOP",IF(BaseCoalPlants!D204="ELC","*","INPUT"),BaseCoalPlants!B204)</f>
        <v>EFF</v>
      </c>
      <c r="D202" t="str">
        <f>IF(BaseCoalPlants!C204="","\I:",BaseCoalPlants!C204&amp;"_LE")</f>
        <v>ECSTMRSOO_LE</v>
      </c>
      <c r="E202" t="str">
        <f>IF(BaseCoalPlants!D204="-","",BaseCoalPlants!D204)</f>
        <v/>
      </c>
      <c r="F202" t="str">
        <f>IF(BaseCoalPlants!E204="-","",BaseCoalPlants!E204)</f>
        <v/>
      </c>
      <c r="G202" t="str">
        <f>IF(BaseCoalPlants!F204="-","",BaseCoalPlants!F204)</f>
        <v>ANNUAL</v>
      </c>
      <c r="H202">
        <f>IF(BaseCoalPlants!G204="-","",BaseCoalPlants!G204)</f>
        <v>1953</v>
      </c>
      <c r="I202" t="str">
        <f>IF(BaseCoalPlants!H204="-","",BaseCoalPlants!H204)</f>
        <v/>
      </c>
      <c r="J202" t="str">
        <f>IF(BaseCoalPlants!I204="-","",BaseCoalPlants!I204)</f>
        <v/>
      </c>
      <c r="K202" t="str">
        <f>IF(BaseCoalPlants!J204="-","",BaseCoalPlants!J204)</f>
        <v/>
      </c>
      <c r="L202" t="str">
        <f>IF(BaseCoalPlants!K204="-","",BaseCoalPlants!K204)</f>
        <v/>
      </c>
      <c r="M202" s="1" t="str">
        <f>IF(BaseCoalPlants!L204=0,"",BaseCoalPlants!L204)</f>
        <v/>
      </c>
      <c r="N202" s="1" t="str">
        <f>IF(BaseCoalPlants!W204=0,"",BaseCoalPlants!W204)</f>
        <v/>
      </c>
      <c r="O202" s="1" t="str">
        <f>IF(BaseCoalPlants!X204=0,"",BaseCoalPlants!X204)</f>
        <v/>
      </c>
      <c r="P202" s="1">
        <f>IF(BaseCoalPlants!Y204=0,"",BaseCoalPlants!Y204)</f>
        <v>0.3026541119250557</v>
      </c>
      <c r="Q202" s="1">
        <f>IF(BaseCoalPlants!Z204=0,"",BaseCoalPlants!Z204)</f>
        <v>0.27984190875501885</v>
      </c>
      <c r="R202" s="1" t="str">
        <f>IF(BaseCoalPlants!AA204=0,"",BaseCoalPlants!AA204)</f>
        <v/>
      </c>
      <c r="S202" s="1">
        <f>IF(BaseCoalPlants!AB204=0,"",BaseCoalPlants!AB204)</f>
        <v>0.29696576773513345</v>
      </c>
      <c r="T202" s="1" t="str">
        <f>IF(BaseCoalPlants!AC204=0,"",BaseCoalPlants!AC204)</f>
        <v/>
      </c>
      <c r="U202" s="1" t="str">
        <f>IF(BaseCoalPlants!AD204=0,"",BaseCoalPlants!AD204)</f>
        <v/>
      </c>
      <c r="V202" s="1" t="str">
        <f>IF(BaseCoalPlants!AE204=0,"",BaseCoalPlants!AE204)</f>
        <v/>
      </c>
    </row>
    <row r="203" spans="3:22" x14ac:dyDescent="0.35">
      <c r="C203" t="str">
        <f>IF(BaseCoalPlants!B205="VDA_FLOP",IF(BaseCoalPlants!D205="ELC","*","INPUT"),BaseCoalPlants!B205)</f>
        <v>EFF</v>
      </c>
      <c r="D203" t="str">
        <f>IF(BaseCoalPlants!C205="","\I:",BaseCoalPlants!C205&amp;"_LE")</f>
        <v>ECSTMRSOO_LE</v>
      </c>
      <c r="E203" t="str">
        <f>IF(BaseCoalPlants!D205="-","",BaseCoalPlants!D205)</f>
        <v/>
      </c>
      <c r="F203" t="str">
        <f>IF(BaseCoalPlants!E205="-","",BaseCoalPlants!E205)</f>
        <v/>
      </c>
      <c r="G203" t="str">
        <f>IF(BaseCoalPlants!F205="-","",BaseCoalPlants!F205)</f>
        <v>ANNUAL</v>
      </c>
      <c r="H203">
        <f>IF(BaseCoalPlants!G205="-","",BaseCoalPlants!G205)</f>
        <v>1954</v>
      </c>
      <c r="I203" t="str">
        <f>IF(BaseCoalPlants!H205="-","",BaseCoalPlants!H205)</f>
        <v/>
      </c>
      <c r="J203" t="str">
        <f>IF(BaseCoalPlants!I205="-","",BaseCoalPlants!I205)</f>
        <v/>
      </c>
      <c r="K203" t="str">
        <f>IF(BaseCoalPlants!J205="-","",BaseCoalPlants!J205)</f>
        <v/>
      </c>
      <c r="L203" t="str">
        <f>IF(BaseCoalPlants!K205="-","",BaseCoalPlants!K205)</f>
        <v/>
      </c>
      <c r="M203" s="1" t="str">
        <f>IF(BaseCoalPlants!L205=0,"",BaseCoalPlants!L205)</f>
        <v/>
      </c>
      <c r="N203" s="1" t="str">
        <f>IF(BaseCoalPlants!W205=0,"",BaseCoalPlants!W205)</f>
        <v/>
      </c>
      <c r="O203" s="1" t="str">
        <f>IF(BaseCoalPlants!X205=0,"",BaseCoalPlants!X205)</f>
        <v/>
      </c>
      <c r="P203" s="1">
        <f>IF(BaseCoalPlants!Y205=0,"",BaseCoalPlants!Y205)</f>
        <v>0.30416620959375362</v>
      </c>
      <c r="Q203" s="1">
        <f>IF(BaseCoalPlants!Z205=0,"",BaseCoalPlants!Z205)</f>
        <v>0.2883145030704326</v>
      </c>
      <c r="R203" s="1" t="str">
        <f>IF(BaseCoalPlants!AA205=0,"",BaseCoalPlants!AA205)</f>
        <v/>
      </c>
      <c r="S203" s="1" t="str">
        <f>IF(BaseCoalPlants!AB205=0,"",BaseCoalPlants!AB205)</f>
        <v/>
      </c>
      <c r="T203" s="1" t="str">
        <f>IF(BaseCoalPlants!AC205=0,"",BaseCoalPlants!AC205)</f>
        <v/>
      </c>
      <c r="U203" s="1" t="str">
        <f>IF(BaseCoalPlants!AD205=0,"",BaseCoalPlants!AD205)</f>
        <v/>
      </c>
      <c r="V203" s="1" t="str">
        <f>IF(BaseCoalPlants!AE205=0,"",BaseCoalPlants!AE205)</f>
        <v/>
      </c>
    </row>
    <row r="204" spans="3:22" x14ac:dyDescent="0.35">
      <c r="C204" t="str">
        <f>IF(BaseCoalPlants!B206="VDA_FLOP",IF(BaseCoalPlants!D206="ELC","*","INPUT"),BaseCoalPlants!B206)</f>
        <v>EFF</v>
      </c>
      <c r="D204" t="str">
        <f>IF(BaseCoalPlants!C206="","\I:",BaseCoalPlants!C206&amp;"_LE")</f>
        <v>ECSTMRSOO_LE</v>
      </c>
      <c r="E204" t="str">
        <f>IF(BaseCoalPlants!D206="-","",BaseCoalPlants!D206)</f>
        <v/>
      </c>
      <c r="F204" t="str">
        <f>IF(BaseCoalPlants!E206="-","",BaseCoalPlants!E206)</f>
        <v/>
      </c>
      <c r="G204" t="str">
        <f>IF(BaseCoalPlants!F206="-","",BaseCoalPlants!F206)</f>
        <v>ANNUAL</v>
      </c>
      <c r="H204">
        <f>IF(BaseCoalPlants!G206="-","",BaseCoalPlants!G206)</f>
        <v>1955</v>
      </c>
      <c r="I204" t="str">
        <f>IF(BaseCoalPlants!H206="-","",BaseCoalPlants!H206)</f>
        <v/>
      </c>
      <c r="J204" t="str">
        <f>IF(BaseCoalPlants!I206="-","",BaseCoalPlants!I206)</f>
        <v/>
      </c>
      <c r="K204" t="str">
        <f>IF(BaseCoalPlants!J206="-","",BaseCoalPlants!J206)</f>
        <v/>
      </c>
      <c r="L204" t="str">
        <f>IF(BaseCoalPlants!K206="-","",BaseCoalPlants!K206)</f>
        <v/>
      </c>
      <c r="M204" s="1" t="str">
        <f>IF(BaseCoalPlants!L206=0,"",BaseCoalPlants!L206)</f>
        <v/>
      </c>
      <c r="N204" s="1" t="str">
        <f>IF(BaseCoalPlants!W206=0,"",BaseCoalPlants!W206)</f>
        <v/>
      </c>
      <c r="O204" s="1" t="str">
        <f>IF(BaseCoalPlants!X206=0,"",BaseCoalPlants!X206)</f>
        <v/>
      </c>
      <c r="P204" s="1">
        <f>IF(BaseCoalPlants!Y206=0,"",BaseCoalPlants!Y206)</f>
        <v>0.30907654434188542</v>
      </c>
      <c r="Q204" s="1" t="str">
        <f>IF(BaseCoalPlants!Z206=0,"",BaseCoalPlants!Z206)</f>
        <v/>
      </c>
      <c r="R204" s="1" t="str">
        <f>IF(BaseCoalPlants!AA206=0,"",BaseCoalPlants!AA206)</f>
        <v/>
      </c>
      <c r="S204" s="1" t="str">
        <f>IF(BaseCoalPlants!AB206=0,"",BaseCoalPlants!AB206)</f>
        <v/>
      </c>
      <c r="T204" s="1" t="str">
        <f>IF(BaseCoalPlants!AC206=0,"",BaseCoalPlants!AC206)</f>
        <v/>
      </c>
      <c r="U204" s="1" t="str">
        <f>IF(BaseCoalPlants!AD206=0,"",BaseCoalPlants!AD206)</f>
        <v/>
      </c>
      <c r="V204" s="1" t="str">
        <f>IF(BaseCoalPlants!AE206=0,"",BaseCoalPlants!AE206)</f>
        <v/>
      </c>
    </row>
    <row r="205" spans="3:22" x14ac:dyDescent="0.35">
      <c r="C205" t="str">
        <f>IF(BaseCoalPlants!B207="VDA_FLOP",IF(BaseCoalPlants!D207="ELC","*","INPUT"),BaseCoalPlants!B207)</f>
        <v>EFF</v>
      </c>
      <c r="D205" t="str">
        <f>IF(BaseCoalPlants!C207="","\I:",BaseCoalPlants!C207&amp;"_LE")</f>
        <v>ECSTMRSOO_LE</v>
      </c>
      <c r="E205" t="str">
        <f>IF(BaseCoalPlants!D207="-","",BaseCoalPlants!D207)</f>
        <v/>
      </c>
      <c r="F205" t="str">
        <f>IF(BaseCoalPlants!E207="-","",BaseCoalPlants!E207)</f>
        <v/>
      </c>
      <c r="G205" t="str">
        <f>IF(BaseCoalPlants!F207="-","",BaseCoalPlants!F207)</f>
        <v>ANNUAL</v>
      </c>
      <c r="H205">
        <f>IF(BaseCoalPlants!G207="-","",BaseCoalPlants!G207)</f>
        <v>1956</v>
      </c>
      <c r="I205" t="str">
        <f>IF(BaseCoalPlants!H207="-","",BaseCoalPlants!H207)</f>
        <v/>
      </c>
      <c r="J205" t="str">
        <f>IF(BaseCoalPlants!I207="-","",BaseCoalPlants!I207)</f>
        <v/>
      </c>
      <c r="K205" t="str">
        <f>IF(BaseCoalPlants!J207="-","",BaseCoalPlants!J207)</f>
        <v/>
      </c>
      <c r="L205" t="str">
        <f>IF(BaseCoalPlants!K207="-","",BaseCoalPlants!K207)</f>
        <v/>
      </c>
      <c r="M205" s="1" t="str">
        <f>IF(BaseCoalPlants!L207=0,"",BaseCoalPlants!L207)</f>
        <v/>
      </c>
      <c r="N205" s="1" t="str">
        <f>IF(BaseCoalPlants!W207=0,"",BaseCoalPlants!W207)</f>
        <v/>
      </c>
      <c r="O205" s="1" t="str">
        <f>IF(BaseCoalPlants!X207=0,"",BaseCoalPlants!X207)</f>
        <v/>
      </c>
      <c r="P205" s="1">
        <f>IF(BaseCoalPlants!Y207=0,"",BaseCoalPlants!Y207)</f>
        <v>0.31342111033280157</v>
      </c>
      <c r="Q205" s="1" t="str">
        <f>IF(BaseCoalPlants!Z207=0,"",BaseCoalPlants!Z207)</f>
        <v/>
      </c>
      <c r="R205" s="1" t="str">
        <f>IF(BaseCoalPlants!AA207=0,"",BaseCoalPlants!AA207)</f>
        <v/>
      </c>
      <c r="S205" s="1">
        <f>IF(BaseCoalPlants!AB207=0,"",BaseCoalPlants!AB207)</f>
        <v>0.33399565496393274</v>
      </c>
      <c r="T205" s="1" t="str">
        <f>IF(BaseCoalPlants!AC207=0,"",BaseCoalPlants!AC207)</f>
        <v/>
      </c>
      <c r="U205" s="1" t="str">
        <f>IF(BaseCoalPlants!AD207=0,"",BaseCoalPlants!AD207)</f>
        <v/>
      </c>
      <c r="V205" s="1" t="str">
        <f>IF(BaseCoalPlants!AE207=0,"",BaseCoalPlants!AE207)</f>
        <v/>
      </c>
    </row>
    <row r="206" spans="3:22" x14ac:dyDescent="0.35">
      <c r="C206" t="str">
        <f>IF(BaseCoalPlants!B208="VDA_FLOP",IF(BaseCoalPlants!D208="ELC","*","INPUT"),BaseCoalPlants!B208)</f>
        <v>EFF</v>
      </c>
      <c r="D206" t="str">
        <f>IF(BaseCoalPlants!C208="","\I:",BaseCoalPlants!C208&amp;"_LE")</f>
        <v>ECSTMRSOO_LE</v>
      </c>
      <c r="E206" t="str">
        <f>IF(BaseCoalPlants!D208="-","",BaseCoalPlants!D208)</f>
        <v/>
      </c>
      <c r="F206" t="str">
        <f>IF(BaseCoalPlants!E208="-","",BaseCoalPlants!E208)</f>
        <v/>
      </c>
      <c r="G206" t="str">
        <f>IF(BaseCoalPlants!F208="-","",BaseCoalPlants!F208)</f>
        <v>ANNUAL</v>
      </c>
      <c r="H206">
        <f>IF(BaseCoalPlants!G208="-","",BaseCoalPlants!G208)</f>
        <v>1957</v>
      </c>
      <c r="I206" t="str">
        <f>IF(BaseCoalPlants!H208="-","",BaseCoalPlants!H208)</f>
        <v/>
      </c>
      <c r="J206" t="str">
        <f>IF(BaseCoalPlants!I208="-","",BaseCoalPlants!I208)</f>
        <v/>
      </c>
      <c r="K206" t="str">
        <f>IF(BaseCoalPlants!J208="-","",BaseCoalPlants!J208)</f>
        <v/>
      </c>
      <c r="L206" t="str">
        <f>IF(BaseCoalPlants!K208="-","",BaseCoalPlants!K208)</f>
        <v/>
      </c>
      <c r="M206" s="1" t="str">
        <f>IF(BaseCoalPlants!L208=0,"",BaseCoalPlants!L208)</f>
        <v/>
      </c>
      <c r="N206" s="1" t="str">
        <f>IF(BaseCoalPlants!W208=0,"",BaseCoalPlants!W208)</f>
        <v/>
      </c>
      <c r="O206" s="1">
        <f>IF(BaseCoalPlants!X208=0,"",BaseCoalPlants!X208)</f>
        <v>0.31897072871336446</v>
      </c>
      <c r="P206" s="1">
        <f>IF(BaseCoalPlants!Y208=0,"",BaseCoalPlants!Y208)</f>
        <v>0.32357969310923229</v>
      </c>
      <c r="Q206" s="1">
        <f>IF(BaseCoalPlants!Z208=0,"",BaseCoalPlants!Z208)</f>
        <v>0.28342527979635357</v>
      </c>
      <c r="R206" s="1" t="str">
        <f>IF(BaseCoalPlants!AA208=0,"",BaseCoalPlants!AA208)</f>
        <v/>
      </c>
      <c r="S206" s="1">
        <f>IF(BaseCoalPlants!AB208=0,"",BaseCoalPlants!AB208)</f>
        <v>0.33399565496393274</v>
      </c>
      <c r="T206" s="1" t="str">
        <f>IF(BaseCoalPlants!AC208=0,"",BaseCoalPlants!AC208)</f>
        <v/>
      </c>
      <c r="U206" s="1" t="str">
        <f>IF(BaseCoalPlants!AD208=0,"",BaseCoalPlants!AD208)</f>
        <v/>
      </c>
      <c r="V206" s="1" t="str">
        <f>IF(BaseCoalPlants!AE208=0,"",BaseCoalPlants!AE208)</f>
        <v/>
      </c>
    </row>
    <row r="207" spans="3:22" x14ac:dyDescent="0.35">
      <c r="C207" t="str">
        <f>IF(BaseCoalPlants!B209="VDA_FLOP",IF(BaseCoalPlants!D209="ELC","*","INPUT"),BaseCoalPlants!B209)</f>
        <v>EFF</v>
      </c>
      <c r="D207" t="str">
        <f>IF(BaseCoalPlants!C209="","\I:",BaseCoalPlants!C209&amp;"_LE")</f>
        <v>ECSTMRSOO_LE</v>
      </c>
      <c r="E207" t="str">
        <f>IF(BaseCoalPlants!D209="-","",BaseCoalPlants!D209)</f>
        <v/>
      </c>
      <c r="F207" t="str">
        <f>IF(BaseCoalPlants!E209="-","",BaseCoalPlants!E209)</f>
        <v/>
      </c>
      <c r="G207" t="str">
        <f>IF(BaseCoalPlants!F209="-","",BaseCoalPlants!F209)</f>
        <v>ANNUAL</v>
      </c>
      <c r="H207">
        <f>IF(BaseCoalPlants!G209="-","",BaseCoalPlants!G209)</f>
        <v>1958</v>
      </c>
      <c r="I207" t="str">
        <f>IF(BaseCoalPlants!H209="-","",BaseCoalPlants!H209)</f>
        <v/>
      </c>
      <c r="J207" t="str">
        <f>IF(BaseCoalPlants!I209="-","",BaseCoalPlants!I209)</f>
        <v/>
      </c>
      <c r="K207" t="str">
        <f>IF(BaseCoalPlants!J209="-","",BaseCoalPlants!J209)</f>
        <v/>
      </c>
      <c r="L207" t="str">
        <f>IF(BaseCoalPlants!K209="-","",BaseCoalPlants!K209)</f>
        <v/>
      </c>
      <c r="M207" s="1" t="str">
        <f>IF(BaseCoalPlants!L209=0,"",BaseCoalPlants!L209)</f>
        <v/>
      </c>
      <c r="N207" s="1" t="str">
        <f>IF(BaseCoalPlants!W209=0,"",BaseCoalPlants!W209)</f>
        <v/>
      </c>
      <c r="O207" s="1">
        <f>IF(BaseCoalPlants!X209=0,"",BaseCoalPlants!X209)</f>
        <v>0.31897072871336446</v>
      </c>
      <c r="P207" s="1">
        <f>IF(BaseCoalPlants!Y209=0,"",BaseCoalPlants!Y209)</f>
        <v>0.3055833529154755</v>
      </c>
      <c r="Q207" s="1">
        <f>IF(BaseCoalPlants!Z209=0,"",BaseCoalPlants!Z209)</f>
        <v>0.27979410521747999</v>
      </c>
      <c r="R207" s="1" t="str">
        <f>IF(BaseCoalPlants!AA209=0,"",BaseCoalPlants!AA209)</f>
        <v/>
      </c>
      <c r="S207" s="1">
        <f>IF(BaseCoalPlants!AB209=0,"",BaseCoalPlants!AB209)</f>
        <v>0.30761849787644446</v>
      </c>
      <c r="T207" s="1" t="str">
        <f>IF(BaseCoalPlants!AC209=0,"",BaseCoalPlants!AC209)</f>
        <v/>
      </c>
      <c r="U207" s="1" t="str">
        <f>IF(BaseCoalPlants!AD209=0,"",BaseCoalPlants!AD209)</f>
        <v/>
      </c>
      <c r="V207" s="1" t="str">
        <f>IF(BaseCoalPlants!AE209=0,"",BaseCoalPlants!AE209)</f>
        <v/>
      </c>
    </row>
    <row r="208" spans="3:22" x14ac:dyDescent="0.35">
      <c r="C208" t="str">
        <f>IF(BaseCoalPlants!B210="VDA_FLOP",IF(BaseCoalPlants!D210="ELC","*","INPUT"),BaseCoalPlants!B210)</f>
        <v>EFF</v>
      </c>
      <c r="D208" t="str">
        <f>IF(BaseCoalPlants!C210="","\I:",BaseCoalPlants!C210&amp;"_LE")</f>
        <v>ECSTMRSOO_LE</v>
      </c>
      <c r="E208" t="str">
        <f>IF(BaseCoalPlants!D210="-","",BaseCoalPlants!D210)</f>
        <v/>
      </c>
      <c r="F208" t="str">
        <f>IF(BaseCoalPlants!E210="-","",BaseCoalPlants!E210)</f>
        <v/>
      </c>
      <c r="G208" t="str">
        <f>IF(BaseCoalPlants!F210="-","",BaseCoalPlants!F210)</f>
        <v>ANNUAL</v>
      </c>
      <c r="H208">
        <f>IF(BaseCoalPlants!G210="-","",BaseCoalPlants!G210)</f>
        <v>1959</v>
      </c>
      <c r="I208" t="str">
        <f>IF(BaseCoalPlants!H210="-","",BaseCoalPlants!H210)</f>
        <v/>
      </c>
      <c r="J208" t="str">
        <f>IF(BaseCoalPlants!I210="-","",BaseCoalPlants!I210)</f>
        <v/>
      </c>
      <c r="K208" t="str">
        <f>IF(BaseCoalPlants!J210="-","",BaseCoalPlants!J210)</f>
        <v/>
      </c>
      <c r="L208" t="str">
        <f>IF(BaseCoalPlants!K210="-","",BaseCoalPlants!K210)</f>
        <v/>
      </c>
      <c r="M208" s="1" t="str">
        <f>IF(BaseCoalPlants!L210=0,"",BaseCoalPlants!L210)</f>
        <v/>
      </c>
      <c r="N208" s="1" t="str">
        <f>IF(BaseCoalPlants!W210=0,"",BaseCoalPlants!W210)</f>
        <v/>
      </c>
      <c r="O208" s="1">
        <f>IF(BaseCoalPlants!X210=0,"",BaseCoalPlants!X210)</f>
        <v>0.32106531254398268</v>
      </c>
      <c r="P208" s="1">
        <f>IF(BaseCoalPlants!Y210=0,"",BaseCoalPlants!Y210)</f>
        <v>0.30938205302047006</v>
      </c>
      <c r="Q208" s="1">
        <f>IF(BaseCoalPlants!Z210=0,"",BaseCoalPlants!Z210)</f>
        <v>0.29478619046697024</v>
      </c>
      <c r="R208" s="1" t="str">
        <f>IF(BaseCoalPlants!AA210=0,"",BaseCoalPlants!AA210)</f>
        <v/>
      </c>
      <c r="S208" s="1">
        <f>IF(BaseCoalPlants!AB210=0,"",BaseCoalPlants!AB210)</f>
        <v>0.32060001032115265</v>
      </c>
      <c r="T208" s="1" t="str">
        <f>IF(BaseCoalPlants!AC210=0,"",BaseCoalPlants!AC210)</f>
        <v/>
      </c>
      <c r="U208" s="1">
        <f>IF(BaseCoalPlants!AD210=0,"",BaseCoalPlants!AD210)</f>
        <v>0.29456407317063643</v>
      </c>
      <c r="V208" s="1" t="str">
        <f>IF(BaseCoalPlants!AE210=0,"",BaseCoalPlants!AE210)</f>
        <v/>
      </c>
    </row>
    <row r="209" spans="3:22" x14ac:dyDescent="0.35">
      <c r="C209" t="str">
        <f>IF(BaseCoalPlants!B211="VDA_FLOP",IF(BaseCoalPlants!D211="ELC","*","INPUT"),BaseCoalPlants!B211)</f>
        <v>EFF</v>
      </c>
      <c r="D209" t="str">
        <f>IF(BaseCoalPlants!C211="","\I:",BaseCoalPlants!C211&amp;"_LE")</f>
        <v>ECSTMRSOO_LE</v>
      </c>
      <c r="E209" t="str">
        <f>IF(BaseCoalPlants!D211="-","",BaseCoalPlants!D211)</f>
        <v/>
      </c>
      <c r="F209" t="str">
        <f>IF(BaseCoalPlants!E211="-","",BaseCoalPlants!E211)</f>
        <v/>
      </c>
      <c r="G209" t="str">
        <f>IF(BaseCoalPlants!F211="-","",BaseCoalPlants!F211)</f>
        <v>ANNUAL</v>
      </c>
      <c r="H209">
        <f>IF(BaseCoalPlants!G211="-","",BaseCoalPlants!G211)</f>
        <v>1960</v>
      </c>
      <c r="I209" t="str">
        <f>IF(BaseCoalPlants!H211="-","",BaseCoalPlants!H211)</f>
        <v/>
      </c>
      <c r="J209" t="str">
        <f>IF(BaseCoalPlants!I211="-","",BaseCoalPlants!I211)</f>
        <v/>
      </c>
      <c r="K209" t="str">
        <f>IF(BaseCoalPlants!J211="-","",BaseCoalPlants!J211)</f>
        <v/>
      </c>
      <c r="L209" t="str">
        <f>IF(BaseCoalPlants!K211="-","",BaseCoalPlants!K211)</f>
        <v/>
      </c>
      <c r="M209" s="1" t="str">
        <f>IF(BaseCoalPlants!L211=0,"",BaseCoalPlants!L211)</f>
        <v/>
      </c>
      <c r="N209" s="1" t="str">
        <f>IF(BaseCoalPlants!W211=0,"",BaseCoalPlants!W211)</f>
        <v/>
      </c>
      <c r="O209" s="1">
        <f>IF(BaseCoalPlants!X211=0,"",BaseCoalPlants!X211)</f>
        <v>0.3198739755772147</v>
      </c>
      <c r="P209" s="1">
        <f>IF(BaseCoalPlants!Y211=0,"",BaseCoalPlants!Y211)</f>
        <v>0.29747514811950815</v>
      </c>
      <c r="Q209" s="1">
        <f>IF(BaseCoalPlants!Z211=0,"",BaseCoalPlants!Z211)</f>
        <v>0.29716260976939102</v>
      </c>
      <c r="R209" s="1" t="str">
        <f>IF(BaseCoalPlants!AA211=0,"",BaseCoalPlants!AA211)</f>
        <v/>
      </c>
      <c r="S209" s="1" t="str">
        <f>IF(BaseCoalPlants!AB211=0,"",BaseCoalPlants!AB211)</f>
        <v/>
      </c>
      <c r="T209" s="1" t="str">
        <f>IF(BaseCoalPlants!AC211=0,"",BaseCoalPlants!AC211)</f>
        <v/>
      </c>
      <c r="U209" s="1" t="str">
        <f>IF(BaseCoalPlants!AD211=0,"",BaseCoalPlants!AD211)</f>
        <v/>
      </c>
      <c r="V209" s="1" t="str">
        <f>IF(BaseCoalPlants!AE211=0,"",BaseCoalPlants!AE211)</f>
        <v/>
      </c>
    </row>
    <row r="210" spans="3:22" x14ac:dyDescent="0.35">
      <c r="C210" t="str">
        <f>IF(BaseCoalPlants!B212="VDA_FLOP",IF(BaseCoalPlants!D212="ELC","*","INPUT"),BaseCoalPlants!B212)</f>
        <v>EFF</v>
      </c>
      <c r="D210" t="str">
        <f>IF(BaseCoalPlants!C212="","\I:",BaseCoalPlants!C212&amp;"_LE")</f>
        <v>ECSTMRSOO_LE</v>
      </c>
      <c r="E210" t="str">
        <f>IF(BaseCoalPlants!D212="-","",BaseCoalPlants!D212)</f>
        <v/>
      </c>
      <c r="F210" t="str">
        <f>IF(BaseCoalPlants!E212="-","",BaseCoalPlants!E212)</f>
        <v/>
      </c>
      <c r="G210" t="str">
        <f>IF(BaseCoalPlants!F212="-","",BaseCoalPlants!F212)</f>
        <v>ANNUAL</v>
      </c>
      <c r="H210">
        <f>IF(BaseCoalPlants!G212="-","",BaseCoalPlants!G212)</f>
        <v>1961</v>
      </c>
      <c r="I210" t="str">
        <f>IF(BaseCoalPlants!H212="-","",BaseCoalPlants!H212)</f>
        <v/>
      </c>
      <c r="J210" t="str">
        <f>IF(BaseCoalPlants!I212="-","",BaseCoalPlants!I212)</f>
        <v/>
      </c>
      <c r="K210" t="str">
        <f>IF(BaseCoalPlants!J212="-","",BaseCoalPlants!J212)</f>
        <v/>
      </c>
      <c r="L210" t="str">
        <f>IF(BaseCoalPlants!K212="-","",BaseCoalPlants!K212)</f>
        <v/>
      </c>
      <c r="M210" s="1" t="str">
        <f>IF(BaseCoalPlants!L212=0,"",BaseCoalPlants!L212)</f>
        <v/>
      </c>
      <c r="N210" s="1" t="str">
        <f>IF(BaseCoalPlants!W212=0,"",BaseCoalPlants!W212)</f>
        <v/>
      </c>
      <c r="O210" s="1" t="str">
        <f>IF(BaseCoalPlants!X212=0,"",BaseCoalPlants!X212)</f>
        <v/>
      </c>
      <c r="P210" s="1">
        <f>IF(BaseCoalPlants!Y212=0,"",BaseCoalPlants!Y212)</f>
        <v>0.3346182361029571</v>
      </c>
      <c r="Q210" s="1">
        <f>IF(BaseCoalPlants!Z212=0,"",BaseCoalPlants!Z212)</f>
        <v>0.29395160827319139</v>
      </c>
      <c r="R210" s="1" t="str">
        <f>IF(BaseCoalPlants!AA212=0,"",BaseCoalPlants!AA212)</f>
        <v/>
      </c>
      <c r="S210" s="1" t="str">
        <f>IF(BaseCoalPlants!AB212=0,"",BaseCoalPlants!AB212)</f>
        <v/>
      </c>
      <c r="T210" s="1" t="str">
        <f>IF(BaseCoalPlants!AC212=0,"",BaseCoalPlants!AC212)</f>
        <v/>
      </c>
      <c r="U210" s="1">
        <f>IF(BaseCoalPlants!AD212=0,"",BaseCoalPlants!AD212)</f>
        <v>0.29480716248502753</v>
      </c>
      <c r="V210" s="1" t="str">
        <f>IF(BaseCoalPlants!AE212=0,"",BaseCoalPlants!AE212)</f>
        <v/>
      </c>
    </row>
    <row r="211" spans="3:22" x14ac:dyDescent="0.35">
      <c r="C211" t="str">
        <f>IF(BaseCoalPlants!B213="VDA_FLOP",IF(BaseCoalPlants!D213="ELC","*","INPUT"),BaseCoalPlants!B213)</f>
        <v>EFF</v>
      </c>
      <c r="D211" t="str">
        <f>IF(BaseCoalPlants!C213="","\I:",BaseCoalPlants!C213&amp;"_LE")</f>
        <v>ECSTMRSOO_LE</v>
      </c>
      <c r="E211" t="str">
        <f>IF(BaseCoalPlants!D213="-","",BaseCoalPlants!D213)</f>
        <v/>
      </c>
      <c r="F211" t="str">
        <f>IF(BaseCoalPlants!E213="-","",BaseCoalPlants!E213)</f>
        <v/>
      </c>
      <c r="G211" t="str">
        <f>IF(BaseCoalPlants!F213="-","",BaseCoalPlants!F213)</f>
        <v>ANNUAL</v>
      </c>
      <c r="H211">
        <f>IF(BaseCoalPlants!G213="-","",BaseCoalPlants!G213)</f>
        <v>1962</v>
      </c>
      <c r="I211" t="str">
        <f>IF(BaseCoalPlants!H213="-","",BaseCoalPlants!H213)</f>
        <v/>
      </c>
      <c r="J211" t="str">
        <f>IF(BaseCoalPlants!I213="-","",BaseCoalPlants!I213)</f>
        <v/>
      </c>
      <c r="K211" t="str">
        <f>IF(BaseCoalPlants!J213="-","",BaseCoalPlants!J213)</f>
        <v/>
      </c>
      <c r="L211" t="str">
        <f>IF(BaseCoalPlants!K213="-","",BaseCoalPlants!K213)</f>
        <v/>
      </c>
      <c r="M211" s="1" t="str">
        <f>IF(BaseCoalPlants!L213=0,"",BaseCoalPlants!L213)</f>
        <v/>
      </c>
      <c r="N211" s="1" t="str">
        <f>IF(BaseCoalPlants!W213=0,"",BaseCoalPlants!W213)</f>
        <v/>
      </c>
      <c r="O211" s="1" t="str">
        <f>IF(BaseCoalPlants!X213=0,"",BaseCoalPlants!X213)</f>
        <v/>
      </c>
      <c r="P211" s="1">
        <f>IF(BaseCoalPlants!Y213=0,"",BaseCoalPlants!Y213)</f>
        <v>0.30173654186241211</v>
      </c>
      <c r="Q211" s="1" t="str">
        <f>IF(BaseCoalPlants!Z213=0,"",BaseCoalPlants!Z213)</f>
        <v/>
      </c>
      <c r="R211" s="1" t="str">
        <f>IF(BaseCoalPlants!AA213=0,"",BaseCoalPlants!AA213)</f>
        <v/>
      </c>
      <c r="S211" s="1" t="str">
        <f>IF(BaseCoalPlants!AB213=0,"",BaseCoalPlants!AB213)</f>
        <v/>
      </c>
      <c r="T211" s="1" t="str">
        <f>IF(BaseCoalPlants!AC213=0,"",BaseCoalPlants!AC213)</f>
        <v/>
      </c>
      <c r="U211" s="1" t="str">
        <f>IF(BaseCoalPlants!AD213=0,"",BaseCoalPlants!AD213)</f>
        <v/>
      </c>
      <c r="V211" s="1" t="str">
        <f>IF(BaseCoalPlants!AE213=0,"",BaseCoalPlants!AE213)</f>
        <v/>
      </c>
    </row>
    <row r="212" spans="3:22" x14ac:dyDescent="0.35">
      <c r="C212" t="str">
        <f>IF(BaseCoalPlants!B214="VDA_FLOP",IF(BaseCoalPlants!D214="ELC","*","INPUT"),BaseCoalPlants!B214)</f>
        <v>EFF</v>
      </c>
      <c r="D212" t="str">
        <f>IF(BaseCoalPlants!C214="","\I:",BaseCoalPlants!C214&amp;"_LE")</f>
        <v>ECSTMRSOO_LE</v>
      </c>
      <c r="E212" t="str">
        <f>IF(BaseCoalPlants!D214="-","",BaseCoalPlants!D214)</f>
        <v/>
      </c>
      <c r="F212" t="str">
        <f>IF(BaseCoalPlants!E214="-","",BaseCoalPlants!E214)</f>
        <v/>
      </c>
      <c r="G212" t="str">
        <f>IF(BaseCoalPlants!F214="-","",BaseCoalPlants!F214)</f>
        <v>ANNUAL</v>
      </c>
      <c r="H212">
        <f>IF(BaseCoalPlants!G214="-","",BaseCoalPlants!G214)</f>
        <v>1963</v>
      </c>
      <c r="I212" t="str">
        <f>IF(BaseCoalPlants!H214="-","",BaseCoalPlants!H214)</f>
        <v/>
      </c>
      <c r="J212" t="str">
        <f>IF(BaseCoalPlants!I214="-","",BaseCoalPlants!I214)</f>
        <v/>
      </c>
      <c r="K212" t="str">
        <f>IF(BaseCoalPlants!J214="-","",BaseCoalPlants!J214)</f>
        <v/>
      </c>
      <c r="L212" t="str">
        <f>IF(BaseCoalPlants!K214="-","",BaseCoalPlants!K214)</f>
        <v/>
      </c>
      <c r="M212" s="1" t="str">
        <f>IF(BaseCoalPlants!L214=0,"",BaseCoalPlants!L214)</f>
        <v/>
      </c>
      <c r="N212" s="1" t="str">
        <f>IF(BaseCoalPlants!W214=0,"",BaseCoalPlants!W214)</f>
        <v/>
      </c>
      <c r="O212" s="1" t="str">
        <f>IF(BaseCoalPlants!X214=0,"",BaseCoalPlants!X214)</f>
        <v/>
      </c>
      <c r="P212" s="1">
        <f>IF(BaseCoalPlants!Y214=0,"",BaseCoalPlants!Y214)</f>
        <v>0.31776100423145182</v>
      </c>
      <c r="Q212" s="1">
        <f>IF(BaseCoalPlants!Z214=0,"",BaseCoalPlants!Z214)</f>
        <v>0.30776300111670912</v>
      </c>
      <c r="R212" s="1" t="str">
        <f>IF(BaseCoalPlants!AA214=0,"",BaseCoalPlants!AA214)</f>
        <v/>
      </c>
      <c r="S212" s="1" t="str">
        <f>IF(BaseCoalPlants!AB214=0,"",BaseCoalPlants!AB214)</f>
        <v/>
      </c>
      <c r="T212" s="1" t="str">
        <f>IF(BaseCoalPlants!AC214=0,"",BaseCoalPlants!AC214)</f>
        <v/>
      </c>
      <c r="U212" s="1" t="str">
        <f>IF(BaseCoalPlants!AD214=0,"",BaseCoalPlants!AD214)</f>
        <v/>
      </c>
      <c r="V212" s="1" t="str">
        <f>IF(BaseCoalPlants!AE214=0,"",BaseCoalPlants!AE214)</f>
        <v/>
      </c>
    </row>
    <row r="213" spans="3:22" x14ac:dyDescent="0.35">
      <c r="C213" t="str">
        <f>IF(BaseCoalPlants!B215="VDA_FLOP",IF(BaseCoalPlants!D215="ELC","*","INPUT"),BaseCoalPlants!B215)</f>
        <v>EFF</v>
      </c>
      <c r="D213" t="str">
        <f>IF(BaseCoalPlants!C215="","\I:",BaseCoalPlants!C215&amp;"_LE")</f>
        <v>ECSTMRSOO_LE</v>
      </c>
      <c r="E213" t="str">
        <f>IF(BaseCoalPlants!D215="-","",BaseCoalPlants!D215)</f>
        <v/>
      </c>
      <c r="F213" t="str">
        <f>IF(BaseCoalPlants!E215="-","",BaseCoalPlants!E215)</f>
        <v/>
      </c>
      <c r="G213" t="str">
        <f>IF(BaseCoalPlants!F215="-","",BaseCoalPlants!F215)</f>
        <v>ANNUAL</v>
      </c>
      <c r="H213">
        <f>IF(BaseCoalPlants!G215="-","",BaseCoalPlants!G215)</f>
        <v>1964</v>
      </c>
      <c r="I213" t="str">
        <f>IF(BaseCoalPlants!H215="-","",BaseCoalPlants!H215)</f>
        <v/>
      </c>
      <c r="J213" t="str">
        <f>IF(BaseCoalPlants!I215="-","",BaseCoalPlants!I215)</f>
        <v/>
      </c>
      <c r="K213" t="str">
        <f>IF(BaseCoalPlants!J215="-","",BaseCoalPlants!J215)</f>
        <v/>
      </c>
      <c r="L213" t="str">
        <f>IF(BaseCoalPlants!K215="-","",BaseCoalPlants!K215)</f>
        <v/>
      </c>
      <c r="M213" s="1" t="str">
        <f>IF(BaseCoalPlants!L215=0,"",BaseCoalPlants!L215)</f>
        <v/>
      </c>
      <c r="N213" s="1" t="str">
        <f>IF(BaseCoalPlants!W215=0,"",BaseCoalPlants!W215)</f>
        <v/>
      </c>
      <c r="O213" s="1" t="str">
        <f>IF(BaseCoalPlants!X215=0,"",BaseCoalPlants!X215)</f>
        <v/>
      </c>
      <c r="P213" s="1">
        <f>IF(BaseCoalPlants!Y215=0,"",BaseCoalPlants!Y215)</f>
        <v>0.33010993284820511</v>
      </c>
      <c r="Q213" s="1">
        <f>IF(BaseCoalPlants!Z215=0,"",BaseCoalPlants!Z215)</f>
        <v>0.28584257026621435</v>
      </c>
      <c r="R213" s="1" t="str">
        <f>IF(BaseCoalPlants!AA215=0,"",BaseCoalPlants!AA215)</f>
        <v/>
      </c>
      <c r="S213" s="1" t="str">
        <f>IF(BaseCoalPlants!AB215=0,"",BaseCoalPlants!AB215)</f>
        <v/>
      </c>
      <c r="T213" s="1" t="str">
        <f>IF(BaseCoalPlants!AC215=0,"",BaseCoalPlants!AC215)</f>
        <v/>
      </c>
      <c r="U213" s="1">
        <f>IF(BaseCoalPlants!AD215=0,"",BaseCoalPlants!AD215)</f>
        <v>0.29517826811496478</v>
      </c>
      <c r="V213" s="1" t="str">
        <f>IF(BaseCoalPlants!AE215=0,"",BaseCoalPlants!AE215)</f>
        <v/>
      </c>
    </row>
    <row r="214" spans="3:22" x14ac:dyDescent="0.35">
      <c r="C214" t="str">
        <f>IF(BaseCoalPlants!B216="VDA_FLOP",IF(BaseCoalPlants!D216="ELC","*","INPUT"),BaseCoalPlants!B216)</f>
        <v>EFF</v>
      </c>
      <c r="D214" t="str">
        <f>IF(BaseCoalPlants!C216="","\I:",BaseCoalPlants!C216&amp;"_LE")</f>
        <v>ECSTMRSOO_LE</v>
      </c>
      <c r="E214" t="str">
        <f>IF(BaseCoalPlants!D216="-","",BaseCoalPlants!D216)</f>
        <v/>
      </c>
      <c r="F214" t="str">
        <f>IF(BaseCoalPlants!E216="-","",BaseCoalPlants!E216)</f>
        <v/>
      </c>
      <c r="G214" t="str">
        <f>IF(BaseCoalPlants!F216="-","",BaseCoalPlants!F216)</f>
        <v>ANNUAL</v>
      </c>
      <c r="H214">
        <f>IF(BaseCoalPlants!G216="-","",BaseCoalPlants!G216)</f>
        <v>1965</v>
      </c>
      <c r="I214" t="str">
        <f>IF(BaseCoalPlants!H216="-","",BaseCoalPlants!H216)</f>
        <v/>
      </c>
      <c r="J214" t="str">
        <f>IF(BaseCoalPlants!I216="-","",BaseCoalPlants!I216)</f>
        <v/>
      </c>
      <c r="K214" t="str">
        <f>IF(BaseCoalPlants!J216="-","",BaseCoalPlants!J216)</f>
        <v/>
      </c>
      <c r="L214" t="str">
        <f>IF(BaseCoalPlants!K216="-","",BaseCoalPlants!K216)</f>
        <v/>
      </c>
      <c r="M214" s="1" t="str">
        <f>IF(BaseCoalPlants!L216=0,"",BaseCoalPlants!L216)</f>
        <v/>
      </c>
      <c r="N214" s="1" t="str">
        <f>IF(BaseCoalPlants!W216=0,"",BaseCoalPlants!W216)</f>
        <v/>
      </c>
      <c r="O214" s="1" t="str">
        <f>IF(BaseCoalPlants!X216=0,"",BaseCoalPlants!X216)</f>
        <v/>
      </c>
      <c r="P214" s="1">
        <f>IF(BaseCoalPlants!Y216=0,"",BaseCoalPlants!Y216)</f>
        <v>0.31380265920098688</v>
      </c>
      <c r="Q214" s="1" t="str">
        <f>IF(BaseCoalPlants!Z216=0,"",BaseCoalPlants!Z216)</f>
        <v/>
      </c>
      <c r="R214" s="1" t="str">
        <f>IF(BaseCoalPlants!AA216=0,"",BaseCoalPlants!AA216)</f>
        <v/>
      </c>
      <c r="S214" s="1" t="str">
        <f>IF(BaseCoalPlants!AB216=0,"",BaseCoalPlants!AB216)</f>
        <v/>
      </c>
      <c r="T214" s="1" t="str">
        <f>IF(BaseCoalPlants!AC216=0,"",BaseCoalPlants!AC216)</f>
        <v/>
      </c>
      <c r="U214" s="1" t="str">
        <f>IF(BaseCoalPlants!AD216=0,"",BaseCoalPlants!AD216)</f>
        <v/>
      </c>
      <c r="V214" s="1" t="str">
        <f>IF(BaseCoalPlants!AE216=0,"",BaseCoalPlants!AE216)</f>
        <v/>
      </c>
    </row>
    <row r="215" spans="3:22" x14ac:dyDescent="0.35">
      <c r="C215" t="str">
        <f>IF(BaseCoalPlants!B217="VDA_FLOP",IF(BaseCoalPlants!D217="ELC","*","INPUT"),BaseCoalPlants!B217)</f>
        <v>EFF</v>
      </c>
      <c r="D215" t="str">
        <f>IF(BaseCoalPlants!C217="","\I:",BaseCoalPlants!C217&amp;"_LE")</f>
        <v>ECSTMRSOO_LE</v>
      </c>
      <c r="E215" t="str">
        <f>IF(BaseCoalPlants!D217="-","",BaseCoalPlants!D217)</f>
        <v/>
      </c>
      <c r="F215" t="str">
        <f>IF(BaseCoalPlants!E217="-","",BaseCoalPlants!E217)</f>
        <v/>
      </c>
      <c r="G215" t="str">
        <f>IF(BaseCoalPlants!F217="-","",BaseCoalPlants!F217)</f>
        <v>ANNUAL</v>
      </c>
      <c r="H215">
        <f>IF(BaseCoalPlants!G217="-","",BaseCoalPlants!G217)</f>
        <v>1966</v>
      </c>
      <c r="I215" t="str">
        <f>IF(BaseCoalPlants!H217="-","",BaseCoalPlants!H217)</f>
        <v/>
      </c>
      <c r="J215" t="str">
        <f>IF(BaseCoalPlants!I217="-","",BaseCoalPlants!I217)</f>
        <v/>
      </c>
      <c r="K215" t="str">
        <f>IF(BaseCoalPlants!J217="-","",BaseCoalPlants!J217)</f>
        <v/>
      </c>
      <c r="L215" t="str">
        <f>IF(BaseCoalPlants!K217="-","",BaseCoalPlants!K217)</f>
        <v/>
      </c>
      <c r="M215" s="1" t="str">
        <f>IF(BaseCoalPlants!L217=0,"",BaseCoalPlants!L217)</f>
        <v/>
      </c>
      <c r="N215" s="1" t="str">
        <f>IF(BaseCoalPlants!W217=0,"",BaseCoalPlants!W217)</f>
        <v/>
      </c>
      <c r="O215" s="1" t="str">
        <f>IF(BaseCoalPlants!X217=0,"",BaseCoalPlants!X217)</f>
        <v/>
      </c>
      <c r="P215" s="1" t="str">
        <f>IF(BaseCoalPlants!Y217=0,"",BaseCoalPlants!Y217)</f>
        <v/>
      </c>
      <c r="Q215" s="1">
        <f>IF(BaseCoalPlants!Z217=0,"",BaseCoalPlants!Z217)</f>
        <v>0.29482759282569115</v>
      </c>
      <c r="R215" s="1" t="str">
        <f>IF(BaseCoalPlants!AA217=0,"",BaseCoalPlants!AA217)</f>
        <v/>
      </c>
      <c r="S215" s="1" t="str">
        <f>IF(BaseCoalPlants!AB217=0,"",BaseCoalPlants!AB217)</f>
        <v/>
      </c>
      <c r="T215" s="1" t="str">
        <f>IF(BaseCoalPlants!AC217=0,"",BaseCoalPlants!AC217)</f>
        <v/>
      </c>
      <c r="U215" s="1" t="str">
        <f>IF(BaseCoalPlants!AD217=0,"",BaseCoalPlants!AD217)</f>
        <v/>
      </c>
      <c r="V215" s="1" t="str">
        <f>IF(BaseCoalPlants!AE217=0,"",BaseCoalPlants!AE217)</f>
        <v/>
      </c>
    </row>
    <row r="216" spans="3:22" x14ac:dyDescent="0.35">
      <c r="C216" t="str">
        <f>IF(BaseCoalPlants!B218="VDA_FLOP",IF(BaseCoalPlants!D218="ELC","*","INPUT"),BaseCoalPlants!B218)</f>
        <v>EFF</v>
      </c>
      <c r="D216" t="str">
        <f>IF(BaseCoalPlants!C218="","\I:",BaseCoalPlants!C218&amp;"_LE")</f>
        <v>ECSTMRSOO_LE</v>
      </c>
      <c r="E216" t="str">
        <f>IF(BaseCoalPlants!D218="-","",BaseCoalPlants!D218)</f>
        <v/>
      </c>
      <c r="F216" t="str">
        <f>IF(BaseCoalPlants!E218="-","",BaseCoalPlants!E218)</f>
        <v/>
      </c>
      <c r="G216" t="str">
        <f>IF(BaseCoalPlants!F218="-","",BaseCoalPlants!F218)</f>
        <v>ANNUAL</v>
      </c>
      <c r="H216">
        <f>IF(BaseCoalPlants!G218="-","",BaseCoalPlants!G218)</f>
        <v>1967</v>
      </c>
      <c r="I216" t="str">
        <f>IF(BaseCoalPlants!H218="-","",BaseCoalPlants!H218)</f>
        <v/>
      </c>
      <c r="J216" t="str">
        <f>IF(BaseCoalPlants!I218="-","",BaseCoalPlants!I218)</f>
        <v/>
      </c>
      <c r="K216" t="str">
        <f>IF(BaseCoalPlants!J218="-","",BaseCoalPlants!J218)</f>
        <v/>
      </c>
      <c r="L216" t="str">
        <f>IF(BaseCoalPlants!K218="-","",BaseCoalPlants!K218)</f>
        <v/>
      </c>
      <c r="M216" s="1" t="str">
        <f>IF(BaseCoalPlants!L218=0,"",BaseCoalPlants!L218)</f>
        <v/>
      </c>
      <c r="N216" s="1" t="str">
        <f>IF(BaseCoalPlants!W218=0,"",BaseCoalPlants!W218)</f>
        <v/>
      </c>
      <c r="O216" s="1" t="str">
        <f>IF(BaseCoalPlants!X218=0,"",BaseCoalPlants!X218)</f>
        <v/>
      </c>
      <c r="P216" s="1">
        <f>IF(BaseCoalPlants!Y218=0,"",BaseCoalPlants!Y218)</f>
        <v>0.34109010661039774</v>
      </c>
      <c r="Q216" s="1">
        <f>IF(BaseCoalPlants!Z218=0,"",BaseCoalPlants!Z218)</f>
        <v>0.31171641481486079</v>
      </c>
      <c r="R216" s="1" t="str">
        <f>IF(BaseCoalPlants!AA218=0,"",BaseCoalPlants!AA218)</f>
        <v/>
      </c>
      <c r="S216" s="1" t="str">
        <f>IF(BaseCoalPlants!AB218=0,"",BaseCoalPlants!AB218)</f>
        <v/>
      </c>
      <c r="T216" s="1" t="str">
        <f>IF(BaseCoalPlants!AC218=0,"",BaseCoalPlants!AC218)</f>
        <v/>
      </c>
      <c r="U216" s="1" t="str">
        <f>IF(BaseCoalPlants!AD218=0,"",BaseCoalPlants!AD218)</f>
        <v/>
      </c>
      <c r="V216" s="1" t="str">
        <f>IF(BaseCoalPlants!AE218=0,"",BaseCoalPlants!AE218)</f>
        <v/>
      </c>
    </row>
    <row r="217" spans="3:22" x14ac:dyDescent="0.35">
      <c r="C217" t="str">
        <f>IF(BaseCoalPlants!B219="VDA_FLOP",IF(BaseCoalPlants!D219="ELC","*","INPUT"),BaseCoalPlants!B219)</f>
        <v>EFF</v>
      </c>
      <c r="D217" t="str">
        <f>IF(BaseCoalPlants!C219="","\I:",BaseCoalPlants!C219&amp;"_LE")</f>
        <v>ECSTMRSOO_LE</v>
      </c>
      <c r="E217" t="str">
        <f>IF(BaseCoalPlants!D219="-","",BaseCoalPlants!D219)</f>
        <v/>
      </c>
      <c r="F217" t="str">
        <f>IF(BaseCoalPlants!E219="-","",BaseCoalPlants!E219)</f>
        <v/>
      </c>
      <c r="G217" t="str">
        <f>IF(BaseCoalPlants!F219="-","",BaseCoalPlants!F219)</f>
        <v>ANNUAL</v>
      </c>
      <c r="H217">
        <f>IF(BaseCoalPlants!G219="-","",BaseCoalPlants!G219)</f>
        <v>1968</v>
      </c>
      <c r="I217" t="str">
        <f>IF(BaseCoalPlants!H219="-","",BaseCoalPlants!H219)</f>
        <v/>
      </c>
      <c r="J217" t="str">
        <f>IF(BaseCoalPlants!I219="-","",BaseCoalPlants!I219)</f>
        <v/>
      </c>
      <c r="K217" t="str">
        <f>IF(BaseCoalPlants!J219="-","",BaseCoalPlants!J219)</f>
        <v/>
      </c>
      <c r="L217" t="str">
        <f>IF(BaseCoalPlants!K219="-","",BaseCoalPlants!K219)</f>
        <v/>
      </c>
      <c r="M217" s="1" t="str">
        <f>IF(BaseCoalPlants!L219=0,"",BaseCoalPlants!L219)</f>
        <v/>
      </c>
      <c r="N217" s="1">
        <f>IF(BaseCoalPlants!W219=0,"",BaseCoalPlants!W219)</f>
        <v>0.32382655040393954</v>
      </c>
      <c r="O217" s="1" t="str">
        <f>IF(BaseCoalPlants!X219=0,"",BaseCoalPlants!X219)</f>
        <v/>
      </c>
      <c r="P217" s="1">
        <f>IF(BaseCoalPlants!Y219=0,"",BaseCoalPlants!Y219)</f>
        <v>0.31872334380120093</v>
      </c>
      <c r="Q217" s="1">
        <f>IF(BaseCoalPlants!Z219=0,"",BaseCoalPlants!Z219)</f>
        <v>0.31988023244231328</v>
      </c>
      <c r="R217" s="1" t="str">
        <f>IF(BaseCoalPlants!AA219=0,"",BaseCoalPlants!AA219)</f>
        <v/>
      </c>
      <c r="S217" s="1" t="str">
        <f>IF(BaseCoalPlants!AB219=0,"",BaseCoalPlants!AB219)</f>
        <v/>
      </c>
      <c r="T217" s="1" t="str">
        <f>IF(BaseCoalPlants!AC219=0,"",BaseCoalPlants!AC219)</f>
        <v/>
      </c>
      <c r="U217" s="1">
        <f>IF(BaseCoalPlants!AD219=0,"",BaseCoalPlants!AD219)</f>
        <v>0.28269152432570399</v>
      </c>
      <c r="V217" s="1" t="str">
        <f>IF(BaseCoalPlants!AE219=0,"",BaseCoalPlants!AE219)</f>
        <v/>
      </c>
    </row>
    <row r="218" spans="3:22" x14ac:dyDescent="0.35">
      <c r="C218" t="str">
        <f>IF(BaseCoalPlants!B220="VDA_FLOP",IF(BaseCoalPlants!D220="ELC","*","INPUT"),BaseCoalPlants!B220)</f>
        <v>EFF</v>
      </c>
      <c r="D218" t="str">
        <f>IF(BaseCoalPlants!C220="","\I:",BaseCoalPlants!C220&amp;"_LE")</f>
        <v>ECSTMRSOO_LE</v>
      </c>
      <c r="E218" t="str">
        <f>IF(BaseCoalPlants!D220="-","",BaseCoalPlants!D220)</f>
        <v/>
      </c>
      <c r="F218" t="str">
        <f>IF(BaseCoalPlants!E220="-","",BaseCoalPlants!E220)</f>
        <v/>
      </c>
      <c r="G218" t="str">
        <f>IF(BaseCoalPlants!F220="-","",BaseCoalPlants!F220)</f>
        <v>ANNUAL</v>
      </c>
      <c r="H218">
        <f>IF(BaseCoalPlants!G220="-","",BaseCoalPlants!G220)</f>
        <v>1969</v>
      </c>
      <c r="I218" t="str">
        <f>IF(BaseCoalPlants!H220="-","",BaseCoalPlants!H220)</f>
        <v/>
      </c>
      <c r="J218" t="str">
        <f>IF(BaseCoalPlants!I220="-","",BaseCoalPlants!I220)</f>
        <v/>
      </c>
      <c r="K218" t="str">
        <f>IF(BaseCoalPlants!J220="-","",BaseCoalPlants!J220)</f>
        <v/>
      </c>
      <c r="L218" t="str">
        <f>IF(BaseCoalPlants!K220="-","",BaseCoalPlants!K220)</f>
        <v/>
      </c>
      <c r="M218" s="1" t="str">
        <f>IF(BaseCoalPlants!L220=0,"",BaseCoalPlants!L220)</f>
        <v/>
      </c>
      <c r="N218" s="1" t="str">
        <f>IF(BaseCoalPlants!W220=0,"",BaseCoalPlants!W220)</f>
        <v/>
      </c>
      <c r="O218" s="1" t="str">
        <f>IF(BaseCoalPlants!X220=0,"",BaseCoalPlants!X220)</f>
        <v/>
      </c>
      <c r="P218" s="1">
        <f>IF(BaseCoalPlants!Y220=0,"",BaseCoalPlants!Y220)</f>
        <v>0.34038936847599932</v>
      </c>
      <c r="Q218" s="1">
        <f>IF(BaseCoalPlants!Z220=0,"",BaseCoalPlants!Z220)</f>
        <v>0.31632743153134851</v>
      </c>
      <c r="R218" s="1" t="str">
        <f>IF(BaseCoalPlants!AA220=0,"",BaseCoalPlants!AA220)</f>
        <v/>
      </c>
      <c r="S218" s="1" t="str">
        <f>IF(BaseCoalPlants!AB220=0,"",BaseCoalPlants!AB220)</f>
        <v/>
      </c>
      <c r="T218" s="1" t="str">
        <f>IF(BaseCoalPlants!AC220=0,"",BaseCoalPlants!AC220)</f>
        <v/>
      </c>
      <c r="U218" s="1" t="str">
        <f>IF(BaseCoalPlants!AD220=0,"",BaseCoalPlants!AD220)</f>
        <v/>
      </c>
      <c r="V218" s="1" t="str">
        <f>IF(BaseCoalPlants!AE220=0,"",BaseCoalPlants!AE220)</f>
        <v/>
      </c>
    </row>
    <row r="219" spans="3:22" x14ac:dyDescent="0.35">
      <c r="C219" t="str">
        <f>IF(BaseCoalPlants!B221="VDA_FLOP",IF(BaseCoalPlants!D221="ELC","*","INPUT"),BaseCoalPlants!B221)</f>
        <v>EFF</v>
      </c>
      <c r="D219" t="str">
        <f>IF(BaseCoalPlants!C221="","\I:",BaseCoalPlants!C221&amp;"_LE")</f>
        <v>ECSTMRSOO_LE</v>
      </c>
      <c r="E219" t="str">
        <f>IF(BaseCoalPlants!D221="-","",BaseCoalPlants!D221)</f>
        <v/>
      </c>
      <c r="F219" t="str">
        <f>IF(BaseCoalPlants!E221="-","",BaseCoalPlants!E221)</f>
        <v/>
      </c>
      <c r="G219" t="str">
        <f>IF(BaseCoalPlants!F221="-","",BaseCoalPlants!F221)</f>
        <v>ANNUAL</v>
      </c>
      <c r="H219">
        <f>IF(BaseCoalPlants!G221="-","",BaseCoalPlants!G221)</f>
        <v>1970</v>
      </c>
      <c r="I219" t="str">
        <f>IF(BaseCoalPlants!H221="-","",BaseCoalPlants!H221)</f>
        <v/>
      </c>
      <c r="J219" t="str">
        <f>IF(BaseCoalPlants!I221="-","",BaseCoalPlants!I221)</f>
        <v/>
      </c>
      <c r="K219" t="str">
        <f>IF(BaseCoalPlants!J221="-","",BaseCoalPlants!J221)</f>
        <v/>
      </c>
      <c r="L219" t="str">
        <f>IF(BaseCoalPlants!K221="-","",BaseCoalPlants!K221)</f>
        <v/>
      </c>
      <c r="M219" s="1" t="str">
        <f>IF(BaseCoalPlants!L221=0,"",BaseCoalPlants!L221)</f>
        <v/>
      </c>
      <c r="N219" s="1" t="str">
        <f>IF(BaseCoalPlants!W221=0,"",BaseCoalPlants!W221)</f>
        <v/>
      </c>
      <c r="O219" s="1" t="str">
        <f>IF(BaseCoalPlants!X221=0,"",BaseCoalPlants!X221)</f>
        <v/>
      </c>
      <c r="P219" s="1" t="str">
        <f>IF(BaseCoalPlants!Y221=0,"",BaseCoalPlants!Y221)</f>
        <v/>
      </c>
      <c r="Q219" s="1">
        <f>IF(BaseCoalPlants!Z221=0,"",BaseCoalPlants!Z221)</f>
        <v>0.33274041481830913</v>
      </c>
      <c r="R219" s="1" t="str">
        <f>IF(BaseCoalPlants!AA221=0,"",BaseCoalPlants!AA221)</f>
        <v/>
      </c>
      <c r="S219" s="1" t="str">
        <f>IF(BaseCoalPlants!AB221=0,"",BaseCoalPlants!AB221)</f>
        <v/>
      </c>
      <c r="T219" s="1" t="str">
        <f>IF(BaseCoalPlants!AC221=0,"",BaseCoalPlants!AC221)</f>
        <v/>
      </c>
      <c r="U219" s="1" t="str">
        <f>IF(BaseCoalPlants!AD221=0,"",BaseCoalPlants!AD221)</f>
        <v/>
      </c>
      <c r="V219" s="1" t="str">
        <f>IF(BaseCoalPlants!AE221=0,"",BaseCoalPlants!AE221)</f>
        <v/>
      </c>
    </row>
    <row r="220" spans="3:22" x14ac:dyDescent="0.35">
      <c r="C220" t="str">
        <f>IF(BaseCoalPlants!B222="VDA_FLOP",IF(BaseCoalPlants!D222="ELC","*","INPUT"),BaseCoalPlants!B222)</f>
        <v>EFF</v>
      </c>
      <c r="D220" t="str">
        <f>IF(BaseCoalPlants!C222="","\I:",BaseCoalPlants!C222&amp;"_LE")</f>
        <v>ECSTMRSOO_LE</v>
      </c>
      <c r="E220" t="str">
        <f>IF(BaseCoalPlants!D222="-","",BaseCoalPlants!D222)</f>
        <v/>
      </c>
      <c r="F220" t="str">
        <f>IF(BaseCoalPlants!E222="-","",BaseCoalPlants!E222)</f>
        <v/>
      </c>
      <c r="G220" t="str">
        <f>IF(BaseCoalPlants!F222="-","",BaseCoalPlants!F222)</f>
        <v>ANNUAL</v>
      </c>
      <c r="H220">
        <f>IF(BaseCoalPlants!G222="-","",BaseCoalPlants!G222)</f>
        <v>1971</v>
      </c>
      <c r="I220" t="str">
        <f>IF(BaseCoalPlants!H222="-","",BaseCoalPlants!H222)</f>
        <v/>
      </c>
      <c r="J220" t="str">
        <f>IF(BaseCoalPlants!I222="-","",BaseCoalPlants!I222)</f>
        <v/>
      </c>
      <c r="K220" t="str">
        <f>IF(BaseCoalPlants!J222="-","",BaseCoalPlants!J222)</f>
        <v/>
      </c>
      <c r="L220" t="str">
        <f>IF(BaseCoalPlants!K222="-","",BaseCoalPlants!K222)</f>
        <v/>
      </c>
      <c r="M220" s="1" t="str">
        <f>IF(BaseCoalPlants!L222=0,"",BaseCoalPlants!L222)</f>
        <v/>
      </c>
      <c r="N220" s="1" t="str">
        <f>IF(BaseCoalPlants!W222=0,"",BaseCoalPlants!W222)</f>
        <v/>
      </c>
      <c r="O220" s="1" t="str">
        <f>IF(BaseCoalPlants!X222=0,"",BaseCoalPlants!X222)</f>
        <v/>
      </c>
      <c r="P220" s="1" t="str">
        <f>IF(BaseCoalPlants!Y222=0,"",BaseCoalPlants!Y222)</f>
        <v/>
      </c>
      <c r="Q220" s="1">
        <f>IF(BaseCoalPlants!Z222=0,"",BaseCoalPlants!Z222)</f>
        <v>0.33379522258218047</v>
      </c>
      <c r="R220" s="1" t="str">
        <f>IF(BaseCoalPlants!AA222=0,"",BaseCoalPlants!AA222)</f>
        <v/>
      </c>
      <c r="S220" s="1" t="str">
        <f>IF(BaseCoalPlants!AB222=0,"",BaseCoalPlants!AB222)</f>
        <v/>
      </c>
      <c r="T220" s="1" t="str">
        <f>IF(BaseCoalPlants!AC222=0,"",BaseCoalPlants!AC222)</f>
        <v/>
      </c>
      <c r="U220" s="1" t="str">
        <f>IF(BaseCoalPlants!AD222=0,"",BaseCoalPlants!AD222)</f>
        <v/>
      </c>
      <c r="V220" s="1" t="str">
        <f>IF(BaseCoalPlants!AE222=0,"",BaseCoalPlants!AE222)</f>
        <v/>
      </c>
    </row>
    <row r="221" spans="3:22" x14ac:dyDescent="0.35">
      <c r="C221" t="str">
        <f>IF(BaseCoalPlants!B223="VDA_FLOP",IF(BaseCoalPlants!D223="ELC","*","INPUT"),BaseCoalPlants!B223)</f>
        <v>EFF</v>
      </c>
      <c r="D221" t="str">
        <f>IF(BaseCoalPlants!C223="","\I:",BaseCoalPlants!C223&amp;"_LE")</f>
        <v>ECSTMRSOO_LE</v>
      </c>
      <c r="E221" t="str">
        <f>IF(BaseCoalPlants!D223="-","",BaseCoalPlants!D223)</f>
        <v/>
      </c>
      <c r="F221" t="str">
        <f>IF(BaseCoalPlants!E223="-","",BaseCoalPlants!E223)</f>
        <v/>
      </c>
      <c r="G221" t="str">
        <f>IF(BaseCoalPlants!F223="-","",BaseCoalPlants!F223)</f>
        <v>ANNUAL</v>
      </c>
      <c r="H221">
        <f>IF(BaseCoalPlants!G223="-","",BaseCoalPlants!G223)</f>
        <v>1972</v>
      </c>
      <c r="I221" t="str">
        <f>IF(BaseCoalPlants!H223="-","",BaseCoalPlants!H223)</f>
        <v/>
      </c>
      <c r="J221" t="str">
        <f>IF(BaseCoalPlants!I223="-","",BaseCoalPlants!I223)</f>
        <v/>
      </c>
      <c r="K221" t="str">
        <f>IF(BaseCoalPlants!J223="-","",BaseCoalPlants!J223)</f>
        <v/>
      </c>
      <c r="L221" t="str">
        <f>IF(BaseCoalPlants!K223="-","",BaseCoalPlants!K223)</f>
        <v/>
      </c>
      <c r="M221" s="1" t="str">
        <f>IF(BaseCoalPlants!L223=0,"",BaseCoalPlants!L223)</f>
        <v/>
      </c>
      <c r="N221" s="1" t="str">
        <f>IF(BaseCoalPlants!W223=0,"",BaseCoalPlants!W223)</f>
        <v/>
      </c>
      <c r="O221" s="1" t="str">
        <f>IF(BaseCoalPlants!X223=0,"",BaseCoalPlants!X223)</f>
        <v/>
      </c>
      <c r="P221" s="1">
        <f>IF(BaseCoalPlants!Y223=0,"",BaseCoalPlants!Y223)</f>
        <v>0.29387542692080926</v>
      </c>
      <c r="Q221" s="1">
        <f>IF(BaseCoalPlants!Z223=0,"",BaseCoalPlants!Z223)</f>
        <v>0.33532738272779039</v>
      </c>
      <c r="R221" s="1" t="str">
        <f>IF(BaseCoalPlants!AA223=0,"",BaseCoalPlants!AA223)</f>
        <v/>
      </c>
      <c r="S221" s="1" t="str">
        <f>IF(BaseCoalPlants!AB223=0,"",BaseCoalPlants!AB223)</f>
        <v/>
      </c>
      <c r="T221" s="1" t="str">
        <f>IF(BaseCoalPlants!AC223=0,"",BaseCoalPlants!AC223)</f>
        <v/>
      </c>
      <c r="U221" s="1">
        <f>IF(BaseCoalPlants!AD223=0,"",BaseCoalPlants!AD223)</f>
        <v>0.29879330688986588</v>
      </c>
      <c r="V221" s="1" t="str">
        <f>IF(BaseCoalPlants!AE223=0,"",BaseCoalPlants!AE223)</f>
        <v/>
      </c>
    </row>
    <row r="222" spans="3:22" x14ac:dyDescent="0.35">
      <c r="C222" t="str">
        <f>IF(BaseCoalPlants!B224="VDA_FLOP",IF(BaseCoalPlants!D224="ELC","*","INPUT"),BaseCoalPlants!B224)</f>
        <v>EFF</v>
      </c>
      <c r="D222" t="str">
        <f>IF(BaseCoalPlants!C224="","\I:",BaseCoalPlants!C224&amp;"_LE")</f>
        <v>ECSTMRSOO_LE</v>
      </c>
      <c r="E222" t="str">
        <f>IF(BaseCoalPlants!D224="-","",BaseCoalPlants!D224)</f>
        <v/>
      </c>
      <c r="F222" t="str">
        <f>IF(BaseCoalPlants!E224="-","",BaseCoalPlants!E224)</f>
        <v/>
      </c>
      <c r="G222" t="str">
        <f>IF(BaseCoalPlants!F224="-","",BaseCoalPlants!F224)</f>
        <v>ANNUAL</v>
      </c>
      <c r="H222">
        <f>IF(BaseCoalPlants!G224="-","",BaseCoalPlants!G224)</f>
        <v>1973</v>
      </c>
      <c r="I222" t="str">
        <f>IF(BaseCoalPlants!H224="-","",BaseCoalPlants!H224)</f>
        <v/>
      </c>
      <c r="J222" t="str">
        <f>IF(BaseCoalPlants!I224="-","",BaseCoalPlants!I224)</f>
        <v/>
      </c>
      <c r="K222" t="str">
        <f>IF(BaseCoalPlants!J224="-","",BaseCoalPlants!J224)</f>
        <v/>
      </c>
      <c r="L222" t="str">
        <f>IF(BaseCoalPlants!K224="-","",BaseCoalPlants!K224)</f>
        <v/>
      </c>
      <c r="M222" s="1" t="str">
        <f>IF(BaseCoalPlants!L224=0,"",BaseCoalPlants!L224)</f>
        <v/>
      </c>
      <c r="N222" s="1" t="str">
        <f>IF(BaseCoalPlants!W224=0,"",BaseCoalPlants!W224)</f>
        <v/>
      </c>
      <c r="O222" s="1" t="str">
        <f>IF(BaseCoalPlants!X224=0,"",BaseCoalPlants!X224)</f>
        <v/>
      </c>
      <c r="P222" s="1" t="str">
        <f>IF(BaseCoalPlants!Y224=0,"",BaseCoalPlants!Y224)</f>
        <v/>
      </c>
      <c r="Q222" s="1">
        <f>IF(BaseCoalPlants!Z224=0,"",BaseCoalPlants!Z224)</f>
        <v>0.32830629105557085</v>
      </c>
      <c r="R222" s="1" t="str">
        <f>IF(BaseCoalPlants!AA224=0,"",BaseCoalPlants!AA224)</f>
        <v/>
      </c>
      <c r="S222" s="1" t="str">
        <f>IF(BaseCoalPlants!AB224=0,"",BaseCoalPlants!AB224)</f>
        <v/>
      </c>
      <c r="T222" s="1" t="str">
        <f>IF(BaseCoalPlants!AC224=0,"",BaseCoalPlants!AC224)</f>
        <v/>
      </c>
      <c r="U222" s="1" t="str">
        <f>IF(BaseCoalPlants!AD224=0,"",BaseCoalPlants!AD224)</f>
        <v/>
      </c>
      <c r="V222" s="1" t="str">
        <f>IF(BaseCoalPlants!AE224=0,"",BaseCoalPlants!AE224)</f>
        <v/>
      </c>
    </row>
    <row r="223" spans="3:22" x14ac:dyDescent="0.35">
      <c r="C223" t="str">
        <f>IF(BaseCoalPlants!B225="VDA_FLOP",IF(BaseCoalPlants!D225="ELC","*","INPUT"),BaseCoalPlants!B225)</f>
        <v>EFF</v>
      </c>
      <c r="D223" t="str">
        <f>IF(BaseCoalPlants!C225="","\I:",BaseCoalPlants!C225&amp;"_LE")</f>
        <v>ECSTMRSOO_LE</v>
      </c>
      <c r="E223" t="str">
        <f>IF(BaseCoalPlants!D225="-","",BaseCoalPlants!D225)</f>
        <v/>
      </c>
      <c r="F223" t="str">
        <f>IF(BaseCoalPlants!E225="-","",BaseCoalPlants!E225)</f>
        <v/>
      </c>
      <c r="G223" t="str">
        <f>IF(BaseCoalPlants!F225="-","",BaseCoalPlants!F225)</f>
        <v>ANNUAL</v>
      </c>
      <c r="H223">
        <f>IF(BaseCoalPlants!G225="-","",BaseCoalPlants!G225)</f>
        <v>1974</v>
      </c>
      <c r="I223" t="str">
        <f>IF(BaseCoalPlants!H225="-","",BaseCoalPlants!H225)</f>
        <v/>
      </c>
      <c r="J223" t="str">
        <f>IF(BaseCoalPlants!I225="-","",BaseCoalPlants!I225)</f>
        <v/>
      </c>
      <c r="K223" t="str">
        <f>IF(BaseCoalPlants!J225="-","",BaseCoalPlants!J225)</f>
        <v/>
      </c>
      <c r="L223" t="str">
        <f>IF(BaseCoalPlants!K225="-","",BaseCoalPlants!K225)</f>
        <v/>
      </c>
      <c r="M223" s="1" t="str">
        <f>IF(BaseCoalPlants!L225=0,"",BaseCoalPlants!L225)</f>
        <v/>
      </c>
      <c r="N223" s="1" t="str">
        <f>IF(BaseCoalPlants!W225=0,"",BaseCoalPlants!W225)</f>
        <v/>
      </c>
      <c r="O223" s="1" t="str">
        <f>IF(BaseCoalPlants!X225=0,"",BaseCoalPlants!X225)</f>
        <v/>
      </c>
      <c r="P223" s="1" t="str">
        <f>IF(BaseCoalPlants!Y225=0,"",BaseCoalPlants!Y225)</f>
        <v/>
      </c>
      <c r="Q223" s="1" t="str">
        <f>IF(BaseCoalPlants!Z225=0,"",BaseCoalPlants!Z225)</f>
        <v/>
      </c>
      <c r="R223" s="1" t="str">
        <f>IF(BaseCoalPlants!AA225=0,"",BaseCoalPlants!AA225)</f>
        <v/>
      </c>
      <c r="S223" s="1" t="str">
        <f>IF(BaseCoalPlants!AB225=0,"",BaseCoalPlants!AB225)</f>
        <v/>
      </c>
      <c r="T223" s="1">
        <f>IF(BaseCoalPlants!AC225=0,"",BaseCoalPlants!AC225)</f>
        <v>0.29718129219688416</v>
      </c>
      <c r="U223" s="1" t="str">
        <f>IF(BaseCoalPlants!AD225=0,"",BaseCoalPlants!AD225)</f>
        <v/>
      </c>
      <c r="V223" s="1" t="str">
        <f>IF(BaseCoalPlants!AE225=0,"",BaseCoalPlants!AE225)</f>
        <v/>
      </c>
    </row>
    <row r="224" spans="3:22" x14ac:dyDescent="0.35">
      <c r="C224" t="str">
        <f>IF(BaseCoalPlants!B226="VDA_FLOP",IF(BaseCoalPlants!D226="ELC","*","INPUT"),BaseCoalPlants!B226)</f>
        <v>EFF</v>
      </c>
      <c r="D224" t="str">
        <f>IF(BaseCoalPlants!C226="","\I:",BaseCoalPlants!C226&amp;"_LE")</f>
        <v>ECSTMRSOO_LE</v>
      </c>
      <c r="E224" t="str">
        <f>IF(BaseCoalPlants!D226="-","",BaseCoalPlants!D226)</f>
        <v/>
      </c>
      <c r="F224" t="str">
        <f>IF(BaseCoalPlants!E226="-","",BaseCoalPlants!E226)</f>
        <v/>
      </c>
      <c r="G224" t="str">
        <f>IF(BaseCoalPlants!F226="-","",BaseCoalPlants!F226)</f>
        <v>ANNUAL</v>
      </c>
      <c r="H224">
        <f>IF(BaseCoalPlants!G226="-","",BaseCoalPlants!G226)</f>
        <v>1975</v>
      </c>
      <c r="I224" t="str">
        <f>IF(BaseCoalPlants!H226="-","",BaseCoalPlants!H226)</f>
        <v/>
      </c>
      <c r="J224" t="str">
        <f>IF(BaseCoalPlants!I226="-","",BaseCoalPlants!I226)</f>
        <v/>
      </c>
      <c r="K224" t="str">
        <f>IF(BaseCoalPlants!J226="-","",BaseCoalPlants!J226)</f>
        <v/>
      </c>
      <c r="L224" t="str">
        <f>IF(BaseCoalPlants!K226="-","",BaseCoalPlants!K226)</f>
        <v/>
      </c>
      <c r="M224" s="1" t="str">
        <f>IF(BaseCoalPlants!L226=0,"",BaseCoalPlants!L226)</f>
        <v/>
      </c>
      <c r="N224" s="1" t="str">
        <f>IF(BaseCoalPlants!W226=0,"",BaseCoalPlants!W226)</f>
        <v/>
      </c>
      <c r="O224" s="1" t="str">
        <f>IF(BaseCoalPlants!X226=0,"",BaseCoalPlants!X226)</f>
        <v/>
      </c>
      <c r="P224" s="1" t="str">
        <f>IF(BaseCoalPlants!Y226=0,"",BaseCoalPlants!Y226)</f>
        <v/>
      </c>
      <c r="Q224" s="1">
        <f>IF(BaseCoalPlants!Z226=0,"",BaseCoalPlants!Z226)</f>
        <v>0.29897137755647135</v>
      </c>
      <c r="R224" s="1" t="str">
        <f>IF(BaseCoalPlants!AA226=0,"",BaseCoalPlants!AA226)</f>
        <v/>
      </c>
      <c r="S224" s="1" t="str">
        <f>IF(BaseCoalPlants!AB226=0,"",BaseCoalPlants!AB226)</f>
        <v/>
      </c>
      <c r="T224" s="1">
        <f>IF(BaseCoalPlants!AC226=0,"",BaseCoalPlants!AC226)</f>
        <v>0.30267295425355772</v>
      </c>
      <c r="U224" s="1" t="str">
        <f>IF(BaseCoalPlants!AD226=0,"",BaseCoalPlants!AD226)</f>
        <v/>
      </c>
      <c r="V224" s="1" t="str">
        <f>IF(BaseCoalPlants!AE226=0,"",BaseCoalPlants!AE226)</f>
        <v/>
      </c>
    </row>
    <row r="225" spans="3:22" x14ac:dyDescent="0.35">
      <c r="C225" t="str">
        <f>IF(BaseCoalPlants!B227="VDA_FLOP",IF(BaseCoalPlants!D227="ELC","*","INPUT"),BaseCoalPlants!B227)</f>
        <v>EFF</v>
      </c>
      <c r="D225" t="str">
        <f>IF(BaseCoalPlants!C227="","\I:",BaseCoalPlants!C227&amp;"_LE")</f>
        <v>ECSTMRSOO_LE</v>
      </c>
      <c r="E225" t="str">
        <f>IF(BaseCoalPlants!D227="-","",BaseCoalPlants!D227)</f>
        <v/>
      </c>
      <c r="F225" t="str">
        <f>IF(BaseCoalPlants!E227="-","",BaseCoalPlants!E227)</f>
        <v/>
      </c>
      <c r="G225" t="str">
        <f>IF(BaseCoalPlants!F227="-","",BaseCoalPlants!F227)</f>
        <v>ANNUAL</v>
      </c>
      <c r="H225">
        <f>IF(BaseCoalPlants!G227="-","",BaseCoalPlants!G227)</f>
        <v>1976</v>
      </c>
      <c r="I225" t="str">
        <f>IF(BaseCoalPlants!H227="-","",BaseCoalPlants!H227)</f>
        <v/>
      </c>
      <c r="J225" t="str">
        <f>IF(BaseCoalPlants!I227="-","",BaseCoalPlants!I227)</f>
        <v/>
      </c>
      <c r="K225" t="str">
        <f>IF(BaseCoalPlants!J227="-","",BaseCoalPlants!J227)</f>
        <v/>
      </c>
      <c r="L225" t="str">
        <f>IF(BaseCoalPlants!K227="-","",BaseCoalPlants!K227)</f>
        <v/>
      </c>
      <c r="M225" s="1" t="str">
        <f>IF(BaseCoalPlants!L227=0,"",BaseCoalPlants!L227)</f>
        <v/>
      </c>
      <c r="N225" s="1" t="str">
        <f>IF(BaseCoalPlants!W227=0,"",BaseCoalPlants!W227)</f>
        <v/>
      </c>
      <c r="O225" s="1" t="str">
        <f>IF(BaseCoalPlants!X227=0,"",BaseCoalPlants!X227)</f>
        <v/>
      </c>
      <c r="P225" s="1" t="str">
        <f>IF(BaseCoalPlants!Y227=0,"",BaseCoalPlants!Y227)</f>
        <v/>
      </c>
      <c r="Q225" s="1">
        <f>IF(BaseCoalPlants!Z227=0,"",BaseCoalPlants!Z227)</f>
        <v>0.33618938668783394</v>
      </c>
      <c r="R225" s="1" t="str">
        <f>IF(BaseCoalPlants!AA227=0,"",BaseCoalPlants!AA227)</f>
        <v/>
      </c>
      <c r="S225" s="1" t="str">
        <f>IF(BaseCoalPlants!AB227=0,"",BaseCoalPlants!AB227)</f>
        <v/>
      </c>
      <c r="T225" s="1" t="str">
        <f>IF(BaseCoalPlants!AC227=0,"",BaseCoalPlants!AC227)</f>
        <v/>
      </c>
      <c r="U225" s="1" t="str">
        <f>IF(BaseCoalPlants!AD227=0,"",BaseCoalPlants!AD227)</f>
        <v/>
      </c>
      <c r="V225" s="1" t="str">
        <f>IF(BaseCoalPlants!AE227=0,"",BaseCoalPlants!AE227)</f>
        <v/>
      </c>
    </row>
    <row r="226" spans="3:22" x14ac:dyDescent="0.35">
      <c r="C226" t="str">
        <f>IF(BaseCoalPlants!B228="VDA_FLOP",IF(BaseCoalPlants!D228="ELC","*","INPUT"),BaseCoalPlants!B228)</f>
        <v>EFF</v>
      </c>
      <c r="D226" t="str">
        <f>IF(BaseCoalPlants!C228="","\I:",BaseCoalPlants!C228&amp;"_LE")</f>
        <v>ECSTMRSOO_LE</v>
      </c>
      <c r="E226" t="str">
        <f>IF(BaseCoalPlants!D228="-","",BaseCoalPlants!D228)</f>
        <v/>
      </c>
      <c r="F226" t="str">
        <f>IF(BaseCoalPlants!E228="-","",BaseCoalPlants!E228)</f>
        <v/>
      </c>
      <c r="G226" t="str">
        <f>IF(BaseCoalPlants!F228="-","",BaseCoalPlants!F228)</f>
        <v>ANNUAL</v>
      </c>
      <c r="H226">
        <f>IF(BaseCoalPlants!G228="-","",BaseCoalPlants!G228)</f>
        <v>1977</v>
      </c>
      <c r="I226" t="str">
        <f>IF(BaseCoalPlants!H228="-","",BaseCoalPlants!H228)</f>
        <v/>
      </c>
      <c r="J226" t="str">
        <f>IF(BaseCoalPlants!I228="-","",BaseCoalPlants!I228)</f>
        <v/>
      </c>
      <c r="K226" t="str">
        <f>IF(BaseCoalPlants!J228="-","",BaseCoalPlants!J228)</f>
        <v/>
      </c>
      <c r="L226" t="str">
        <f>IF(BaseCoalPlants!K228="-","",BaseCoalPlants!K228)</f>
        <v/>
      </c>
      <c r="M226" s="1" t="str">
        <f>IF(BaseCoalPlants!L228=0,"",BaseCoalPlants!L228)</f>
        <v/>
      </c>
      <c r="N226" s="1" t="str">
        <f>IF(BaseCoalPlants!W228=0,"",BaseCoalPlants!W228)</f>
        <v/>
      </c>
      <c r="O226" s="1" t="str">
        <f>IF(BaseCoalPlants!X228=0,"",BaseCoalPlants!X228)</f>
        <v/>
      </c>
      <c r="P226" s="1">
        <f>IF(BaseCoalPlants!Y228=0,"",BaseCoalPlants!Y228)</f>
        <v>0.30655337674398814</v>
      </c>
      <c r="Q226" s="1">
        <f>IF(BaseCoalPlants!Z228=0,"",BaseCoalPlants!Z228)</f>
        <v>0.32014082762313983</v>
      </c>
      <c r="R226" s="1" t="str">
        <f>IF(BaseCoalPlants!AA228=0,"",BaseCoalPlants!AA228)</f>
        <v/>
      </c>
      <c r="S226" s="1" t="str">
        <f>IF(BaseCoalPlants!AB228=0,"",BaseCoalPlants!AB228)</f>
        <v/>
      </c>
      <c r="T226" s="1" t="str">
        <f>IF(BaseCoalPlants!AC228=0,"",BaseCoalPlants!AC228)</f>
        <v/>
      </c>
      <c r="U226" s="1" t="str">
        <f>IF(BaseCoalPlants!AD228=0,"",BaseCoalPlants!AD228)</f>
        <v/>
      </c>
      <c r="V226" s="1" t="str">
        <f>IF(BaseCoalPlants!AE228=0,"",BaseCoalPlants!AE228)</f>
        <v/>
      </c>
    </row>
    <row r="227" spans="3:22" x14ac:dyDescent="0.35">
      <c r="C227" t="str">
        <f>IF(BaseCoalPlants!B229="VDA_FLOP",IF(BaseCoalPlants!D229="ELC","*","INPUT"),BaseCoalPlants!B229)</f>
        <v>EFF</v>
      </c>
      <c r="D227" t="str">
        <f>IF(BaseCoalPlants!C229="","\I:",BaseCoalPlants!C229&amp;"_LE")</f>
        <v>ECSTMRSOO_LE</v>
      </c>
      <c r="E227" t="str">
        <f>IF(BaseCoalPlants!D229="-","",BaseCoalPlants!D229)</f>
        <v/>
      </c>
      <c r="F227" t="str">
        <f>IF(BaseCoalPlants!E229="-","",BaseCoalPlants!E229)</f>
        <v/>
      </c>
      <c r="G227" t="str">
        <f>IF(BaseCoalPlants!F229="-","",BaseCoalPlants!F229)</f>
        <v>ANNUAL</v>
      </c>
      <c r="H227">
        <f>IF(BaseCoalPlants!G229="-","",BaseCoalPlants!G229)</f>
        <v>1978</v>
      </c>
      <c r="I227" t="str">
        <f>IF(BaseCoalPlants!H229="-","",BaseCoalPlants!H229)</f>
        <v/>
      </c>
      <c r="J227" t="str">
        <f>IF(BaseCoalPlants!I229="-","",BaseCoalPlants!I229)</f>
        <v/>
      </c>
      <c r="K227" t="str">
        <f>IF(BaseCoalPlants!J229="-","",BaseCoalPlants!J229)</f>
        <v/>
      </c>
      <c r="L227" t="str">
        <f>IF(BaseCoalPlants!K229="-","",BaseCoalPlants!K229)</f>
        <v/>
      </c>
      <c r="M227" s="1" t="str">
        <f>IF(BaseCoalPlants!L229=0,"",BaseCoalPlants!L229)</f>
        <v/>
      </c>
      <c r="N227" s="1" t="str">
        <f>IF(BaseCoalPlants!W229=0,"",BaseCoalPlants!W229)</f>
        <v/>
      </c>
      <c r="O227" s="1" t="str">
        <f>IF(BaseCoalPlants!X229=0,"",BaseCoalPlants!X229)</f>
        <v/>
      </c>
      <c r="P227" s="1">
        <f>IF(BaseCoalPlants!Y229=0,"",BaseCoalPlants!Y229)</f>
        <v>0.29839947020279228</v>
      </c>
      <c r="Q227" s="1">
        <f>IF(BaseCoalPlants!Z229=0,"",BaseCoalPlants!Z229)</f>
        <v>0.29979220132573053</v>
      </c>
      <c r="R227" s="1" t="str">
        <f>IF(BaseCoalPlants!AA229=0,"",BaseCoalPlants!AA229)</f>
        <v/>
      </c>
      <c r="S227" s="1" t="str">
        <f>IF(BaseCoalPlants!AB229=0,"",BaseCoalPlants!AB229)</f>
        <v/>
      </c>
      <c r="T227" s="1">
        <f>IF(BaseCoalPlants!AC229=0,"",BaseCoalPlants!AC229)</f>
        <v>0.29128840333329692</v>
      </c>
      <c r="U227" s="1" t="str">
        <f>IF(BaseCoalPlants!AD229=0,"",BaseCoalPlants!AD229)</f>
        <v/>
      </c>
      <c r="V227" s="1" t="str">
        <f>IF(BaseCoalPlants!AE229=0,"",BaseCoalPlants!AE229)</f>
        <v/>
      </c>
    </row>
    <row r="228" spans="3:22" x14ac:dyDescent="0.35">
      <c r="C228" t="str">
        <f>IF(BaseCoalPlants!B230="VDA_FLOP",IF(BaseCoalPlants!D230="ELC","*","INPUT"),BaseCoalPlants!B230)</f>
        <v>EFF</v>
      </c>
      <c r="D228" t="str">
        <f>IF(BaseCoalPlants!C230="","\I:",BaseCoalPlants!C230&amp;"_LE")</f>
        <v>ECSTMRSOO_LE</v>
      </c>
      <c r="E228" t="str">
        <f>IF(BaseCoalPlants!D230="-","",BaseCoalPlants!D230)</f>
        <v/>
      </c>
      <c r="F228" t="str">
        <f>IF(BaseCoalPlants!E230="-","",BaseCoalPlants!E230)</f>
        <v/>
      </c>
      <c r="G228" t="str">
        <f>IF(BaseCoalPlants!F230="-","",BaseCoalPlants!F230)</f>
        <v>ANNUAL</v>
      </c>
      <c r="H228">
        <f>IF(BaseCoalPlants!G230="-","",BaseCoalPlants!G230)</f>
        <v>1979</v>
      </c>
      <c r="I228" t="str">
        <f>IF(BaseCoalPlants!H230="-","",BaseCoalPlants!H230)</f>
        <v/>
      </c>
      <c r="J228" t="str">
        <f>IF(BaseCoalPlants!I230="-","",BaseCoalPlants!I230)</f>
        <v/>
      </c>
      <c r="K228" t="str">
        <f>IF(BaseCoalPlants!J230="-","",BaseCoalPlants!J230)</f>
        <v/>
      </c>
      <c r="L228" t="str">
        <f>IF(BaseCoalPlants!K230="-","",BaseCoalPlants!K230)</f>
        <v/>
      </c>
      <c r="M228" s="1" t="str">
        <f>IF(BaseCoalPlants!L230=0,"",BaseCoalPlants!L230)</f>
        <v/>
      </c>
      <c r="N228" s="1" t="str">
        <f>IF(BaseCoalPlants!W230=0,"",BaseCoalPlants!W230)</f>
        <v/>
      </c>
      <c r="O228" s="1" t="str">
        <f>IF(BaseCoalPlants!X230=0,"",BaseCoalPlants!X230)</f>
        <v/>
      </c>
      <c r="P228" s="1" t="str">
        <f>IF(BaseCoalPlants!Y230=0,"",BaseCoalPlants!Y230)</f>
        <v/>
      </c>
      <c r="Q228" s="1">
        <f>IF(BaseCoalPlants!Z230=0,"",BaseCoalPlants!Z230)</f>
        <v>0.30560278447922784</v>
      </c>
      <c r="R228" s="1" t="str">
        <f>IF(BaseCoalPlants!AA230=0,"",BaseCoalPlants!AA230)</f>
        <v/>
      </c>
      <c r="S228" s="1" t="str">
        <f>IF(BaseCoalPlants!AB230=0,"",BaseCoalPlants!AB230)</f>
        <v/>
      </c>
      <c r="T228" s="1">
        <f>IF(BaseCoalPlants!AC230=0,"",BaseCoalPlants!AC230)</f>
        <v>0.32478974656813919</v>
      </c>
      <c r="U228" s="1" t="str">
        <f>IF(BaseCoalPlants!AD230=0,"",BaseCoalPlants!AD230)</f>
        <v/>
      </c>
      <c r="V228" s="1" t="str">
        <f>IF(BaseCoalPlants!AE230=0,"",BaseCoalPlants!AE230)</f>
        <v/>
      </c>
    </row>
    <row r="229" spans="3:22" x14ac:dyDescent="0.35">
      <c r="C229" t="str">
        <f>IF(BaseCoalPlants!B231="VDA_FLOP",IF(BaseCoalPlants!D231="ELC","*","INPUT"),BaseCoalPlants!B231)</f>
        <v>EFF</v>
      </c>
      <c r="D229" t="str">
        <f>IF(BaseCoalPlants!C231="","\I:",BaseCoalPlants!C231&amp;"_LE")</f>
        <v>ECSTMRSOO_LE</v>
      </c>
      <c r="E229" t="str">
        <f>IF(BaseCoalPlants!D231="-","",BaseCoalPlants!D231)</f>
        <v/>
      </c>
      <c r="F229" t="str">
        <f>IF(BaseCoalPlants!E231="-","",BaseCoalPlants!E231)</f>
        <v/>
      </c>
      <c r="G229" t="str">
        <f>IF(BaseCoalPlants!F231="-","",BaseCoalPlants!F231)</f>
        <v>ANNUAL</v>
      </c>
      <c r="H229">
        <f>IF(BaseCoalPlants!G231="-","",BaseCoalPlants!G231)</f>
        <v>1980</v>
      </c>
      <c r="I229" t="str">
        <f>IF(BaseCoalPlants!H231="-","",BaseCoalPlants!H231)</f>
        <v/>
      </c>
      <c r="J229" t="str">
        <f>IF(BaseCoalPlants!I231="-","",BaseCoalPlants!I231)</f>
        <v/>
      </c>
      <c r="K229" t="str">
        <f>IF(BaseCoalPlants!J231="-","",BaseCoalPlants!J231)</f>
        <v/>
      </c>
      <c r="L229" t="str">
        <f>IF(BaseCoalPlants!K231="-","",BaseCoalPlants!K231)</f>
        <v/>
      </c>
      <c r="M229" s="1" t="str">
        <f>IF(BaseCoalPlants!L231=0,"",BaseCoalPlants!L231)</f>
        <v/>
      </c>
      <c r="N229" s="1" t="str">
        <f>IF(BaseCoalPlants!W231=0,"",BaseCoalPlants!W231)</f>
        <v/>
      </c>
      <c r="O229" s="1" t="str">
        <f>IF(BaseCoalPlants!X231=0,"",BaseCoalPlants!X231)</f>
        <v/>
      </c>
      <c r="P229" s="1">
        <f>IF(BaseCoalPlants!Y231=0,"",BaseCoalPlants!Y231)</f>
        <v>0.34475156639510207</v>
      </c>
      <c r="Q229" s="1">
        <f>IF(BaseCoalPlants!Z231=0,"",BaseCoalPlants!Z231)</f>
        <v>0.30723210331644668</v>
      </c>
      <c r="R229" s="1" t="str">
        <f>IF(BaseCoalPlants!AA231=0,"",BaseCoalPlants!AA231)</f>
        <v/>
      </c>
      <c r="S229" s="1" t="str">
        <f>IF(BaseCoalPlants!AB231=0,"",BaseCoalPlants!AB231)</f>
        <v/>
      </c>
      <c r="T229" s="1">
        <f>IF(BaseCoalPlants!AC231=0,"",BaseCoalPlants!AC231)</f>
        <v>0.32715763346512128</v>
      </c>
      <c r="U229" s="1" t="str">
        <f>IF(BaseCoalPlants!AD231=0,"",BaseCoalPlants!AD231)</f>
        <v/>
      </c>
      <c r="V229" s="1" t="str">
        <f>IF(BaseCoalPlants!AE231=0,"",BaseCoalPlants!AE231)</f>
        <v/>
      </c>
    </row>
    <row r="230" spans="3:22" x14ac:dyDescent="0.35">
      <c r="C230" t="str">
        <f>IF(BaseCoalPlants!B232="VDA_FLOP",IF(BaseCoalPlants!D232="ELC","*","INPUT"),BaseCoalPlants!B232)</f>
        <v>EFF</v>
      </c>
      <c r="D230" t="str">
        <f>IF(BaseCoalPlants!C232="","\I:",BaseCoalPlants!C232&amp;"_LE")</f>
        <v>ECSTMRSOO_LE</v>
      </c>
      <c r="E230" t="str">
        <f>IF(BaseCoalPlants!D232="-","",BaseCoalPlants!D232)</f>
        <v/>
      </c>
      <c r="F230" t="str">
        <f>IF(BaseCoalPlants!E232="-","",BaseCoalPlants!E232)</f>
        <v/>
      </c>
      <c r="G230" t="str">
        <f>IF(BaseCoalPlants!F232="-","",BaseCoalPlants!F232)</f>
        <v>ANNUAL</v>
      </c>
      <c r="H230">
        <f>IF(BaseCoalPlants!G232="-","",BaseCoalPlants!G232)</f>
        <v>1981</v>
      </c>
      <c r="I230" t="str">
        <f>IF(BaseCoalPlants!H232="-","",BaseCoalPlants!H232)</f>
        <v/>
      </c>
      <c r="J230" t="str">
        <f>IF(BaseCoalPlants!I232="-","",BaseCoalPlants!I232)</f>
        <v/>
      </c>
      <c r="K230" t="str">
        <f>IF(BaseCoalPlants!J232="-","",BaseCoalPlants!J232)</f>
        <v/>
      </c>
      <c r="L230" t="str">
        <f>IF(BaseCoalPlants!K232="-","",BaseCoalPlants!K232)</f>
        <v/>
      </c>
      <c r="M230" s="1" t="str">
        <f>IF(BaseCoalPlants!L232=0,"",BaseCoalPlants!L232)</f>
        <v/>
      </c>
      <c r="N230" s="1" t="str">
        <f>IF(BaseCoalPlants!W232=0,"",BaseCoalPlants!W232)</f>
        <v/>
      </c>
      <c r="O230" s="1" t="str">
        <f>IF(BaseCoalPlants!X232=0,"",BaseCoalPlants!X232)</f>
        <v/>
      </c>
      <c r="P230" s="1">
        <f>IF(BaseCoalPlants!Y232=0,"",BaseCoalPlants!Y232)</f>
        <v>0.31946844001231295</v>
      </c>
      <c r="Q230" s="1">
        <f>IF(BaseCoalPlants!Z232=0,"",BaseCoalPlants!Z232)</f>
        <v>0.31586437025226621</v>
      </c>
      <c r="R230" s="1" t="str">
        <f>IF(BaseCoalPlants!AA232=0,"",BaseCoalPlants!AA232)</f>
        <v/>
      </c>
      <c r="S230" s="1" t="str">
        <f>IF(BaseCoalPlants!AB232=0,"",BaseCoalPlants!AB232)</f>
        <v/>
      </c>
      <c r="T230" s="1" t="str">
        <f>IF(BaseCoalPlants!AC232=0,"",BaseCoalPlants!AC232)</f>
        <v/>
      </c>
      <c r="U230" s="1" t="str">
        <f>IF(BaseCoalPlants!AD232=0,"",BaseCoalPlants!AD232)</f>
        <v/>
      </c>
      <c r="V230" s="1" t="str">
        <f>IF(BaseCoalPlants!AE232=0,"",BaseCoalPlants!AE232)</f>
        <v/>
      </c>
    </row>
    <row r="231" spans="3:22" x14ac:dyDescent="0.35">
      <c r="C231" t="str">
        <f>IF(BaseCoalPlants!B233="VDA_FLOP",IF(BaseCoalPlants!D233="ELC","*","INPUT"),BaseCoalPlants!B233)</f>
        <v>EFF</v>
      </c>
      <c r="D231" t="str">
        <f>IF(BaseCoalPlants!C233="","\I:",BaseCoalPlants!C233&amp;"_LE")</f>
        <v>ECSTMRSOO_LE</v>
      </c>
      <c r="E231" t="str">
        <f>IF(BaseCoalPlants!D233="-","",BaseCoalPlants!D233)</f>
        <v/>
      </c>
      <c r="F231" t="str">
        <f>IF(BaseCoalPlants!E233="-","",BaseCoalPlants!E233)</f>
        <v/>
      </c>
      <c r="G231" t="str">
        <f>IF(BaseCoalPlants!F233="-","",BaseCoalPlants!F233)</f>
        <v>ANNUAL</v>
      </c>
      <c r="H231">
        <f>IF(BaseCoalPlants!G233="-","",BaseCoalPlants!G233)</f>
        <v>1982</v>
      </c>
      <c r="I231" t="str">
        <f>IF(BaseCoalPlants!H233="-","",BaseCoalPlants!H233)</f>
        <v/>
      </c>
      <c r="J231" t="str">
        <f>IF(BaseCoalPlants!I233="-","",BaseCoalPlants!I233)</f>
        <v/>
      </c>
      <c r="K231" t="str">
        <f>IF(BaseCoalPlants!J233="-","",BaseCoalPlants!J233)</f>
        <v/>
      </c>
      <c r="L231" t="str">
        <f>IF(BaseCoalPlants!K233="-","",BaseCoalPlants!K233)</f>
        <v/>
      </c>
      <c r="M231" s="1" t="str">
        <f>IF(BaseCoalPlants!L233=0,"",BaseCoalPlants!L233)</f>
        <v/>
      </c>
      <c r="N231" s="1" t="str">
        <f>IF(BaseCoalPlants!W233=0,"",BaseCoalPlants!W233)</f>
        <v/>
      </c>
      <c r="O231" s="1" t="str">
        <f>IF(BaseCoalPlants!X233=0,"",BaseCoalPlants!X233)</f>
        <v/>
      </c>
      <c r="P231" s="1">
        <f>IF(BaseCoalPlants!Y233=0,"",BaseCoalPlants!Y233)</f>
        <v>0.31613871683905154</v>
      </c>
      <c r="Q231" s="1">
        <f>IF(BaseCoalPlants!Z233=0,"",BaseCoalPlants!Z233)</f>
        <v>0.30532600949093858</v>
      </c>
      <c r="R231" s="1" t="str">
        <f>IF(BaseCoalPlants!AA233=0,"",BaseCoalPlants!AA233)</f>
        <v/>
      </c>
      <c r="S231" s="1" t="str">
        <f>IF(BaseCoalPlants!AB233=0,"",BaseCoalPlants!AB233)</f>
        <v/>
      </c>
      <c r="T231" s="1" t="str">
        <f>IF(BaseCoalPlants!AC233=0,"",BaseCoalPlants!AC233)</f>
        <v/>
      </c>
      <c r="U231" s="1" t="str">
        <f>IF(BaseCoalPlants!AD233=0,"",BaseCoalPlants!AD233)</f>
        <v/>
      </c>
      <c r="V231" s="1" t="str">
        <f>IF(BaseCoalPlants!AE233=0,"",BaseCoalPlants!AE233)</f>
        <v/>
      </c>
    </row>
    <row r="232" spans="3:22" x14ac:dyDescent="0.35">
      <c r="C232" t="str">
        <f>IF(BaseCoalPlants!B234="VDA_FLOP",IF(BaseCoalPlants!D234="ELC","*","INPUT"),BaseCoalPlants!B234)</f>
        <v>EFF</v>
      </c>
      <c r="D232" t="str">
        <f>IF(BaseCoalPlants!C234="","\I:",BaseCoalPlants!C234&amp;"_LE")</f>
        <v>ECSTMRSOO_LE</v>
      </c>
      <c r="E232" t="str">
        <f>IF(BaseCoalPlants!D234="-","",BaseCoalPlants!D234)</f>
        <v/>
      </c>
      <c r="F232" t="str">
        <f>IF(BaseCoalPlants!E234="-","",BaseCoalPlants!E234)</f>
        <v/>
      </c>
      <c r="G232" t="str">
        <f>IF(BaseCoalPlants!F234="-","",BaseCoalPlants!F234)</f>
        <v>ANNUAL</v>
      </c>
      <c r="H232">
        <f>IF(BaseCoalPlants!G234="-","",BaseCoalPlants!G234)</f>
        <v>1983</v>
      </c>
      <c r="I232" t="str">
        <f>IF(BaseCoalPlants!H234="-","",BaseCoalPlants!H234)</f>
        <v/>
      </c>
      <c r="J232" t="str">
        <f>IF(BaseCoalPlants!I234="-","",BaseCoalPlants!I234)</f>
        <v/>
      </c>
      <c r="K232" t="str">
        <f>IF(BaseCoalPlants!J234="-","",BaseCoalPlants!J234)</f>
        <v/>
      </c>
      <c r="L232" t="str">
        <f>IF(BaseCoalPlants!K234="-","",BaseCoalPlants!K234)</f>
        <v/>
      </c>
      <c r="M232" s="1" t="str">
        <f>IF(BaseCoalPlants!L234=0,"",BaseCoalPlants!L234)</f>
        <v/>
      </c>
      <c r="N232" s="1" t="str">
        <f>IF(BaseCoalPlants!W234=0,"",BaseCoalPlants!W234)</f>
        <v/>
      </c>
      <c r="O232" s="1" t="str">
        <f>IF(BaseCoalPlants!X234=0,"",BaseCoalPlants!X234)</f>
        <v/>
      </c>
      <c r="P232" s="1" t="str">
        <f>IF(BaseCoalPlants!Y234=0,"",BaseCoalPlants!Y234)</f>
        <v/>
      </c>
      <c r="Q232" s="1">
        <f>IF(BaseCoalPlants!Z234=0,"",BaseCoalPlants!Z234)</f>
        <v>0.30501204691678369</v>
      </c>
      <c r="R232" s="1" t="str">
        <f>IF(BaseCoalPlants!AA234=0,"",BaseCoalPlants!AA234)</f>
        <v/>
      </c>
      <c r="S232" s="1" t="str">
        <f>IF(BaseCoalPlants!AB234=0,"",BaseCoalPlants!AB234)</f>
        <v/>
      </c>
      <c r="T232" s="1" t="str">
        <f>IF(BaseCoalPlants!AC234=0,"",BaseCoalPlants!AC234)</f>
        <v/>
      </c>
      <c r="U232" s="1" t="str">
        <f>IF(BaseCoalPlants!AD234=0,"",BaseCoalPlants!AD234)</f>
        <v/>
      </c>
      <c r="V232" s="1" t="str">
        <f>IF(BaseCoalPlants!AE234=0,"",BaseCoalPlants!AE234)</f>
        <v/>
      </c>
    </row>
    <row r="233" spans="3:22" x14ac:dyDescent="0.35">
      <c r="C233" t="str">
        <f>IF(BaseCoalPlants!B235="VDA_FLOP",IF(BaseCoalPlants!D235="ELC","*","INPUT"),BaseCoalPlants!B235)</f>
        <v>EFF</v>
      </c>
      <c r="D233" t="str">
        <f>IF(BaseCoalPlants!C235="","\I:",BaseCoalPlants!C235&amp;"_LE")</f>
        <v>ECSTMRSOO_LE</v>
      </c>
      <c r="E233" t="str">
        <f>IF(BaseCoalPlants!D235="-","",BaseCoalPlants!D235)</f>
        <v/>
      </c>
      <c r="F233" t="str">
        <f>IF(BaseCoalPlants!E235="-","",BaseCoalPlants!E235)</f>
        <v/>
      </c>
      <c r="G233" t="str">
        <f>IF(BaseCoalPlants!F235="-","",BaseCoalPlants!F235)</f>
        <v>ANNUAL</v>
      </c>
      <c r="H233">
        <f>IF(BaseCoalPlants!G235="-","",BaseCoalPlants!G235)</f>
        <v>1984</v>
      </c>
      <c r="I233" t="str">
        <f>IF(BaseCoalPlants!H235="-","",BaseCoalPlants!H235)</f>
        <v/>
      </c>
      <c r="J233" t="str">
        <f>IF(BaseCoalPlants!I235="-","",BaseCoalPlants!I235)</f>
        <v/>
      </c>
      <c r="K233" t="str">
        <f>IF(BaseCoalPlants!J235="-","",BaseCoalPlants!J235)</f>
        <v/>
      </c>
      <c r="L233" t="str">
        <f>IF(BaseCoalPlants!K235="-","",BaseCoalPlants!K235)</f>
        <v/>
      </c>
      <c r="M233" s="1" t="str">
        <f>IF(BaseCoalPlants!L235=0,"",BaseCoalPlants!L235)</f>
        <v/>
      </c>
      <c r="N233" s="1" t="str">
        <f>IF(BaseCoalPlants!W235=0,"",BaseCoalPlants!W235)</f>
        <v/>
      </c>
      <c r="O233" s="1" t="str">
        <f>IF(BaseCoalPlants!X235=0,"",BaseCoalPlants!X235)</f>
        <v/>
      </c>
      <c r="P233" s="1">
        <f>IF(BaseCoalPlants!Y235=0,"",BaseCoalPlants!Y235)</f>
        <v>0.33372344986616354</v>
      </c>
      <c r="Q233" s="1" t="str">
        <f>IF(BaseCoalPlants!Z235=0,"",BaseCoalPlants!Z235)</f>
        <v/>
      </c>
      <c r="R233" s="1" t="str">
        <f>IF(BaseCoalPlants!AA235=0,"",BaseCoalPlants!AA235)</f>
        <v/>
      </c>
      <c r="S233" s="1" t="str">
        <f>IF(BaseCoalPlants!AB235=0,"",BaseCoalPlants!AB235)</f>
        <v/>
      </c>
      <c r="T233" s="1" t="str">
        <f>IF(BaseCoalPlants!AC235=0,"",BaseCoalPlants!AC235)</f>
        <v/>
      </c>
      <c r="U233" s="1" t="str">
        <f>IF(BaseCoalPlants!AD235=0,"",BaseCoalPlants!AD235)</f>
        <v/>
      </c>
      <c r="V233" s="1" t="str">
        <f>IF(BaseCoalPlants!AE235=0,"",BaseCoalPlants!AE235)</f>
        <v/>
      </c>
    </row>
    <row r="234" spans="3:22" x14ac:dyDescent="0.35">
      <c r="C234" t="str">
        <f>IF(BaseCoalPlants!B236="VDA_FLOP",IF(BaseCoalPlants!D236="ELC","*","INPUT"),BaseCoalPlants!B236)</f>
        <v>EFF</v>
      </c>
      <c r="D234" t="str">
        <f>IF(BaseCoalPlants!C236="","\I:",BaseCoalPlants!C236&amp;"_LE")</f>
        <v>ECSTMRSOO_LE</v>
      </c>
      <c r="E234" t="str">
        <f>IF(BaseCoalPlants!D236="-","",BaseCoalPlants!D236)</f>
        <v/>
      </c>
      <c r="F234" t="str">
        <f>IF(BaseCoalPlants!E236="-","",BaseCoalPlants!E236)</f>
        <v/>
      </c>
      <c r="G234" t="str">
        <f>IF(BaseCoalPlants!F236="-","",BaseCoalPlants!F236)</f>
        <v>ANNUAL</v>
      </c>
      <c r="H234">
        <f>IF(BaseCoalPlants!G236="-","",BaseCoalPlants!G236)</f>
        <v>1985</v>
      </c>
      <c r="I234" t="str">
        <f>IF(BaseCoalPlants!H236="-","",BaseCoalPlants!H236)</f>
        <v/>
      </c>
      <c r="J234" t="str">
        <f>IF(BaseCoalPlants!I236="-","",BaseCoalPlants!I236)</f>
        <v/>
      </c>
      <c r="K234" t="str">
        <f>IF(BaseCoalPlants!J236="-","",BaseCoalPlants!J236)</f>
        <v/>
      </c>
      <c r="L234" t="str">
        <f>IF(BaseCoalPlants!K236="-","",BaseCoalPlants!K236)</f>
        <v/>
      </c>
      <c r="M234" s="1" t="str">
        <f>IF(BaseCoalPlants!L236=0,"",BaseCoalPlants!L236)</f>
        <v/>
      </c>
      <c r="N234" s="1" t="str">
        <f>IF(BaseCoalPlants!W236=0,"",BaseCoalPlants!W236)</f>
        <v/>
      </c>
      <c r="O234" s="1" t="str">
        <f>IF(BaseCoalPlants!X236=0,"",BaseCoalPlants!X236)</f>
        <v/>
      </c>
      <c r="P234" s="1">
        <f>IF(BaseCoalPlants!Y236=0,"",BaseCoalPlants!Y236)</f>
        <v>0.32109615554648924</v>
      </c>
      <c r="Q234" s="1" t="str">
        <f>IF(BaseCoalPlants!Z236=0,"",BaseCoalPlants!Z236)</f>
        <v/>
      </c>
      <c r="R234" s="1" t="str">
        <f>IF(BaseCoalPlants!AA236=0,"",BaseCoalPlants!AA236)</f>
        <v/>
      </c>
      <c r="S234" s="1" t="str">
        <f>IF(BaseCoalPlants!AB236=0,"",BaseCoalPlants!AB236)</f>
        <v/>
      </c>
      <c r="T234" s="1" t="str">
        <f>IF(BaseCoalPlants!AC236=0,"",BaseCoalPlants!AC236)</f>
        <v/>
      </c>
      <c r="U234" s="1" t="str">
        <f>IF(BaseCoalPlants!AD236=0,"",BaseCoalPlants!AD236)</f>
        <v/>
      </c>
      <c r="V234" s="1" t="str">
        <f>IF(BaseCoalPlants!AE236=0,"",BaseCoalPlants!AE236)</f>
        <v/>
      </c>
    </row>
    <row r="235" spans="3:22" x14ac:dyDescent="0.35">
      <c r="C235" t="str">
        <f>IF(BaseCoalPlants!B237="VDA_FLOP",IF(BaseCoalPlants!D237="ELC","*","INPUT"),BaseCoalPlants!B237)</f>
        <v>EFF</v>
      </c>
      <c r="D235" t="str">
        <f>IF(BaseCoalPlants!C237="","\I:",BaseCoalPlants!C237&amp;"_LE")</f>
        <v>ECSTMRSOO_LE</v>
      </c>
      <c r="E235" t="str">
        <f>IF(BaseCoalPlants!D237="-","",BaseCoalPlants!D237)</f>
        <v/>
      </c>
      <c r="F235" t="str">
        <f>IF(BaseCoalPlants!E237="-","",BaseCoalPlants!E237)</f>
        <v/>
      </c>
      <c r="G235" t="str">
        <f>IF(BaseCoalPlants!F237="-","",BaseCoalPlants!F237)</f>
        <v>ANNUAL</v>
      </c>
      <c r="H235">
        <f>IF(BaseCoalPlants!G237="-","",BaseCoalPlants!G237)</f>
        <v>1988</v>
      </c>
      <c r="I235" t="str">
        <f>IF(BaseCoalPlants!H237="-","",BaseCoalPlants!H237)</f>
        <v/>
      </c>
      <c r="J235" t="str">
        <f>IF(BaseCoalPlants!I237="-","",BaseCoalPlants!I237)</f>
        <v/>
      </c>
      <c r="K235" t="str">
        <f>IF(BaseCoalPlants!J237="-","",BaseCoalPlants!J237)</f>
        <v/>
      </c>
      <c r="L235" t="str">
        <f>IF(BaseCoalPlants!K237="-","",BaseCoalPlants!K237)</f>
        <v/>
      </c>
      <c r="M235" s="1" t="str">
        <f>IF(BaseCoalPlants!L237=0,"",BaseCoalPlants!L237)</f>
        <v/>
      </c>
      <c r="N235" s="1" t="str">
        <f>IF(BaseCoalPlants!W237=0,"",BaseCoalPlants!W237)</f>
        <v/>
      </c>
      <c r="O235" s="1" t="str">
        <f>IF(BaseCoalPlants!X237=0,"",BaseCoalPlants!X237)</f>
        <v/>
      </c>
      <c r="P235" s="1" t="str">
        <f>IF(BaseCoalPlants!Y237=0,"",BaseCoalPlants!Y237)</f>
        <v/>
      </c>
      <c r="Q235" s="1" t="str">
        <f>IF(BaseCoalPlants!Z237=0,"",BaseCoalPlants!Z237)</f>
        <v/>
      </c>
      <c r="R235" s="1" t="str">
        <f>IF(BaseCoalPlants!AA237=0,"",BaseCoalPlants!AA237)</f>
        <v/>
      </c>
      <c r="S235" s="1" t="str">
        <f>IF(BaseCoalPlants!AB237=0,"",BaseCoalPlants!AB237)</f>
        <v/>
      </c>
      <c r="T235" s="1">
        <f>IF(BaseCoalPlants!AC237=0,"",BaseCoalPlants!AC237)</f>
        <v>0.32389058571151391</v>
      </c>
      <c r="U235" s="1" t="str">
        <f>IF(BaseCoalPlants!AD237=0,"",BaseCoalPlants!AD237)</f>
        <v/>
      </c>
      <c r="V235" s="1" t="str">
        <f>IF(BaseCoalPlants!AE237=0,"",BaseCoalPlants!AE237)</f>
        <v/>
      </c>
    </row>
    <row r="236" spans="3:22" x14ac:dyDescent="0.35">
      <c r="C236" t="str">
        <f>IF(BaseCoalPlants!B238="VDA_FLOP",IF(BaseCoalPlants!D238="ELC","*","INPUT"),BaseCoalPlants!B238)</f>
        <v>EFF</v>
      </c>
      <c r="D236" t="str">
        <f>IF(BaseCoalPlants!C238="","\I:",BaseCoalPlants!C238&amp;"_LE")</f>
        <v>ECSTMRSOO_LE</v>
      </c>
      <c r="E236" t="str">
        <f>IF(BaseCoalPlants!D238="-","",BaseCoalPlants!D238)</f>
        <v/>
      </c>
      <c r="F236" t="str">
        <f>IF(BaseCoalPlants!E238="-","",BaseCoalPlants!E238)</f>
        <v/>
      </c>
      <c r="G236" t="str">
        <f>IF(BaseCoalPlants!F238="-","",BaseCoalPlants!F238)</f>
        <v>ANNUAL</v>
      </c>
      <c r="H236">
        <f>IF(BaseCoalPlants!G238="-","",BaseCoalPlants!G238)</f>
        <v>1992</v>
      </c>
      <c r="I236" t="str">
        <f>IF(BaseCoalPlants!H238="-","",BaseCoalPlants!H238)</f>
        <v/>
      </c>
      <c r="J236" t="str">
        <f>IF(BaseCoalPlants!I238="-","",BaseCoalPlants!I238)</f>
        <v/>
      </c>
      <c r="K236" t="str">
        <f>IF(BaseCoalPlants!J238="-","",BaseCoalPlants!J238)</f>
        <v/>
      </c>
      <c r="L236" t="str">
        <f>IF(BaseCoalPlants!K238="-","",BaseCoalPlants!K238)</f>
        <v/>
      </c>
      <c r="M236" s="1" t="str">
        <f>IF(BaseCoalPlants!L238=0,"",BaseCoalPlants!L238)</f>
        <v/>
      </c>
      <c r="N236" s="1" t="str">
        <f>IF(BaseCoalPlants!W238=0,"",BaseCoalPlants!W238)</f>
        <v/>
      </c>
      <c r="O236" s="1" t="str">
        <f>IF(BaseCoalPlants!X238=0,"",BaseCoalPlants!X238)</f>
        <v/>
      </c>
      <c r="P236" s="1" t="str">
        <f>IF(BaseCoalPlants!Y238=0,"",BaseCoalPlants!Y238)</f>
        <v/>
      </c>
      <c r="Q236" s="1" t="str">
        <f>IF(BaseCoalPlants!Z238=0,"",BaseCoalPlants!Z238)</f>
        <v/>
      </c>
      <c r="R236" s="1" t="str">
        <f>IF(BaseCoalPlants!AA238=0,"",BaseCoalPlants!AA238)</f>
        <v/>
      </c>
      <c r="S236" s="1" t="str">
        <f>IF(BaseCoalPlants!AB238=0,"",BaseCoalPlants!AB238)</f>
        <v/>
      </c>
      <c r="T236" s="1">
        <f>IF(BaseCoalPlants!AC238=0,"",BaseCoalPlants!AC238)</f>
        <v>0.29758624490245822</v>
      </c>
      <c r="U236" s="1" t="str">
        <f>IF(BaseCoalPlants!AD238=0,"",BaseCoalPlants!AD238)</f>
        <v/>
      </c>
      <c r="V236" s="1" t="str">
        <f>IF(BaseCoalPlants!AE238=0,"",BaseCoalPlants!AE238)</f>
        <v/>
      </c>
    </row>
    <row r="237" spans="3:22" x14ac:dyDescent="0.35">
      <c r="C237" t="str">
        <f>IF(BaseCoalPlants!B239="VDA_FLOP",IF(BaseCoalPlants!D239="ELC","*","INPUT"),BaseCoalPlants!B239)</f>
        <v>EFF</v>
      </c>
      <c r="D237" t="str">
        <f>IF(BaseCoalPlants!C239="","\I:",BaseCoalPlants!C239&amp;"_LE")</f>
        <v>ECSTMRSOO_LE</v>
      </c>
      <c r="E237" t="str">
        <f>IF(BaseCoalPlants!D239="-","",BaseCoalPlants!D239)</f>
        <v/>
      </c>
      <c r="F237" t="str">
        <f>IF(BaseCoalPlants!E239="-","",BaseCoalPlants!E239)</f>
        <v/>
      </c>
      <c r="G237" t="str">
        <f>IF(BaseCoalPlants!F239="-","",BaseCoalPlants!F239)</f>
        <v>ANNUAL</v>
      </c>
      <c r="H237">
        <f>IF(BaseCoalPlants!G239="-","",BaseCoalPlants!G239)</f>
        <v>2001</v>
      </c>
      <c r="I237" t="str">
        <f>IF(BaseCoalPlants!H239="-","",BaseCoalPlants!H239)</f>
        <v/>
      </c>
      <c r="J237" t="str">
        <f>IF(BaseCoalPlants!I239="-","",BaseCoalPlants!I239)</f>
        <v/>
      </c>
      <c r="K237" t="str">
        <f>IF(BaseCoalPlants!J239="-","",BaseCoalPlants!J239)</f>
        <v/>
      </c>
      <c r="L237" t="str">
        <f>IF(BaseCoalPlants!K239="-","",BaseCoalPlants!K239)</f>
        <v/>
      </c>
      <c r="M237" s="1" t="str">
        <f>IF(BaseCoalPlants!L239=0,"",BaseCoalPlants!L239)</f>
        <v/>
      </c>
      <c r="N237" s="1" t="str">
        <f>IF(BaseCoalPlants!W239=0,"",BaseCoalPlants!W239)</f>
        <v/>
      </c>
      <c r="O237" s="1" t="str">
        <f>IF(BaseCoalPlants!X239=0,"",BaseCoalPlants!X239)</f>
        <v/>
      </c>
      <c r="P237" s="1" t="str">
        <f>IF(BaseCoalPlants!Y239=0,"",BaseCoalPlants!Y239)</f>
        <v/>
      </c>
      <c r="Q237" s="1">
        <f>IF(BaseCoalPlants!Z239=0,"",BaseCoalPlants!Z239)</f>
        <v>0.29264153867127551</v>
      </c>
      <c r="R237" s="1" t="str">
        <f>IF(BaseCoalPlants!AA239=0,"",BaseCoalPlants!AA239)</f>
        <v/>
      </c>
      <c r="S237" s="1" t="str">
        <f>IF(BaseCoalPlants!AB239=0,"",BaseCoalPlants!AB239)</f>
        <v/>
      </c>
      <c r="T237" s="1" t="str">
        <f>IF(BaseCoalPlants!AC239=0,"",BaseCoalPlants!AC239)</f>
        <v/>
      </c>
      <c r="U237" s="1" t="str">
        <f>IF(BaseCoalPlants!AD239=0,"",BaseCoalPlants!AD239)</f>
        <v/>
      </c>
      <c r="V237" s="1" t="str">
        <f>IF(BaseCoalPlants!AE239=0,"",BaseCoalPlants!AE239)</f>
        <v/>
      </c>
    </row>
    <row r="238" spans="3:22" x14ac:dyDescent="0.35">
      <c r="C238" t="str">
        <f>IF(BaseCoalPlants!B240="VDA_FLOP",IF(BaseCoalPlants!D240="ELC","*","INPUT"),BaseCoalPlants!B240)</f>
        <v>EFF</v>
      </c>
      <c r="D238" t="str">
        <f>IF(BaseCoalPlants!C240="","\I:",BaseCoalPlants!C240&amp;"_LE")</f>
        <v>ECSTMRSOR_LE</v>
      </c>
      <c r="E238" t="str">
        <f>IF(BaseCoalPlants!D240="-","",BaseCoalPlants!D240)</f>
        <v/>
      </c>
      <c r="F238" t="str">
        <f>IF(BaseCoalPlants!E240="-","",BaseCoalPlants!E240)</f>
        <v/>
      </c>
      <c r="G238" t="str">
        <f>IF(BaseCoalPlants!F240="-","",BaseCoalPlants!F240)</f>
        <v>ANNUAL</v>
      </c>
      <c r="H238">
        <f>IF(BaseCoalPlants!G240="-","",BaseCoalPlants!G240)</f>
        <v>1955</v>
      </c>
      <c r="I238" t="str">
        <f>IF(BaseCoalPlants!H240="-","",BaseCoalPlants!H240)</f>
        <v/>
      </c>
      <c r="J238" t="str">
        <f>IF(BaseCoalPlants!I240="-","",BaseCoalPlants!I240)</f>
        <v/>
      </c>
      <c r="K238" t="str">
        <f>IF(BaseCoalPlants!J240="-","",BaseCoalPlants!J240)</f>
        <v/>
      </c>
      <c r="L238" t="str">
        <f>IF(BaseCoalPlants!K240="-","",BaseCoalPlants!K240)</f>
        <v/>
      </c>
      <c r="M238" s="1" t="str">
        <f>IF(BaseCoalPlants!L240=0,"",BaseCoalPlants!L240)</f>
        <v/>
      </c>
      <c r="N238" s="1" t="str">
        <f>IF(BaseCoalPlants!W240=0,"",BaseCoalPlants!W240)</f>
        <v/>
      </c>
      <c r="O238" s="1" t="str">
        <f>IF(BaseCoalPlants!X240=0,"",BaseCoalPlants!X240)</f>
        <v/>
      </c>
      <c r="P238" s="1" t="str">
        <f>IF(BaseCoalPlants!Y240=0,"",BaseCoalPlants!Y240)</f>
        <v/>
      </c>
      <c r="Q238" s="1" t="str">
        <f>IF(BaseCoalPlants!Z240=0,"",BaseCoalPlants!Z240)</f>
        <v/>
      </c>
      <c r="R238" s="1" t="str">
        <f>IF(BaseCoalPlants!AA240=0,"",BaseCoalPlants!AA240)</f>
        <v/>
      </c>
      <c r="S238" s="1" t="str">
        <f>IF(BaseCoalPlants!AB240=0,"",BaseCoalPlants!AB240)</f>
        <v/>
      </c>
      <c r="T238" s="1" t="str">
        <f>IF(BaseCoalPlants!AC240=0,"",BaseCoalPlants!AC240)</f>
        <v/>
      </c>
      <c r="U238" s="1">
        <f>IF(BaseCoalPlants!AD240=0,"",BaseCoalPlants!AD240)</f>
        <v>0.29115895332737179</v>
      </c>
      <c r="V238" s="1" t="str">
        <f>IF(BaseCoalPlants!AE240=0,"",BaseCoalPlants!AE240)</f>
        <v/>
      </c>
    </row>
    <row r="239" spans="3:22" x14ac:dyDescent="0.35">
      <c r="C239" t="str">
        <f>IF(BaseCoalPlants!B241="VDA_FLOP",IF(BaseCoalPlants!D241="ELC","*","INPUT"),BaseCoalPlants!B241)</f>
        <v>EFF</v>
      </c>
      <c r="D239" t="str">
        <f>IF(BaseCoalPlants!C241="","\I:",BaseCoalPlants!C241&amp;"_LE")</f>
        <v>ECSTMRSOR_LE</v>
      </c>
      <c r="E239" t="str">
        <f>IF(BaseCoalPlants!D241="-","",BaseCoalPlants!D241)</f>
        <v/>
      </c>
      <c r="F239" t="str">
        <f>IF(BaseCoalPlants!E241="-","",BaseCoalPlants!E241)</f>
        <v/>
      </c>
      <c r="G239" t="str">
        <f>IF(BaseCoalPlants!F241="-","",BaseCoalPlants!F241)</f>
        <v>ANNUAL</v>
      </c>
      <c r="H239">
        <f>IF(BaseCoalPlants!G241="-","",BaseCoalPlants!G241)</f>
        <v>1960</v>
      </c>
      <c r="I239" t="str">
        <f>IF(BaseCoalPlants!H241="-","",BaseCoalPlants!H241)</f>
        <v/>
      </c>
      <c r="J239" t="str">
        <f>IF(BaseCoalPlants!I241="-","",BaseCoalPlants!I241)</f>
        <v/>
      </c>
      <c r="K239" t="str">
        <f>IF(BaseCoalPlants!J241="-","",BaseCoalPlants!J241)</f>
        <v/>
      </c>
      <c r="L239" t="str">
        <f>IF(BaseCoalPlants!K241="-","",BaseCoalPlants!K241)</f>
        <v/>
      </c>
      <c r="M239" s="1" t="str">
        <f>IF(BaseCoalPlants!L241=0,"",BaseCoalPlants!L241)</f>
        <v/>
      </c>
      <c r="N239" s="1" t="str">
        <f>IF(BaseCoalPlants!W241=0,"",BaseCoalPlants!W241)</f>
        <v/>
      </c>
      <c r="O239" s="1" t="str">
        <f>IF(BaseCoalPlants!X241=0,"",BaseCoalPlants!X241)</f>
        <v/>
      </c>
      <c r="P239" s="1" t="str">
        <f>IF(BaseCoalPlants!Y241=0,"",BaseCoalPlants!Y241)</f>
        <v/>
      </c>
      <c r="Q239" s="1">
        <f>IF(BaseCoalPlants!Z241=0,"",BaseCoalPlants!Z241)</f>
        <v>0.28535099162772287</v>
      </c>
      <c r="R239" s="1" t="str">
        <f>IF(BaseCoalPlants!AA241=0,"",BaseCoalPlants!AA241)</f>
        <v/>
      </c>
      <c r="S239" s="1" t="str">
        <f>IF(BaseCoalPlants!AB241=0,"",BaseCoalPlants!AB241)</f>
        <v/>
      </c>
      <c r="T239" s="1" t="str">
        <f>IF(BaseCoalPlants!AC241=0,"",BaseCoalPlants!AC241)</f>
        <v/>
      </c>
      <c r="U239" s="1" t="str">
        <f>IF(BaseCoalPlants!AD241=0,"",BaseCoalPlants!AD241)</f>
        <v/>
      </c>
      <c r="V239" s="1" t="str">
        <f>IF(BaseCoalPlants!AE241=0,"",BaseCoalPlants!AE241)</f>
        <v/>
      </c>
    </row>
    <row r="240" spans="3:22" x14ac:dyDescent="0.35">
      <c r="C240" t="str">
        <f>IF(BaseCoalPlants!B242="VDA_FLOP",IF(BaseCoalPlants!D242="ELC","*","INPUT"),BaseCoalPlants!B242)</f>
        <v>EFF</v>
      </c>
      <c r="D240" t="str">
        <f>IF(BaseCoalPlants!C242="","\I:",BaseCoalPlants!C242&amp;"_LE")</f>
        <v>ECSTMRSOR_LE</v>
      </c>
      <c r="E240" t="str">
        <f>IF(BaseCoalPlants!D242="-","",BaseCoalPlants!D242)</f>
        <v/>
      </c>
      <c r="F240" t="str">
        <f>IF(BaseCoalPlants!E242="-","",BaseCoalPlants!E242)</f>
        <v/>
      </c>
      <c r="G240" t="str">
        <f>IF(BaseCoalPlants!F242="-","",BaseCoalPlants!F242)</f>
        <v>ANNUAL</v>
      </c>
      <c r="H240">
        <f>IF(BaseCoalPlants!G242="-","",BaseCoalPlants!G242)</f>
        <v>1961</v>
      </c>
      <c r="I240" t="str">
        <f>IF(BaseCoalPlants!H242="-","",BaseCoalPlants!H242)</f>
        <v/>
      </c>
      <c r="J240" t="str">
        <f>IF(BaseCoalPlants!I242="-","",BaseCoalPlants!I242)</f>
        <v/>
      </c>
      <c r="K240" t="str">
        <f>IF(BaseCoalPlants!J242="-","",BaseCoalPlants!J242)</f>
        <v/>
      </c>
      <c r="L240" t="str">
        <f>IF(BaseCoalPlants!K242="-","",BaseCoalPlants!K242)</f>
        <v/>
      </c>
      <c r="M240" s="1" t="str">
        <f>IF(BaseCoalPlants!L242=0,"",BaseCoalPlants!L242)</f>
        <v/>
      </c>
      <c r="N240" s="1" t="str">
        <f>IF(BaseCoalPlants!W242=0,"",BaseCoalPlants!W242)</f>
        <v/>
      </c>
      <c r="O240" s="1" t="str">
        <f>IF(BaseCoalPlants!X242=0,"",BaseCoalPlants!X242)</f>
        <v/>
      </c>
      <c r="P240" s="1" t="str">
        <f>IF(BaseCoalPlants!Y242=0,"",BaseCoalPlants!Y242)</f>
        <v/>
      </c>
      <c r="Q240" s="1">
        <f>IF(BaseCoalPlants!Z242=0,"",BaseCoalPlants!Z242)</f>
        <v>0.26559343148096737</v>
      </c>
      <c r="R240" s="1" t="str">
        <f>IF(BaseCoalPlants!AA242=0,"",BaseCoalPlants!AA242)</f>
        <v/>
      </c>
      <c r="S240" s="1" t="str">
        <f>IF(BaseCoalPlants!AB242=0,"",BaseCoalPlants!AB242)</f>
        <v/>
      </c>
      <c r="T240" s="1" t="str">
        <f>IF(BaseCoalPlants!AC242=0,"",BaseCoalPlants!AC242)</f>
        <v/>
      </c>
      <c r="U240" s="1" t="str">
        <f>IF(BaseCoalPlants!AD242=0,"",BaseCoalPlants!AD242)</f>
        <v/>
      </c>
      <c r="V240" s="1" t="str">
        <f>IF(BaseCoalPlants!AE242=0,"",BaseCoalPlants!AE242)</f>
        <v/>
      </c>
    </row>
    <row r="241" spans="3:22" x14ac:dyDescent="0.35">
      <c r="C241" t="str">
        <f>IF(BaseCoalPlants!B243="VDA_FLOP",IF(BaseCoalPlants!D243="ELC","*","INPUT"),BaseCoalPlants!B243)</f>
        <v>EFF</v>
      </c>
      <c r="D241" t="str">
        <f>IF(BaseCoalPlants!C243="","\I:",BaseCoalPlants!C243&amp;"_LE")</f>
        <v>ECSTMRSOR_LE</v>
      </c>
      <c r="E241" t="str">
        <f>IF(BaseCoalPlants!D243="-","",BaseCoalPlants!D243)</f>
        <v/>
      </c>
      <c r="F241" t="str">
        <f>IF(BaseCoalPlants!E243="-","",BaseCoalPlants!E243)</f>
        <v/>
      </c>
      <c r="G241" t="str">
        <f>IF(BaseCoalPlants!F243="-","",BaseCoalPlants!F243)</f>
        <v>ANNUAL</v>
      </c>
      <c r="H241">
        <f>IF(BaseCoalPlants!G243="-","",BaseCoalPlants!G243)</f>
        <v>1962</v>
      </c>
      <c r="I241" t="str">
        <f>IF(BaseCoalPlants!H243="-","",BaseCoalPlants!H243)</f>
        <v/>
      </c>
      <c r="J241" t="str">
        <f>IF(BaseCoalPlants!I243="-","",BaseCoalPlants!I243)</f>
        <v/>
      </c>
      <c r="K241" t="str">
        <f>IF(BaseCoalPlants!J243="-","",BaseCoalPlants!J243)</f>
        <v/>
      </c>
      <c r="L241" t="str">
        <f>IF(BaseCoalPlants!K243="-","",BaseCoalPlants!K243)</f>
        <v/>
      </c>
      <c r="M241" s="1" t="str">
        <f>IF(BaseCoalPlants!L243=0,"",BaseCoalPlants!L243)</f>
        <v/>
      </c>
      <c r="N241" s="1" t="str">
        <f>IF(BaseCoalPlants!W243=0,"",BaseCoalPlants!W243)</f>
        <v/>
      </c>
      <c r="O241" s="1" t="str">
        <f>IF(BaseCoalPlants!X243=0,"",BaseCoalPlants!X243)</f>
        <v/>
      </c>
      <c r="P241" s="1" t="str">
        <f>IF(BaseCoalPlants!Y243=0,"",BaseCoalPlants!Y243)</f>
        <v/>
      </c>
      <c r="Q241" s="1">
        <f>IF(BaseCoalPlants!Z243=0,"",BaseCoalPlants!Z243)</f>
        <v>0.30575222922216283</v>
      </c>
      <c r="R241" s="1" t="str">
        <f>IF(BaseCoalPlants!AA243=0,"",BaseCoalPlants!AA243)</f>
        <v/>
      </c>
      <c r="S241" s="1" t="str">
        <f>IF(BaseCoalPlants!AB243=0,"",BaseCoalPlants!AB243)</f>
        <v/>
      </c>
      <c r="T241" s="1" t="str">
        <f>IF(BaseCoalPlants!AC243=0,"",BaseCoalPlants!AC243)</f>
        <v/>
      </c>
      <c r="U241" s="1">
        <f>IF(BaseCoalPlants!AD243=0,"",BaseCoalPlants!AD243)</f>
        <v>0.29878049834788895</v>
      </c>
      <c r="V241" s="1" t="str">
        <f>IF(BaseCoalPlants!AE243=0,"",BaseCoalPlants!AE243)</f>
        <v/>
      </c>
    </row>
    <row r="242" spans="3:22" x14ac:dyDescent="0.35">
      <c r="C242" t="str">
        <f>IF(BaseCoalPlants!B244="VDA_FLOP",IF(BaseCoalPlants!D244="ELC","*","INPUT"),BaseCoalPlants!B244)</f>
        <v>EFF</v>
      </c>
      <c r="D242" t="str">
        <f>IF(BaseCoalPlants!C244="","\I:",BaseCoalPlants!C244&amp;"_LE")</f>
        <v>ECSTMRSOR_LE</v>
      </c>
      <c r="E242" t="str">
        <f>IF(BaseCoalPlants!D244="-","",BaseCoalPlants!D244)</f>
        <v/>
      </c>
      <c r="F242" t="str">
        <f>IF(BaseCoalPlants!E244="-","",BaseCoalPlants!E244)</f>
        <v/>
      </c>
      <c r="G242" t="str">
        <f>IF(BaseCoalPlants!F244="-","",BaseCoalPlants!F244)</f>
        <v>ANNUAL</v>
      </c>
      <c r="H242">
        <f>IF(BaseCoalPlants!G244="-","",BaseCoalPlants!G244)</f>
        <v>1963</v>
      </c>
      <c r="I242" t="str">
        <f>IF(BaseCoalPlants!H244="-","",BaseCoalPlants!H244)</f>
        <v/>
      </c>
      <c r="J242" t="str">
        <f>IF(BaseCoalPlants!I244="-","",BaseCoalPlants!I244)</f>
        <v/>
      </c>
      <c r="K242" t="str">
        <f>IF(BaseCoalPlants!J244="-","",BaseCoalPlants!J244)</f>
        <v/>
      </c>
      <c r="L242" t="str">
        <f>IF(BaseCoalPlants!K244="-","",BaseCoalPlants!K244)</f>
        <v/>
      </c>
      <c r="M242" s="1" t="str">
        <f>IF(BaseCoalPlants!L244=0,"",BaseCoalPlants!L244)</f>
        <v/>
      </c>
      <c r="N242" s="1" t="str">
        <f>IF(BaseCoalPlants!W244=0,"",BaseCoalPlants!W244)</f>
        <v/>
      </c>
      <c r="O242" s="1" t="str">
        <f>IF(BaseCoalPlants!X244=0,"",BaseCoalPlants!X244)</f>
        <v/>
      </c>
      <c r="P242" s="1" t="str">
        <f>IF(BaseCoalPlants!Y244=0,"",BaseCoalPlants!Y244)</f>
        <v/>
      </c>
      <c r="Q242" s="1" t="str">
        <f>IF(BaseCoalPlants!Z244=0,"",BaseCoalPlants!Z244)</f>
        <v/>
      </c>
      <c r="R242" s="1" t="str">
        <f>IF(BaseCoalPlants!AA244=0,"",BaseCoalPlants!AA244)</f>
        <v/>
      </c>
      <c r="S242" s="1" t="str">
        <f>IF(BaseCoalPlants!AB244=0,"",BaseCoalPlants!AB244)</f>
        <v/>
      </c>
      <c r="T242" s="1" t="str">
        <f>IF(BaseCoalPlants!AC244=0,"",BaseCoalPlants!AC244)</f>
        <v/>
      </c>
      <c r="U242" s="1">
        <f>IF(BaseCoalPlants!AD244=0,"",BaseCoalPlants!AD244)</f>
        <v>0.30781058972122372</v>
      </c>
      <c r="V242" s="1" t="str">
        <f>IF(BaseCoalPlants!AE244=0,"",BaseCoalPlants!AE244)</f>
        <v/>
      </c>
    </row>
    <row r="243" spans="3:22" x14ac:dyDescent="0.35">
      <c r="C243" t="str">
        <f>IF(BaseCoalPlants!B245="VDA_FLOP",IF(BaseCoalPlants!D245="ELC","*","INPUT"),BaseCoalPlants!B245)</f>
        <v>EFF</v>
      </c>
      <c r="D243" t="str">
        <f>IF(BaseCoalPlants!C245="","\I:",BaseCoalPlants!C245&amp;"_LE")</f>
        <v>ECSTMRSOR_LE</v>
      </c>
      <c r="E243" t="str">
        <f>IF(BaseCoalPlants!D245="-","",BaseCoalPlants!D245)</f>
        <v/>
      </c>
      <c r="F243" t="str">
        <f>IF(BaseCoalPlants!E245="-","",BaseCoalPlants!E245)</f>
        <v/>
      </c>
      <c r="G243" t="str">
        <f>IF(BaseCoalPlants!F245="-","",BaseCoalPlants!F245)</f>
        <v>ANNUAL</v>
      </c>
      <c r="H243">
        <f>IF(BaseCoalPlants!G245="-","",BaseCoalPlants!G245)</f>
        <v>1964</v>
      </c>
      <c r="I243" t="str">
        <f>IF(BaseCoalPlants!H245="-","",BaseCoalPlants!H245)</f>
        <v/>
      </c>
      <c r="J243" t="str">
        <f>IF(BaseCoalPlants!I245="-","",BaseCoalPlants!I245)</f>
        <v/>
      </c>
      <c r="K243" t="str">
        <f>IF(BaseCoalPlants!J245="-","",BaseCoalPlants!J245)</f>
        <v/>
      </c>
      <c r="L243" t="str">
        <f>IF(BaseCoalPlants!K245="-","",BaseCoalPlants!K245)</f>
        <v/>
      </c>
      <c r="M243" s="1" t="str">
        <f>IF(BaseCoalPlants!L245=0,"",BaseCoalPlants!L245)</f>
        <v/>
      </c>
      <c r="N243" s="1" t="str">
        <f>IF(BaseCoalPlants!W245=0,"",BaseCoalPlants!W245)</f>
        <v/>
      </c>
      <c r="O243" s="1" t="str">
        <f>IF(BaseCoalPlants!X245=0,"",BaseCoalPlants!X245)</f>
        <v/>
      </c>
      <c r="P243" s="1" t="str">
        <f>IF(BaseCoalPlants!Y245=0,"",BaseCoalPlants!Y245)</f>
        <v/>
      </c>
      <c r="Q243" s="1" t="str">
        <f>IF(BaseCoalPlants!Z245=0,"",BaseCoalPlants!Z245)</f>
        <v/>
      </c>
      <c r="R243" s="1" t="str">
        <f>IF(BaseCoalPlants!AA245=0,"",BaseCoalPlants!AA245)</f>
        <v/>
      </c>
      <c r="S243" s="1" t="str">
        <f>IF(BaseCoalPlants!AB245=0,"",BaseCoalPlants!AB245)</f>
        <v/>
      </c>
      <c r="T243" s="1" t="str">
        <f>IF(BaseCoalPlants!AC245=0,"",BaseCoalPlants!AC245)</f>
        <v/>
      </c>
      <c r="U243" s="1">
        <f>IF(BaseCoalPlants!AD245=0,"",BaseCoalPlants!AD245)</f>
        <v>0.29015317837787902</v>
      </c>
      <c r="V243" s="1" t="str">
        <f>IF(BaseCoalPlants!AE245=0,"",BaseCoalPlants!AE245)</f>
        <v/>
      </c>
    </row>
    <row r="244" spans="3:22" x14ac:dyDescent="0.35">
      <c r="C244" t="str">
        <f>IF(BaseCoalPlants!B246="VDA_FLOP",IF(BaseCoalPlants!D246="ELC","*","INPUT"),BaseCoalPlants!B246)</f>
        <v>EFF</v>
      </c>
      <c r="D244" t="str">
        <f>IF(BaseCoalPlants!C246="","\I:",BaseCoalPlants!C246&amp;"_LE")</f>
        <v>ECSTMRSOR_LE</v>
      </c>
      <c r="E244" t="str">
        <f>IF(BaseCoalPlants!D246="-","",BaseCoalPlants!D246)</f>
        <v/>
      </c>
      <c r="F244" t="str">
        <f>IF(BaseCoalPlants!E246="-","",BaseCoalPlants!E246)</f>
        <v/>
      </c>
      <c r="G244" t="str">
        <f>IF(BaseCoalPlants!F246="-","",BaseCoalPlants!F246)</f>
        <v>ANNUAL</v>
      </c>
      <c r="H244">
        <f>IF(BaseCoalPlants!G246="-","",BaseCoalPlants!G246)</f>
        <v>1967</v>
      </c>
      <c r="I244" t="str">
        <f>IF(BaseCoalPlants!H246="-","",BaseCoalPlants!H246)</f>
        <v/>
      </c>
      <c r="J244" t="str">
        <f>IF(BaseCoalPlants!I246="-","",BaseCoalPlants!I246)</f>
        <v/>
      </c>
      <c r="K244" t="str">
        <f>IF(BaseCoalPlants!J246="-","",BaseCoalPlants!J246)</f>
        <v/>
      </c>
      <c r="L244" t="str">
        <f>IF(BaseCoalPlants!K246="-","",BaseCoalPlants!K246)</f>
        <v/>
      </c>
      <c r="M244" s="1" t="str">
        <f>IF(BaseCoalPlants!L246=0,"",BaseCoalPlants!L246)</f>
        <v/>
      </c>
      <c r="N244" s="1" t="str">
        <f>IF(BaseCoalPlants!W246=0,"",BaseCoalPlants!W246)</f>
        <v/>
      </c>
      <c r="O244" s="1" t="str">
        <f>IF(BaseCoalPlants!X246=0,"",BaseCoalPlants!X246)</f>
        <v/>
      </c>
      <c r="P244" s="1">
        <f>IF(BaseCoalPlants!Y246=0,"",BaseCoalPlants!Y246)</f>
        <v>0.29707349087569251</v>
      </c>
      <c r="Q244" s="1" t="str">
        <f>IF(BaseCoalPlants!Z246=0,"",BaseCoalPlants!Z246)</f>
        <v/>
      </c>
      <c r="R244" s="1" t="str">
        <f>IF(BaseCoalPlants!AA246=0,"",BaseCoalPlants!AA246)</f>
        <v/>
      </c>
      <c r="S244" s="1" t="str">
        <f>IF(BaseCoalPlants!AB246=0,"",BaseCoalPlants!AB246)</f>
        <v/>
      </c>
      <c r="T244" s="1" t="str">
        <f>IF(BaseCoalPlants!AC246=0,"",BaseCoalPlants!AC246)</f>
        <v/>
      </c>
      <c r="U244" s="1">
        <f>IF(BaseCoalPlants!AD246=0,"",BaseCoalPlants!AD246)</f>
        <v>0.31056402956828355</v>
      </c>
      <c r="V244" s="1" t="str">
        <f>IF(BaseCoalPlants!AE246=0,"",BaseCoalPlants!AE246)</f>
        <v/>
      </c>
    </row>
    <row r="245" spans="3:22" x14ac:dyDescent="0.35">
      <c r="C245" t="str">
        <f>IF(BaseCoalPlants!B247="VDA_FLOP",IF(BaseCoalPlants!D247="ELC","*","INPUT"),BaseCoalPlants!B247)</f>
        <v>EFF</v>
      </c>
      <c r="D245" t="str">
        <f>IF(BaseCoalPlants!C247="","\I:",BaseCoalPlants!C247&amp;"_LE")</f>
        <v>ECSTMRSOR_LE</v>
      </c>
      <c r="E245" t="str">
        <f>IF(BaseCoalPlants!D247="-","",BaseCoalPlants!D247)</f>
        <v/>
      </c>
      <c r="F245" t="str">
        <f>IF(BaseCoalPlants!E247="-","",BaseCoalPlants!E247)</f>
        <v/>
      </c>
      <c r="G245" t="str">
        <f>IF(BaseCoalPlants!F247="-","",BaseCoalPlants!F247)</f>
        <v>ANNUAL</v>
      </c>
      <c r="H245">
        <f>IF(BaseCoalPlants!G247="-","",BaseCoalPlants!G247)</f>
        <v>1968</v>
      </c>
      <c r="I245" t="str">
        <f>IF(BaseCoalPlants!H247="-","",BaseCoalPlants!H247)</f>
        <v/>
      </c>
      <c r="J245" t="str">
        <f>IF(BaseCoalPlants!I247="-","",BaseCoalPlants!I247)</f>
        <v/>
      </c>
      <c r="K245" t="str">
        <f>IF(BaseCoalPlants!J247="-","",BaseCoalPlants!J247)</f>
        <v/>
      </c>
      <c r="L245" t="str">
        <f>IF(BaseCoalPlants!K247="-","",BaseCoalPlants!K247)</f>
        <v/>
      </c>
      <c r="M245" s="1" t="str">
        <f>IF(BaseCoalPlants!L247=0,"",BaseCoalPlants!L247)</f>
        <v/>
      </c>
      <c r="N245" s="1" t="str">
        <f>IF(BaseCoalPlants!W247=0,"",BaseCoalPlants!W247)</f>
        <v/>
      </c>
      <c r="O245" s="1" t="str">
        <f>IF(BaseCoalPlants!X247=0,"",BaseCoalPlants!X247)</f>
        <v/>
      </c>
      <c r="P245" s="1">
        <f>IF(BaseCoalPlants!Y247=0,"",BaseCoalPlants!Y247)</f>
        <v>0.29810077203442176</v>
      </c>
      <c r="Q245" s="1">
        <f>IF(BaseCoalPlants!Z247=0,"",BaseCoalPlants!Z247)</f>
        <v>0.26767685764718591</v>
      </c>
      <c r="R245" s="1" t="str">
        <f>IF(BaseCoalPlants!AA247=0,"",BaseCoalPlants!AA247)</f>
        <v/>
      </c>
      <c r="S245" s="1" t="str">
        <f>IF(BaseCoalPlants!AB247=0,"",BaseCoalPlants!AB247)</f>
        <v/>
      </c>
      <c r="T245" s="1" t="str">
        <f>IF(BaseCoalPlants!AC247=0,"",BaseCoalPlants!AC247)</f>
        <v/>
      </c>
      <c r="U245" s="1">
        <f>IF(BaseCoalPlants!AD247=0,"",BaseCoalPlants!AD247)</f>
        <v>0.30592869359834785</v>
      </c>
      <c r="V245" s="1" t="str">
        <f>IF(BaseCoalPlants!AE247=0,"",BaseCoalPlants!AE247)</f>
        <v/>
      </c>
    </row>
    <row r="246" spans="3:22" x14ac:dyDescent="0.35">
      <c r="C246" t="str">
        <f>IF(BaseCoalPlants!B248="VDA_FLOP",IF(BaseCoalPlants!D248="ELC","*","INPUT"),BaseCoalPlants!B248)</f>
        <v>EFF</v>
      </c>
      <c r="D246" t="str">
        <f>IF(BaseCoalPlants!C248="","\I:",BaseCoalPlants!C248&amp;"_LE")</f>
        <v>ECSTMRSOR_LE</v>
      </c>
      <c r="E246" t="str">
        <f>IF(BaseCoalPlants!D248="-","",BaseCoalPlants!D248)</f>
        <v/>
      </c>
      <c r="F246" t="str">
        <f>IF(BaseCoalPlants!E248="-","",BaseCoalPlants!E248)</f>
        <v/>
      </c>
      <c r="G246" t="str">
        <f>IF(BaseCoalPlants!F248="-","",BaseCoalPlants!F248)</f>
        <v>ANNUAL</v>
      </c>
      <c r="H246">
        <f>IF(BaseCoalPlants!G248="-","",BaseCoalPlants!G248)</f>
        <v>1969</v>
      </c>
      <c r="I246" t="str">
        <f>IF(BaseCoalPlants!H248="-","",BaseCoalPlants!H248)</f>
        <v/>
      </c>
      <c r="J246" t="str">
        <f>IF(BaseCoalPlants!I248="-","",BaseCoalPlants!I248)</f>
        <v/>
      </c>
      <c r="K246" t="str">
        <f>IF(BaseCoalPlants!J248="-","",BaseCoalPlants!J248)</f>
        <v/>
      </c>
      <c r="L246" t="str">
        <f>IF(BaseCoalPlants!K248="-","",BaseCoalPlants!K248)</f>
        <v/>
      </c>
      <c r="M246" s="1" t="str">
        <f>IF(BaseCoalPlants!L248=0,"",BaseCoalPlants!L248)</f>
        <v/>
      </c>
      <c r="N246" s="1" t="str">
        <f>IF(BaseCoalPlants!W248=0,"",BaseCoalPlants!W248)</f>
        <v/>
      </c>
      <c r="O246" s="1" t="str">
        <f>IF(BaseCoalPlants!X248=0,"",BaseCoalPlants!X248)</f>
        <v/>
      </c>
      <c r="P246" s="1" t="str">
        <f>IF(BaseCoalPlants!Y248=0,"",BaseCoalPlants!Y248)</f>
        <v/>
      </c>
      <c r="Q246" s="1" t="str">
        <f>IF(BaseCoalPlants!Z248=0,"",BaseCoalPlants!Z248)</f>
        <v/>
      </c>
      <c r="R246" s="1" t="str">
        <f>IF(BaseCoalPlants!AA248=0,"",BaseCoalPlants!AA248)</f>
        <v/>
      </c>
      <c r="S246" s="1" t="str">
        <f>IF(BaseCoalPlants!AB248=0,"",BaseCoalPlants!AB248)</f>
        <v/>
      </c>
      <c r="T246" s="1" t="str">
        <f>IF(BaseCoalPlants!AC248=0,"",BaseCoalPlants!AC248)</f>
        <v/>
      </c>
      <c r="U246" s="1">
        <f>IF(BaseCoalPlants!AD248=0,"",BaseCoalPlants!AD248)</f>
        <v>0.35299885602222625</v>
      </c>
      <c r="V246" s="1" t="str">
        <f>IF(BaseCoalPlants!AE248=0,"",BaseCoalPlants!AE248)</f>
        <v/>
      </c>
    </row>
    <row r="247" spans="3:22" x14ac:dyDescent="0.35">
      <c r="C247" t="str">
        <f>IF(BaseCoalPlants!B249="VDA_FLOP",IF(BaseCoalPlants!D249="ELC","*","INPUT"),BaseCoalPlants!B249)</f>
        <v>EFF</v>
      </c>
      <c r="D247" t="str">
        <f>IF(BaseCoalPlants!C249="","\I:",BaseCoalPlants!C249&amp;"_LE")</f>
        <v>ECSTMRSOR_LE</v>
      </c>
      <c r="E247" t="str">
        <f>IF(BaseCoalPlants!D249="-","",BaseCoalPlants!D249)</f>
        <v/>
      </c>
      <c r="F247" t="str">
        <f>IF(BaseCoalPlants!E249="-","",BaseCoalPlants!E249)</f>
        <v/>
      </c>
      <c r="G247" t="str">
        <f>IF(BaseCoalPlants!F249="-","",BaseCoalPlants!F249)</f>
        <v>ANNUAL</v>
      </c>
      <c r="H247">
        <f>IF(BaseCoalPlants!G249="-","",BaseCoalPlants!G249)</f>
        <v>1970</v>
      </c>
      <c r="I247" t="str">
        <f>IF(BaseCoalPlants!H249="-","",BaseCoalPlants!H249)</f>
        <v/>
      </c>
      <c r="J247" t="str">
        <f>IF(BaseCoalPlants!I249="-","",BaseCoalPlants!I249)</f>
        <v/>
      </c>
      <c r="K247" t="str">
        <f>IF(BaseCoalPlants!J249="-","",BaseCoalPlants!J249)</f>
        <v/>
      </c>
      <c r="L247" t="str">
        <f>IF(BaseCoalPlants!K249="-","",BaseCoalPlants!K249)</f>
        <v/>
      </c>
      <c r="M247" s="1" t="str">
        <f>IF(BaseCoalPlants!L249=0,"",BaseCoalPlants!L249)</f>
        <v/>
      </c>
      <c r="N247" s="1" t="str">
        <f>IF(BaseCoalPlants!W249=0,"",BaseCoalPlants!W249)</f>
        <v/>
      </c>
      <c r="O247" s="1" t="str">
        <f>IF(BaseCoalPlants!X249=0,"",BaseCoalPlants!X249)</f>
        <v/>
      </c>
      <c r="P247" s="1">
        <f>IF(BaseCoalPlants!Y249=0,"",BaseCoalPlants!Y249)</f>
        <v>0.33574145576368319</v>
      </c>
      <c r="Q247" s="1">
        <f>IF(BaseCoalPlants!Z249=0,"",BaseCoalPlants!Z249)</f>
        <v>0.30638134903537728</v>
      </c>
      <c r="R247" s="1" t="str">
        <f>IF(BaseCoalPlants!AA249=0,"",BaseCoalPlants!AA249)</f>
        <v/>
      </c>
      <c r="S247" s="1" t="str">
        <f>IF(BaseCoalPlants!AB249=0,"",BaseCoalPlants!AB249)</f>
        <v/>
      </c>
      <c r="T247" s="1" t="str">
        <f>IF(BaseCoalPlants!AC249=0,"",BaseCoalPlants!AC249)</f>
        <v/>
      </c>
      <c r="U247" s="1">
        <f>IF(BaseCoalPlants!AD249=0,"",BaseCoalPlants!AD249)</f>
        <v>0.35182358327636737</v>
      </c>
      <c r="V247" s="1" t="str">
        <f>IF(BaseCoalPlants!AE249=0,"",BaseCoalPlants!AE249)</f>
        <v/>
      </c>
    </row>
    <row r="248" spans="3:22" x14ac:dyDescent="0.35">
      <c r="C248" t="str">
        <f>IF(BaseCoalPlants!B250="VDA_FLOP",IF(BaseCoalPlants!D250="ELC","*","INPUT"),BaseCoalPlants!B250)</f>
        <v>EFF</v>
      </c>
      <c r="D248" t="str">
        <f>IF(BaseCoalPlants!C250="","\I:",BaseCoalPlants!C250&amp;"_LE")</f>
        <v>ECSTMRSOR_LE</v>
      </c>
      <c r="E248" t="str">
        <f>IF(BaseCoalPlants!D250="-","",BaseCoalPlants!D250)</f>
        <v/>
      </c>
      <c r="F248" t="str">
        <f>IF(BaseCoalPlants!E250="-","",BaseCoalPlants!E250)</f>
        <v/>
      </c>
      <c r="G248" t="str">
        <f>IF(BaseCoalPlants!F250="-","",BaseCoalPlants!F250)</f>
        <v>ANNUAL</v>
      </c>
      <c r="H248">
        <f>IF(BaseCoalPlants!G250="-","",BaseCoalPlants!G250)</f>
        <v>1971</v>
      </c>
      <c r="I248" t="str">
        <f>IF(BaseCoalPlants!H250="-","",BaseCoalPlants!H250)</f>
        <v/>
      </c>
      <c r="J248" t="str">
        <f>IF(BaseCoalPlants!I250="-","",BaseCoalPlants!I250)</f>
        <v/>
      </c>
      <c r="K248" t="str">
        <f>IF(BaseCoalPlants!J250="-","",BaseCoalPlants!J250)</f>
        <v/>
      </c>
      <c r="L248" t="str">
        <f>IF(BaseCoalPlants!K250="-","",BaseCoalPlants!K250)</f>
        <v/>
      </c>
      <c r="M248" s="1" t="str">
        <f>IF(BaseCoalPlants!L250=0,"",BaseCoalPlants!L250)</f>
        <v/>
      </c>
      <c r="N248" s="1" t="str">
        <f>IF(BaseCoalPlants!W250=0,"",BaseCoalPlants!W250)</f>
        <v/>
      </c>
      <c r="O248" s="1" t="str">
        <f>IF(BaseCoalPlants!X250=0,"",BaseCoalPlants!X250)</f>
        <v/>
      </c>
      <c r="P248" s="1" t="str">
        <f>IF(BaseCoalPlants!Y250=0,"",BaseCoalPlants!Y250)</f>
        <v/>
      </c>
      <c r="Q248" s="1">
        <f>IF(BaseCoalPlants!Z250=0,"",BaseCoalPlants!Z250)</f>
        <v>0.3199052132701421</v>
      </c>
      <c r="R248" s="1" t="str">
        <f>IF(BaseCoalPlants!AA250=0,"",BaseCoalPlants!AA250)</f>
        <v/>
      </c>
      <c r="S248" s="1" t="str">
        <f>IF(BaseCoalPlants!AB250=0,"",BaseCoalPlants!AB250)</f>
        <v/>
      </c>
      <c r="T248" s="1" t="str">
        <f>IF(BaseCoalPlants!AC250=0,"",BaseCoalPlants!AC250)</f>
        <v/>
      </c>
      <c r="U248" s="1">
        <f>IF(BaseCoalPlants!AD250=0,"",BaseCoalPlants!AD250)</f>
        <v>0.31229842869160129</v>
      </c>
      <c r="V248" s="1" t="str">
        <f>IF(BaseCoalPlants!AE250=0,"",BaseCoalPlants!AE250)</f>
        <v/>
      </c>
    </row>
    <row r="249" spans="3:22" x14ac:dyDescent="0.35">
      <c r="C249" t="str">
        <f>IF(BaseCoalPlants!B251="VDA_FLOP",IF(BaseCoalPlants!D251="ELC","*","INPUT"),BaseCoalPlants!B251)</f>
        <v>EFF</v>
      </c>
      <c r="D249" t="str">
        <f>IF(BaseCoalPlants!C251="","\I:",BaseCoalPlants!C251&amp;"_LE")</f>
        <v>ECSTMRSOR_LE</v>
      </c>
      <c r="E249" t="str">
        <f>IF(BaseCoalPlants!D251="-","",BaseCoalPlants!D251)</f>
        <v/>
      </c>
      <c r="F249" t="str">
        <f>IF(BaseCoalPlants!E251="-","",BaseCoalPlants!E251)</f>
        <v/>
      </c>
      <c r="G249" t="str">
        <f>IF(BaseCoalPlants!F251="-","",BaseCoalPlants!F251)</f>
        <v>ANNUAL</v>
      </c>
      <c r="H249">
        <f>IF(BaseCoalPlants!G251="-","",BaseCoalPlants!G251)</f>
        <v>1972</v>
      </c>
      <c r="I249" t="str">
        <f>IF(BaseCoalPlants!H251="-","",BaseCoalPlants!H251)</f>
        <v/>
      </c>
      <c r="J249" t="str">
        <f>IF(BaseCoalPlants!I251="-","",BaseCoalPlants!I251)</f>
        <v/>
      </c>
      <c r="K249" t="str">
        <f>IF(BaseCoalPlants!J251="-","",BaseCoalPlants!J251)</f>
        <v/>
      </c>
      <c r="L249" t="str">
        <f>IF(BaseCoalPlants!K251="-","",BaseCoalPlants!K251)</f>
        <v/>
      </c>
      <c r="M249" s="1" t="str">
        <f>IF(BaseCoalPlants!L251=0,"",BaseCoalPlants!L251)</f>
        <v/>
      </c>
      <c r="N249" s="1" t="str">
        <f>IF(BaseCoalPlants!W251=0,"",BaseCoalPlants!W251)</f>
        <v/>
      </c>
      <c r="O249" s="1" t="str">
        <f>IF(BaseCoalPlants!X251=0,"",BaseCoalPlants!X251)</f>
        <v/>
      </c>
      <c r="P249" s="1">
        <f>IF(BaseCoalPlants!Y251=0,"",BaseCoalPlants!Y251)</f>
        <v>0.3117776015661024</v>
      </c>
      <c r="Q249" s="1" t="str">
        <f>IF(BaseCoalPlants!Z251=0,"",BaseCoalPlants!Z251)</f>
        <v/>
      </c>
      <c r="R249" s="1" t="str">
        <f>IF(BaseCoalPlants!AA251=0,"",BaseCoalPlants!AA251)</f>
        <v/>
      </c>
      <c r="S249" s="1" t="str">
        <f>IF(BaseCoalPlants!AB251=0,"",BaseCoalPlants!AB251)</f>
        <v/>
      </c>
      <c r="T249" s="1" t="str">
        <f>IF(BaseCoalPlants!AC251=0,"",BaseCoalPlants!AC251)</f>
        <v/>
      </c>
      <c r="U249" s="1" t="str">
        <f>IF(BaseCoalPlants!AD251=0,"",BaseCoalPlants!AD251)</f>
        <v/>
      </c>
      <c r="V249" s="1">
        <f>IF(BaseCoalPlants!AE251=0,"",BaseCoalPlants!AE251)</f>
        <v>0.28844143558036994</v>
      </c>
    </row>
    <row r="250" spans="3:22" x14ac:dyDescent="0.35">
      <c r="C250" t="str">
        <f>IF(BaseCoalPlants!B252="VDA_FLOP",IF(BaseCoalPlants!D252="ELC","*","INPUT"),BaseCoalPlants!B252)</f>
        <v>EFF</v>
      </c>
      <c r="D250" t="str">
        <f>IF(BaseCoalPlants!C252="","\I:",BaseCoalPlants!C252&amp;"_LE")</f>
        <v>ECSTMRSOR_LE</v>
      </c>
      <c r="E250" t="str">
        <f>IF(BaseCoalPlants!D252="-","",BaseCoalPlants!D252)</f>
        <v/>
      </c>
      <c r="F250" t="str">
        <f>IF(BaseCoalPlants!E252="-","",BaseCoalPlants!E252)</f>
        <v/>
      </c>
      <c r="G250" t="str">
        <f>IF(BaseCoalPlants!F252="-","",BaseCoalPlants!F252)</f>
        <v>ANNUAL</v>
      </c>
      <c r="H250">
        <f>IF(BaseCoalPlants!G252="-","",BaseCoalPlants!G252)</f>
        <v>1973</v>
      </c>
      <c r="I250" t="str">
        <f>IF(BaseCoalPlants!H252="-","",BaseCoalPlants!H252)</f>
        <v/>
      </c>
      <c r="J250" t="str">
        <f>IF(BaseCoalPlants!I252="-","",BaseCoalPlants!I252)</f>
        <v/>
      </c>
      <c r="K250" t="str">
        <f>IF(BaseCoalPlants!J252="-","",BaseCoalPlants!J252)</f>
        <v/>
      </c>
      <c r="L250" t="str">
        <f>IF(BaseCoalPlants!K252="-","",BaseCoalPlants!K252)</f>
        <v/>
      </c>
      <c r="M250" s="1" t="str">
        <f>IF(BaseCoalPlants!L252=0,"",BaseCoalPlants!L252)</f>
        <v/>
      </c>
      <c r="N250" s="1" t="str">
        <f>IF(BaseCoalPlants!W252=0,"",BaseCoalPlants!W252)</f>
        <v/>
      </c>
      <c r="O250" s="1" t="str">
        <f>IF(BaseCoalPlants!X252=0,"",BaseCoalPlants!X252)</f>
        <v/>
      </c>
      <c r="P250" s="1">
        <f>IF(BaseCoalPlants!Y252=0,"",BaseCoalPlants!Y252)</f>
        <v>0.3263236343697638</v>
      </c>
      <c r="Q250" s="1" t="str">
        <f>IF(BaseCoalPlants!Z252=0,"",BaseCoalPlants!Z252)</f>
        <v/>
      </c>
      <c r="R250" s="1" t="str">
        <f>IF(BaseCoalPlants!AA252=0,"",BaseCoalPlants!AA252)</f>
        <v/>
      </c>
      <c r="S250" s="1" t="str">
        <f>IF(BaseCoalPlants!AB252=0,"",BaseCoalPlants!AB252)</f>
        <v/>
      </c>
      <c r="T250" s="1" t="str">
        <f>IF(BaseCoalPlants!AC252=0,"",BaseCoalPlants!AC252)</f>
        <v/>
      </c>
      <c r="U250" s="1">
        <f>IF(BaseCoalPlants!AD252=0,"",BaseCoalPlants!AD252)</f>
        <v>0.31951568450621376</v>
      </c>
      <c r="V250" s="1">
        <f>IF(BaseCoalPlants!AE252=0,"",BaseCoalPlants!AE252)</f>
        <v>0.28844143558036994</v>
      </c>
    </row>
    <row r="251" spans="3:22" x14ac:dyDescent="0.35">
      <c r="C251" t="str">
        <f>IF(BaseCoalPlants!B253="VDA_FLOP",IF(BaseCoalPlants!D253="ELC","*","INPUT"),BaseCoalPlants!B253)</f>
        <v>EFF</v>
      </c>
      <c r="D251" t="str">
        <f>IF(BaseCoalPlants!C253="","\I:",BaseCoalPlants!C253&amp;"_LE")</f>
        <v>ECSTMRSOR_LE</v>
      </c>
      <c r="E251" t="str">
        <f>IF(BaseCoalPlants!D253="-","",BaseCoalPlants!D253)</f>
        <v/>
      </c>
      <c r="F251" t="str">
        <f>IF(BaseCoalPlants!E253="-","",BaseCoalPlants!E253)</f>
        <v/>
      </c>
      <c r="G251" t="str">
        <f>IF(BaseCoalPlants!F253="-","",BaseCoalPlants!F253)</f>
        <v>ANNUAL</v>
      </c>
      <c r="H251">
        <f>IF(BaseCoalPlants!G253="-","",BaseCoalPlants!G253)</f>
        <v>1974</v>
      </c>
      <c r="I251" t="str">
        <f>IF(BaseCoalPlants!H253="-","",BaseCoalPlants!H253)</f>
        <v/>
      </c>
      <c r="J251" t="str">
        <f>IF(BaseCoalPlants!I253="-","",BaseCoalPlants!I253)</f>
        <v/>
      </c>
      <c r="K251" t="str">
        <f>IF(BaseCoalPlants!J253="-","",BaseCoalPlants!J253)</f>
        <v/>
      </c>
      <c r="L251" t="str">
        <f>IF(BaseCoalPlants!K253="-","",BaseCoalPlants!K253)</f>
        <v/>
      </c>
      <c r="M251" s="1" t="str">
        <f>IF(BaseCoalPlants!L253=0,"",BaseCoalPlants!L253)</f>
        <v/>
      </c>
      <c r="N251" s="1" t="str">
        <f>IF(BaseCoalPlants!W253=0,"",BaseCoalPlants!W253)</f>
        <v/>
      </c>
      <c r="O251" s="1" t="str">
        <f>IF(BaseCoalPlants!X253=0,"",BaseCoalPlants!X253)</f>
        <v/>
      </c>
      <c r="P251" s="1">
        <f>IF(BaseCoalPlants!Y253=0,"",BaseCoalPlants!Y253)</f>
        <v>0.30721460976144188</v>
      </c>
      <c r="Q251" s="1" t="str">
        <f>IF(BaseCoalPlants!Z253=0,"",BaseCoalPlants!Z253)</f>
        <v/>
      </c>
      <c r="R251" s="1" t="str">
        <f>IF(BaseCoalPlants!AA253=0,"",BaseCoalPlants!AA253)</f>
        <v/>
      </c>
      <c r="S251" s="1" t="str">
        <f>IF(BaseCoalPlants!AB253=0,"",BaseCoalPlants!AB253)</f>
        <v/>
      </c>
      <c r="T251" s="1" t="str">
        <f>IF(BaseCoalPlants!AC253=0,"",BaseCoalPlants!AC253)</f>
        <v/>
      </c>
      <c r="U251" s="1">
        <f>IF(BaseCoalPlants!AD253=0,"",BaseCoalPlants!AD253)</f>
        <v>0.31451394061428001</v>
      </c>
      <c r="V251" s="1" t="str">
        <f>IF(BaseCoalPlants!AE253=0,"",BaseCoalPlants!AE253)</f>
        <v/>
      </c>
    </row>
    <row r="252" spans="3:22" x14ac:dyDescent="0.35">
      <c r="C252" t="str">
        <f>IF(BaseCoalPlants!B254="VDA_FLOP",IF(BaseCoalPlants!D254="ELC","*","INPUT"),BaseCoalPlants!B254)</f>
        <v>EFF</v>
      </c>
      <c r="D252" t="str">
        <f>IF(BaseCoalPlants!C254="","\I:",BaseCoalPlants!C254&amp;"_LE")</f>
        <v>ECSTMRSOR_LE</v>
      </c>
      <c r="E252" t="str">
        <f>IF(BaseCoalPlants!D254="-","",BaseCoalPlants!D254)</f>
        <v/>
      </c>
      <c r="F252" t="str">
        <f>IF(BaseCoalPlants!E254="-","",BaseCoalPlants!E254)</f>
        <v/>
      </c>
      <c r="G252" t="str">
        <f>IF(BaseCoalPlants!F254="-","",BaseCoalPlants!F254)</f>
        <v>ANNUAL</v>
      </c>
      <c r="H252">
        <f>IF(BaseCoalPlants!G254="-","",BaseCoalPlants!G254)</f>
        <v>1975</v>
      </c>
      <c r="I252" t="str">
        <f>IF(BaseCoalPlants!H254="-","",BaseCoalPlants!H254)</f>
        <v/>
      </c>
      <c r="J252" t="str">
        <f>IF(BaseCoalPlants!I254="-","",BaseCoalPlants!I254)</f>
        <v/>
      </c>
      <c r="K252" t="str">
        <f>IF(BaseCoalPlants!J254="-","",BaseCoalPlants!J254)</f>
        <v/>
      </c>
      <c r="L252" t="str">
        <f>IF(BaseCoalPlants!K254="-","",BaseCoalPlants!K254)</f>
        <v/>
      </c>
      <c r="M252" s="1" t="str">
        <f>IF(BaseCoalPlants!L254=0,"",BaseCoalPlants!L254)</f>
        <v/>
      </c>
      <c r="N252" s="1" t="str">
        <f>IF(BaseCoalPlants!W254=0,"",BaseCoalPlants!W254)</f>
        <v/>
      </c>
      <c r="O252" s="1" t="str">
        <f>IF(BaseCoalPlants!X254=0,"",BaseCoalPlants!X254)</f>
        <v/>
      </c>
      <c r="P252" s="1">
        <f>IF(BaseCoalPlants!Y254=0,"",BaseCoalPlants!Y254)</f>
        <v>0.30368803332225985</v>
      </c>
      <c r="Q252" s="1">
        <f>IF(BaseCoalPlants!Z254=0,"",BaseCoalPlants!Z254)</f>
        <v>0.28218015194127455</v>
      </c>
      <c r="R252" s="1" t="str">
        <f>IF(BaseCoalPlants!AA254=0,"",BaseCoalPlants!AA254)</f>
        <v/>
      </c>
      <c r="S252" s="1" t="str">
        <f>IF(BaseCoalPlants!AB254=0,"",BaseCoalPlants!AB254)</f>
        <v/>
      </c>
      <c r="T252" s="1" t="str">
        <f>IF(BaseCoalPlants!AC254=0,"",BaseCoalPlants!AC254)</f>
        <v/>
      </c>
      <c r="U252" s="1">
        <f>IF(BaseCoalPlants!AD254=0,"",BaseCoalPlants!AD254)</f>
        <v>0.30672507664959459</v>
      </c>
      <c r="V252" s="1" t="str">
        <f>IF(BaseCoalPlants!AE254=0,"",BaseCoalPlants!AE254)</f>
        <v/>
      </c>
    </row>
    <row r="253" spans="3:22" x14ac:dyDescent="0.35">
      <c r="C253" t="str">
        <f>IF(BaseCoalPlants!B255="VDA_FLOP",IF(BaseCoalPlants!D255="ELC","*","INPUT"),BaseCoalPlants!B255)</f>
        <v>EFF</v>
      </c>
      <c r="D253" t="str">
        <f>IF(BaseCoalPlants!C255="","\I:",BaseCoalPlants!C255&amp;"_LE")</f>
        <v>ECSTMRSOR_LE</v>
      </c>
      <c r="E253" t="str">
        <f>IF(BaseCoalPlants!D255="-","",BaseCoalPlants!D255)</f>
        <v/>
      </c>
      <c r="F253" t="str">
        <f>IF(BaseCoalPlants!E255="-","",BaseCoalPlants!E255)</f>
        <v/>
      </c>
      <c r="G253" t="str">
        <f>IF(BaseCoalPlants!F255="-","",BaseCoalPlants!F255)</f>
        <v>ANNUAL</v>
      </c>
      <c r="H253">
        <f>IF(BaseCoalPlants!G255="-","",BaseCoalPlants!G255)</f>
        <v>1976</v>
      </c>
      <c r="I253" t="str">
        <f>IF(BaseCoalPlants!H255="-","",BaseCoalPlants!H255)</f>
        <v/>
      </c>
      <c r="J253" t="str">
        <f>IF(BaseCoalPlants!I255="-","",BaseCoalPlants!I255)</f>
        <v/>
      </c>
      <c r="K253" t="str">
        <f>IF(BaseCoalPlants!J255="-","",BaseCoalPlants!J255)</f>
        <v/>
      </c>
      <c r="L253" t="str">
        <f>IF(BaseCoalPlants!K255="-","",BaseCoalPlants!K255)</f>
        <v/>
      </c>
      <c r="M253" s="1" t="str">
        <f>IF(BaseCoalPlants!L255=0,"",BaseCoalPlants!L255)</f>
        <v/>
      </c>
      <c r="N253" s="1" t="str">
        <f>IF(BaseCoalPlants!W255=0,"",BaseCoalPlants!W255)</f>
        <v/>
      </c>
      <c r="O253" s="1" t="str">
        <f>IF(BaseCoalPlants!X255=0,"",BaseCoalPlants!X255)</f>
        <v/>
      </c>
      <c r="P253" s="1">
        <f>IF(BaseCoalPlants!Y255=0,"",BaseCoalPlants!Y255)</f>
        <v>0.28722747776293345</v>
      </c>
      <c r="Q253" s="1">
        <f>IF(BaseCoalPlants!Z255=0,"",BaseCoalPlants!Z255)</f>
        <v>0.30240602801377631</v>
      </c>
      <c r="R253" s="1" t="str">
        <f>IF(BaseCoalPlants!AA255=0,"",BaseCoalPlants!AA255)</f>
        <v/>
      </c>
      <c r="S253" s="1" t="str">
        <f>IF(BaseCoalPlants!AB255=0,"",BaseCoalPlants!AB255)</f>
        <v/>
      </c>
      <c r="T253" s="1">
        <f>IF(BaseCoalPlants!AC255=0,"",BaseCoalPlants!AC255)</f>
        <v>0.29788391232938588</v>
      </c>
      <c r="U253" s="1">
        <f>IF(BaseCoalPlants!AD255=0,"",BaseCoalPlants!AD255)</f>
        <v>0.31278238991111712</v>
      </c>
      <c r="V253" s="1" t="str">
        <f>IF(BaseCoalPlants!AE255=0,"",BaseCoalPlants!AE255)</f>
        <v/>
      </c>
    </row>
    <row r="254" spans="3:22" x14ac:dyDescent="0.35">
      <c r="C254" t="str">
        <f>IF(BaseCoalPlants!B256="VDA_FLOP",IF(BaseCoalPlants!D256="ELC","*","INPUT"),BaseCoalPlants!B256)</f>
        <v>EFF</v>
      </c>
      <c r="D254" t="str">
        <f>IF(BaseCoalPlants!C256="","\I:",BaseCoalPlants!C256&amp;"_LE")</f>
        <v>ECSTMRSOR_LE</v>
      </c>
      <c r="E254" t="str">
        <f>IF(BaseCoalPlants!D256="-","",BaseCoalPlants!D256)</f>
        <v/>
      </c>
      <c r="F254" t="str">
        <f>IF(BaseCoalPlants!E256="-","",BaseCoalPlants!E256)</f>
        <v/>
      </c>
      <c r="G254" t="str">
        <f>IF(BaseCoalPlants!F256="-","",BaseCoalPlants!F256)</f>
        <v>ANNUAL</v>
      </c>
      <c r="H254">
        <f>IF(BaseCoalPlants!G256="-","",BaseCoalPlants!G256)</f>
        <v>1977</v>
      </c>
      <c r="I254" t="str">
        <f>IF(BaseCoalPlants!H256="-","",BaseCoalPlants!H256)</f>
        <v/>
      </c>
      <c r="J254" t="str">
        <f>IF(BaseCoalPlants!I256="-","",BaseCoalPlants!I256)</f>
        <v/>
      </c>
      <c r="K254" t="str">
        <f>IF(BaseCoalPlants!J256="-","",BaseCoalPlants!J256)</f>
        <v/>
      </c>
      <c r="L254" t="str">
        <f>IF(BaseCoalPlants!K256="-","",BaseCoalPlants!K256)</f>
        <v/>
      </c>
      <c r="M254" s="1" t="str">
        <f>IF(BaseCoalPlants!L256=0,"",BaseCoalPlants!L256)</f>
        <v/>
      </c>
      <c r="N254" s="1" t="str">
        <f>IF(BaseCoalPlants!W256=0,"",BaseCoalPlants!W256)</f>
        <v/>
      </c>
      <c r="O254" s="1" t="str">
        <f>IF(BaseCoalPlants!X256=0,"",BaseCoalPlants!X256)</f>
        <v/>
      </c>
      <c r="P254" s="1" t="str">
        <f>IF(BaseCoalPlants!Y256=0,"",BaseCoalPlants!Y256)</f>
        <v/>
      </c>
      <c r="Q254" s="1">
        <f>IF(BaseCoalPlants!Z256=0,"",BaseCoalPlants!Z256)</f>
        <v>0.31341651204422688</v>
      </c>
      <c r="R254" s="1" t="str">
        <f>IF(BaseCoalPlants!AA256=0,"",BaseCoalPlants!AA256)</f>
        <v/>
      </c>
      <c r="S254" s="1" t="str">
        <f>IF(BaseCoalPlants!AB256=0,"",BaseCoalPlants!AB256)</f>
        <v/>
      </c>
      <c r="T254" s="1">
        <f>IF(BaseCoalPlants!AC256=0,"",BaseCoalPlants!AC256)</f>
        <v>0.30352080216662591</v>
      </c>
      <c r="U254" s="1" t="str">
        <f>IF(BaseCoalPlants!AD256=0,"",BaseCoalPlants!AD256)</f>
        <v/>
      </c>
      <c r="V254" s="1" t="str">
        <f>IF(BaseCoalPlants!AE256=0,"",BaseCoalPlants!AE256)</f>
        <v/>
      </c>
    </row>
    <row r="255" spans="3:22" x14ac:dyDescent="0.35">
      <c r="C255" t="str">
        <f>IF(BaseCoalPlants!B257="VDA_FLOP",IF(BaseCoalPlants!D257="ELC","*","INPUT"),BaseCoalPlants!B257)</f>
        <v>EFF</v>
      </c>
      <c r="D255" t="str">
        <f>IF(BaseCoalPlants!C257="","\I:",BaseCoalPlants!C257&amp;"_LE")</f>
        <v>ECSTMRSOR_LE</v>
      </c>
      <c r="E255" t="str">
        <f>IF(BaseCoalPlants!D257="-","",BaseCoalPlants!D257)</f>
        <v/>
      </c>
      <c r="F255" t="str">
        <f>IF(BaseCoalPlants!E257="-","",BaseCoalPlants!E257)</f>
        <v/>
      </c>
      <c r="G255" t="str">
        <f>IF(BaseCoalPlants!F257="-","",BaseCoalPlants!F257)</f>
        <v>ANNUAL</v>
      </c>
      <c r="H255">
        <f>IF(BaseCoalPlants!G257="-","",BaseCoalPlants!G257)</f>
        <v>1978</v>
      </c>
      <c r="I255" t="str">
        <f>IF(BaseCoalPlants!H257="-","",BaseCoalPlants!H257)</f>
        <v/>
      </c>
      <c r="J255" t="str">
        <f>IF(BaseCoalPlants!I257="-","",BaseCoalPlants!I257)</f>
        <v/>
      </c>
      <c r="K255" t="str">
        <f>IF(BaseCoalPlants!J257="-","",BaseCoalPlants!J257)</f>
        <v/>
      </c>
      <c r="L255" t="str">
        <f>IF(BaseCoalPlants!K257="-","",BaseCoalPlants!K257)</f>
        <v/>
      </c>
      <c r="M255" s="1" t="str">
        <f>IF(BaseCoalPlants!L257=0,"",BaseCoalPlants!L257)</f>
        <v/>
      </c>
      <c r="N255" s="1" t="str">
        <f>IF(BaseCoalPlants!W257=0,"",BaseCoalPlants!W257)</f>
        <v/>
      </c>
      <c r="O255" s="1" t="str">
        <f>IF(BaseCoalPlants!X257=0,"",BaseCoalPlants!X257)</f>
        <v/>
      </c>
      <c r="P255" s="1">
        <f>IF(BaseCoalPlants!Y257=0,"",BaseCoalPlants!Y257)</f>
        <v>0.30057676610653344</v>
      </c>
      <c r="Q255" s="1">
        <f>IF(BaseCoalPlants!Z257=0,"",BaseCoalPlants!Z257)</f>
        <v>0.31150907035814496</v>
      </c>
      <c r="R255" s="1" t="str">
        <f>IF(BaseCoalPlants!AA257=0,"",BaseCoalPlants!AA257)</f>
        <v/>
      </c>
      <c r="S255" s="1">
        <f>IF(BaseCoalPlants!AB257=0,"",BaseCoalPlants!AB257)</f>
        <v>0.31936600587314207</v>
      </c>
      <c r="T255" s="1">
        <f>IF(BaseCoalPlants!AC257=0,"",BaseCoalPlants!AC257)</f>
        <v>0.3050596651308557</v>
      </c>
      <c r="U255" s="1">
        <f>IF(BaseCoalPlants!AD257=0,"",BaseCoalPlants!AD257)</f>
        <v>0.28876680921614878</v>
      </c>
      <c r="V255" s="1" t="str">
        <f>IF(BaseCoalPlants!AE257=0,"",BaseCoalPlants!AE257)</f>
        <v/>
      </c>
    </row>
    <row r="256" spans="3:22" x14ac:dyDescent="0.35">
      <c r="C256" t="str">
        <f>IF(BaseCoalPlants!B258="VDA_FLOP",IF(BaseCoalPlants!D258="ELC","*","INPUT"),BaseCoalPlants!B258)</f>
        <v>EFF</v>
      </c>
      <c r="D256" t="str">
        <f>IF(BaseCoalPlants!C258="","\I:",BaseCoalPlants!C258&amp;"_LE")</f>
        <v>ECSTMRSOR_LE</v>
      </c>
      <c r="E256" t="str">
        <f>IF(BaseCoalPlants!D258="-","",BaseCoalPlants!D258)</f>
        <v/>
      </c>
      <c r="F256" t="str">
        <f>IF(BaseCoalPlants!E258="-","",BaseCoalPlants!E258)</f>
        <v/>
      </c>
      <c r="G256" t="str">
        <f>IF(BaseCoalPlants!F258="-","",BaseCoalPlants!F258)</f>
        <v>ANNUAL</v>
      </c>
      <c r="H256">
        <f>IF(BaseCoalPlants!G258="-","",BaseCoalPlants!G258)</f>
        <v>1979</v>
      </c>
      <c r="I256" t="str">
        <f>IF(BaseCoalPlants!H258="-","",BaseCoalPlants!H258)</f>
        <v/>
      </c>
      <c r="J256" t="str">
        <f>IF(BaseCoalPlants!I258="-","",BaseCoalPlants!I258)</f>
        <v/>
      </c>
      <c r="K256" t="str">
        <f>IF(BaseCoalPlants!J258="-","",BaseCoalPlants!J258)</f>
        <v/>
      </c>
      <c r="L256" t="str">
        <f>IF(BaseCoalPlants!K258="-","",BaseCoalPlants!K258)</f>
        <v/>
      </c>
      <c r="M256" s="1" t="str">
        <f>IF(BaseCoalPlants!L258=0,"",BaseCoalPlants!L258)</f>
        <v/>
      </c>
      <c r="N256" s="1" t="str">
        <f>IF(BaseCoalPlants!W258=0,"",BaseCoalPlants!W258)</f>
        <v/>
      </c>
      <c r="O256" s="1" t="str">
        <f>IF(BaseCoalPlants!X258=0,"",BaseCoalPlants!X258)</f>
        <v/>
      </c>
      <c r="P256" s="1">
        <f>IF(BaseCoalPlants!Y258=0,"",BaseCoalPlants!Y258)</f>
        <v>0.28399041039326017</v>
      </c>
      <c r="Q256" s="1" t="str">
        <f>IF(BaseCoalPlants!Z258=0,"",BaseCoalPlants!Z258)</f>
        <v/>
      </c>
      <c r="R256" s="1" t="str">
        <f>IF(BaseCoalPlants!AA258=0,"",BaseCoalPlants!AA258)</f>
        <v/>
      </c>
      <c r="S256" s="1" t="str">
        <f>IF(BaseCoalPlants!AB258=0,"",BaseCoalPlants!AB258)</f>
        <v/>
      </c>
      <c r="T256" s="1">
        <f>IF(BaseCoalPlants!AC258=0,"",BaseCoalPlants!AC258)</f>
        <v>0.3196822989493795</v>
      </c>
      <c r="U256" s="1">
        <f>IF(BaseCoalPlants!AD258=0,"",BaseCoalPlants!AD258)</f>
        <v>0.3139542807438182</v>
      </c>
      <c r="V256" s="1" t="str">
        <f>IF(BaseCoalPlants!AE258=0,"",BaseCoalPlants!AE258)</f>
        <v/>
      </c>
    </row>
    <row r="257" spans="3:22" x14ac:dyDescent="0.35">
      <c r="C257" t="str">
        <f>IF(BaseCoalPlants!B259="VDA_FLOP",IF(BaseCoalPlants!D259="ELC","*","INPUT"),BaseCoalPlants!B259)</f>
        <v>EFF</v>
      </c>
      <c r="D257" t="str">
        <f>IF(BaseCoalPlants!C259="","\I:",BaseCoalPlants!C259&amp;"_LE")</f>
        <v>ECSTMRSOR_LE</v>
      </c>
      <c r="E257" t="str">
        <f>IF(BaseCoalPlants!D259="-","",BaseCoalPlants!D259)</f>
        <v/>
      </c>
      <c r="F257" t="str">
        <f>IF(BaseCoalPlants!E259="-","",BaseCoalPlants!E259)</f>
        <v/>
      </c>
      <c r="G257" t="str">
        <f>IF(BaseCoalPlants!F259="-","",BaseCoalPlants!F259)</f>
        <v>ANNUAL</v>
      </c>
      <c r="H257">
        <f>IF(BaseCoalPlants!G259="-","",BaseCoalPlants!G259)</f>
        <v>1980</v>
      </c>
      <c r="I257" t="str">
        <f>IF(BaseCoalPlants!H259="-","",BaseCoalPlants!H259)</f>
        <v/>
      </c>
      <c r="J257" t="str">
        <f>IF(BaseCoalPlants!I259="-","",BaseCoalPlants!I259)</f>
        <v/>
      </c>
      <c r="K257" t="str">
        <f>IF(BaseCoalPlants!J259="-","",BaseCoalPlants!J259)</f>
        <v/>
      </c>
      <c r="L257" t="str">
        <f>IF(BaseCoalPlants!K259="-","",BaseCoalPlants!K259)</f>
        <v/>
      </c>
      <c r="M257" s="1" t="str">
        <f>IF(BaseCoalPlants!L259=0,"",BaseCoalPlants!L259)</f>
        <v/>
      </c>
      <c r="N257" s="1" t="str">
        <f>IF(BaseCoalPlants!W259=0,"",BaseCoalPlants!W259)</f>
        <v/>
      </c>
      <c r="O257" s="1" t="str">
        <f>IF(BaseCoalPlants!X259=0,"",BaseCoalPlants!X259)</f>
        <v/>
      </c>
      <c r="P257" s="1">
        <f>IF(BaseCoalPlants!Y259=0,"",BaseCoalPlants!Y259)</f>
        <v>0.3035705109708326</v>
      </c>
      <c r="Q257" s="1">
        <f>IF(BaseCoalPlants!Z259=0,"",BaseCoalPlants!Z259)</f>
        <v>0.30701306315709986</v>
      </c>
      <c r="R257" s="1" t="str">
        <f>IF(BaseCoalPlants!AA259=0,"",BaseCoalPlants!AA259)</f>
        <v/>
      </c>
      <c r="S257" s="1" t="str">
        <f>IF(BaseCoalPlants!AB259=0,"",BaseCoalPlants!AB259)</f>
        <v/>
      </c>
      <c r="T257" s="1">
        <f>IF(BaseCoalPlants!AC259=0,"",BaseCoalPlants!AC259)</f>
        <v>0.30968574544294369</v>
      </c>
      <c r="U257" s="1">
        <f>IF(BaseCoalPlants!AD259=0,"",BaseCoalPlants!AD259)</f>
        <v>0.31830485496954242</v>
      </c>
      <c r="V257" s="1">
        <f>IF(BaseCoalPlants!AE259=0,"",BaseCoalPlants!AE259)</f>
        <v>0.30214253679083714</v>
      </c>
    </row>
    <row r="258" spans="3:22" x14ac:dyDescent="0.35">
      <c r="C258" t="str">
        <f>IF(BaseCoalPlants!B260="VDA_FLOP",IF(BaseCoalPlants!D260="ELC","*","INPUT"),BaseCoalPlants!B260)</f>
        <v>EFF</v>
      </c>
      <c r="D258" t="str">
        <f>IF(BaseCoalPlants!C260="","\I:",BaseCoalPlants!C260&amp;"_LE")</f>
        <v>ECSTMRSOR_LE</v>
      </c>
      <c r="E258" t="str">
        <f>IF(BaseCoalPlants!D260="-","",BaseCoalPlants!D260)</f>
        <v/>
      </c>
      <c r="F258" t="str">
        <f>IF(BaseCoalPlants!E260="-","",BaseCoalPlants!E260)</f>
        <v/>
      </c>
      <c r="G258" t="str">
        <f>IF(BaseCoalPlants!F260="-","",BaseCoalPlants!F260)</f>
        <v>ANNUAL</v>
      </c>
      <c r="H258">
        <f>IF(BaseCoalPlants!G260="-","",BaseCoalPlants!G260)</f>
        <v>1981</v>
      </c>
      <c r="I258" t="str">
        <f>IF(BaseCoalPlants!H260="-","",BaseCoalPlants!H260)</f>
        <v/>
      </c>
      <c r="J258" t="str">
        <f>IF(BaseCoalPlants!I260="-","",BaseCoalPlants!I260)</f>
        <v/>
      </c>
      <c r="K258" t="str">
        <f>IF(BaseCoalPlants!J260="-","",BaseCoalPlants!J260)</f>
        <v/>
      </c>
      <c r="L258" t="str">
        <f>IF(BaseCoalPlants!K260="-","",BaseCoalPlants!K260)</f>
        <v/>
      </c>
      <c r="M258" s="1" t="str">
        <f>IF(BaseCoalPlants!L260=0,"",BaseCoalPlants!L260)</f>
        <v/>
      </c>
      <c r="N258" s="1" t="str">
        <f>IF(BaseCoalPlants!W260=0,"",BaseCoalPlants!W260)</f>
        <v/>
      </c>
      <c r="O258" s="1" t="str">
        <f>IF(BaseCoalPlants!X260=0,"",BaseCoalPlants!X260)</f>
        <v/>
      </c>
      <c r="P258" s="1" t="str">
        <f>IF(BaseCoalPlants!Y260=0,"",BaseCoalPlants!Y260)</f>
        <v/>
      </c>
      <c r="Q258" s="1">
        <f>IF(BaseCoalPlants!Z260=0,"",BaseCoalPlants!Z260)</f>
        <v>0.31283969147255714</v>
      </c>
      <c r="R258" s="1" t="str">
        <f>IF(BaseCoalPlants!AA260=0,"",BaseCoalPlants!AA260)</f>
        <v/>
      </c>
      <c r="S258" s="1" t="str">
        <f>IF(BaseCoalPlants!AB260=0,"",BaseCoalPlants!AB260)</f>
        <v/>
      </c>
      <c r="T258" s="1">
        <f>IF(BaseCoalPlants!AC260=0,"",BaseCoalPlants!AC260)</f>
        <v>0.2999121471573552</v>
      </c>
      <c r="U258" s="1">
        <f>IF(BaseCoalPlants!AD260=0,"",BaseCoalPlants!AD260)</f>
        <v>0.31155791312184866</v>
      </c>
      <c r="V258" s="1" t="str">
        <f>IF(BaseCoalPlants!AE260=0,"",BaseCoalPlants!AE260)</f>
        <v/>
      </c>
    </row>
    <row r="259" spans="3:22" x14ac:dyDescent="0.35">
      <c r="C259" t="str">
        <f>IF(BaseCoalPlants!B261="VDA_FLOP",IF(BaseCoalPlants!D261="ELC","*","INPUT"),BaseCoalPlants!B261)</f>
        <v>EFF</v>
      </c>
      <c r="D259" t="str">
        <f>IF(BaseCoalPlants!C261="","\I:",BaseCoalPlants!C261&amp;"_LE")</f>
        <v>ECSTMRSOR_LE</v>
      </c>
      <c r="E259" t="str">
        <f>IF(BaseCoalPlants!D261="-","",BaseCoalPlants!D261)</f>
        <v/>
      </c>
      <c r="F259" t="str">
        <f>IF(BaseCoalPlants!E261="-","",BaseCoalPlants!E261)</f>
        <v/>
      </c>
      <c r="G259" t="str">
        <f>IF(BaseCoalPlants!F261="-","",BaseCoalPlants!F261)</f>
        <v>ANNUAL</v>
      </c>
      <c r="H259">
        <f>IF(BaseCoalPlants!G261="-","",BaseCoalPlants!G261)</f>
        <v>1982</v>
      </c>
      <c r="I259" t="str">
        <f>IF(BaseCoalPlants!H261="-","",BaseCoalPlants!H261)</f>
        <v/>
      </c>
      <c r="J259" t="str">
        <f>IF(BaseCoalPlants!I261="-","",BaseCoalPlants!I261)</f>
        <v/>
      </c>
      <c r="K259" t="str">
        <f>IF(BaseCoalPlants!J261="-","",BaseCoalPlants!J261)</f>
        <v/>
      </c>
      <c r="L259" t="str">
        <f>IF(BaseCoalPlants!K261="-","",BaseCoalPlants!K261)</f>
        <v/>
      </c>
      <c r="M259" s="1" t="str">
        <f>IF(BaseCoalPlants!L261=0,"",BaseCoalPlants!L261)</f>
        <v/>
      </c>
      <c r="N259" s="1" t="str">
        <f>IF(BaseCoalPlants!W261=0,"",BaseCoalPlants!W261)</f>
        <v/>
      </c>
      <c r="O259" s="1" t="str">
        <f>IF(BaseCoalPlants!X261=0,"",BaseCoalPlants!X261)</f>
        <v/>
      </c>
      <c r="P259" s="1" t="str">
        <f>IF(BaseCoalPlants!Y261=0,"",BaseCoalPlants!Y261)</f>
        <v/>
      </c>
      <c r="Q259" s="1">
        <f>IF(BaseCoalPlants!Z261=0,"",BaseCoalPlants!Z261)</f>
        <v>0.26415848591938174</v>
      </c>
      <c r="R259" s="1">
        <f>IF(BaseCoalPlants!AA261=0,"",BaseCoalPlants!AA261)</f>
        <v>0.32144337002121981</v>
      </c>
      <c r="S259" s="1" t="str">
        <f>IF(BaseCoalPlants!AB261=0,"",BaseCoalPlants!AB261)</f>
        <v/>
      </c>
      <c r="T259" s="1">
        <f>IF(BaseCoalPlants!AC261=0,"",BaseCoalPlants!AC261)</f>
        <v>0.3081434231198083</v>
      </c>
      <c r="U259" s="1">
        <f>IF(BaseCoalPlants!AD261=0,"",BaseCoalPlants!AD261)</f>
        <v>0.34830721785074498</v>
      </c>
      <c r="V259" s="1" t="str">
        <f>IF(BaseCoalPlants!AE261=0,"",BaseCoalPlants!AE261)</f>
        <v/>
      </c>
    </row>
    <row r="260" spans="3:22" x14ac:dyDescent="0.35">
      <c r="C260" t="str">
        <f>IF(BaseCoalPlants!B262="VDA_FLOP",IF(BaseCoalPlants!D262="ELC","*","INPUT"),BaseCoalPlants!B262)</f>
        <v>EFF</v>
      </c>
      <c r="D260" t="str">
        <f>IF(BaseCoalPlants!C262="","\I:",BaseCoalPlants!C262&amp;"_LE")</f>
        <v>ECSTMRSOR_LE</v>
      </c>
      <c r="E260" t="str">
        <f>IF(BaseCoalPlants!D262="-","",BaseCoalPlants!D262)</f>
        <v/>
      </c>
      <c r="F260" t="str">
        <f>IF(BaseCoalPlants!E262="-","",BaseCoalPlants!E262)</f>
        <v/>
      </c>
      <c r="G260" t="str">
        <f>IF(BaseCoalPlants!F262="-","",BaseCoalPlants!F262)</f>
        <v>ANNUAL</v>
      </c>
      <c r="H260">
        <f>IF(BaseCoalPlants!G262="-","",BaseCoalPlants!G262)</f>
        <v>1983</v>
      </c>
      <c r="I260" t="str">
        <f>IF(BaseCoalPlants!H262="-","",BaseCoalPlants!H262)</f>
        <v/>
      </c>
      <c r="J260" t="str">
        <f>IF(BaseCoalPlants!I262="-","",BaseCoalPlants!I262)</f>
        <v/>
      </c>
      <c r="K260" t="str">
        <f>IF(BaseCoalPlants!J262="-","",BaseCoalPlants!J262)</f>
        <v/>
      </c>
      <c r="L260" t="str">
        <f>IF(BaseCoalPlants!K262="-","",BaseCoalPlants!K262)</f>
        <v/>
      </c>
      <c r="M260" s="1" t="str">
        <f>IF(BaseCoalPlants!L262=0,"",BaseCoalPlants!L262)</f>
        <v/>
      </c>
      <c r="N260" s="1" t="str">
        <f>IF(BaseCoalPlants!W262=0,"",BaseCoalPlants!W262)</f>
        <v/>
      </c>
      <c r="O260" s="1" t="str">
        <f>IF(BaseCoalPlants!X262=0,"",BaseCoalPlants!X262)</f>
        <v/>
      </c>
      <c r="P260" s="1" t="str">
        <f>IF(BaseCoalPlants!Y262=0,"",BaseCoalPlants!Y262)</f>
        <v/>
      </c>
      <c r="Q260" s="1">
        <f>IF(BaseCoalPlants!Z262=0,"",BaseCoalPlants!Z262)</f>
        <v>0.30591708986527583</v>
      </c>
      <c r="R260" s="1" t="str">
        <f>IF(BaseCoalPlants!AA262=0,"",BaseCoalPlants!AA262)</f>
        <v/>
      </c>
      <c r="S260" s="1" t="str">
        <f>IF(BaseCoalPlants!AB262=0,"",BaseCoalPlants!AB262)</f>
        <v/>
      </c>
      <c r="T260" s="1">
        <f>IF(BaseCoalPlants!AC262=0,"",BaseCoalPlants!AC262)</f>
        <v>0.32186403232206623</v>
      </c>
      <c r="U260" s="1" t="str">
        <f>IF(BaseCoalPlants!AD262=0,"",BaseCoalPlants!AD262)</f>
        <v/>
      </c>
      <c r="V260" s="1" t="str">
        <f>IF(BaseCoalPlants!AE262=0,"",BaseCoalPlants!AE262)</f>
        <v/>
      </c>
    </row>
    <row r="261" spans="3:22" x14ac:dyDescent="0.35">
      <c r="C261" t="str">
        <f>IF(BaseCoalPlants!B263="VDA_FLOP",IF(BaseCoalPlants!D263="ELC","*","INPUT"),BaseCoalPlants!B263)</f>
        <v>EFF</v>
      </c>
      <c r="D261" t="str">
        <f>IF(BaseCoalPlants!C263="","\I:",BaseCoalPlants!C263&amp;"_LE")</f>
        <v>ECSTMRSOR_LE</v>
      </c>
      <c r="E261" t="str">
        <f>IF(BaseCoalPlants!D263="-","",BaseCoalPlants!D263)</f>
        <v/>
      </c>
      <c r="F261" t="str">
        <f>IF(BaseCoalPlants!E263="-","",BaseCoalPlants!E263)</f>
        <v/>
      </c>
      <c r="G261" t="str">
        <f>IF(BaseCoalPlants!F263="-","",BaseCoalPlants!F263)</f>
        <v>ANNUAL</v>
      </c>
      <c r="H261">
        <f>IF(BaseCoalPlants!G263="-","",BaseCoalPlants!G263)</f>
        <v>1984</v>
      </c>
      <c r="I261" t="str">
        <f>IF(BaseCoalPlants!H263="-","",BaseCoalPlants!H263)</f>
        <v/>
      </c>
      <c r="J261" t="str">
        <f>IF(BaseCoalPlants!I263="-","",BaseCoalPlants!I263)</f>
        <v/>
      </c>
      <c r="K261" t="str">
        <f>IF(BaseCoalPlants!J263="-","",BaseCoalPlants!J263)</f>
        <v/>
      </c>
      <c r="L261" t="str">
        <f>IF(BaseCoalPlants!K263="-","",BaseCoalPlants!K263)</f>
        <v/>
      </c>
      <c r="M261" s="1" t="str">
        <f>IF(BaseCoalPlants!L263=0,"",BaseCoalPlants!L263)</f>
        <v/>
      </c>
      <c r="N261" s="1" t="str">
        <f>IF(BaseCoalPlants!W263=0,"",BaseCoalPlants!W263)</f>
        <v/>
      </c>
      <c r="O261" s="1" t="str">
        <f>IF(BaseCoalPlants!X263=0,"",BaseCoalPlants!X263)</f>
        <v/>
      </c>
      <c r="P261" s="1">
        <f>IF(BaseCoalPlants!Y263=0,"",BaseCoalPlants!Y263)</f>
        <v>0.33816758376032352</v>
      </c>
      <c r="Q261" s="1" t="str">
        <f>IF(BaseCoalPlants!Z263=0,"",BaseCoalPlants!Z263)</f>
        <v/>
      </c>
      <c r="R261" s="1">
        <f>IF(BaseCoalPlants!AA263=0,"",BaseCoalPlants!AA263)</f>
        <v>0.31724088552065283</v>
      </c>
      <c r="S261" s="1" t="str">
        <f>IF(BaseCoalPlants!AB263=0,"",BaseCoalPlants!AB263)</f>
        <v/>
      </c>
      <c r="T261" s="1">
        <f>IF(BaseCoalPlants!AC263=0,"",BaseCoalPlants!AC263)</f>
        <v>0.32350675329708189</v>
      </c>
      <c r="U261" s="1">
        <f>IF(BaseCoalPlants!AD263=0,"",BaseCoalPlants!AD263)</f>
        <v>0.29907271295560511</v>
      </c>
      <c r="V261" s="1" t="str">
        <f>IF(BaseCoalPlants!AE263=0,"",BaseCoalPlants!AE263)</f>
        <v/>
      </c>
    </row>
    <row r="262" spans="3:22" x14ac:dyDescent="0.35">
      <c r="C262" t="str">
        <f>IF(BaseCoalPlants!B264="VDA_FLOP",IF(BaseCoalPlants!D264="ELC","*","INPUT"),BaseCoalPlants!B264)</f>
        <v>EFF</v>
      </c>
      <c r="D262" t="str">
        <f>IF(BaseCoalPlants!C264="","\I:",BaseCoalPlants!C264&amp;"_LE")</f>
        <v>ECSTMRSOR_LE</v>
      </c>
      <c r="E262" t="str">
        <f>IF(BaseCoalPlants!D264="-","",BaseCoalPlants!D264)</f>
        <v/>
      </c>
      <c r="F262" t="str">
        <f>IF(BaseCoalPlants!E264="-","",BaseCoalPlants!E264)</f>
        <v/>
      </c>
      <c r="G262" t="str">
        <f>IF(BaseCoalPlants!F264="-","",BaseCoalPlants!F264)</f>
        <v>ANNUAL</v>
      </c>
      <c r="H262">
        <f>IF(BaseCoalPlants!G264="-","",BaseCoalPlants!G264)</f>
        <v>1985</v>
      </c>
      <c r="I262" t="str">
        <f>IF(BaseCoalPlants!H264="-","",BaseCoalPlants!H264)</f>
        <v/>
      </c>
      <c r="J262" t="str">
        <f>IF(BaseCoalPlants!I264="-","",BaseCoalPlants!I264)</f>
        <v/>
      </c>
      <c r="K262" t="str">
        <f>IF(BaseCoalPlants!J264="-","",BaseCoalPlants!J264)</f>
        <v/>
      </c>
      <c r="L262" t="str">
        <f>IF(BaseCoalPlants!K264="-","",BaseCoalPlants!K264)</f>
        <v/>
      </c>
      <c r="M262" s="1" t="str">
        <f>IF(BaseCoalPlants!L264=0,"",BaseCoalPlants!L264)</f>
        <v/>
      </c>
      <c r="N262" s="1" t="str">
        <f>IF(BaseCoalPlants!W264=0,"",BaseCoalPlants!W264)</f>
        <v/>
      </c>
      <c r="O262" s="1" t="str">
        <f>IF(BaseCoalPlants!X264=0,"",BaseCoalPlants!X264)</f>
        <v/>
      </c>
      <c r="P262" s="1">
        <f>IF(BaseCoalPlants!Y264=0,"",BaseCoalPlants!Y264)</f>
        <v>0.30133652689598495</v>
      </c>
      <c r="Q262" s="1" t="str">
        <f>IF(BaseCoalPlants!Z264=0,"",BaseCoalPlants!Z264)</f>
        <v/>
      </c>
      <c r="R262" s="1" t="str">
        <f>IF(BaseCoalPlants!AA264=0,"",BaseCoalPlants!AA264)</f>
        <v/>
      </c>
      <c r="S262" s="1">
        <f>IF(BaseCoalPlants!AB264=0,"",BaseCoalPlants!AB264)</f>
        <v>0.32142684702226559</v>
      </c>
      <c r="T262" s="1">
        <f>IF(BaseCoalPlants!AC264=0,"",BaseCoalPlants!AC264)</f>
        <v>0.32536009790432063</v>
      </c>
      <c r="U262" s="1">
        <f>IF(BaseCoalPlants!AD264=0,"",BaseCoalPlants!AD264)</f>
        <v>0.32755018337028863</v>
      </c>
      <c r="V262" s="1" t="str">
        <f>IF(BaseCoalPlants!AE264=0,"",BaseCoalPlants!AE264)</f>
        <v/>
      </c>
    </row>
    <row r="263" spans="3:22" x14ac:dyDescent="0.35">
      <c r="C263" t="str">
        <f>IF(BaseCoalPlants!B265="VDA_FLOP",IF(BaseCoalPlants!D265="ELC","*","INPUT"),BaseCoalPlants!B265)</f>
        <v>EFF</v>
      </c>
      <c r="D263" t="str">
        <f>IF(BaseCoalPlants!C265="","\I:",BaseCoalPlants!C265&amp;"_LE")</f>
        <v>ECSTMRSOR_LE</v>
      </c>
      <c r="E263" t="str">
        <f>IF(BaseCoalPlants!D265="-","",BaseCoalPlants!D265)</f>
        <v/>
      </c>
      <c r="F263" t="str">
        <f>IF(BaseCoalPlants!E265="-","",BaseCoalPlants!E265)</f>
        <v/>
      </c>
      <c r="G263" t="str">
        <f>IF(BaseCoalPlants!F265="-","",BaseCoalPlants!F265)</f>
        <v>ANNUAL</v>
      </c>
      <c r="H263">
        <f>IF(BaseCoalPlants!G265="-","",BaseCoalPlants!G265)</f>
        <v>1986</v>
      </c>
      <c r="I263" t="str">
        <f>IF(BaseCoalPlants!H265="-","",BaseCoalPlants!H265)</f>
        <v/>
      </c>
      <c r="J263" t="str">
        <f>IF(BaseCoalPlants!I265="-","",BaseCoalPlants!I265)</f>
        <v/>
      </c>
      <c r="K263" t="str">
        <f>IF(BaseCoalPlants!J265="-","",BaseCoalPlants!J265)</f>
        <v/>
      </c>
      <c r="L263" t="str">
        <f>IF(BaseCoalPlants!K265="-","",BaseCoalPlants!K265)</f>
        <v/>
      </c>
      <c r="M263" s="1" t="str">
        <f>IF(BaseCoalPlants!L265=0,"",BaseCoalPlants!L265)</f>
        <v/>
      </c>
      <c r="N263" s="1" t="str">
        <f>IF(BaseCoalPlants!W265=0,"",BaseCoalPlants!W265)</f>
        <v/>
      </c>
      <c r="O263" s="1" t="str">
        <f>IF(BaseCoalPlants!X265=0,"",BaseCoalPlants!X265)</f>
        <v/>
      </c>
      <c r="P263" s="1" t="str">
        <f>IF(BaseCoalPlants!Y265=0,"",BaseCoalPlants!Y265)</f>
        <v/>
      </c>
      <c r="Q263" s="1" t="str">
        <f>IF(BaseCoalPlants!Z265=0,"",BaseCoalPlants!Z265)</f>
        <v/>
      </c>
      <c r="R263" s="1" t="str">
        <f>IF(BaseCoalPlants!AA265=0,"",BaseCoalPlants!AA265)</f>
        <v/>
      </c>
      <c r="S263" s="1" t="str">
        <f>IF(BaseCoalPlants!AB265=0,"",BaseCoalPlants!AB265)</f>
        <v/>
      </c>
      <c r="T263" s="1">
        <f>IF(BaseCoalPlants!AC265=0,"",BaseCoalPlants!AC265)</f>
        <v>0.31302346672950426</v>
      </c>
      <c r="U263" s="1">
        <f>IF(BaseCoalPlants!AD265=0,"",BaseCoalPlants!AD265)</f>
        <v>0.28999906018823135</v>
      </c>
      <c r="V263" s="1" t="str">
        <f>IF(BaseCoalPlants!AE265=0,"",BaseCoalPlants!AE265)</f>
        <v/>
      </c>
    </row>
    <row r="264" spans="3:22" x14ac:dyDescent="0.35">
      <c r="C264" t="str">
        <f>IF(BaseCoalPlants!B266="VDA_FLOP",IF(BaseCoalPlants!D266="ELC","*","INPUT"),BaseCoalPlants!B266)</f>
        <v>EFF</v>
      </c>
      <c r="D264" t="str">
        <f>IF(BaseCoalPlants!C266="","\I:",BaseCoalPlants!C266&amp;"_LE")</f>
        <v>ECSTMRSOR_LE</v>
      </c>
      <c r="E264" t="str">
        <f>IF(BaseCoalPlants!D266="-","",BaseCoalPlants!D266)</f>
        <v/>
      </c>
      <c r="F264" t="str">
        <f>IF(BaseCoalPlants!E266="-","",BaseCoalPlants!E266)</f>
        <v/>
      </c>
      <c r="G264" t="str">
        <f>IF(BaseCoalPlants!F266="-","",BaseCoalPlants!F266)</f>
        <v>ANNUAL</v>
      </c>
      <c r="H264">
        <f>IF(BaseCoalPlants!G266="-","",BaseCoalPlants!G266)</f>
        <v>1987</v>
      </c>
      <c r="I264" t="str">
        <f>IF(BaseCoalPlants!H266="-","",BaseCoalPlants!H266)</f>
        <v/>
      </c>
      <c r="J264" t="str">
        <f>IF(BaseCoalPlants!I266="-","",BaseCoalPlants!I266)</f>
        <v/>
      </c>
      <c r="K264" t="str">
        <f>IF(BaseCoalPlants!J266="-","",BaseCoalPlants!J266)</f>
        <v/>
      </c>
      <c r="L264" t="str">
        <f>IF(BaseCoalPlants!K266="-","",BaseCoalPlants!K266)</f>
        <v/>
      </c>
      <c r="M264" s="1" t="str">
        <f>IF(BaseCoalPlants!L266=0,"",BaseCoalPlants!L266)</f>
        <v/>
      </c>
      <c r="N264" s="1" t="str">
        <f>IF(BaseCoalPlants!W266=0,"",BaseCoalPlants!W266)</f>
        <v/>
      </c>
      <c r="O264" s="1" t="str">
        <f>IF(BaseCoalPlants!X266=0,"",BaseCoalPlants!X266)</f>
        <v/>
      </c>
      <c r="P264" s="1" t="str">
        <f>IF(BaseCoalPlants!Y266=0,"",BaseCoalPlants!Y266)</f>
        <v/>
      </c>
      <c r="Q264" s="1">
        <f>IF(BaseCoalPlants!Z266=0,"",BaseCoalPlants!Z266)</f>
        <v>0.3223924204198656</v>
      </c>
      <c r="R264" s="1">
        <f>IF(BaseCoalPlants!AA266=0,"",BaseCoalPlants!AA266)</f>
        <v>0.30615227886787488</v>
      </c>
      <c r="S264" s="1" t="str">
        <f>IF(BaseCoalPlants!AB266=0,"",BaseCoalPlants!AB266)</f>
        <v/>
      </c>
      <c r="T264" s="1" t="str">
        <f>IF(BaseCoalPlants!AC266=0,"",BaseCoalPlants!AC266)</f>
        <v/>
      </c>
      <c r="U264" s="1" t="str">
        <f>IF(BaseCoalPlants!AD266=0,"",BaseCoalPlants!AD266)</f>
        <v/>
      </c>
      <c r="V264" s="1" t="str">
        <f>IF(BaseCoalPlants!AE266=0,"",BaseCoalPlants!AE266)</f>
        <v/>
      </c>
    </row>
    <row r="265" spans="3:22" x14ac:dyDescent="0.35">
      <c r="C265" t="str">
        <f>IF(BaseCoalPlants!B267="VDA_FLOP",IF(BaseCoalPlants!D267="ELC","*","INPUT"),BaseCoalPlants!B267)</f>
        <v>EFF</v>
      </c>
      <c r="D265" t="str">
        <f>IF(BaseCoalPlants!C267="","\I:",BaseCoalPlants!C267&amp;"_LE")</f>
        <v>ECSTMRSOR_LE</v>
      </c>
      <c r="E265" t="str">
        <f>IF(BaseCoalPlants!D267="-","",BaseCoalPlants!D267)</f>
        <v/>
      </c>
      <c r="F265" t="str">
        <f>IF(BaseCoalPlants!E267="-","",BaseCoalPlants!E267)</f>
        <v/>
      </c>
      <c r="G265" t="str">
        <f>IF(BaseCoalPlants!F267="-","",BaseCoalPlants!F267)</f>
        <v>ANNUAL</v>
      </c>
      <c r="H265">
        <f>IF(BaseCoalPlants!G267="-","",BaseCoalPlants!G267)</f>
        <v>1989</v>
      </c>
      <c r="I265" t="str">
        <f>IF(BaseCoalPlants!H267="-","",BaseCoalPlants!H267)</f>
        <v/>
      </c>
      <c r="J265" t="str">
        <f>IF(BaseCoalPlants!I267="-","",BaseCoalPlants!I267)</f>
        <v/>
      </c>
      <c r="K265" t="str">
        <f>IF(BaseCoalPlants!J267="-","",BaseCoalPlants!J267)</f>
        <v/>
      </c>
      <c r="L265" t="str">
        <f>IF(BaseCoalPlants!K267="-","",BaseCoalPlants!K267)</f>
        <v/>
      </c>
      <c r="M265" s="1" t="str">
        <f>IF(BaseCoalPlants!L267=0,"",BaseCoalPlants!L267)</f>
        <v/>
      </c>
      <c r="N265" s="1" t="str">
        <f>IF(BaseCoalPlants!W267=0,"",BaseCoalPlants!W267)</f>
        <v/>
      </c>
      <c r="O265" s="1" t="str">
        <f>IF(BaseCoalPlants!X267=0,"",BaseCoalPlants!X267)</f>
        <v/>
      </c>
      <c r="P265" s="1">
        <f>IF(BaseCoalPlants!Y267=0,"",BaseCoalPlants!Y267)</f>
        <v>0.33495187974297119</v>
      </c>
      <c r="Q265" s="1" t="str">
        <f>IF(BaseCoalPlants!Z267=0,"",BaseCoalPlants!Z267)</f>
        <v/>
      </c>
      <c r="R265" s="1">
        <f>IF(BaseCoalPlants!AA267=0,"",BaseCoalPlants!AA267)</f>
        <v>0.31552970370701761</v>
      </c>
      <c r="S265" s="1">
        <f>IF(BaseCoalPlants!AB267=0,"",BaseCoalPlants!AB267)</f>
        <v>0.32114324966392704</v>
      </c>
      <c r="T265" s="1" t="str">
        <f>IF(BaseCoalPlants!AC267=0,"",BaseCoalPlants!AC267)</f>
        <v/>
      </c>
      <c r="U265" s="1" t="str">
        <f>IF(BaseCoalPlants!AD267=0,"",BaseCoalPlants!AD267)</f>
        <v/>
      </c>
      <c r="V265" s="1" t="str">
        <f>IF(BaseCoalPlants!AE267=0,"",BaseCoalPlants!AE267)</f>
        <v/>
      </c>
    </row>
    <row r="266" spans="3:22" x14ac:dyDescent="0.35">
      <c r="C266" t="str">
        <f>IF(BaseCoalPlants!B268="VDA_FLOP",IF(BaseCoalPlants!D268="ELC","*","INPUT"),BaseCoalPlants!B268)</f>
        <v>EFF</v>
      </c>
      <c r="D266" t="str">
        <f>IF(BaseCoalPlants!C268="","\I:",BaseCoalPlants!C268&amp;"_LE")</f>
        <v>ECSTMRSOR_LE</v>
      </c>
      <c r="E266" t="str">
        <f>IF(BaseCoalPlants!D268="-","",BaseCoalPlants!D268)</f>
        <v/>
      </c>
      <c r="F266" t="str">
        <f>IF(BaseCoalPlants!E268="-","",BaseCoalPlants!E268)</f>
        <v/>
      </c>
      <c r="G266" t="str">
        <f>IF(BaseCoalPlants!F268="-","",BaseCoalPlants!F268)</f>
        <v>ANNUAL</v>
      </c>
      <c r="H266">
        <f>IF(BaseCoalPlants!G268="-","",BaseCoalPlants!G268)</f>
        <v>1990</v>
      </c>
      <c r="I266" t="str">
        <f>IF(BaseCoalPlants!H268="-","",BaseCoalPlants!H268)</f>
        <v/>
      </c>
      <c r="J266" t="str">
        <f>IF(BaseCoalPlants!I268="-","",BaseCoalPlants!I268)</f>
        <v/>
      </c>
      <c r="K266" t="str">
        <f>IF(BaseCoalPlants!J268="-","",BaseCoalPlants!J268)</f>
        <v/>
      </c>
      <c r="L266" t="str">
        <f>IF(BaseCoalPlants!K268="-","",BaseCoalPlants!K268)</f>
        <v/>
      </c>
      <c r="M266" s="1" t="str">
        <f>IF(BaseCoalPlants!L268=0,"",BaseCoalPlants!L268)</f>
        <v/>
      </c>
      <c r="N266" s="1" t="str">
        <f>IF(BaseCoalPlants!W268=0,"",BaseCoalPlants!W268)</f>
        <v/>
      </c>
      <c r="O266" s="1" t="str">
        <f>IF(BaseCoalPlants!X268=0,"",BaseCoalPlants!X268)</f>
        <v/>
      </c>
      <c r="P266" s="1" t="str">
        <f>IF(BaseCoalPlants!Y268=0,"",BaseCoalPlants!Y268)</f>
        <v/>
      </c>
      <c r="Q266" s="1" t="str">
        <f>IF(BaseCoalPlants!Z268=0,"",BaseCoalPlants!Z268)</f>
        <v/>
      </c>
      <c r="R266" s="1" t="str">
        <f>IF(BaseCoalPlants!AA268=0,"",BaseCoalPlants!AA268)</f>
        <v/>
      </c>
      <c r="S266" s="1" t="str">
        <f>IF(BaseCoalPlants!AB268=0,"",BaseCoalPlants!AB268)</f>
        <v/>
      </c>
      <c r="T266" s="1" t="str">
        <f>IF(BaseCoalPlants!AC268=0,"",BaseCoalPlants!AC268)</f>
        <v/>
      </c>
      <c r="U266" s="1">
        <f>IF(BaseCoalPlants!AD268=0,"",BaseCoalPlants!AD268)</f>
        <v>0.3311259864435715</v>
      </c>
      <c r="V266" s="1" t="str">
        <f>IF(BaseCoalPlants!AE268=0,"",BaseCoalPlants!AE268)</f>
        <v/>
      </c>
    </row>
    <row r="267" spans="3:22" x14ac:dyDescent="0.35">
      <c r="C267" t="str">
        <f>IF(BaseCoalPlants!B269="VDA_FLOP",IF(BaseCoalPlants!D269="ELC","*","INPUT"),BaseCoalPlants!B269)</f>
        <v>EFF</v>
      </c>
      <c r="D267" t="str">
        <f>IF(BaseCoalPlants!C269="","\I:",BaseCoalPlants!C269&amp;"_LE")</f>
        <v>ECSTMRSOR_LE</v>
      </c>
      <c r="E267" t="str">
        <f>IF(BaseCoalPlants!D269="-","",BaseCoalPlants!D269)</f>
        <v/>
      </c>
      <c r="F267" t="str">
        <f>IF(BaseCoalPlants!E269="-","",BaseCoalPlants!E269)</f>
        <v/>
      </c>
      <c r="G267" t="str">
        <f>IF(BaseCoalPlants!F269="-","",BaseCoalPlants!F269)</f>
        <v>ANNUAL</v>
      </c>
      <c r="H267">
        <f>IF(BaseCoalPlants!G269="-","",BaseCoalPlants!G269)</f>
        <v>1991</v>
      </c>
      <c r="I267" t="str">
        <f>IF(BaseCoalPlants!H269="-","",BaseCoalPlants!H269)</f>
        <v/>
      </c>
      <c r="J267" t="str">
        <f>IF(BaseCoalPlants!I269="-","",BaseCoalPlants!I269)</f>
        <v/>
      </c>
      <c r="K267" t="str">
        <f>IF(BaseCoalPlants!J269="-","",BaseCoalPlants!J269)</f>
        <v/>
      </c>
      <c r="L267" t="str">
        <f>IF(BaseCoalPlants!K269="-","",BaseCoalPlants!K269)</f>
        <v/>
      </c>
      <c r="M267" s="1" t="str">
        <f>IF(BaseCoalPlants!L269=0,"",BaseCoalPlants!L269)</f>
        <v/>
      </c>
      <c r="N267" s="1" t="str">
        <f>IF(BaseCoalPlants!W269=0,"",BaseCoalPlants!W269)</f>
        <v/>
      </c>
      <c r="O267" s="1" t="str">
        <f>IF(BaseCoalPlants!X269=0,"",BaseCoalPlants!X269)</f>
        <v/>
      </c>
      <c r="P267" s="1" t="str">
        <f>IF(BaseCoalPlants!Y269=0,"",BaseCoalPlants!Y269)</f>
        <v/>
      </c>
      <c r="Q267" s="1" t="str">
        <f>IF(BaseCoalPlants!Z269=0,"",BaseCoalPlants!Z269)</f>
        <v/>
      </c>
      <c r="R267" s="1" t="str">
        <f>IF(BaseCoalPlants!AA269=0,"",BaseCoalPlants!AA269)</f>
        <v/>
      </c>
      <c r="S267" s="1">
        <f>IF(BaseCoalPlants!AB269=0,"",BaseCoalPlants!AB269)</f>
        <v>0.3230504134825517</v>
      </c>
      <c r="T267" s="1" t="str">
        <f>IF(BaseCoalPlants!AC269=0,"",BaseCoalPlants!AC269)</f>
        <v/>
      </c>
      <c r="U267" s="1" t="str">
        <f>IF(BaseCoalPlants!AD269=0,"",BaseCoalPlants!AD269)</f>
        <v/>
      </c>
      <c r="V267" s="1" t="str">
        <f>IF(BaseCoalPlants!AE269=0,"",BaseCoalPlants!AE269)</f>
        <v/>
      </c>
    </row>
    <row r="268" spans="3:22" x14ac:dyDescent="0.35">
      <c r="C268" t="str">
        <f>IF(BaseCoalPlants!B270="VDA_FLOP",IF(BaseCoalPlants!D270="ELC","*","INPUT"),BaseCoalPlants!B270)</f>
        <v>EFF</v>
      </c>
      <c r="D268" t="str">
        <f>IF(BaseCoalPlants!C270="","\I:",BaseCoalPlants!C270&amp;"_LE")</f>
        <v>ECSTMRSUO_LE</v>
      </c>
      <c r="E268" t="str">
        <f>IF(BaseCoalPlants!D270="-","",BaseCoalPlants!D270)</f>
        <v/>
      </c>
      <c r="F268" t="str">
        <f>IF(BaseCoalPlants!E270="-","",BaseCoalPlants!E270)</f>
        <v/>
      </c>
      <c r="G268" t="str">
        <f>IF(BaseCoalPlants!F270="-","",BaseCoalPlants!F270)</f>
        <v>ANNUAL</v>
      </c>
      <c r="H268">
        <f>IF(BaseCoalPlants!G270="-","",BaseCoalPlants!G270)</f>
        <v>1929</v>
      </c>
      <c r="I268" t="str">
        <f>IF(BaseCoalPlants!H270="-","",BaseCoalPlants!H270)</f>
        <v/>
      </c>
      <c r="J268" t="str">
        <f>IF(BaseCoalPlants!I270="-","",BaseCoalPlants!I270)</f>
        <v/>
      </c>
      <c r="K268" t="str">
        <f>IF(BaseCoalPlants!J270="-","",BaseCoalPlants!J270)</f>
        <v/>
      </c>
      <c r="L268" t="str">
        <f>IF(BaseCoalPlants!K270="-","",BaseCoalPlants!K270)</f>
        <v/>
      </c>
      <c r="M268" s="1" t="str">
        <f>IF(BaseCoalPlants!L270=0,"",BaseCoalPlants!L270)</f>
        <v/>
      </c>
      <c r="N268" s="1" t="str">
        <f>IF(BaseCoalPlants!W270=0,"",BaseCoalPlants!W270)</f>
        <v/>
      </c>
      <c r="O268" s="1" t="str">
        <f>IF(BaseCoalPlants!X270=0,"",BaseCoalPlants!X270)</f>
        <v/>
      </c>
      <c r="P268" s="1" t="str">
        <f>IF(BaseCoalPlants!Y270=0,"",BaseCoalPlants!Y270)</f>
        <v/>
      </c>
      <c r="Q268" s="1">
        <f>IF(BaseCoalPlants!Z270=0,"",BaseCoalPlants!Z270)</f>
        <v>0.25158047645236609</v>
      </c>
      <c r="R268" s="1" t="str">
        <f>IF(BaseCoalPlants!AA270=0,"",BaseCoalPlants!AA270)</f>
        <v/>
      </c>
      <c r="S268" s="1" t="str">
        <f>IF(BaseCoalPlants!AB270=0,"",BaseCoalPlants!AB270)</f>
        <v/>
      </c>
      <c r="T268" s="1" t="str">
        <f>IF(BaseCoalPlants!AC270=0,"",BaseCoalPlants!AC270)</f>
        <v/>
      </c>
      <c r="U268" s="1" t="str">
        <f>IF(BaseCoalPlants!AD270=0,"",BaseCoalPlants!AD270)</f>
        <v/>
      </c>
      <c r="V268" s="1" t="str">
        <f>IF(BaseCoalPlants!AE270=0,"",BaseCoalPlants!AE270)</f>
        <v/>
      </c>
    </row>
    <row r="269" spans="3:22" x14ac:dyDescent="0.35">
      <c r="C269" t="str">
        <f>IF(BaseCoalPlants!B271="VDA_FLOP",IF(BaseCoalPlants!D271="ELC","*","INPUT"),BaseCoalPlants!B271)</f>
        <v>EFF</v>
      </c>
      <c r="D269" t="str">
        <f>IF(BaseCoalPlants!C271="","\I:",BaseCoalPlants!C271&amp;"_LE")</f>
        <v>ECSTMRSUO_LE</v>
      </c>
      <c r="E269" t="str">
        <f>IF(BaseCoalPlants!D271="-","",BaseCoalPlants!D271)</f>
        <v/>
      </c>
      <c r="F269" t="str">
        <f>IF(BaseCoalPlants!E271="-","",BaseCoalPlants!E271)</f>
        <v/>
      </c>
      <c r="G269" t="str">
        <f>IF(BaseCoalPlants!F271="-","",BaseCoalPlants!F271)</f>
        <v>ANNUAL</v>
      </c>
      <c r="H269">
        <f>IF(BaseCoalPlants!G271="-","",BaseCoalPlants!G271)</f>
        <v>1930</v>
      </c>
      <c r="I269" t="str">
        <f>IF(BaseCoalPlants!H271="-","",BaseCoalPlants!H271)</f>
        <v/>
      </c>
      <c r="J269" t="str">
        <f>IF(BaseCoalPlants!I271="-","",BaseCoalPlants!I271)</f>
        <v/>
      </c>
      <c r="K269" t="str">
        <f>IF(BaseCoalPlants!J271="-","",BaseCoalPlants!J271)</f>
        <v/>
      </c>
      <c r="L269" t="str">
        <f>IF(BaseCoalPlants!K271="-","",BaseCoalPlants!K271)</f>
        <v/>
      </c>
      <c r="M269" s="1" t="str">
        <f>IF(BaseCoalPlants!L271=0,"",BaseCoalPlants!L271)</f>
        <v/>
      </c>
      <c r="N269" s="1" t="str">
        <f>IF(BaseCoalPlants!W271=0,"",BaseCoalPlants!W271)</f>
        <v/>
      </c>
      <c r="O269" s="1" t="str">
        <f>IF(BaseCoalPlants!X271=0,"",BaseCoalPlants!X271)</f>
        <v/>
      </c>
      <c r="P269" s="1" t="str">
        <f>IF(BaseCoalPlants!Y271=0,"",BaseCoalPlants!Y271)</f>
        <v/>
      </c>
      <c r="Q269" s="1">
        <f>IF(BaseCoalPlants!Z271=0,"",BaseCoalPlants!Z271)</f>
        <v>0.23377491098365824</v>
      </c>
      <c r="R269" s="1" t="str">
        <f>IF(BaseCoalPlants!AA271=0,"",BaseCoalPlants!AA271)</f>
        <v/>
      </c>
      <c r="S269" s="1" t="str">
        <f>IF(BaseCoalPlants!AB271=0,"",BaseCoalPlants!AB271)</f>
        <v/>
      </c>
      <c r="T269" s="1" t="str">
        <f>IF(BaseCoalPlants!AC271=0,"",BaseCoalPlants!AC271)</f>
        <v/>
      </c>
      <c r="U269" s="1" t="str">
        <f>IF(BaseCoalPlants!AD271=0,"",BaseCoalPlants!AD271)</f>
        <v/>
      </c>
      <c r="V269" s="1" t="str">
        <f>IF(BaseCoalPlants!AE271=0,"",BaseCoalPlants!AE271)</f>
        <v/>
      </c>
    </row>
    <row r="270" spans="3:22" x14ac:dyDescent="0.35">
      <c r="C270" t="str">
        <f>IF(BaseCoalPlants!B272="VDA_FLOP",IF(BaseCoalPlants!D272="ELC","*","INPUT"),BaseCoalPlants!B272)</f>
        <v>EFF</v>
      </c>
      <c r="D270" t="str">
        <f>IF(BaseCoalPlants!C272="","\I:",BaseCoalPlants!C272&amp;"_LE")</f>
        <v>ECSTMRSUO_LE</v>
      </c>
      <c r="E270" t="str">
        <f>IF(BaseCoalPlants!D272="-","",BaseCoalPlants!D272)</f>
        <v/>
      </c>
      <c r="F270" t="str">
        <f>IF(BaseCoalPlants!E272="-","",BaseCoalPlants!E272)</f>
        <v/>
      </c>
      <c r="G270" t="str">
        <f>IF(BaseCoalPlants!F272="-","",BaseCoalPlants!F272)</f>
        <v>ANNUAL</v>
      </c>
      <c r="H270">
        <f>IF(BaseCoalPlants!G272="-","",BaseCoalPlants!G272)</f>
        <v>1949</v>
      </c>
      <c r="I270" t="str">
        <f>IF(BaseCoalPlants!H272="-","",BaseCoalPlants!H272)</f>
        <v/>
      </c>
      <c r="J270" t="str">
        <f>IF(BaseCoalPlants!I272="-","",BaseCoalPlants!I272)</f>
        <v/>
      </c>
      <c r="K270" t="str">
        <f>IF(BaseCoalPlants!J272="-","",BaseCoalPlants!J272)</f>
        <v/>
      </c>
      <c r="L270" t="str">
        <f>IF(BaseCoalPlants!K272="-","",BaseCoalPlants!K272)</f>
        <v/>
      </c>
      <c r="M270" s="1" t="str">
        <f>IF(BaseCoalPlants!L272=0,"",BaseCoalPlants!L272)</f>
        <v/>
      </c>
      <c r="N270" s="1" t="str">
        <f>IF(BaseCoalPlants!W272=0,"",BaseCoalPlants!W272)</f>
        <v/>
      </c>
      <c r="O270" s="1" t="str">
        <f>IF(BaseCoalPlants!X272=0,"",BaseCoalPlants!X272)</f>
        <v/>
      </c>
      <c r="P270" s="1">
        <f>IF(BaseCoalPlants!Y272=0,"",BaseCoalPlants!Y272)</f>
        <v>0.25795963334800032</v>
      </c>
      <c r="Q270" s="1">
        <f>IF(BaseCoalPlants!Z272=0,"",BaseCoalPlants!Z272)</f>
        <v>0.26190019410407522</v>
      </c>
      <c r="R270" s="1" t="str">
        <f>IF(BaseCoalPlants!AA272=0,"",BaseCoalPlants!AA272)</f>
        <v/>
      </c>
      <c r="S270" s="1" t="str">
        <f>IF(BaseCoalPlants!AB272=0,"",BaseCoalPlants!AB272)</f>
        <v/>
      </c>
      <c r="T270" s="1" t="str">
        <f>IF(BaseCoalPlants!AC272=0,"",BaseCoalPlants!AC272)</f>
        <v/>
      </c>
      <c r="U270" s="1" t="str">
        <f>IF(BaseCoalPlants!AD272=0,"",BaseCoalPlants!AD272)</f>
        <v/>
      </c>
      <c r="V270" s="1" t="str">
        <f>IF(BaseCoalPlants!AE272=0,"",BaseCoalPlants!AE272)</f>
        <v/>
      </c>
    </row>
    <row r="271" spans="3:22" x14ac:dyDescent="0.35">
      <c r="C271" t="str">
        <f>IF(BaseCoalPlants!B273="VDA_FLOP",IF(BaseCoalPlants!D273="ELC","*","INPUT"),BaseCoalPlants!B273)</f>
        <v>EFF</v>
      </c>
      <c r="D271" t="str">
        <f>IF(BaseCoalPlants!C273="","\I:",BaseCoalPlants!C273&amp;"_LE")</f>
        <v>ECSTMRSUO_LE</v>
      </c>
      <c r="E271" t="str">
        <f>IF(BaseCoalPlants!D273="-","",BaseCoalPlants!D273)</f>
        <v/>
      </c>
      <c r="F271" t="str">
        <f>IF(BaseCoalPlants!E273="-","",BaseCoalPlants!E273)</f>
        <v/>
      </c>
      <c r="G271" t="str">
        <f>IF(BaseCoalPlants!F273="-","",BaseCoalPlants!F273)</f>
        <v>ANNUAL</v>
      </c>
      <c r="H271">
        <f>IF(BaseCoalPlants!G273="-","",BaseCoalPlants!G273)</f>
        <v>1950</v>
      </c>
      <c r="I271" t="str">
        <f>IF(BaseCoalPlants!H273="-","",BaseCoalPlants!H273)</f>
        <v/>
      </c>
      <c r="J271" t="str">
        <f>IF(BaseCoalPlants!I273="-","",BaseCoalPlants!I273)</f>
        <v/>
      </c>
      <c r="K271" t="str">
        <f>IF(BaseCoalPlants!J273="-","",BaseCoalPlants!J273)</f>
        <v/>
      </c>
      <c r="L271" t="str">
        <f>IF(BaseCoalPlants!K273="-","",BaseCoalPlants!K273)</f>
        <v/>
      </c>
      <c r="M271" s="1" t="str">
        <f>IF(BaseCoalPlants!L273=0,"",BaseCoalPlants!L273)</f>
        <v/>
      </c>
      <c r="N271" s="1" t="str">
        <f>IF(BaseCoalPlants!W273=0,"",BaseCoalPlants!W273)</f>
        <v/>
      </c>
      <c r="O271" s="1">
        <f>IF(BaseCoalPlants!X273=0,"",BaseCoalPlants!X273)</f>
        <v>0.29750516609629057</v>
      </c>
      <c r="P271" s="1" t="str">
        <f>IF(BaseCoalPlants!Y273=0,"",BaseCoalPlants!Y273)</f>
        <v/>
      </c>
      <c r="Q271" s="1">
        <f>IF(BaseCoalPlants!Z273=0,"",BaseCoalPlants!Z273)</f>
        <v>0.24131004772045153</v>
      </c>
      <c r="R271" s="1" t="str">
        <f>IF(BaseCoalPlants!AA273=0,"",BaseCoalPlants!AA273)</f>
        <v/>
      </c>
      <c r="S271" s="1" t="str">
        <f>IF(BaseCoalPlants!AB273=0,"",BaseCoalPlants!AB273)</f>
        <v/>
      </c>
      <c r="T271" s="1" t="str">
        <f>IF(BaseCoalPlants!AC273=0,"",BaseCoalPlants!AC273)</f>
        <v/>
      </c>
      <c r="U271" s="1" t="str">
        <f>IF(BaseCoalPlants!AD273=0,"",BaseCoalPlants!AD273)</f>
        <v/>
      </c>
      <c r="V271" s="1" t="str">
        <f>IF(BaseCoalPlants!AE273=0,"",BaseCoalPlants!AE273)</f>
        <v/>
      </c>
    </row>
    <row r="272" spans="3:22" x14ac:dyDescent="0.35">
      <c r="C272" t="str">
        <f>IF(BaseCoalPlants!B274="VDA_FLOP",IF(BaseCoalPlants!D274="ELC","*","INPUT"),BaseCoalPlants!B274)</f>
        <v>EFF</v>
      </c>
      <c r="D272" t="str">
        <f>IF(BaseCoalPlants!C274="","\I:",BaseCoalPlants!C274&amp;"_LE")</f>
        <v>ECSTMRSUO_LE</v>
      </c>
      <c r="E272" t="str">
        <f>IF(BaseCoalPlants!D274="-","",BaseCoalPlants!D274)</f>
        <v/>
      </c>
      <c r="F272" t="str">
        <f>IF(BaseCoalPlants!E274="-","",BaseCoalPlants!E274)</f>
        <v/>
      </c>
      <c r="G272" t="str">
        <f>IF(BaseCoalPlants!F274="-","",BaseCoalPlants!F274)</f>
        <v>ANNUAL</v>
      </c>
      <c r="H272">
        <f>IF(BaseCoalPlants!G274="-","",BaseCoalPlants!G274)</f>
        <v>1951</v>
      </c>
      <c r="I272" t="str">
        <f>IF(BaseCoalPlants!H274="-","",BaseCoalPlants!H274)</f>
        <v/>
      </c>
      <c r="J272" t="str">
        <f>IF(BaseCoalPlants!I274="-","",BaseCoalPlants!I274)</f>
        <v/>
      </c>
      <c r="K272" t="str">
        <f>IF(BaseCoalPlants!J274="-","",BaseCoalPlants!J274)</f>
        <v/>
      </c>
      <c r="L272" t="str">
        <f>IF(BaseCoalPlants!K274="-","",BaseCoalPlants!K274)</f>
        <v/>
      </c>
      <c r="M272" s="1" t="str">
        <f>IF(BaseCoalPlants!L274=0,"",BaseCoalPlants!L274)</f>
        <v/>
      </c>
      <c r="N272" s="1" t="str">
        <f>IF(BaseCoalPlants!W274=0,"",BaseCoalPlants!W274)</f>
        <v/>
      </c>
      <c r="O272" s="1" t="str">
        <f>IF(BaseCoalPlants!X274=0,"",BaseCoalPlants!X274)</f>
        <v/>
      </c>
      <c r="P272" s="1">
        <f>IF(BaseCoalPlants!Y274=0,"",BaseCoalPlants!Y274)</f>
        <v>0.27989077175972066</v>
      </c>
      <c r="Q272" s="1" t="str">
        <f>IF(BaseCoalPlants!Z274=0,"",BaseCoalPlants!Z274)</f>
        <v/>
      </c>
      <c r="R272" s="1" t="str">
        <f>IF(BaseCoalPlants!AA274=0,"",BaseCoalPlants!AA274)</f>
        <v/>
      </c>
      <c r="S272" s="1" t="str">
        <f>IF(BaseCoalPlants!AB274=0,"",BaseCoalPlants!AB274)</f>
        <v/>
      </c>
      <c r="T272" s="1" t="str">
        <f>IF(BaseCoalPlants!AC274=0,"",BaseCoalPlants!AC274)</f>
        <v/>
      </c>
      <c r="U272" s="1" t="str">
        <f>IF(BaseCoalPlants!AD274=0,"",BaseCoalPlants!AD274)</f>
        <v/>
      </c>
      <c r="V272" s="1" t="str">
        <f>IF(BaseCoalPlants!AE274=0,"",BaseCoalPlants!AE274)</f>
        <v/>
      </c>
    </row>
    <row r="273" spans="3:22" x14ac:dyDescent="0.35">
      <c r="C273" t="str">
        <f>IF(BaseCoalPlants!B275="VDA_FLOP",IF(BaseCoalPlants!D275="ELC","*","INPUT"),BaseCoalPlants!B275)</f>
        <v>EFF</v>
      </c>
      <c r="D273" t="str">
        <f>IF(BaseCoalPlants!C275="","\I:",BaseCoalPlants!C275&amp;"_LE")</f>
        <v>ECSTMRSUO_LE</v>
      </c>
      <c r="E273" t="str">
        <f>IF(BaseCoalPlants!D275="-","",BaseCoalPlants!D275)</f>
        <v/>
      </c>
      <c r="F273" t="str">
        <f>IF(BaseCoalPlants!E275="-","",BaseCoalPlants!E275)</f>
        <v/>
      </c>
      <c r="G273" t="str">
        <f>IF(BaseCoalPlants!F275="-","",BaseCoalPlants!F275)</f>
        <v>ANNUAL</v>
      </c>
      <c r="H273">
        <f>IF(BaseCoalPlants!G275="-","",BaseCoalPlants!G275)</f>
        <v>1952</v>
      </c>
      <c r="I273" t="str">
        <f>IF(BaseCoalPlants!H275="-","",BaseCoalPlants!H275)</f>
        <v/>
      </c>
      <c r="J273" t="str">
        <f>IF(BaseCoalPlants!I275="-","",BaseCoalPlants!I275)</f>
        <v/>
      </c>
      <c r="K273" t="str">
        <f>IF(BaseCoalPlants!J275="-","",BaseCoalPlants!J275)</f>
        <v/>
      </c>
      <c r="L273" t="str">
        <f>IF(BaseCoalPlants!K275="-","",BaseCoalPlants!K275)</f>
        <v/>
      </c>
      <c r="M273" s="1" t="str">
        <f>IF(BaseCoalPlants!L275=0,"",BaseCoalPlants!L275)</f>
        <v/>
      </c>
      <c r="N273" s="1" t="str">
        <f>IF(BaseCoalPlants!W275=0,"",BaseCoalPlants!W275)</f>
        <v/>
      </c>
      <c r="O273" s="1" t="str">
        <f>IF(BaseCoalPlants!X275=0,"",BaseCoalPlants!X275)</f>
        <v/>
      </c>
      <c r="P273" s="1" t="str">
        <f>IF(BaseCoalPlants!Y275=0,"",BaseCoalPlants!Y275)</f>
        <v/>
      </c>
      <c r="Q273" s="1">
        <f>IF(BaseCoalPlants!Z275=0,"",BaseCoalPlants!Z275)</f>
        <v>0.26292875703397156</v>
      </c>
      <c r="R273" s="1" t="str">
        <f>IF(BaseCoalPlants!AA275=0,"",BaseCoalPlants!AA275)</f>
        <v/>
      </c>
      <c r="S273" s="1" t="str">
        <f>IF(BaseCoalPlants!AB275=0,"",BaseCoalPlants!AB275)</f>
        <v/>
      </c>
      <c r="T273" s="1" t="str">
        <f>IF(BaseCoalPlants!AC275=0,"",BaseCoalPlants!AC275)</f>
        <v/>
      </c>
      <c r="U273" s="1" t="str">
        <f>IF(BaseCoalPlants!AD275=0,"",BaseCoalPlants!AD275)</f>
        <v/>
      </c>
      <c r="V273" s="1" t="str">
        <f>IF(BaseCoalPlants!AE275=0,"",BaseCoalPlants!AE275)</f>
        <v/>
      </c>
    </row>
    <row r="274" spans="3:22" x14ac:dyDescent="0.35">
      <c r="C274" t="str">
        <f>IF(BaseCoalPlants!B276="VDA_FLOP",IF(BaseCoalPlants!D276="ELC","*","INPUT"),BaseCoalPlants!B276)</f>
        <v>EFF</v>
      </c>
      <c r="D274" t="str">
        <f>IF(BaseCoalPlants!C276="","\I:",BaseCoalPlants!C276&amp;"_LE")</f>
        <v>ECSTMRSUO_LE</v>
      </c>
      <c r="E274" t="str">
        <f>IF(BaseCoalPlants!D276="-","",BaseCoalPlants!D276)</f>
        <v/>
      </c>
      <c r="F274" t="str">
        <f>IF(BaseCoalPlants!E276="-","",BaseCoalPlants!E276)</f>
        <v/>
      </c>
      <c r="G274" t="str">
        <f>IF(BaseCoalPlants!F276="-","",BaseCoalPlants!F276)</f>
        <v>ANNUAL</v>
      </c>
      <c r="H274">
        <f>IF(BaseCoalPlants!G276="-","",BaseCoalPlants!G276)</f>
        <v>1953</v>
      </c>
      <c r="I274" t="str">
        <f>IF(BaseCoalPlants!H276="-","",BaseCoalPlants!H276)</f>
        <v/>
      </c>
      <c r="J274" t="str">
        <f>IF(BaseCoalPlants!I276="-","",BaseCoalPlants!I276)</f>
        <v/>
      </c>
      <c r="K274" t="str">
        <f>IF(BaseCoalPlants!J276="-","",BaseCoalPlants!J276)</f>
        <v/>
      </c>
      <c r="L274" t="str">
        <f>IF(BaseCoalPlants!K276="-","",BaseCoalPlants!K276)</f>
        <v/>
      </c>
      <c r="M274" s="1" t="str">
        <f>IF(BaseCoalPlants!L276=0,"",BaseCoalPlants!L276)</f>
        <v/>
      </c>
      <c r="N274" s="1" t="str">
        <f>IF(BaseCoalPlants!W276=0,"",BaseCoalPlants!W276)</f>
        <v/>
      </c>
      <c r="O274" s="1" t="str">
        <f>IF(BaseCoalPlants!X276=0,"",BaseCoalPlants!X276)</f>
        <v/>
      </c>
      <c r="P274" s="1">
        <f>IF(BaseCoalPlants!Y276=0,"",BaseCoalPlants!Y276)</f>
        <v>0.30031439162873663</v>
      </c>
      <c r="Q274" s="1">
        <f>IF(BaseCoalPlants!Z276=0,"",BaseCoalPlants!Z276)</f>
        <v>0.26017229639315803</v>
      </c>
      <c r="R274" s="1" t="str">
        <f>IF(BaseCoalPlants!AA276=0,"",BaseCoalPlants!AA276)</f>
        <v/>
      </c>
      <c r="S274" s="1" t="str">
        <f>IF(BaseCoalPlants!AB276=0,"",BaseCoalPlants!AB276)</f>
        <v/>
      </c>
      <c r="T274" s="1" t="str">
        <f>IF(BaseCoalPlants!AC276=0,"",BaseCoalPlants!AC276)</f>
        <v/>
      </c>
      <c r="U274" s="1" t="str">
        <f>IF(BaseCoalPlants!AD276=0,"",BaseCoalPlants!AD276)</f>
        <v/>
      </c>
      <c r="V274" s="1" t="str">
        <f>IF(BaseCoalPlants!AE276=0,"",BaseCoalPlants!AE276)</f>
        <v/>
      </c>
    </row>
    <row r="275" spans="3:22" x14ac:dyDescent="0.35">
      <c r="C275" t="str">
        <f>IF(BaseCoalPlants!B277="VDA_FLOP",IF(BaseCoalPlants!D277="ELC","*","INPUT"),BaseCoalPlants!B277)</f>
        <v>EFF</v>
      </c>
      <c r="D275" t="str">
        <f>IF(BaseCoalPlants!C277="","\I:",BaseCoalPlants!C277&amp;"_LE")</f>
        <v>ECSTMRSUO_LE</v>
      </c>
      <c r="E275" t="str">
        <f>IF(BaseCoalPlants!D277="-","",BaseCoalPlants!D277)</f>
        <v/>
      </c>
      <c r="F275" t="str">
        <f>IF(BaseCoalPlants!E277="-","",BaseCoalPlants!E277)</f>
        <v/>
      </c>
      <c r="G275" t="str">
        <f>IF(BaseCoalPlants!F277="-","",BaseCoalPlants!F277)</f>
        <v>ANNUAL</v>
      </c>
      <c r="H275">
        <f>IF(BaseCoalPlants!G277="-","",BaseCoalPlants!G277)</f>
        <v>1954</v>
      </c>
      <c r="I275" t="str">
        <f>IF(BaseCoalPlants!H277="-","",BaseCoalPlants!H277)</f>
        <v/>
      </c>
      <c r="J275" t="str">
        <f>IF(BaseCoalPlants!I277="-","",BaseCoalPlants!I277)</f>
        <v/>
      </c>
      <c r="K275" t="str">
        <f>IF(BaseCoalPlants!J277="-","",BaseCoalPlants!J277)</f>
        <v/>
      </c>
      <c r="L275" t="str">
        <f>IF(BaseCoalPlants!K277="-","",BaseCoalPlants!K277)</f>
        <v/>
      </c>
      <c r="M275" s="1" t="str">
        <f>IF(BaseCoalPlants!L277=0,"",BaseCoalPlants!L277)</f>
        <v/>
      </c>
      <c r="N275" s="1" t="str">
        <f>IF(BaseCoalPlants!W277=0,"",BaseCoalPlants!W277)</f>
        <v/>
      </c>
      <c r="O275" s="1" t="str">
        <f>IF(BaseCoalPlants!X277=0,"",BaseCoalPlants!X277)</f>
        <v/>
      </c>
      <c r="P275" s="1">
        <f>IF(BaseCoalPlants!Y277=0,"",BaseCoalPlants!Y277)</f>
        <v>0.26931970393792126</v>
      </c>
      <c r="Q275" s="1">
        <f>IF(BaseCoalPlants!Z277=0,"",BaseCoalPlants!Z277)</f>
        <v>0.26075885227330847</v>
      </c>
      <c r="R275" s="1" t="str">
        <f>IF(BaseCoalPlants!AA277=0,"",BaseCoalPlants!AA277)</f>
        <v/>
      </c>
      <c r="S275" s="1" t="str">
        <f>IF(BaseCoalPlants!AB277=0,"",BaseCoalPlants!AB277)</f>
        <v/>
      </c>
      <c r="T275" s="1" t="str">
        <f>IF(BaseCoalPlants!AC277=0,"",BaseCoalPlants!AC277)</f>
        <v/>
      </c>
      <c r="U275" s="1" t="str">
        <f>IF(BaseCoalPlants!AD277=0,"",BaseCoalPlants!AD277)</f>
        <v/>
      </c>
      <c r="V275" s="1" t="str">
        <f>IF(BaseCoalPlants!AE277=0,"",BaseCoalPlants!AE277)</f>
        <v/>
      </c>
    </row>
    <row r="276" spans="3:22" x14ac:dyDescent="0.35">
      <c r="C276" t="str">
        <f>IF(BaseCoalPlants!B278="VDA_FLOP",IF(BaseCoalPlants!D278="ELC","*","INPUT"),BaseCoalPlants!B278)</f>
        <v>EFF</v>
      </c>
      <c r="D276" t="str">
        <f>IF(BaseCoalPlants!C278="","\I:",BaseCoalPlants!C278&amp;"_LE")</f>
        <v>ECSTMRSUO_LE</v>
      </c>
      <c r="E276" t="str">
        <f>IF(BaseCoalPlants!D278="-","",BaseCoalPlants!D278)</f>
        <v/>
      </c>
      <c r="F276" t="str">
        <f>IF(BaseCoalPlants!E278="-","",BaseCoalPlants!E278)</f>
        <v/>
      </c>
      <c r="G276" t="str">
        <f>IF(BaseCoalPlants!F278="-","",BaseCoalPlants!F278)</f>
        <v>ANNUAL</v>
      </c>
      <c r="H276">
        <f>IF(BaseCoalPlants!G278="-","",BaseCoalPlants!G278)</f>
        <v>1955</v>
      </c>
      <c r="I276" t="str">
        <f>IF(BaseCoalPlants!H278="-","",BaseCoalPlants!H278)</f>
        <v/>
      </c>
      <c r="J276" t="str">
        <f>IF(BaseCoalPlants!I278="-","",BaseCoalPlants!I278)</f>
        <v/>
      </c>
      <c r="K276" t="str">
        <f>IF(BaseCoalPlants!J278="-","",BaseCoalPlants!J278)</f>
        <v/>
      </c>
      <c r="L276" t="str">
        <f>IF(BaseCoalPlants!K278="-","",BaseCoalPlants!K278)</f>
        <v/>
      </c>
      <c r="M276" s="1" t="str">
        <f>IF(BaseCoalPlants!L278=0,"",BaseCoalPlants!L278)</f>
        <v/>
      </c>
      <c r="N276" s="1" t="str">
        <f>IF(BaseCoalPlants!W278=0,"",BaseCoalPlants!W278)</f>
        <v/>
      </c>
      <c r="O276" s="1" t="str">
        <f>IF(BaseCoalPlants!X278=0,"",BaseCoalPlants!X278)</f>
        <v/>
      </c>
      <c r="P276" s="1" t="str">
        <f>IF(BaseCoalPlants!Y278=0,"",BaseCoalPlants!Y278)</f>
        <v/>
      </c>
      <c r="Q276" s="1">
        <f>IF(BaseCoalPlants!Z278=0,"",BaseCoalPlants!Z278)</f>
        <v>0.29671543290348285</v>
      </c>
      <c r="R276" s="1" t="str">
        <f>IF(BaseCoalPlants!AA278=0,"",BaseCoalPlants!AA278)</f>
        <v/>
      </c>
      <c r="S276" s="1" t="str">
        <f>IF(BaseCoalPlants!AB278=0,"",BaseCoalPlants!AB278)</f>
        <v/>
      </c>
      <c r="T276" s="1" t="str">
        <f>IF(BaseCoalPlants!AC278=0,"",BaseCoalPlants!AC278)</f>
        <v/>
      </c>
      <c r="U276" s="1" t="str">
        <f>IF(BaseCoalPlants!AD278=0,"",BaseCoalPlants!AD278)</f>
        <v/>
      </c>
      <c r="V276" s="1" t="str">
        <f>IF(BaseCoalPlants!AE278=0,"",BaseCoalPlants!AE278)</f>
        <v/>
      </c>
    </row>
    <row r="277" spans="3:22" x14ac:dyDescent="0.35">
      <c r="C277" t="str">
        <f>IF(BaseCoalPlants!B279="VDA_FLOP",IF(BaseCoalPlants!D279="ELC","*","INPUT"),BaseCoalPlants!B279)</f>
        <v>EFF</v>
      </c>
      <c r="D277" t="str">
        <f>IF(BaseCoalPlants!C279="","\I:",BaseCoalPlants!C279&amp;"_LE")</f>
        <v>ECSTMRSUO_LE</v>
      </c>
      <c r="E277" t="str">
        <f>IF(BaseCoalPlants!D279="-","",BaseCoalPlants!D279)</f>
        <v/>
      </c>
      <c r="F277" t="str">
        <f>IF(BaseCoalPlants!E279="-","",BaseCoalPlants!E279)</f>
        <v/>
      </c>
      <c r="G277" t="str">
        <f>IF(BaseCoalPlants!F279="-","",BaseCoalPlants!F279)</f>
        <v>ANNUAL</v>
      </c>
      <c r="H277">
        <f>IF(BaseCoalPlants!G279="-","",BaseCoalPlants!G279)</f>
        <v>1957</v>
      </c>
      <c r="I277" t="str">
        <f>IF(BaseCoalPlants!H279="-","",BaseCoalPlants!H279)</f>
        <v/>
      </c>
      <c r="J277" t="str">
        <f>IF(BaseCoalPlants!I279="-","",BaseCoalPlants!I279)</f>
        <v/>
      </c>
      <c r="K277" t="str">
        <f>IF(BaseCoalPlants!J279="-","",BaseCoalPlants!J279)</f>
        <v/>
      </c>
      <c r="L277" t="str">
        <f>IF(BaseCoalPlants!K279="-","",BaseCoalPlants!K279)</f>
        <v/>
      </c>
      <c r="M277" s="1" t="str">
        <f>IF(BaseCoalPlants!L279=0,"",BaseCoalPlants!L279)</f>
        <v/>
      </c>
      <c r="N277" s="1" t="str">
        <f>IF(BaseCoalPlants!W279=0,"",BaseCoalPlants!W279)</f>
        <v/>
      </c>
      <c r="O277" s="1">
        <f>IF(BaseCoalPlants!X279=0,"",BaseCoalPlants!X279)</f>
        <v>0.31709086677920351</v>
      </c>
      <c r="P277" s="1" t="str">
        <f>IF(BaseCoalPlants!Y279=0,"",BaseCoalPlants!Y279)</f>
        <v/>
      </c>
      <c r="Q277" s="1">
        <f>IF(BaseCoalPlants!Z279=0,"",BaseCoalPlants!Z279)</f>
        <v>0.27411446865825306</v>
      </c>
      <c r="R277" s="1" t="str">
        <f>IF(BaseCoalPlants!AA279=0,"",BaseCoalPlants!AA279)</f>
        <v/>
      </c>
      <c r="S277" s="1" t="str">
        <f>IF(BaseCoalPlants!AB279=0,"",BaseCoalPlants!AB279)</f>
        <v/>
      </c>
      <c r="T277" s="1" t="str">
        <f>IF(BaseCoalPlants!AC279=0,"",BaseCoalPlants!AC279)</f>
        <v/>
      </c>
      <c r="U277" s="1" t="str">
        <f>IF(BaseCoalPlants!AD279=0,"",BaseCoalPlants!AD279)</f>
        <v/>
      </c>
      <c r="V277" s="1" t="str">
        <f>IF(BaseCoalPlants!AE279=0,"",BaseCoalPlants!AE279)</f>
        <v/>
      </c>
    </row>
    <row r="278" spans="3:22" x14ac:dyDescent="0.35">
      <c r="C278" t="str">
        <f>IF(BaseCoalPlants!B280="VDA_FLOP",IF(BaseCoalPlants!D280="ELC","*","INPUT"),BaseCoalPlants!B280)</f>
        <v>EFF</v>
      </c>
      <c r="D278" t="str">
        <f>IF(BaseCoalPlants!C280="","\I:",BaseCoalPlants!C280&amp;"_LE")</f>
        <v>ECSTMRSUO_LE</v>
      </c>
      <c r="E278" t="str">
        <f>IF(BaseCoalPlants!D280="-","",BaseCoalPlants!D280)</f>
        <v/>
      </c>
      <c r="F278" t="str">
        <f>IF(BaseCoalPlants!E280="-","",BaseCoalPlants!E280)</f>
        <v/>
      </c>
      <c r="G278" t="str">
        <f>IF(BaseCoalPlants!F280="-","",BaseCoalPlants!F280)</f>
        <v>ANNUAL</v>
      </c>
      <c r="H278">
        <f>IF(BaseCoalPlants!G280="-","",BaseCoalPlants!G280)</f>
        <v>1958</v>
      </c>
      <c r="I278" t="str">
        <f>IF(BaseCoalPlants!H280="-","",BaseCoalPlants!H280)</f>
        <v/>
      </c>
      <c r="J278" t="str">
        <f>IF(BaseCoalPlants!I280="-","",BaseCoalPlants!I280)</f>
        <v/>
      </c>
      <c r="K278" t="str">
        <f>IF(BaseCoalPlants!J280="-","",BaseCoalPlants!J280)</f>
        <v/>
      </c>
      <c r="L278" t="str">
        <f>IF(BaseCoalPlants!K280="-","",BaseCoalPlants!K280)</f>
        <v/>
      </c>
      <c r="M278" s="1" t="str">
        <f>IF(BaseCoalPlants!L280=0,"",BaseCoalPlants!L280)</f>
        <v/>
      </c>
      <c r="N278" s="1" t="str">
        <f>IF(BaseCoalPlants!W280=0,"",BaseCoalPlants!W280)</f>
        <v/>
      </c>
      <c r="O278" s="1" t="str">
        <f>IF(BaseCoalPlants!X280=0,"",BaseCoalPlants!X280)</f>
        <v/>
      </c>
      <c r="P278" s="1">
        <f>IF(BaseCoalPlants!Y280=0,"",BaseCoalPlants!Y280)</f>
        <v>0.27499993648570847</v>
      </c>
      <c r="Q278" s="1">
        <f>IF(BaseCoalPlants!Z280=0,"",BaseCoalPlants!Z280)</f>
        <v>0.25123445234782177</v>
      </c>
      <c r="R278" s="1" t="str">
        <f>IF(BaseCoalPlants!AA280=0,"",BaseCoalPlants!AA280)</f>
        <v/>
      </c>
      <c r="S278" s="1" t="str">
        <f>IF(BaseCoalPlants!AB280=0,"",BaseCoalPlants!AB280)</f>
        <v/>
      </c>
      <c r="T278" s="1" t="str">
        <f>IF(BaseCoalPlants!AC280=0,"",BaseCoalPlants!AC280)</f>
        <v/>
      </c>
      <c r="U278" s="1" t="str">
        <f>IF(BaseCoalPlants!AD280=0,"",BaseCoalPlants!AD280)</f>
        <v/>
      </c>
      <c r="V278" s="1" t="str">
        <f>IF(BaseCoalPlants!AE280=0,"",BaseCoalPlants!AE280)</f>
        <v/>
      </c>
    </row>
    <row r="279" spans="3:22" x14ac:dyDescent="0.35">
      <c r="C279" t="str">
        <f>IF(BaseCoalPlants!B281="VDA_FLOP",IF(BaseCoalPlants!D281="ELC","*","INPUT"),BaseCoalPlants!B281)</f>
        <v>EFF</v>
      </c>
      <c r="D279" t="str">
        <f>IF(BaseCoalPlants!C281="","\I:",BaseCoalPlants!C281&amp;"_LE")</f>
        <v>ECSTMRSUO_LE</v>
      </c>
      <c r="E279" t="str">
        <f>IF(BaseCoalPlants!D281="-","",BaseCoalPlants!D281)</f>
        <v/>
      </c>
      <c r="F279" t="str">
        <f>IF(BaseCoalPlants!E281="-","",BaseCoalPlants!E281)</f>
        <v/>
      </c>
      <c r="G279" t="str">
        <f>IF(BaseCoalPlants!F281="-","",BaseCoalPlants!F281)</f>
        <v>ANNUAL</v>
      </c>
      <c r="H279">
        <f>IF(BaseCoalPlants!G281="-","",BaseCoalPlants!G281)</f>
        <v>1959</v>
      </c>
      <c r="I279" t="str">
        <f>IF(BaseCoalPlants!H281="-","",BaseCoalPlants!H281)</f>
        <v/>
      </c>
      <c r="J279" t="str">
        <f>IF(BaseCoalPlants!I281="-","",BaseCoalPlants!I281)</f>
        <v/>
      </c>
      <c r="K279" t="str">
        <f>IF(BaseCoalPlants!J281="-","",BaseCoalPlants!J281)</f>
        <v/>
      </c>
      <c r="L279" t="str">
        <f>IF(BaseCoalPlants!K281="-","",BaseCoalPlants!K281)</f>
        <v/>
      </c>
      <c r="M279" s="1" t="str">
        <f>IF(BaseCoalPlants!L281=0,"",BaseCoalPlants!L281)</f>
        <v/>
      </c>
      <c r="N279" s="1" t="str">
        <f>IF(BaseCoalPlants!W281=0,"",BaseCoalPlants!W281)</f>
        <v/>
      </c>
      <c r="O279" s="1" t="str">
        <f>IF(BaseCoalPlants!X281=0,"",BaseCoalPlants!X281)</f>
        <v/>
      </c>
      <c r="P279" s="1" t="str">
        <f>IF(BaseCoalPlants!Y281=0,"",BaseCoalPlants!Y281)</f>
        <v/>
      </c>
      <c r="Q279" s="1">
        <f>IF(BaseCoalPlants!Z281=0,"",BaseCoalPlants!Z281)</f>
        <v>0.26222163173614654</v>
      </c>
      <c r="R279" s="1" t="str">
        <f>IF(BaseCoalPlants!AA281=0,"",BaseCoalPlants!AA281)</f>
        <v/>
      </c>
      <c r="S279" s="1" t="str">
        <f>IF(BaseCoalPlants!AB281=0,"",BaseCoalPlants!AB281)</f>
        <v/>
      </c>
      <c r="T279" s="1" t="str">
        <f>IF(BaseCoalPlants!AC281=0,"",BaseCoalPlants!AC281)</f>
        <v/>
      </c>
      <c r="U279" s="1" t="str">
        <f>IF(BaseCoalPlants!AD281=0,"",BaseCoalPlants!AD281)</f>
        <v/>
      </c>
      <c r="V279" s="1" t="str">
        <f>IF(BaseCoalPlants!AE281=0,"",BaseCoalPlants!AE281)</f>
        <v/>
      </c>
    </row>
    <row r="280" spans="3:22" x14ac:dyDescent="0.35">
      <c r="C280" t="str">
        <f>IF(BaseCoalPlants!B282="VDA_FLOP",IF(BaseCoalPlants!D282="ELC","*","INPUT"),BaseCoalPlants!B282)</f>
        <v>EFF</v>
      </c>
      <c r="D280" t="str">
        <f>IF(BaseCoalPlants!C282="","\I:",BaseCoalPlants!C282&amp;"_LE")</f>
        <v>ECSTMRSUO_LE</v>
      </c>
      <c r="E280" t="str">
        <f>IF(BaseCoalPlants!D282="-","",BaseCoalPlants!D282)</f>
        <v/>
      </c>
      <c r="F280" t="str">
        <f>IF(BaseCoalPlants!E282="-","",BaseCoalPlants!E282)</f>
        <v/>
      </c>
      <c r="G280" t="str">
        <f>IF(BaseCoalPlants!F282="-","",BaseCoalPlants!F282)</f>
        <v>ANNUAL</v>
      </c>
      <c r="H280">
        <f>IF(BaseCoalPlants!G282="-","",BaseCoalPlants!G282)</f>
        <v>1960</v>
      </c>
      <c r="I280" t="str">
        <f>IF(BaseCoalPlants!H282="-","",BaseCoalPlants!H282)</f>
        <v/>
      </c>
      <c r="J280" t="str">
        <f>IF(BaseCoalPlants!I282="-","",BaseCoalPlants!I282)</f>
        <v/>
      </c>
      <c r="K280" t="str">
        <f>IF(BaseCoalPlants!J282="-","",BaseCoalPlants!J282)</f>
        <v/>
      </c>
      <c r="L280" t="str">
        <f>IF(BaseCoalPlants!K282="-","",BaseCoalPlants!K282)</f>
        <v/>
      </c>
      <c r="M280" s="1" t="str">
        <f>IF(BaseCoalPlants!L282=0,"",BaseCoalPlants!L282)</f>
        <v/>
      </c>
      <c r="N280" s="1" t="str">
        <f>IF(BaseCoalPlants!W282=0,"",BaseCoalPlants!W282)</f>
        <v/>
      </c>
      <c r="O280" s="1" t="str">
        <f>IF(BaseCoalPlants!X282=0,"",BaseCoalPlants!X282)</f>
        <v/>
      </c>
      <c r="P280" s="1">
        <f>IF(BaseCoalPlants!Y282=0,"",BaseCoalPlants!Y282)</f>
        <v>0.29669680136638465</v>
      </c>
      <c r="Q280" s="1">
        <f>IF(BaseCoalPlants!Z282=0,"",BaseCoalPlants!Z282)</f>
        <v>0.29204501281761697</v>
      </c>
      <c r="R280" s="1" t="str">
        <f>IF(BaseCoalPlants!AA282=0,"",BaseCoalPlants!AA282)</f>
        <v/>
      </c>
      <c r="S280" s="1" t="str">
        <f>IF(BaseCoalPlants!AB282=0,"",BaseCoalPlants!AB282)</f>
        <v/>
      </c>
      <c r="T280" s="1" t="str">
        <f>IF(BaseCoalPlants!AC282=0,"",BaseCoalPlants!AC282)</f>
        <v/>
      </c>
      <c r="U280" s="1" t="str">
        <f>IF(BaseCoalPlants!AD282=0,"",BaseCoalPlants!AD282)</f>
        <v/>
      </c>
      <c r="V280" s="1" t="str">
        <f>IF(BaseCoalPlants!AE282=0,"",BaseCoalPlants!AE282)</f>
        <v/>
      </c>
    </row>
    <row r="281" spans="3:22" x14ac:dyDescent="0.35">
      <c r="C281" t="str">
        <f>IF(BaseCoalPlants!B283="VDA_FLOP",IF(BaseCoalPlants!D283="ELC","*","INPUT"),BaseCoalPlants!B283)</f>
        <v>EFF</v>
      </c>
      <c r="D281" t="str">
        <f>IF(BaseCoalPlants!C283="","\I:",BaseCoalPlants!C283&amp;"_LE")</f>
        <v>ECSTMRSUO_LE</v>
      </c>
      <c r="E281" t="str">
        <f>IF(BaseCoalPlants!D283="-","",BaseCoalPlants!D283)</f>
        <v/>
      </c>
      <c r="F281" t="str">
        <f>IF(BaseCoalPlants!E283="-","",BaseCoalPlants!E283)</f>
        <v/>
      </c>
      <c r="G281" t="str">
        <f>IF(BaseCoalPlants!F283="-","",BaseCoalPlants!F283)</f>
        <v>ANNUAL</v>
      </c>
      <c r="H281">
        <f>IF(BaseCoalPlants!G283="-","",BaseCoalPlants!G283)</f>
        <v>1961</v>
      </c>
      <c r="I281" t="str">
        <f>IF(BaseCoalPlants!H283="-","",BaseCoalPlants!H283)</f>
        <v/>
      </c>
      <c r="J281" t="str">
        <f>IF(BaseCoalPlants!I283="-","",BaseCoalPlants!I283)</f>
        <v/>
      </c>
      <c r="K281" t="str">
        <f>IF(BaseCoalPlants!J283="-","",BaseCoalPlants!J283)</f>
        <v/>
      </c>
      <c r="L281" t="str">
        <f>IF(BaseCoalPlants!K283="-","",BaseCoalPlants!K283)</f>
        <v/>
      </c>
      <c r="M281" s="1" t="str">
        <f>IF(BaseCoalPlants!L283=0,"",BaseCoalPlants!L283)</f>
        <v/>
      </c>
      <c r="N281" s="1" t="str">
        <f>IF(BaseCoalPlants!W283=0,"",BaseCoalPlants!W283)</f>
        <v/>
      </c>
      <c r="O281" s="1" t="str">
        <f>IF(BaseCoalPlants!X283=0,"",BaseCoalPlants!X283)</f>
        <v/>
      </c>
      <c r="P281" s="1">
        <f>IF(BaseCoalPlants!Y283=0,"",BaseCoalPlants!Y283)</f>
        <v>0.23626609332032159</v>
      </c>
      <c r="Q281" s="1" t="str">
        <f>IF(BaseCoalPlants!Z283=0,"",BaseCoalPlants!Z283)</f>
        <v/>
      </c>
      <c r="R281" s="1" t="str">
        <f>IF(BaseCoalPlants!AA283=0,"",BaseCoalPlants!AA283)</f>
        <v/>
      </c>
      <c r="S281" s="1" t="str">
        <f>IF(BaseCoalPlants!AB283=0,"",BaseCoalPlants!AB283)</f>
        <v/>
      </c>
      <c r="T281" s="1" t="str">
        <f>IF(BaseCoalPlants!AC283=0,"",BaseCoalPlants!AC283)</f>
        <v/>
      </c>
      <c r="U281" s="1" t="str">
        <f>IF(BaseCoalPlants!AD283=0,"",BaseCoalPlants!AD283)</f>
        <v/>
      </c>
      <c r="V281" s="1" t="str">
        <f>IF(BaseCoalPlants!AE283=0,"",BaseCoalPlants!AE283)</f>
        <v/>
      </c>
    </row>
    <row r="282" spans="3:22" x14ac:dyDescent="0.35">
      <c r="C282" t="str">
        <f>IF(BaseCoalPlants!B284="VDA_FLOP",IF(BaseCoalPlants!D284="ELC","*","INPUT"),BaseCoalPlants!B284)</f>
        <v>EFF</v>
      </c>
      <c r="D282" t="str">
        <f>IF(BaseCoalPlants!C284="","\I:",BaseCoalPlants!C284&amp;"_LE")</f>
        <v>ECSTMRSUO_LE</v>
      </c>
      <c r="E282" t="str">
        <f>IF(BaseCoalPlants!D284="-","",BaseCoalPlants!D284)</f>
        <v/>
      </c>
      <c r="F282" t="str">
        <f>IF(BaseCoalPlants!E284="-","",BaseCoalPlants!E284)</f>
        <v/>
      </c>
      <c r="G282" t="str">
        <f>IF(BaseCoalPlants!F284="-","",BaseCoalPlants!F284)</f>
        <v>ANNUAL</v>
      </c>
      <c r="H282">
        <f>IF(BaseCoalPlants!G284="-","",BaseCoalPlants!G284)</f>
        <v>1962</v>
      </c>
      <c r="I282" t="str">
        <f>IF(BaseCoalPlants!H284="-","",BaseCoalPlants!H284)</f>
        <v/>
      </c>
      <c r="J282" t="str">
        <f>IF(BaseCoalPlants!I284="-","",BaseCoalPlants!I284)</f>
        <v/>
      </c>
      <c r="K282" t="str">
        <f>IF(BaseCoalPlants!J284="-","",BaseCoalPlants!J284)</f>
        <v/>
      </c>
      <c r="L282" t="str">
        <f>IF(BaseCoalPlants!K284="-","",BaseCoalPlants!K284)</f>
        <v/>
      </c>
      <c r="M282" s="1" t="str">
        <f>IF(BaseCoalPlants!L284=0,"",BaseCoalPlants!L284)</f>
        <v/>
      </c>
      <c r="N282" s="1" t="str">
        <f>IF(BaseCoalPlants!W284=0,"",BaseCoalPlants!W284)</f>
        <v/>
      </c>
      <c r="O282" s="1" t="str">
        <f>IF(BaseCoalPlants!X284=0,"",BaseCoalPlants!X284)</f>
        <v/>
      </c>
      <c r="P282" s="1" t="str">
        <f>IF(BaseCoalPlants!Y284=0,"",BaseCoalPlants!Y284)</f>
        <v/>
      </c>
      <c r="Q282" s="1">
        <f>IF(BaseCoalPlants!Z284=0,"",BaseCoalPlants!Z284)</f>
        <v>0.3222021622785734</v>
      </c>
      <c r="R282" s="1" t="str">
        <f>IF(BaseCoalPlants!AA284=0,"",BaseCoalPlants!AA284)</f>
        <v/>
      </c>
      <c r="S282" s="1" t="str">
        <f>IF(BaseCoalPlants!AB284=0,"",BaseCoalPlants!AB284)</f>
        <v/>
      </c>
      <c r="T282" s="1" t="str">
        <f>IF(BaseCoalPlants!AC284=0,"",BaseCoalPlants!AC284)</f>
        <v/>
      </c>
      <c r="U282" s="1" t="str">
        <f>IF(BaseCoalPlants!AD284=0,"",BaseCoalPlants!AD284)</f>
        <v/>
      </c>
      <c r="V282" s="1" t="str">
        <f>IF(BaseCoalPlants!AE284=0,"",BaseCoalPlants!AE284)</f>
        <v/>
      </c>
    </row>
    <row r="283" spans="3:22" x14ac:dyDescent="0.35">
      <c r="C283" t="str">
        <f>IF(BaseCoalPlants!B285="VDA_FLOP",IF(BaseCoalPlants!D285="ELC","*","INPUT"),BaseCoalPlants!B285)</f>
        <v>EFF</v>
      </c>
      <c r="D283" t="str">
        <f>IF(BaseCoalPlants!C285="","\I:",BaseCoalPlants!C285&amp;"_LE")</f>
        <v>ECSTMRSUO_LE</v>
      </c>
      <c r="E283" t="str">
        <f>IF(BaseCoalPlants!D285="-","",BaseCoalPlants!D285)</f>
        <v/>
      </c>
      <c r="F283" t="str">
        <f>IF(BaseCoalPlants!E285="-","",BaseCoalPlants!E285)</f>
        <v/>
      </c>
      <c r="G283" t="str">
        <f>IF(BaseCoalPlants!F285="-","",BaseCoalPlants!F285)</f>
        <v>ANNUAL</v>
      </c>
      <c r="H283">
        <f>IF(BaseCoalPlants!G285="-","",BaseCoalPlants!G285)</f>
        <v>1963</v>
      </c>
      <c r="I283" t="str">
        <f>IF(BaseCoalPlants!H285="-","",BaseCoalPlants!H285)</f>
        <v/>
      </c>
      <c r="J283" t="str">
        <f>IF(BaseCoalPlants!I285="-","",BaseCoalPlants!I285)</f>
        <v/>
      </c>
      <c r="K283" t="str">
        <f>IF(BaseCoalPlants!J285="-","",BaseCoalPlants!J285)</f>
        <v/>
      </c>
      <c r="L283" t="str">
        <f>IF(BaseCoalPlants!K285="-","",BaseCoalPlants!K285)</f>
        <v/>
      </c>
      <c r="M283" s="1" t="str">
        <f>IF(BaseCoalPlants!L285=0,"",BaseCoalPlants!L285)</f>
        <v/>
      </c>
      <c r="N283" s="1" t="str">
        <f>IF(BaseCoalPlants!W285=0,"",BaseCoalPlants!W285)</f>
        <v/>
      </c>
      <c r="O283" s="1" t="str">
        <f>IF(BaseCoalPlants!X285=0,"",BaseCoalPlants!X285)</f>
        <v/>
      </c>
      <c r="P283" s="1" t="str">
        <f>IF(BaseCoalPlants!Y285=0,"",BaseCoalPlants!Y285)</f>
        <v/>
      </c>
      <c r="Q283" s="1">
        <f>IF(BaseCoalPlants!Z285=0,"",BaseCoalPlants!Z285)</f>
        <v>0.31709086677920351</v>
      </c>
      <c r="R283" s="1" t="str">
        <f>IF(BaseCoalPlants!AA285=0,"",BaseCoalPlants!AA285)</f>
        <v/>
      </c>
      <c r="S283" s="1" t="str">
        <f>IF(BaseCoalPlants!AB285=0,"",BaseCoalPlants!AB285)</f>
        <v/>
      </c>
      <c r="T283" s="1" t="str">
        <f>IF(BaseCoalPlants!AC285=0,"",BaseCoalPlants!AC285)</f>
        <v/>
      </c>
      <c r="U283" s="1" t="str">
        <f>IF(BaseCoalPlants!AD285=0,"",BaseCoalPlants!AD285)</f>
        <v/>
      </c>
      <c r="V283" s="1" t="str">
        <f>IF(BaseCoalPlants!AE285=0,"",BaseCoalPlants!AE285)</f>
        <v/>
      </c>
    </row>
    <row r="284" spans="3:22" x14ac:dyDescent="0.35">
      <c r="C284" t="str">
        <f>IF(BaseCoalPlants!B286="VDA_FLOP",IF(BaseCoalPlants!D286="ELC","*","INPUT"),BaseCoalPlants!B286)</f>
        <v>EFF</v>
      </c>
      <c r="D284" t="str">
        <f>IF(BaseCoalPlants!C286="","\I:",BaseCoalPlants!C286&amp;"_LE")</f>
        <v>ECSTMRSUO_LE</v>
      </c>
      <c r="E284" t="str">
        <f>IF(BaseCoalPlants!D286="-","",BaseCoalPlants!D286)</f>
        <v/>
      </c>
      <c r="F284" t="str">
        <f>IF(BaseCoalPlants!E286="-","",BaseCoalPlants!E286)</f>
        <v/>
      </c>
      <c r="G284" t="str">
        <f>IF(BaseCoalPlants!F286="-","",BaseCoalPlants!F286)</f>
        <v>ANNUAL</v>
      </c>
      <c r="H284">
        <f>IF(BaseCoalPlants!G286="-","",BaseCoalPlants!G286)</f>
        <v>1964</v>
      </c>
      <c r="I284" t="str">
        <f>IF(BaseCoalPlants!H286="-","",BaseCoalPlants!H286)</f>
        <v/>
      </c>
      <c r="J284" t="str">
        <f>IF(BaseCoalPlants!I286="-","",BaseCoalPlants!I286)</f>
        <v/>
      </c>
      <c r="K284" t="str">
        <f>IF(BaseCoalPlants!J286="-","",BaseCoalPlants!J286)</f>
        <v/>
      </c>
      <c r="L284" t="str">
        <f>IF(BaseCoalPlants!K286="-","",BaseCoalPlants!K286)</f>
        <v/>
      </c>
      <c r="M284" s="1" t="str">
        <f>IF(BaseCoalPlants!L286=0,"",BaseCoalPlants!L286)</f>
        <v/>
      </c>
      <c r="N284" s="1" t="str">
        <f>IF(BaseCoalPlants!W286=0,"",BaseCoalPlants!W286)</f>
        <v/>
      </c>
      <c r="O284" s="1" t="str">
        <f>IF(BaseCoalPlants!X286=0,"",BaseCoalPlants!X286)</f>
        <v/>
      </c>
      <c r="P284" s="1">
        <f>IF(BaseCoalPlants!Y286=0,"",BaseCoalPlants!Y286)</f>
        <v>0.26906196171550367</v>
      </c>
      <c r="Q284" s="1">
        <f>IF(BaseCoalPlants!Z286=0,"",BaseCoalPlants!Z286)</f>
        <v>0.29119001083452672</v>
      </c>
      <c r="R284" s="1" t="str">
        <f>IF(BaseCoalPlants!AA286=0,"",BaseCoalPlants!AA286)</f>
        <v/>
      </c>
      <c r="S284" s="1" t="str">
        <f>IF(BaseCoalPlants!AB286=0,"",BaseCoalPlants!AB286)</f>
        <v/>
      </c>
      <c r="T284" s="1" t="str">
        <f>IF(BaseCoalPlants!AC286=0,"",BaseCoalPlants!AC286)</f>
        <v/>
      </c>
      <c r="U284" s="1" t="str">
        <f>IF(BaseCoalPlants!AD286=0,"",BaseCoalPlants!AD286)</f>
        <v/>
      </c>
      <c r="V284" s="1" t="str">
        <f>IF(BaseCoalPlants!AE286=0,"",BaseCoalPlants!AE286)</f>
        <v/>
      </c>
    </row>
    <row r="285" spans="3:22" x14ac:dyDescent="0.35">
      <c r="C285" t="str">
        <f>IF(BaseCoalPlants!B287="VDA_FLOP",IF(BaseCoalPlants!D287="ELC","*","INPUT"),BaseCoalPlants!B287)</f>
        <v>EFF</v>
      </c>
      <c r="D285" t="str">
        <f>IF(BaseCoalPlants!C287="","\I:",BaseCoalPlants!C287&amp;"_LE")</f>
        <v>ECSTMRSUO_LE</v>
      </c>
      <c r="E285" t="str">
        <f>IF(BaseCoalPlants!D287="-","",BaseCoalPlants!D287)</f>
        <v/>
      </c>
      <c r="F285" t="str">
        <f>IF(BaseCoalPlants!E287="-","",BaseCoalPlants!E287)</f>
        <v/>
      </c>
      <c r="G285" t="str">
        <f>IF(BaseCoalPlants!F287="-","",BaseCoalPlants!F287)</f>
        <v>ANNUAL</v>
      </c>
      <c r="H285">
        <f>IF(BaseCoalPlants!G287="-","",BaseCoalPlants!G287)</f>
        <v>1965</v>
      </c>
      <c r="I285" t="str">
        <f>IF(BaseCoalPlants!H287="-","",BaseCoalPlants!H287)</f>
        <v/>
      </c>
      <c r="J285" t="str">
        <f>IF(BaseCoalPlants!I287="-","",BaseCoalPlants!I287)</f>
        <v/>
      </c>
      <c r="K285" t="str">
        <f>IF(BaseCoalPlants!J287="-","",BaseCoalPlants!J287)</f>
        <v/>
      </c>
      <c r="L285" t="str">
        <f>IF(BaseCoalPlants!K287="-","",BaseCoalPlants!K287)</f>
        <v/>
      </c>
      <c r="M285" s="1" t="str">
        <f>IF(BaseCoalPlants!L287=0,"",BaseCoalPlants!L287)</f>
        <v/>
      </c>
      <c r="N285" s="1" t="str">
        <f>IF(BaseCoalPlants!W287=0,"",BaseCoalPlants!W287)</f>
        <v/>
      </c>
      <c r="O285" s="1" t="str">
        <f>IF(BaseCoalPlants!X287=0,"",BaseCoalPlants!X287)</f>
        <v/>
      </c>
      <c r="P285" s="1" t="str">
        <f>IF(BaseCoalPlants!Y287=0,"",BaseCoalPlants!Y287)</f>
        <v/>
      </c>
      <c r="Q285" s="1">
        <f>IF(BaseCoalPlants!Z287=0,"",BaseCoalPlants!Z287)</f>
        <v>0.28063303211567331</v>
      </c>
      <c r="R285" s="1" t="str">
        <f>IF(BaseCoalPlants!AA287=0,"",BaseCoalPlants!AA287)</f>
        <v/>
      </c>
      <c r="S285" s="1" t="str">
        <f>IF(BaseCoalPlants!AB287=0,"",BaseCoalPlants!AB287)</f>
        <v/>
      </c>
      <c r="T285" s="1" t="str">
        <f>IF(BaseCoalPlants!AC287=0,"",BaseCoalPlants!AC287)</f>
        <v/>
      </c>
      <c r="U285" s="1" t="str">
        <f>IF(BaseCoalPlants!AD287=0,"",BaseCoalPlants!AD287)</f>
        <v/>
      </c>
      <c r="V285" s="1" t="str">
        <f>IF(BaseCoalPlants!AE287=0,"",BaseCoalPlants!AE287)</f>
        <v/>
      </c>
    </row>
    <row r="286" spans="3:22" x14ac:dyDescent="0.35">
      <c r="C286" t="str">
        <f>IF(BaseCoalPlants!B288="VDA_FLOP",IF(BaseCoalPlants!D288="ELC","*","INPUT"),BaseCoalPlants!B288)</f>
        <v>EFF</v>
      </c>
      <c r="D286" t="str">
        <f>IF(BaseCoalPlants!C288="","\I:",BaseCoalPlants!C288&amp;"_LE")</f>
        <v>ECSTMRSUO_LE</v>
      </c>
      <c r="E286" t="str">
        <f>IF(BaseCoalPlants!D288="-","",BaseCoalPlants!D288)</f>
        <v/>
      </c>
      <c r="F286" t="str">
        <f>IF(BaseCoalPlants!E288="-","",BaseCoalPlants!E288)</f>
        <v/>
      </c>
      <c r="G286" t="str">
        <f>IF(BaseCoalPlants!F288="-","",BaseCoalPlants!F288)</f>
        <v>ANNUAL</v>
      </c>
      <c r="H286">
        <f>IF(BaseCoalPlants!G288="-","",BaseCoalPlants!G288)</f>
        <v>1967</v>
      </c>
      <c r="I286" t="str">
        <f>IF(BaseCoalPlants!H288="-","",BaseCoalPlants!H288)</f>
        <v/>
      </c>
      <c r="J286" t="str">
        <f>IF(BaseCoalPlants!I288="-","",BaseCoalPlants!I288)</f>
        <v/>
      </c>
      <c r="K286" t="str">
        <f>IF(BaseCoalPlants!J288="-","",BaseCoalPlants!J288)</f>
        <v/>
      </c>
      <c r="L286" t="str">
        <f>IF(BaseCoalPlants!K288="-","",BaseCoalPlants!K288)</f>
        <v/>
      </c>
      <c r="M286" s="1" t="str">
        <f>IF(BaseCoalPlants!L288=0,"",BaseCoalPlants!L288)</f>
        <v/>
      </c>
      <c r="N286" s="1" t="str">
        <f>IF(BaseCoalPlants!W288=0,"",BaseCoalPlants!W288)</f>
        <v/>
      </c>
      <c r="O286" s="1" t="str">
        <f>IF(BaseCoalPlants!X288=0,"",BaseCoalPlants!X288)</f>
        <v/>
      </c>
      <c r="P286" s="1" t="str">
        <f>IF(BaseCoalPlants!Y288=0,"",BaseCoalPlants!Y288)</f>
        <v/>
      </c>
      <c r="Q286" s="1">
        <f>IF(BaseCoalPlants!Z288=0,"",BaseCoalPlants!Z288)</f>
        <v>0.2451298076568883</v>
      </c>
      <c r="R286" s="1" t="str">
        <f>IF(BaseCoalPlants!AA288=0,"",BaseCoalPlants!AA288)</f>
        <v/>
      </c>
      <c r="S286" s="1" t="str">
        <f>IF(BaseCoalPlants!AB288=0,"",BaseCoalPlants!AB288)</f>
        <v/>
      </c>
      <c r="T286" s="1" t="str">
        <f>IF(BaseCoalPlants!AC288=0,"",BaseCoalPlants!AC288)</f>
        <v/>
      </c>
      <c r="U286" s="1" t="str">
        <f>IF(BaseCoalPlants!AD288=0,"",BaseCoalPlants!AD288)</f>
        <v/>
      </c>
      <c r="V286" s="1" t="str">
        <f>IF(BaseCoalPlants!AE288=0,"",BaseCoalPlants!AE288)</f>
        <v/>
      </c>
    </row>
    <row r="287" spans="3:22" x14ac:dyDescent="0.35">
      <c r="C287" t="str">
        <f>IF(BaseCoalPlants!B289="VDA_FLOP",IF(BaseCoalPlants!D289="ELC","*","INPUT"),BaseCoalPlants!B289)</f>
        <v>EFF</v>
      </c>
      <c r="D287" t="str">
        <f>IF(BaseCoalPlants!C289="","\I:",BaseCoalPlants!C289&amp;"_LE")</f>
        <v>ECSTMRSUO_LE</v>
      </c>
      <c r="E287" t="str">
        <f>IF(BaseCoalPlants!D289="-","",BaseCoalPlants!D289)</f>
        <v/>
      </c>
      <c r="F287" t="str">
        <f>IF(BaseCoalPlants!E289="-","",BaseCoalPlants!E289)</f>
        <v/>
      </c>
      <c r="G287" t="str">
        <f>IF(BaseCoalPlants!F289="-","",BaseCoalPlants!F289)</f>
        <v>ANNUAL</v>
      </c>
      <c r="H287">
        <f>IF(BaseCoalPlants!G289="-","",BaseCoalPlants!G289)</f>
        <v>1968</v>
      </c>
      <c r="I287" t="str">
        <f>IF(BaseCoalPlants!H289="-","",BaseCoalPlants!H289)</f>
        <v/>
      </c>
      <c r="J287" t="str">
        <f>IF(BaseCoalPlants!I289="-","",BaseCoalPlants!I289)</f>
        <v/>
      </c>
      <c r="K287" t="str">
        <f>IF(BaseCoalPlants!J289="-","",BaseCoalPlants!J289)</f>
        <v/>
      </c>
      <c r="L287" t="str">
        <f>IF(BaseCoalPlants!K289="-","",BaseCoalPlants!K289)</f>
        <v/>
      </c>
      <c r="M287" s="1" t="str">
        <f>IF(BaseCoalPlants!L289=0,"",BaseCoalPlants!L289)</f>
        <v/>
      </c>
      <c r="N287" s="1" t="str">
        <f>IF(BaseCoalPlants!W289=0,"",BaseCoalPlants!W289)</f>
        <v/>
      </c>
      <c r="O287" s="1" t="str">
        <f>IF(BaseCoalPlants!X289=0,"",BaseCoalPlants!X289)</f>
        <v/>
      </c>
      <c r="P287" s="1">
        <f>IF(BaseCoalPlants!Y289=0,"",BaseCoalPlants!Y289)</f>
        <v>0.26181724786217853</v>
      </c>
      <c r="Q287" s="1" t="str">
        <f>IF(BaseCoalPlants!Z289=0,"",BaseCoalPlants!Z289)</f>
        <v/>
      </c>
      <c r="R287" s="1" t="str">
        <f>IF(BaseCoalPlants!AA289=0,"",BaseCoalPlants!AA289)</f>
        <v/>
      </c>
      <c r="S287" s="1" t="str">
        <f>IF(BaseCoalPlants!AB289=0,"",BaseCoalPlants!AB289)</f>
        <v/>
      </c>
      <c r="T287" s="1" t="str">
        <f>IF(BaseCoalPlants!AC289=0,"",BaseCoalPlants!AC289)</f>
        <v/>
      </c>
      <c r="U287" s="1" t="str">
        <f>IF(BaseCoalPlants!AD289=0,"",BaseCoalPlants!AD289)</f>
        <v/>
      </c>
      <c r="V287" s="1" t="str">
        <f>IF(BaseCoalPlants!AE289=0,"",BaseCoalPlants!AE289)</f>
        <v/>
      </c>
    </row>
    <row r="288" spans="3:22" x14ac:dyDescent="0.35">
      <c r="C288" t="str">
        <f>IF(BaseCoalPlants!B290="VDA_FLOP",IF(BaseCoalPlants!D290="ELC","*","INPUT"),BaseCoalPlants!B290)</f>
        <v>EFF</v>
      </c>
      <c r="D288" t="str">
        <f>IF(BaseCoalPlants!C290="","\I:",BaseCoalPlants!C290&amp;"_LE")</f>
        <v>ECSTMRSUO_LE</v>
      </c>
      <c r="E288" t="str">
        <f>IF(BaseCoalPlants!D290="-","",BaseCoalPlants!D290)</f>
        <v/>
      </c>
      <c r="F288" t="str">
        <f>IF(BaseCoalPlants!E290="-","",BaseCoalPlants!E290)</f>
        <v/>
      </c>
      <c r="G288" t="str">
        <f>IF(BaseCoalPlants!F290="-","",BaseCoalPlants!F290)</f>
        <v>ANNUAL</v>
      </c>
      <c r="H288">
        <f>IF(BaseCoalPlants!G290="-","",BaseCoalPlants!G290)</f>
        <v>1969</v>
      </c>
      <c r="I288" t="str">
        <f>IF(BaseCoalPlants!H290="-","",BaseCoalPlants!H290)</f>
        <v/>
      </c>
      <c r="J288" t="str">
        <f>IF(BaseCoalPlants!I290="-","",BaseCoalPlants!I290)</f>
        <v/>
      </c>
      <c r="K288" t="str">
        <f>IF(BaseCoalPlants!J290="-","",BaseCoalPlants!J290)</f>
        <v/>
      </c>
      <c r="L288" t="str">
        <f>IF(BaseCoalPlants!K290="-","",BaseCoalPlants!K290)</f>
        <v/>
      </c>
      <c r="M288" s="1" t="str">
        <f>IF(BaseCoalPlants!L290=0,"",BaseCoalPlants!L290)</f>
        <v/>
      </c>
      <c r="N288" s="1" t="str">
        <f>IF(BaseCoalPlants!W290=0,"",BaseCoalPlants!W290)</f>
        <v/>
      </c>
      <c r="O288" s="1" t="str">
        <f>IF(BaseCoalPlants!X290=0,"",BaseCoalPlants!X290)</f>
        <v/>
      </c>
      <c r="P288" s="1" t="str">
        <f>IF(BaseCoalPlants!Y290=0,"",BaseCoalPlants!Y290)</f>
        <v/>
      </c>
      <c r="Q288" s="1">
        <f>IF(BaseCoalPlants!Z290=0,"",BaseCoalPlants!Z290)</f>
        <v>0.21440077124721887</v>
      </c>
      <c r="R288" s="1" t="str">
        <f>IF(BaseCoalPlants!AA290=0,"",BaseCoalPlants!AA290)</f>
        <v/>
      </c>
      <c r="S288" s="1" t="str">
        <f>IF(BaseCoalPlants!AB290=0,"",BaseCoalPlants!AB290)</f>
        <v/>
      </c>
      <c r="T288" s="1" t="str">
        <f>IF(BaseCoalPlants!AC290=0,"",BaseCoalPlants!AC290)</f>
        <v/>
      </c>
      <c r="U288" s="1" t="str">
        <f>IF(BaseCoalPlants!AD290=0,"",BaseCoalPlants!AD290)</f>
        <v/>
      </c>
      <c r="V288" s="1" t="str">
        <f>IF(BaseCoalPlants!AE290=0,"",BaseCoalPlants!AE290)</f>
        <v/>
      </c>
    </row>
    <row r="289" spans="3:22" x14ac:dyDescent="0.35">
      <c r="C289" t="str">
        <f>IF(BaseCoalPlants!B291="VDA_FLOP",IF(BaseCoalPlants!D291="ELC","*","INPUT"),BaseCoalPlants!B291)</f>
        <v>EFF</v>
      </c>
      <c r="D289" t="str">
        <f>IF(BaseCoalPlants!C291="","\I:",BaseCoalPlants!C291&amp;"_LE")</f>
        <v>ECSTMRSUO_LE</v>
      </c>
      <c r="E289" t="str">
        <f>IF(BaseCoalPlants!D291="-","",BaseCoalPlants!D291)</f>
        <v/>
      </c>
      <c r="F289" t="str">
        <f>IF(BaseCoalPlants!E291="-","",BaseCoalPlants!E291)</f>
        <v/>
      </c>
      <c r="G289" t="str">
        <f>IF(BaseCoalPlants!F291="-","",BaseCoalPlants!F291)</f>
        <v>ANNUAL</v>
      </c>
      <c r="H289">
        <f>IF(BaseCoalPlants!G291="-","",BaseCoalPlants!G291)</f>
        <v>1970</v>
      </c>
      <c r="I289" t="str">
        <f>IF(BaseCoalPlants!H291="-","",BaseCoalPlants!H291)</f>
        <v/>
      </c>
      <c r="J289" t="str">
        <f>IF(BaseCoalPlants!I291="-","",BaseCoalPlants!I291)</f>
        <v/>
      </c>
      <c r="K289" t="str">
        <f>IF(BaseCoalPlants!J291="-","",BaseCoalPlants!J291)</f>
        <v/>
      </c>
      <c r="L289" t="str">
        <f>IF(BaseCoalPlants!K291="-","",BaseCoalPlants!K291)</f>
        <v/>
      </c>
      <c r="M289" s="1" t="str">
        <f>IF(BaseCoalPlants!L291=0,"",BaseCoalPlants!L291)</f>
        <v/>
      </c>
      <c r="N289" s="1" t="str">
        <f>IF(BaseCoalPlants!W291=0,"",BaseCoalPlants!W291)</f>
        <v/>
      </c>
      <c r="O289" s="1" t="str">
        <f>IF(BaseCoalPlants!X291=0,"",BaseCoalPlants!X291)</f>
        <v/>
      </c>
      <c r="P289" s="1">
        <f>IF(BaseCoalPlants!Y291=0,"",BaseCoalPlants!Y291)</f>
        <v>0.25484902628646816</v>
      </c>
      <c r="Q289" s="1">
        <f>IF(BaseCoalPlants!Z291=0,"",BaseCoalPlants!Z291)</f>
        <v>0.28121120987949694</v>
      </c>
      <c r="R289" s="1" t="str">
        <f>IF(BaseCoalPlants!AA291=0,"",BaseCoalPlants!AA291)</f>
        <v/>
      </c>
      <c r="S289" s="1" t="str">
        <f>IF(BaseCoalPlants!AB291=0,"",BaseCoalPlants!AB291)</f>
        <v/>
      </c>
      <c r="T289" s="1" t="str">
        <f>IF(BaseCoalPlants!AC291=0,"",BaseCoalPlants!AC291)</f>
        <v/>
      </c>
      <c r="U289" s="1" t="str">
        <f>IF(BaseCoalPlants!AD291=0,"",BaseCoalPlants!AD291)</f>
        <v/>
      </c>
      <c r="V289" s="1" t="str">
        <f>IF(BaseCoalPlants!AE291=0,"",BaseCoalPlants!AE291)</f>
        <v/>
      </c>
    </row>
    <row r="290" spans="3:22" x14ac:dyDescent="0.35">
      <c r="C290" t="str">
        <f>IF(BaseCoalPlants!B292="VDA_FLOP",IF(BaseCoalPlants!D292="ELC","*","INPUT"),BaseCoalPlants!B292)</f>
        <v>EFF</v>
      </c>
      <c r="D290" t="str">
        <f>IF(BaseCoalPlants!C292="","\I:",BaseCoalPlants!C292&amp;"_LE")</f>
        <v>ECSTMRSUO_LE</v>
      </c>
      <c r="E290" t="str">
        <f>IF(BaseCoalPlants!D292="-","",BaseCoalPlants!D292)</f>
        <v/>
      </c>
      <c r="F290" t="str">
        <f>IF(BaseCoalPlants!E292="-","",BaseCoalPlants!E292)</f>
        <v/>
      </c>
      <c r="G290" t="str">
        <f>IF(BaseCoalPlants!F292="-","",BaseCoalPlants!F292)</f>
        <v>ANNUAL</v>
      </c>
      <c r="H290">
        <f>IF(BaseCoalPlants!G292="-","",BaseCoalPlants!G292)</f>
        <v>1978</v>
      </c>
      <c r="I290" t="str">
        <f>IF(BaseCoalPlants!H292="-","",BaseCoalPlants!H292)</f>
        <v/>
      </c>
      <c r="J290" t="str">
        <f>IF(BaseCoalPlants!I292="-","",BaseCoalPlants!I292)</f>
        <v/>
      </c>
      <c r="K290" t="str">
        <f>IF(BaseCoalPlants!J292="-","",BaseCoalPlants!J292)</f>
        <v/>
      </c>
      <c r="L290" t="str">
        <f>IF(BaseCoalPlants!K292="-","",BaseCoalPlants!K292)</f>
        <v/>
      </c>
      <c r="M290" s="1" t="str">
        <f>IF(BaseCoalPlants!L292=0,"",BaseCoalPlants!L292)</f>
        <v/>
      </c>
      <c r="N290" s="1" t="str">
        <f>IF(BaseCoalPlants!W292=0,"",BaseCoalPlants!W292)</f>
        <v/>
      </c>
      <c r="O290" s="1" t="str">
        <f>IF(BaseCoalPlants!X292=0,"",BaseCoalPlants!X292)</f>
        <v/>
      </c>
      <c r="P290" s="1">
        <f>IF(BaseCoalPlants!Y292=0,"",BaseCoalPlants!Y292)</f>
        <v>0.26823577350143329</v>
      </c>
      <c r="Q290" s="1" t="str">
        <f>IF(BaseCoalPlants!Z292=0,"",BaseCoalPlants!Z292)</f>
        <v/>
      </c>
      <c r="R290" s="1" t="str">
        <f>IF(BaseCoalPlants!AA292=0,"",BaseCoalPlants!AA292)</f>
        <v/>
      </c>
      <c r="S290" s="1" t="str">
        <f>IF(BaseCoalPlants!AB292=0,"",BaseCoalPlants!AB292)</f>
        <v/>
      </c>
      <c r="T290" s="1" t="str">
        <f>IF(BaseCoalPlants!AC292=0,"",BaseCoalPlants!AC292)</f>
        <v/>
      </c>
      <c r="U290" s="1" t="str">
        <f>IF(BaseCoalPlants!AD292=0,"",BaseCoalPlants!AD292)</f>
        <v/>
      </c>
      <c r="V290" s="1" t="str">
        <f>IF(BaseCoalPlants!AE292=0,"",BaseCoalPlants!AE292)</f>
        <v/>
      </c>
    </row>
    <row r="291" spans="3:22" x14ac:dyDescent="0.35">
      <c r="C291" t="str">
        <f>IF(BaseCoalPlants!B293="VDA_FLOP",IF(BaseCoalPlants!D293="ELC","*","INPUT"),BaseCoalPlants!B293)</f>
        <v>EFF</v>
      </c>
      <c r="D291" t="str">
        <f>IF(BaseCoalPlants!C293="","\I:",BaseCoalPlants!C293&amp;"_LE")</f>
        <v>ECSTMRSUO_LE</v>
      </c>
      <c r="E291" t="str">
        <f>IF(BaseCoalPlants!D293="-","",BaseCoalPlants!D293)</f>
        <v/>
      </c>
      <c r="F291" t="str">
        <f>IF(BaseCoalPlants!E293="-","",BaseCoalPlants!E293)</f>
        <v/>
      </c>
      <c r="G291" t="str">
        <f>IF(BaseCoalPlants!F293="-","",BaseCoalPlants!F293)</f>
        <v>ANNUAL</v>
      </c>
      <c r="H291">
        <f>IF(BaseCoalPlants!G293="-","",BaseCoalPlants!G293)</f>
        <v>1979</v>
      </c>
      <c r="I291" t="str">
        <f>IF(BaseCoalPlants!H293="-","",BaseCoalPlants!H293)</f>
        <v/>
      </c>
      <c r="J291" t="str">
        <f>IF(BaseCoalPlants!I293="-","",BaseCoalPlants!I293)</f>
        <v/>
      </c>
      <c r="K291" t="str">
        <f>IF(BaseCoalPlants!J293="-","",BaseCoalPlants!J293)</f>
        <v/>
      </c>
      <c r="L291" t="str">
        <f>IF(BaseCoalPlants!K293="-","",BaseCoalPlants!K293)</f>
        <v/>
      </c>
      <c r="M291" s="1" t="str">
        <f>IF(BaseCoalPlants!L293=0,"",BaseCoalPlants!L293)</f>
        <v/>
      </c>
      <c r="N291" s="1" t="str">
        <f>IF(BaseCoalPlants!W293=0,"",BaseCoalPlants!W293)</f>
        <v/>
      </c>
      <c r="O291" s="1" t="str">
        <f>IF(BaseCoalPlants!X293=0,"",BaseCoalPlants!X293)</f>
        <v/>
      </c>
      <c r="P291" s="1">
        <f>IF(BaseCoalPlants!Y293=0,"",BaseCoalPlants!Y293)</f>
        <v>0.27346434459355967</v>
      </c>
      <c r="Q291" s="1" t="str">
        <f>IF(BaseCoalPlants!Z293=0,"",BaseCoalPlants!Z293)</f>
        <v/>
      </c>
      <c r="R291" s="1" t="str">
        <f>IF(BaseCoalPlants!AA293=0,"",BaseCoalPlants!AA293)</f>
        <v/>
      </c>
      <c r="S291" s="1" t="str">
        <f>IF(BaseCoalPlants!AB293=0,"",BaseCoalPlants!AB293)</f>
        <v/>
      </c>
      <c r="T291" s="1" t="str">
        <f>IF(BaseCoalPlants!AC293=0,"",BaseCoalPlants!AC293)</f>
        <v/>
      </c>
      <c r="U291" s="1" t="str">
        <f>IF(BaseCoalPlants!AD293=0,"",BaseCoalPlants!AD293)</f>
        <v/>
      </c>
      <c r="V291" s="1" t="str">
        <f>IF(BaseCoalPlants!AE293=0,"",BaseCoalPlants!AE293)</f>
        <v/>
      </c>
    </row>
    <row r="292" spans="3:22" x14ac:dyDescent="0.35">
      <c r="C292" t="str">
        <f>IF(BaseCoalPlants!B294="VDA_FLOP",IF(BaseCoalPlants!D294="ELC","*","INPUT"),BaseCoalPlants!B294)</f>
        <v>EFF</v>
      </c>
      <c r="D292" t="str">
        <f>IF(BaseCoalPlants!C294="","\I:",BaseCoalPlants!C294&amp;"_LE")</f>
        <v>ECSTMRSUO_LE</v>
      </c>
      <c r="E292" t="str">
        <f>IF(BaseCoalPlants!D294="-","",BaseCoalPlants!D294)</f>
        <v/>
      </c>
      <c r="F292" t="str">
        <f>IF(BaseCoalPlants!E294="-","",BaseCoalPlants!E294)</f>
        <v/>
      </c>
      <c r="G292" t="str">
        <f>IF(BaseCoalPlants!F294="-","",BaseCoalPlants!F294)</f>
        <v>ANNUAL</v>
      </c>
      <c r="H292">
        <f>IF(BaseCoalPlants!G294="-","",BaseCoalPlants!G294)</f>
        <v>1981</v>
      </c>
      <c r="I292" t="str">
        <f>IF(BaseCoalPlants!H294="-","",BaseCoalPlants!H294)</f>
        <v/>
      </c>
      <c r="J292" t="str">
        <f>IF(BaseCoalPlants!I294="-","",BaseCoalPlants!I294)</f>
        <v/>
      </c>
      <c r="K292" t="str">
        <f>IF(BaseCoalPlants!J294="-","",BaseCoalPlants!J294)</f>
        <v/>
      </c>
      <c r="L292" t="str">
        <f>IF(BaseCoalPlants!K294="-","",BaseCoalPlants!K294)</f>
        <v/>
      </c>
      <c r="M292" s="1" t="str">
        <f>IF(BaseCoalPlants!L294=0,"",BaseCoalPlants!L294)</f>
        <v/>
      </c>
      <c r="N292" s="1" t="str">
        <f>IF(BaseCoalPlants!W294=0,"",BaseCoalPlants!W294)</f>
        <v/>
      </c>
      <c r="O292" s="1" t="str">
        <f>IF(BaseCoalPlants!X294=0,"",BaseCoalPlants!X294)</f>
        <v/>
      </c>
      <c r="P292" s="1" t="str">
        <f>IF(BaseCoalPlants!Y294=0,"",BaseCoalPlants!Y294)</f>
        <v/>
      </c>
      <c r="Q292" s="1">
        <f>IF(BaseCoalPlants!Z294=0,"",BaseCoalPlants!Z294)</f>
        <v>0.2951197643140771</v>
      </c>
      <c r="R292" s="1" t="str">
        <f>IF(BaseCoalPlants!AA294=0,"",BaseCoalPlants!AA294)</f>
        <v/>
      </c>
      <c r="S292" s="1" t="str">
        <f>IF(BaseCoalPlants!AB294=0,"",BaseCoalPlants!AB294)</f>
        <v/>
      </c>
      <c r="T292" s="1" t="str">
        <f>IF(BaseCoalPlants!AC294=0,"",BaseCoalPlants!AC294)</f>
        <v/>
      </c>
      <c r="U292" s="1" t="str">
        <f>IF(BaseCoalPlants!AD294=0,"",BaseCoalPlants!AD294)</f>
        <v/>
      </c>
      <c r="V292" s="1" t="str">
        <f>IF(BaseCoalPlants!AE294=0,"",BaseCoalPlants!AE294)</f>
        <v/>
      </c>
    </row>
    <row r="293" spans="3:22" x14ac:dyDescent="0.35">
      <c r="C293" t="str">
        <f>IF(BaseCoalPlants!B295="VDA_FLOP",IF(BaseCoalPlants!D295="ELC","*","INPUT"),BaseCoalPlants!B295)</f>
        <v>EFF</v>
      </c>
      <c r="D293" t="str">
        <f>IF(BaseCoalPlants!C295="","\I:",BaseCoalPlants!C295&amp;"_LE")</f>
        <v>ECSTMRSUO_LE</v>
      </c>
      <c r="E293" t="str">
        <f>IF(BaseCoalPlants!D295="-","",BaseCoalPlants!D295)</f>
        <v/>
      </c>
      <c r="F293" t="str">
        <f>IF(BaseCoalPlants!E295="-","",BaseCoalPlants!E295)</f>
        <v/>
      </c>
      <c r="G293" t="str">
        <f>IF(BaseCoalPlants!F295="-","",BaseCoalPlants!F295)</f>
        <v>ANNUAL</v>
      </c>
      <c r="H293">
        <f>IF(BaseCoalPlants!G295="-","",BaseCoalPlants!G295)</f>
        <v>1982</v>
      </c>
      <c r="I293" t="str">
        <f>IF(BaseCoalPlants!H295="-","",BaseCoalPlants!H295)</f>
        <v/>
      </c>
      <c r="J293" t="str">
        <f>IF(BaseCoalPlants!I295="-","",BaseCoalPlants!I295)</f>
        <v/>
      </c>
      <c r="K293" t="str">
        <f>IF(BaseCoalPlants!J295="-","",BaseCoalPlants!J295)</f>
        <v/>
      </c>
      <c r="L293" t="str">
        <f>IF(BaseCoalPlants!K295="-","",BaseCoalPlants!K295)</f>
        <v/>
      </c>
      <c r="M293" s="1" t="str">
        <f>IF(BaseCoalPlants!L295=0,"",BaseCoalPlants!L295)</f>
        <v/>
      </c>
      <c r="N293" s="1" t="str">
        <f>IF(BaseCoalPlants!W295=0,"",BaseCoalPlants!W295)</f>
        <v/>
      </c>
      <c r="O293" s="1" t="str">
        <f>IF(BaseCoalPlants!X295=0,"",BaseCoalPlants!X295)</f>
        <v/>
      </c>
      <c r="P293" s="1" t="str">
        <f>IF(BaseCoalPlants!Y295=0,"",BaseCoalPlants!Y295)</f>
        <v/>
      </c>
      <c r="Q293" s="1">
        <f>IF(BaseCoalPlants!Z295=0,"",BaseCoalPlants!Z295)</f>
        <v>0.31709086677920351</v>
      </c>
      <c r="R293" s="1" t="str">
        <f>IF(BaseCoalPlants!AA295=0,"",BaseCoalPlants!AA295)</f>
        <v/>
      </c>
      <c r="S293" s="1" t="str">
        <f>IF(BaseCoalPlants!AB295=0,"",BaseCoalPlants!AB295)</f>
        <v/>
      </c>
      <c r="T293" s="1" t="str">
        <f>IF(BaseCoalPlants!AC295=0,"",BaseCoalPlants!AC295)</f>
        <v/>
      </c>
      <c r="U293" s="1" t="str">
        <f>IF(BaseCoalPlants!AD295=0,"",BaseCoalPlants!AD295)</f>
        <v/>
      </c>
      <c r="V293" s="1" t="str">
        <f>IF(BaseCoalPlants!AE295=0,"",BaseCoalPlants!AE295)</f>
        <v/>
      </c>
    </row>
    <row r="294" spans="3:22" x14ac:dyDescent="0.35">
      <c r="C294" t="str">
        <f>IF(BaseCoalPlants!B296="VDA_FLOP",IF(BaseCoalPlants!D296="ELC","*","INPUT"),BaseCoalPlants!B296)</f>
        <v>EFF</v>
      </c>
      <c r="D294" t="str">
        <f>IF(BaseCoalPlants!C296="","\I:",BaseCoalPlants!C296&amp;"_LE")</f>
        <v>ECSTMRSUO_LE</v>
      </c>
      <c r="E294" t="str">
        <f>IF(BaseCoalPlants!D296="-","",BaseCoalPlants!D296)</f>
        <v/>
      </c>
      <c r="F294" t="str">
        <f>IF(BaseCoalPlants!E296="-","",BaseCoalPlants!E296)</f>
        <v/>
      </c>
      <c r="G294" t="str">
        <f>IF(BaseCoalPlants!F296="-","",BaseCoalPlants!F296)</f>
        <v>ANNUAL</v>
      </c>
      <c r="H294">
        <f>IF(BaseCoalPlants!G296="-","",BaseCoalPlants!G296)</f>
        <v>1983</v>
      </c>
      <c r="I294" t="str">
        <f>IF(BaseCoalPlants!H296="-","",BaseCoalPlants!H296)</f>
        <v/>
      </c>
      <c r="J294" t="str">
        <f>IF(BaseCoalPlants!I296="-","",BaseCoalPlants!I296)</f>
        <v/>
      </c>
      <c r="K294" t="str">
        <f>IF(BaseCoalPlants!J296="-","",BaseCoalPlants!J296)</f>
        <v/>
      </c>
      <c r="L294" t="str">
        <f>IF(BaseCoalPlants!K296="-","",BaseCoalPlants!K296)</f>
        <v/>
      </c>
      <c r="M294" s="1" t="str">
        <f>IF(BaseCoalPlants!L296=0,"",BaseCoalPlants!L296)</f>
        <v/>
      </c>
      <c r="N294" s="1" t="str">
        <f>IF(BaseCoalPlants!W296=0,"",BaseCoalPlants!W296)</f>
        <v/>
      </c>
      <c r="O294" s="1" t="str">
        <f>IF(BaseCoalPlants!X296=0,"",BaseCoalPlants!X296)</f>
        <v/>
      </c>
      <c r="P294" s="1">
        <f>IF(BaseCoalPlants!Y296=0,"",BaseCoalPlants!Y296)</f>
        <v>0.27219188898099361</v>
      </c>
      <c r="Q294" s="1" t="str">
        <f>IF(BaseCoalPlants!Z296=0,"",BaseCoalPlants!Z296)</f>
        <v/>
      </c>
      <c r="R294" s="1" t="str">
        <f>IF(BaseCoalPlants!AA296=0,"",BaseCoalPlants!AA296)</f>
        <v/>
      </c>
      <c r="S294" s="1" t="str">
        <f>IF(BaseCoalPlants!AB296=0,"",BaseCoalPlants!AB296)</f>
        <v/>
      </c>
      <c r="T294" s="1" t="str">
        <f>IF(BaseCoalPlants!AC296=0,"",BaseCoalPlants!AC296)</f>
        <v/>
      </c>
      <c r="U294" s="1" t="str">
        <f>IF(BaseCoalPlants!AD296=0,"",BaseCoalPlants!AD296)</f>
        <v/>
      </c>
      <c r="V294" s="1" t="str">
        <f>IF(BaseCoalPlants!AE296=0,"",BaseCoalPlants!AE296)</f>
        <v/>
      </c>
    </row>
    <row r="295" spans="3:22" x14ac:dyDescent="0.35">
      <c r="C295" t="str">
        <f>IF(BaseCoalPlants!B297="VDA_FLOP",IF(BaseCoalPlants!D297="ELC","*","INPUT"),BaseCoalPlants!B297)</f>
        <v>EFF</v>
      </c>
      <c r="D295" t="str">
        <f>IF(BaseCoalPlants!C297="","\I:",BaseCoalPlants!C297&amp;"_LE")</f>
        <v>ECSTMRSUR_LE</v>
      </c>
      <c r="E295" t="str">
        <f>IF(BaseCoalPlants!D297="-","",BaseCoalPlants!D297)</f>
        <v/>
      </c>
      <c r="F295" t="str">
        <f>IF(BaseCoalPlants!E297="-","",BaseCoalPlants!E297)</f>
        <v/>
      </c>
      <c r="G295" t="str">
        <f>IF(BaseCoalPlants!F297="-","",BaseCoalPlants!F297)</f>
        <v>ANNUAL</v>
      </c>
      <c r="H295">
        <f>IF(BaseCoalPlants!G297="-","",BaseCoalPlants!G297)</f>
        <v>1948</v>
      </c>
      <c r="I295" t="str">
        <f>IF(BaseCoalPlants!H297="-","",BaseCoalPlants!H297)</f>
        <v/>
      </c>
      <c r="J295" t="str">
        <f>IF(BaseCoalPlants!I297="-","",BaseCoalPlants!I297)</f>
        <v/>
      </c>
      <c r="K295" t="str">
        <f>IF(BaseCoalPlants!J297="-","",BaseCoalPlants!J297)</f>
        <v/>
      </c>
      <c r="L295" t="str">
        <f>IF(BaseCoalPlants!K297="-","",BaseCoalPlants!K297)</f>
        <v/>
      </c>
      <c r="M295" s="1" t="str">
        <f>IF(BaseCoalPlants!L297=0,"",BaseCoalPlants!L297)</f>
        <v/>
      </c>
      <c r="N295" s="1" t="str">
        <f>IF(BaseCoalPlants!W297=0,"",BaseCoalPlants!W297)</f>
        <v/>
      </c>
      <c r="O295" s="1" t="str">
        <f>IF(BaseCoalPlants!X297=0,"",BaseCoalPlants!X297)</f>
        <v/>
      </c>
      <c r="P295" s="1" t="str">
        <f>IF(BaseCoalPlants!Y297=0,"",BaseCoalPlants!Y297)</f>
        <v/>
      </c>
      <c r="Q295" s="1" t="str">
        <f>IF(BaseCoalPlants!Z297=0,"",BaseCoalPlants!Z297)</f>
        <v/>
      </c>
      <c r="R295" s="1" t="str">
        <f>IF(BaseCoalPlants!AA297=0,"",BaseCoalPlants!AA297)</f>
        <v/>
      </c>
      <c r="S295" s="1" t="str">
        <f>IF(BaseCoalPlants!AB297=0,"",BaseCoalPlants!AB297)</f>
        <v/>
      </c>
      <c r="T295" s="1" t="str">
        <f>IF(BaseCoalPlants!AC297=0,"",BaseCoalPlants!AC297)</f>
        <v/>
      </c>
      <c r="U295" s="1">
        <f>IF(BaseCoalPlants!AD297=0,"",BaseCoalPlants!AD297)</f>
        <v>0.22591926785422464</v>
      </c>
      <c r="V295" s="1" t="str">
        <f>IF(BaseCoalPlants!AE297=0,"",BaseCoalPlants!AE297)</f>
        <v/>
      </c>
    </row>
    <row r="296" spans="3:22" x14ac:dyDescent="0.35">
      <c r="C296" t="str">
        <f>IF(BaseCoalPlants!B298="VDA_FLOP",IF(BaseCoalPlants!D298="ELC","*","INPUT"),BaseCoalPlants!B298)</f>
        <v>EFF</v>
      </c>
      <c r="D296" t="str">
        <f>IF(BaseCoalPlants!C298="","\I:",BaseCoalPlants!C298&amp;"_LE")</f>
        <v>ECSTMRSUR_LE</v>
      </c>
      <c r="E296" t="str">
        <f>IF(BaseCoalPlants!D298="-","",BaseCoalPlants!D298)</f>
        <v/>
      </c>
      <c r="F296" t="str">
        <f>IF(BaseCoalPlants!E298="-","",BaseCoalPlants!E298)</f>
        <v/>
      </c>
      <c r="G296" t="str">
        <f>IF(BaseCoalPlants!F298="-","",BaseCoalPlants!F298)</f>
        <v>ANNUAL</v>
      </c>
      <c r="H296">
        <f>IF(BaseCoalPlants!G298="-","",BaseCoalPlants!G298)</f>
        <v>1949</v>
      </c>
      <c r="I296" t="str">
        <f>IF(BaseCoalPlants!H298="-","",BaseCoalPlants!H298)</f>
        <v/>
      </c>
      <c r="J296" t="str">
        <f>IF(BaseCoalPlants!I298="-","",BaseCoalPlants!I298)</f>
        <v/>
      </c>
      <c r="K296" t="str">
        <f>IF(BaseCoalPlants!J298="-","",BaseCoalPlants!J298)</f>
        <v/>
      </c>
      <c r="L296" t="str">
        <f>IF(BaseCoalPlants!K298="-","",BaseCoalPlants!K298)</f>
        <v/>
      </c>
      <c r="M296" s="1" t="str">
        <f>IF(BaseCoalPlants!L298=0,"",BaseCoalPlants!L298)</f>
        <v/>
      </c>
      <c r="N296" s="1" t="str">
        <f>IF(BaseCoalPlants!W298=0,"",BaseCoalPlants!W298)</f>
        <v/>
      </c>
      <c r="O296" s="1" t="str">
        <f>IF(BaseCoalPlants!X298=0,"",BaseCoalPlants!X298)</f>
        <v/>
      </c>
      <c r="P296" s="1" t="str">
        <f>IF(BaseCoalPlants!Y298=0,"",BaseCoalPlants!Y298)</f>
        <v/>
      </c>
      <c r="Q296" s="1" t="str">
        <f>IF(BaseCoalPlants!Z298=0,"",BaseCoalPlants!Z298)</f>
        <v/>
      </c>
      <c r="R296" s="1" t="str">
        <f>IF(BaseCoalPlants!AA298=0,"",BaseCoalPlants!AA298)</f>
        <v/>
      </c>
      <c r="S296" s="1" t="str">
        <f>IF(BaseCoalPlants!AB298=0,"",BaseCoalPlants!AB298)</f>
        <v/>
      </c>
      <c r="T296" s="1" t="str">
        <f>IF(BaseCoalPlants!AC298=0,"",BaseCoalPlants!AC298)</f>
        <v/>
      </c>
      <c r="U296" s="1">
        <f>IF(BaseCoalPlants!AD298=0,"",BaseCoalPlants!AD298)</f>
        <v>0.22591926785422464</v>
      </c>
      <c r="V296" s="1" t="str">
        <f>IF(BaseCoalPlants!AE298=0,"",BaseCoalPlants!AE298)</f>
        <v/>
      </c>
    </row>
    <row r="297" spans="3:22" x14ac:dyDescent="0.35">
      <c r="C297" t="str">
        <f>IF(BaseCoalPlants!B299="VDA_FLOP",IF(BaseCoalPlants!D299="ELC","*","INPUT"),BaseCoalPlants!B299)</f>
        <v>EFF</v>
      </c>
      <c r="D297" t="str">
        <f>IF(BaseCoalPlants!C299="","\I:",BaseCoalPlants!C299&amp;"_LE")</f>
        <v>ECSTMRSUR_LE</v>
      </c>
      <c r="E297" t="str">
        <f>IF(BaseCoalPlants!D299="-","",BaseCoalPlants!D299)</f>
        <v/>
      </c>
      <c r="F297" t="str">
        <f>IF(BaseCoalPlants!E299="-","",BaseCoalPlants!E299)</f>
        <v/>
      </c>
      <c r="G297" t="str">
        <f>IF(BaseCoalPlants!F299="-","",BaseCoalPlants!F299)</f>
        <v>ANNUAL</v>
      </c>
      <c r="H297">
        <f>IF(BaseCoalPlants!G299="-","",BaseCoalPlants!G299)</f>
        <v>1951</v>
      </c>
      <c r="I297" t="str">
        <f>IF(BaseCoalPlants!H299="-","",BaseCoalPlants!H299)</f>
        <v/>
      </c>
      <c r="J297" t="str">
        <f>IF(BaseCoalPlants!I299="-","",BaseCoalPlants!I299)</f>
        <v/>
      </c>
      <c r="K297" t="str">
        <f>IF(BaseCoalPlants!J299="-","",BaseCoalPlants!J299)</f>
        <v/>
      </c>
      <c r="L297" t="str">
        <f>IF(BaseCoalPlants!K299="-","",BaseCoalPlants!K299)</f>
        <v/>
      </c>
      <c r="M297" s="1" t="str">
        <f>IF(BaseCoalPlants!L299=0,"",BaseCoalPlants!L299)</f>
        <v/>
      </c>
      <c r="N297" s="1" t="str">
        <f>IF(BaseCoalPlants!W299=0,"",BaseCoalPlants!W299)</f>
        <v/>
      </c>
      <c r="O297" s="1" t="str">
        <f>IF(BaseCoalPlants!X299=0,"",BaseCoalPlants!X299)</f>
        <v/>
      </c>
      <c r="P297" s="1" t="str">
        <f>IF(BaseCoalPlants!Y299=0,"",BaseCoalPlants!Y299)</f>
        <v/>
      </c>
      <c r="Q297" s="1" t="str">
        <f>IF(BaseCoalPlants!Z299=0,"",BaseCoalPlants!Z299)</f>
        <v/>
      </c>
      <c r="R297" s="1" t="str">
        <f>IF(BaseCoalPlants!AA299=0,"",BaseCoalPlants!AA299)</f>
        <v/>
      </c>
      <c r="S297" s="1" t="str">
        <f>IF(BaseCoalPlants!AB299=0,"",BaseCoalPlants!AB299)</f>
        <v/>
      </c>
      <c r="T297" s="1" t="str">
        <f>IF(BaseCoalPlants!AC299=0,"",BaseCoalPlants!AC299)</f>
        <v/>
      </c>
      <c r="U297" s="1">
        <f>IF(BaseCoalPlants!AD299=0,"",BaseCoalPlants!AD299)</f>
        <v>0.27742457519361891</v>
      </c>
      <c r="V297" s="1" t="str">
        <f>IF(BaseCoalPlants!AE299=0,"",BaseCoalPlants!AE299)</f>
        <v/>
      </c>
    </row>
    <row r="298" spans="3:22" x14ac:dyDescent="0.35">
      <c r="C298" t="str">
        <f>IF(BaseCoalPlants!B300="VDA_FLOP",IF(BaseCoalPlants!D300="ELC","*","INPUT"),BaseCoalPlants!B300)</f>
        <v>EFF</v>
      </c>
      <c r="D298" t="str">
        <f>IF(BaseCoalPlants!C300="","\I:",BaseCoalPlants!C300&amp;"_LE")</f>
        <v>ECSTMRSUR_LE</v>
      </c>
      <c r="E298" t="str">
        <f>IF(BaseCoalPlants!D300="-","",BaseCoalPlants!D300)</f>
        <v/>
      </c>
      <c r="F298" t="str">
        <f>IF(BaseCoalPlants!E300="-","",BaseCoalPlants!E300)</f>
        <v/>
      </c>
      <c r="G298" t="str">
        <f>IF(BaseCoalPlants!F300="-","",BaseCoalPlants!F300)</f>
        <v>ANNUAL</v>
      </c>
      <c r="H298">
        <f>IF(BaseCoalPlants!G300="-","",BaseCoalPlants!G300)</f>
        <v>1952</v>
      </c>
      <c r="I298" t="str">
        <f>IF(BaseCoalPlants!H300="-","",BaseCoalPlants!H300)</f>
        <v/>
      </c>
      <c r="J298" t="str">
        <f>IF(BaseCoalPlants!I300="-","",BaseCoalPlants!I300)</f>
        <v/>
      </c>
      <c r="K298" t="str">
        <f>IF(BaseCoalPlants!J300="-","",BaseCoalPlants!J300)</f>
        <v/>
      </c>
      <c r="L298" t="str">
        <f>IF(BaseCoalPlants!K300="-","",BaseCoalPlants!K300)</f>
        <v/>
      </c>
      <c r="M298" s="1" t="str">
        <f>IF(BaseCoalPlants!L300=0,"",BaseCoalPlants!L300)</f>
        <v/>
      </c>
      <c r="N298" s="1" t="str">
        <f>IF(BaseCoalPlants!W300=0,"",BaseCoalPlants!W300)</f>
        <v/>
      </c>
      <c r="O298" s="1" t="str">
        <f>IF(BaseCoalPlants!X300=0,"",BaseCoalPlants!X300)</f>
        <v/>
      </c>
      <c r="P298" s="1" t="str">
        <f>IF(BaseCoalPlants!Y300=0,"",BaseCoalPlants!Y300)</f>
        <v/>
      </c>
      <c r="Q298" s="1" t="str">
        <f>IF(BaseCoalPlants!Z300=0,"",BaseCoalPlants!Z300)</f>
        <v/>
      </c>
      <c r="R298" s="1" t="str">
        <f>IF(BaseCoalPlants!AA300=0,"",BaseCoalPlants!AA300)</f>
        <v/>
      </c>
      <c r="S298" s="1" t="str">
        <f>IF(BaseCoalPlants!AB300=0,"",BaseCoalPlants!AB300)</f>
        <v/>
      </c>
      <c r="T298" s="1" t="str">
        <f>IF(BaseCoalPlants!AC300=0,"",BaseCoalPlants!AC300)</f>
        <v/>
      </c>
      <c r="U298" s="1">
        <f>IF(BaseCoalPlants!AD300=0,"",BaseCoalPlants!AD300)</f>
        <v>0.22748815165876798</v>
      </c>
      <c r="V298" s="1" t="str">
        <f>IF(BaseCoalPlants!AE300=0,"",BaseCoalPlants!AE300)</f>
        <v/>
      </c>
    </row>
    <row r="299" spans="3:22" x14ac:dyDescent="0.35">
      <c r="C299" t="str">
        <f>IF(BaseCoalPlants!B301="VDA_FLOP",IF(BaseCoalPlants!D301="ELC","*","INPUT"),BaseCoalPlants!B301)</f>
        <v>EFF</v>
      </c>
      <c r="D299" t="str">
        <f>IF(BaseCoalPlants!C301="","\I:",BaseCoalPlants!C301&amp;"_LE")</f>
        <v>ECSTMRSUR_LE</v>
      </c>
      <c r="E299" t="str">
        <f>IF(BaseCoalPlants!D301="-","",BaseCoalPlants!D301)</f>
        <v/>
      </c>
      <c r="F299" t="str">
        <f>IF(BaseCoalPlants!E301="-","",BaseCoalPlants!E301)</f>
        <v/>
      </c>
      <c r="G299" t="str">
        <f>IF(BaseCoalPlants!F301="-","",BaseCoalPlants!F301)</f>
        <v>ANNUAL</v>
      </c>
      <c r="H299">
        <f>IF(BaseCoalPlants!G301="-","",BaseCoalPlants!G301)</f>
        <v>1955</v>
      </c>
      <c r="I299" t="str">
        <f>IF(BaseCoalPlants!H301="-","",BaseCoalPlants!H301)</f>
        <v/>
      </c>
      <c r="J299" t="str">
        <f>IF(BaseCoalPlants!I301="-","",BaseCoalPlants!I301)</f>
        <v/>
      </c>
      <c r="K299" t="str">
        <f>IF(BaseCoalPlants!J301="-","",BaseCoalPlants!J301)</f>
        <v/>
      </c>
      <c r="L299" t="str">
        <f>IF(BaseCoalPlants!K301="-","",BaseCoalPlants!K301)</f>
        <v/>
      </c>
      <c r="M299" s="1" t="str">
        <f>IF(BaseCoalPlants!L301=0,"",BaseCoalPlants!L301)</f>
        <v/>
      </c>
      <c r="N299" s="1" t="str">
        <f>IF(BaseCoalPlants!W301=0,"",BaseCoalPlants!W301)</f>
        <v/>
      </c>
      <c r="O299" s="1" t="str">
        <f>IF(BaseCoalPlants!X301=0,"",BaseCoalPlants!X301)</f>
        <v/>
      </c>
      <c r="P299" s="1" t="str">
        <f>IF(BaseCoalPlants!Y301=0,"",BaseCoalPlants!Y301)</f>
        <v/>
      </c>
      <c r="Q299" s="1">
        <f>IF(BaseCoalPlants!Z301=0,"",BaseCoalPlants!Z301)</f>
        <v>0.26499503587184736</v>
      </c>
      <c r="R299" s="1" t="str">
        <f>IF(BaseCoalPlants!AA301=0,"",BaseCoalPlants!AA301)</f>
        <v/>
      </c>
      <c r="S299" s="1" t="str">
        <f>IF(BaseCoalPlants!AB301=0,"",BaseCoalPlants!AB301)</f>
        <v/>
      </c>
      <c r="T299" s="1" t="str">
        <f>IF(BaseCoalPlants!AC301=0,"",BaseCoalPlants!AC301)</f>
        <v/>
      </c>
      <c r="U299" s="1" t="str">
        <f>IF(BaseCoalPlants!AD301=0,"",BaseCoalPlants!AD301)</f>
        <v/>
      </c>
      <c r="V299" s="1" t="str">
        <f>IF(BaseCoalPlants!AE301=0,"",BaseCoalPlants!AE301)</f>
        <v/>
      </c>
    </row>
    <row r="300" spans="3:22" x14ac:dyDescent="0.35">
      <c r="C300" t="str">
        <f>IF(BaseCoalPlants!B302="VDA_FLOP",IF(BaseCoalPlants!D302="ELC","*","INPUT"),BaseCoalPlants!B302)</f>
        <v>EFF</v>
      </c>
      <c r="D300" t="str">
        <f>IF(BaseCoalPlants!C302="","\I:",BaseCoalPlants!C302&amp;"_LE")</f>
        <v>ECSTMRSUR_LE</v>
      </c>
      <c r="E300" t="str">
        <f>IF(BaseCoalPlants!D302="-","",BaseCoalPlants!D302)</f>
        <v/>
      </c>
      <c r="F300" t="str">
        <f>IF(BaseCoalPlants!E302="-","",BaseCoalPlants!E302)</f>
        <v/>
      </c>
      <c r="G300" t="str">
        <f>IF(BaseCoalPlants!F302="-","",BaseCoalPlants!F302)</f>
        <v>ANNUAL</v>
      </c>
      <c r="H300">
        <f>IF(BaseCoalPlants!G302="-","",BaseCoalPlants!G302)</f>
        <v>1957</v>
      </c>
      <c r="I300" t="str">
        <f>IF(BaseCoalPlants!H302="-","",BaseCoalPlants!H302)</f>
        <v/>
      </c>
      <c r="J300" t="str">
        <f>IF(BaseCoalPlants!I302="-","",BaseCoalPlants!I302)</f>
        <v/>
      </c>
      <c r="K300" t="str">
        <f>IF(BaseCoalPlants!J302="-","",BaseCoalPlants!J302)</f>
        <v/>
      </c>
      <c r="L300" t="str">
        <f>IF(BaseCoalPlants!K302="-","",BaseCoalPlants!K302)</f>
        <v/>
      </c>
      <c r="M300" s="1" t="str">
        <f>IF(BaseCoalPlants!L302=0,"",BaseCoalPlants!L302)</f>
        <v/>
      </c>
      <c r="N300" s="1" t="str">
        <f>IF(BaseCoalPlants!W302=0,"",BaseCoalPlants!W302)</f>
        <v/>
      </c>
      <c r="O300" s="1" t="str">
        <f>IF(BaseCoalPlants!X302=0,"",BaseCoalPlants!X302)</f>
        <v/>
      </c>
      <c r="P300" s="1" t="str">
        <f>IF(BaseCoalPlants!Y302=0,"",BaseCoalPlants!Y302)</f>
        <v/>
      </c>
      <c r="Q300" s="1">
        <f>IF(BaseCoalPlants!Z302=0,"",BaseCoalPlants!Z302)</f>
        <v>0.2544333502047581</v>
      </c>
      <c r="R300" s="1" t="str">
        <f>IF(BaseCoalPlants!AA302=0,"",BaseCoalPlants!AA302)</f>
        <v/>
      </c>
      <c r="S300" s="1" t="str">
        <f>IF(BaseCoalPlants!AB302=0,"",BaseCoalPlants!AB302)</f>
        <v/>
      </c>
      <c r="T300" s="1" t="str">
        <f>IF(BaseCoalPlants!AC302=0,"",BaseCoalPlants!AC302)</f>
        <v/>
      </c>
      <c r="U300" s="1" t="str">
        <f>IF(BaseCoalPlants!AD302=0,"",BaseCoalPlants!AD302)</f>
        <v/>
      </c>
      <c r="V300" s="1" t="str">
        <f>IF(BaseCoalPlants!AE302=0,"",BaseCoalPlants!AE302)</f>
        <v/>
      </c>
    </row>
    <row r="301" spans="3:22" x14ac:dyDescent="0.35">
      <c r="C301" t="str">
        <f>IF(BaseCoalPlants!B303="VDA_FLOP",IF(BaseCoalPlants!D303="ELC","*","INPUT"),BaseCoalPlants!B303)</f>
        <v>EFF</v>
      </c>
      <c r="D301" t="str">
        <f>IF(BaseCoalPlants!C303="","\I:",BaseCoalPlants!C303&amp;"_LE")</f>
        <v>ECSTMRSUR_LE</v>
      </c>
      <c r="E301" t="str">
        <f>IF(BaseCoalPlants!D303="-","",BaseCoalPlants!D303)</f>
        <v/>
      </c>
      <c r="F301" t="str">
        <f>IF(BaseCoalPlants!E303="-","",BaseCoalPlants!E303)</f>
        <v/>
      </c>
      <c r="G301" t="str">
        <f>IF(BaseCoalPlants!F303="-","",BaseCoalPlants!F303)</f>
        <v>ANNUAL</v>
      </c>
      <c r="H301">
        <f>IF(BaseCoalPlants!G303="-","",BaseCoalPlants!G303)</f>
        <v>1958</v>
      </c>
      <c r="I301" t="str">
        <f>IF(BaseCoalPlants!H303="-","",BaseCoalPlants!H303)</f>
        <v/>
      </c>
      <c r="J301" t="str">
        <f>IF(BaseCoalPlants!I303="-","",BaseCoalPlants!I303)</f>
        <v/>
      </c>
      <c r="K301" t="str">
        <f>IF(BaseCoalPlants!J303="-","",BaseCoalPlants!J303)</f>
        <v/>
      </c>
      <c r="L301" t="str">
        <f>IF(BaseCoalPlants!K303="-","",BaseCoalPlants!K303)</f>
        <v/>
      </c>
      <c r="M301" s="1" t="str">
        <f>IF(BaseCoalPlants!L303=0,"",BaseCoalPlants!L303)</f>
        <v/>
      </c>
      <c r="N301" s="1" t="str">
        <f>IF(BaseCoalPlants!W303=0,"",BaseCoalPlants!W303)</f>
        <v/>
      </c>
      <c r="O301" s="1" t="str">
        <f>IF(BaseCoalPlants!X303=0,"",BaseCoalPlants!X303)</f>
        <v/>
      </c>
      <c r="P301" s="1" t="str">
        <f>IF(BaseCoalPlants!Y303=0,"",BaseCoalPlants!Y303)</f>
        <v/>
      </c>
      <c r="Q301" s="1">
        <f>IF(BaseCoalPlants!Z303=0,"",BaseCoalPlants!Z303)</f>
        <v>0.26524934282479773</v>
      </c>
      <c r="R301" s="1" t="str">
        <f>IF(BaseCoalPlants!AA303=0,"",BaseCoalPlants!AA303)</f>
        <v/>
      </c>
      <c r="S301" s="1" t="str">
        <f>IF(BaseCoalPlants!AB303=0,"",BaseCoalPlants!AB303)</f>
        <v/>
      </c>
      <c r="T301" s="1" t="str">
        <f>IF(BaseCoalPlants!AC303=0,"",BaseCoalPlants!AC303)</f>
        <v/>
      </c>
      <c r="U301" s="1" t="str">
        <f>IF(BaseCoalPlants!AD303=0,"",BaseCoalPlants!AD303)</f>
        <v/>
      </c>
      <c r="V301" s="1" t="str">
        <f>IF(BaseCoalPlants!AE303=0,"",BaseCoalPlants!AE303)</f>
        <v/>
      </c>
    </row>
    <row r="302" spans="3:22" x14ac:dyDescent="0.35">
      <c r="C302" t="str">
        <f>IF(BaseCoalPlants!B304="VDA_FLOP",IF(BaseCoalPlants!D304="ELC","*","INPUT"),BaseCoalPlants!B304)</f>
        <v>EFF</v>
      </c>
      <c r="D302" t="str">
        <f>IF(BaseCoalPlants!C304="","\I:",BaseCoalPlants!C304&amp;"_LE")</f>
        <v>ECSTMRSUR_LE</v>
      </c>
      <c r="E302" t="str">
        <f>IF(BaseCoalPlants!D304="-","",BaseCoalPlants!D304)</f>
        <v/>
      </c>
      <c r="F302" t="str">
        <f>IF(BaseCoalPlants!E304="-","",BaseCoalPlants!E304)</f>
        <v/>
      </c>
      <c r="G302" t="str">
        <f>IF(BaseCoalPlants!F304="-","",BaseCoalPlants!F304)</f>
        <v>ANNUAL</v>
      </c>
      <c r="H302">
        <f>IF(BaseCoalPlants!G304="-","",BaseCoalPlants!G304)</f>
        <v>1959</v>
      </c>
      <c r="I302" t="str">
        <f>IF(BaseCoalPlants!H304="-","",BaseCoalPlants!H304)</f>
        <v/>
      </c>
      <c r="J302" t="str">
        <f>IF(BaseCoalPlants!I304="-","",BaseCoalPlants!I304)</f>
        <v/>
      </c>
      <c r="K302" t="str">
        <f>IF(BaseCoalPlants!J304="-","",BaseCoalPlants!J304)</f>
        <v/>
      </c>
      <c r="L302" t="str">
        <f>IF(BaseCoalPlants!K304="-","",BaseCoalPlants!K304)</f>
        <v/>
      </c>
      <c r="M302" s="1" t="str">
        <f>IF(BaseCoalPlants!L304=0,"",BaseCoalPlants!L304)</f>
        <v/>
      </c>
      <c r="N302" s="1" t="str">
        <f>IF(BaseCoalPlants!W304=0,"",BaseCoalPlants!W304)</f>
        <v/>
      </c>
      <c r="O302" s="1" t="str">
        <f>IF(BaseCoalPlants!X304=0,"",BaseCoalPlants!X304)</f>
        <v/>
      </c>
      <c r="P302" s="1" t="str">
        <f>IF(BaseCoalPlants!Y304=0,"",BaseCoalPlants!Y304)</f>
        <v/>
      </c>
      <c r="Q302" s="1">
        <f>IF(BaseCoalPlants!Z304=0,"",BaseCoalPlants!Z304)</f>
        <v>0.26719652397114624</v>
      </c>
      <c r="R302" s="1" t="str">
        <f>IF(BaseCoalPlants!AA304=0,"",BaseCoalPlants!AA304)</f>
        <v/>
      </c>
      <c r="S302" s="1" t="str">
        <f>IF(BaseCoalPlants!AB304=0,"",BaseCoalPlants!AB304)</f>
        <v/>
      </c>
      <c r="T302" s="1" t="str">
        <f>IF(BaseCoalPlants!AC304=0,"",BaseCoalPlants!AC304)</f>
        <v/>
      </c>
      <c r="U302" s="1" t="str">
        <f>IF(BaseCoalPlants!AD304=0,"",BaseCoalPlants!AD304)</f>
        <v/>
      </c>
      <c r="V302" s="1" t="str">
        <f>IF(BaseCoalPlants!AE304=0,"",BaseCoalPlants!AE304)</f>
        <v/>
      </c>
    </row>
    <row r="303" spans="3:22" x14ac:dyDescent="0.35">
      <c r="C303" t="str">
        <f>IF(BaseCoalPlants!B305="VDA_FLOP",IF(BaseCoalPlants!D305="ELC","*","INPUT"),BaseCoalPlants!B305)</f>
        <v>EFF</v>
      </c>
      <c r="D303" t="str">
        <f>IF(BaseCoalPlants!C305="","\I:",BaseCoalPlants!C305&amp;"_LE")</f>
        <v>ECSTMRSUR_LE</v>
      </c>
      <c r="E303" t="str">
        <f>IF(BaseCoalPlants!D305="-","",BaseCoalPlants!D305)</f>
        <v/>
      </c>
      <c r="F303" t="str">
        <f>IF(BaseCoalPlants!E305="-","",BaseCoalPlants!E305)</f>
        <v/>
      </c>
      <c r="G303" t="str">
        <f>IF(BaseCoalPlants!F305="-","",BaseCoalPlants!F305)</f>
        <v>ANNUAL</v>
      </c>
      <c r="H303">
        <f>IF(BaseCoalPlants!G305="-","",BaseCoalPlants!G305)</f>
        <v>1961</v>
      </c>
      <c r="I303" t="str">
        <f>IF(BaseCoalPlants!H305="-","",BaseCoalPlants!H305)</f>
        <v/>
      </c>
      <c r="J303" t="str">
        <f>IF(BaseCoalPlants!I305="-","",BaseCoalPlants!I305)</f>
        <v/>
      </c>
      <c r="K303" t="str">
        <f>IF(BaseCoalPlants!J305="-","",BaseCoalPlants!J305)</f>
        <v/>
      </c>
      <c r="L303" t="str">
        <f>IF(BaseCoalPlants!K305="-","",BaseCoalPlants!K305)</f>
        <v/>
      </c>
      <c r="M303" s="1" t="str">
        <f>IF(BaseCoalPlants!L305=0,"",BaseCoalPlants!L305)</f>
        <v/>
      </c>
      <c r="N303" s="1" t="str">
        <f>IF(BaseCoalPlants!W305=0,"",BaseCoalPlants!W305)</f>
        <v/>
      </c>
      <c r="O303" s="1" t="str">
        <f>IF(BaseCoalPlants!X305=0,"",BaseCoalPlants!X305)</f>
        <v/>
      </c>
      <c r="P303" s="1" t="str">
        <f>IF(BaseCoalPlants!Y305=0,"",BaseCoalPlants!Y305)</f>
        <v/>
      </c>
      <c r="Q303" s="1">
        <f>IF(BaseCoalPlants!Z305=0,"",BaseCoalPlants!Z305)</f>
        <v>0.31585114198802877</v>
      </c>
      <c r="R303" s="1" t="str">
        <f>IF(BaseCoalPlants!AA305=0,"",BaseCoalPlants!AA305)</f>
        <v/>
      </c>
      <c r="S303" s="1" t="str">
        <f>IF(BaseCoalPlants!AB305=0,"",BaseCoalPlants!AB305)</f>
        <v/>
      </c>
      <c r="T303" s="1" t="str">
        <f>IF(BaseCoalPlants!AC305=0,"",BaseCoalPlants!AC305)</f>
        <v/>
      </c>
      <c r="U303" s="1" t="str">
        <f>IF(BaseCoalPlants!AD305=0,"",BaseCoalPlants!AD305)</f>
        <v/>
      </c>
      <c r="V303" s="1" t="str">
        <f>IF(BaseCoalPlants!AE305=0,"",BaseCoalPlants!AE305)</f>
        <v/>
      </c>
    </row>
    <row r="304" spans="3:22" x14ac:dyDescent="0.35">
      <c r="C304" t="str">
        <f>IF(BaseCoalPlants!B306="VDA_FLOP",IF(BaseCoalPlants!D306="ELC","*","INPUT"),BaseCoalPlants!B306)</f>
        <v>EFF</v>
      </c>
      <c r="D304" t="str">
        <f>IF(BaseCoalPlants!C306="","\I:",BaseCoalPlants!C306&amp;"_LE")</f>
        <v>ECSTMRSUR_LE</v>
      </c>
      <c r="E304" t="str">
        <f>IF(BaseCoalPlants!D306="-","",BaseCoalPlants!D306)</f>
        <v/>
      </c>
      <c r="F304" t="str">
        <f>IF(BaseCoalPlants!E306="-","",BaseCoalPlants!E306)</f>
        <v/>
      </c>
      <c r="G304" t="str">
        <f>IF(BaseCoalPlants!F306="-","",BaseCoalPlants!F306)</f>
        <v>ANNUAL</v>
      </c>
      <c r="H304">
        <f>IF(BaseCoalPlants!G306="-","",BaseCoalPlants!G306)</f>
        <v>1963</v>
      </c>
      <c r="I304" t="str">
        <f>IF(BaseCoalPlants!H306="-","",BaseCoalPlants!H306)</f>
        <v/>
      </c>
      <c r="J304" t="str">
        <f>IF(BaseCoalPlants!I306="-","",BaseCoalPlants!I306)</f>
        <v/>
      </c>
      <c r="K304" t="str">
        <f>IF(BaseCoalPlants!J306="-","",BaseCoalPlants!J306)</f>
        <v/>
      </c>
      <c r="L304" t="str">
        <f>IF(BaseCoalPlants!K306="-","",BaseCoalPlants!K306)</f>
        <v/>
      </c>
      <c r="M304" s="1" t="str">
        <f>IF(BaseCoalPlants!L306=0,"",BaseCoalPlants!L306)</f>
        <v/>
      </c>
      <c r="N304" s="1" t="str">
        <f>IF(BaseCoalPlants!W306=0,"",BaseCoalPlants!W306)</f>
        <v/>
      </c>
      <c r="O304" s="1" t="str">
        <f>IF(BaseCoalPlants!X306=0,"",BaseCoalPlants!X306)</f>
        <v/>
      </c>
      <c r="P304" s="1" t="str">
        <f>IF(BaseCoalPlants!Y306=0,"",BaseCoalPlants!Y306)</f>
        <v/>
      </c>
      <c r="Q304" s="1">
        <f>IF(BaseCoalPlants!Z306=0,"",BaseCoalPlants!Z306)</f>
        <v>0.23681264974237343</v>
      </c>
      <c r="R304" s="1" t="str">
        <f>IF(BaseCoalPlants!AA306=0,"",BaseCoalPlants!AA306)</f>
        <v/>
      </c>
      <c r="S304" s="1" t="str">
        <f>IF(BaseCoalPlants!AB306=0,"",BaseCoalPlants!AB306)</f>
        <v/>
      </c>
      <c r="T304" s="1" t="str">
        <f>IF(BaseCoalPlants!AC306=0,"",BaseCoalPlants!AC306)</f>
        <v/>
      </c>
      <c r="U304" s="1" t="str">
        <f>IF(BaseCoalPlants!AD306=0,"",BaseCoalPlants!AD306)</f>
        <v/>
      </c>
      <c r="V304" s="1" t="str">
        <f>IF(BaseCoalPlants!AE306=0,"",BaseCoalPlants!AE306)</f>
        <v/>
      </c>
    </row>
    <row r="305" spans="3:22" x14ac:dyDescent="0.35">
      <c r="C305" t="str">
        <f>IF(BaseCoalPlants!B307="VDA_FLOP",IF(BaseCoalPlants!D307="ELC","*","INPUT"),BaseCoalPlants!B307)</f>
        <v>EFF</v>
      </c>
      <c r="D305" t="str">
        <f>IF(BaseCoalPlants!C307="","\I:",BaseCoalPlants!C307&amp;"_LE")</f>
        <v>ECSTMRSUR_LE</v>
      </c>
      <c r="E305" t="str">
        <f>IF(BaseCoalPlants!D307="-","",BaseCoalPlants!D307)</f>
        <v/>
      </c>
      <c r="F305" t="str">
        <f>IF(BaseCoalPlants!E307="-","",BaseCoalPlants!E307)</f>
        <v/>
      </c>
      <c r="G305" t="str">
        <f>IF(BaseCoalPlants!F307="-","",BaseCoalPlants!F307)</f>
        <v>ANNUAL</v>
      </c>
      <c r="H305">
        <f>IF(BaseCoalPlants!G307="-","",BaseCoalPlants!G307)</f>
        <v>1964</v>
      </c>
      <c r="I305" t="str">
        <f>IF(BaseCoalPlants!H307="-","",BaseCoalPlants!H307)</f>
        <v/>
      </c>
      <c r="J305" t="str">
        <f>IF(BaseCoalPlants!I307="-","",BaseCoalPlants!I307)</f>
        <v/>
      </c>
      <c r="K305" t="str">
        <f>IF(BaseCoalPlants!J307="-","",BaseCoalPlants!J307)</f>
        <v/>
      </c>
      <c r="L305" t="str">
        <f>IF(BaseCoalPlants!K307="-","",BaseCoalPlants!K307)</f>
        <v/>
      </c>
      <c r="M305" s="1" t="str">
        <f>IF(BaseCoalPlants!L307=0,"",BaseCoalPlants!L307)</f>
        <v/>
      </c>
      <c r="N305" s="1" t="str">
        <f>IF(BaseCoalPlants!W307=0,"",BaseCoalPlants!W307)</f>
        <v/>
      </c>
      <c r="O305" s="1" t="str">
        <f>IF(BaseCoalPlants!X307=0,"",BaseCoalPlants!X307)</f>
        <v/>
      </c>
      <c r="P305" s="1" t="str">
        <f>IF(BaseCoalPlants!Y307=0,"",BaseCoalPlants!Y307)</f>
        <v/>
      </c>
      <c r="Q305" s="1">
        <f>IF(BaseCoalPlants!Z307=0,"",BaseCoalPlants!Z307)</f>
        <v>0.26855463058585444</v>
      </c>
      <c r="R305" s="1" t="str">
        <f>IF(BaseCoalPlants!AA307=0,"",BaseCoalPlants!AA307)</f>
        <v/>
      </c>
      <c r="S305" s="1" t="str">
        <f>IF(BaseCoalPlants!AB307=0,"",BaseCoalPlants!AB307)</f>
        <v/>
      </c>
      <c r="T305" s="1" t="str">
        <f>IF(BaseCoalPlants!AC307=0,"",BaseCoalPlants!AC307)</f>
        <v/>
      </c>
      <c r="U305" s="1" t="str">
        <f>IF(BaseCoalPlants!AD307=0,"",BaseCoalPlants!AD307)</f>
        <v/>
      </c>
      <c r="V305" s="1" t="str">
        <f>IF(BaseCoalPlants!AE307=0,"",BaseCoalPlants!AE307)</f>
        <v/>
      </c>
    </row>
    <row r="306" spans="3:22" x14ac:dyDescent="0.35">
      <c r="C306" t="str">
        <f>IF(BaseCoalPlants!B308="VDA_FLOP",IF(BaseCoalPlants!D308="ELC","*","INPUT"),BaseCoalPlants!B308)</f>
        <v>EFF</v>
      </c>
      <c r="D306" t="str">
        <f>IF(BaseCoalPlants!C308="","\I:",BaseCoalPlants!C308&amp;"_LE")</f>
        <v>ECSTMRSUR_LE</v>
      </c>
      <c r="E306" t="str">
        <f>IF(BaseCoalPlants!D308="-","",BaseCoalPlants!D308)</f>
        <v/>
      </c>
      <c r="F306" t="str">
        <f>IF(BaseCoalPlants!E308="-","",BaseCoalPlants!E308)</f>
        <v/>
      </c>
      <c r="G306" t="str">
        <f>IF(BaseCoalPlants!F308="-","",BaseCoalPlants!F308)</f>
        <v>ANNUAL</v>
      </c>
      <c r="H306">
        <f>IF(BaseCoalPlants!G308="-","",BaseCoalPlants!G308)</f>
        <v>1965</v>
      </c>
      <c r="I306" t="str">
        <f>IF(BaseCoalPlants!H308="-","",BaseCoalPlants!H308)</f>
        <v/>
      </c>
      <c r="J306" t="str">
        <f>IF(BaseCoalPlants!I308="-","",BaseCoalPlants!I308)</f>
        <v/>
      </c>
      <c r="K306" t="str">
        <f>IF(BaseCoalPlants!J308="-","",BaseCoalPlants!J308)</f>
        <v/>
      </c>
      <c r="L306" t="str">
        <f>IF(BaseCoalPlants!K308="-","",BaseCoalPlants!K308)</f>
        <v/>
      </c>
      <c r="M306" s="1" t="str">
        <f>IF(BaseCoalPlants!L308=0,"",BaseCoalPlants!L308)</f>
        <v/>
      </c>
      <c r="N306" s="1" t="str">
        <f>IF(BaseCoalPlants!W308=0,"",BaseCoalPlants!W308)</f>
        <v/>
      </c>
      <c r="O306" s="1" t="str">
        <f>IF(BaseCoalPlants!X308=0,"",BaseCoalPlants!X308)</f>
        <v/>
      </c>
      <c r="P306" s="1" t="str">
        <f>IF(BaseCoalPlants!Y308=0,"",BaseCoalPlants!Y308)</f>
        <v/>
      </c>
      <c r="Q306" s="1">
        <f>IF(BaseCoalPlants!Z308=0,"",BaseCoalPlants!Z308)</f>
        <v>0.32149836051075553</v>
      </c>
      <c r="R306" s="1" t="str">
        <f>IF(BaseCoalPlants!AA308=0,"",BaseCoalPlants!AA308)</f>
        <v/>
      </c>
      <c r="S306" s="1" t="str">
        <f>IF(BaseCoalPlants!AB308=0,"",BaseCoalPlants!AB308)</f>
        <v/>
      </c>
      <c r="T306" s="1" t="str">
        <f>IF(BaseCoalPlants!AC308=0,"",BaseCoalPlants!AC308)</f>
        <v/>
      </c>
      <c r="U306" s="1" t="str">
        <f>IF(BaseCoalPlants!AD308=0,"",BaseCoalPlants!AD308)</f>
        <v/>
      </c>
      <c r="V306" s="1" t="str">
        <f>IF(BaseCoalPlants!AE308=0,"",BaseCoalPlants!AE308)</f>
        <v/>
      </c>
    </row>
    <row r="307" spans="3:22" x14ac:dyDescent="0.35">
      <c r="C307" t="str">
        <f>IF(BaseCoalPlants!B309="VDA_FLOP",IF(BaseCoalPlants!D309="ELC","*","INPUT"),BaseCoalPlants!B309)</f>
        <v>EFF</v>
      </c>
      <c r="D307" t="str">
        <f>IF(BaseCoalPlants!C309="","\I:",BaseCoalPlants!C309&amp;"_LE")</f>
        <v>ECSTMRSUR_LE</v>
      </c>
      <c r="E307" t="str">
        <f>IF(BaseCoalPlants!D309="-","",BaseCoalPlants!D309)</f>
        <v/>
      </c>
      <c r="F307" t="str">
        <f>IF(BaseCoalPlants!E309="-","",BaseCoalPlants!E309)</f>
        <v/>
      </c>
      <c r="G307" t="str">
        <f>IF(BaseCoalPlants!F309="-","",BaseCoalPlants!F309)</f>
        <v>ANNUAL</v>
      </c>
      <c r="H307">
        <f>IF(BaseCoalPlants!G309="-","",BaseCoalPlants!G309)</f>
        <v>1968</v>
      </c>
      <c r="I307" t="str">
        <f>IF(BaseCoalPlants!H309="-","",BaseCoalPlants!H309)</f>
        <v/>
      </c>
      <c r="J307" t="str">
        <f>IF(BaseCoalPlants!I309="-","",BaseCoalPlants!I309)</f>
        <v/>
      </c>
      <c r="K307" t="str">
        <f>IF(BaseCoalPlants!J309="-","",BaseCoalPlants!J309)</f>
        <v/>
      </c>
      <c r="L307" t="str">
        <f>IF(BaseCoalPlants!K309="-","",BaseCoalPlants!K309)</f>
        <v/>
      </c>
      <c r="M307" s="1" t="str">
        <f>IF(BaseCoalPlants!L309=0,"",BaseCoalPlants!L309)</f>
        <v/>
      </c>
      <c r="N307" s="1" t="str">
        <f>IF(BaseCoalPlants!W309=0,"",BaseCoalPlants!W309)</f>
        <v/>
      </c>
      <c r="O307" s="1" t="str">
        <f>IF(BaseCoalPlants!X309=0,"",BaseCoalPlants!X309)</f>
        <v/>
      </c>
      <c r="P307" s="1" t="str">
        <f>IF(BaseCoalPlants!Y309=0,"",BaseCoalPlants!Y309)</f>
        <v/>
      </c>
      <c r="Q307" s="1">
        <f>IF(BaseCoalPlants!Z309=0,"",BaseCoalPlants!Z309)</f>
        <v>0.25342947422917056</v>
      </c>
      <c r="R307" s="1" t="str">
        <f>IF(BaseCoalPlants!AA309=0,"",BaseCoalPlants!AA309)</f>
        <v/>
      </c>
      <c r="S307" s="1" t="str">
        <f>IF(BaseCoalPlants!AB309=0,"",BaseCoalPlants!AB309)</f>
        <v/>
      </c>
      <c r="T307" s="1" t="str">
        <f>IF(BaseCoalPlants!AC309=0,"",BaseCoalPlants!AC309)</f>
        <v/>
      </c>
      <c r="U307" s="1" t="str">
        <f>IF(BaseCoalPlants!AD309=0,"",BaseCoalPlants!AD309)</f>
        <v/>
      </c>
      <c r="V307" s="1" t="str">
        <f>IF(BaseCoalPlants!AE309=0,"",BaseCoalPlants!AE309)</f>
        <v/>
      </c>
    </row>
    <row r="308" spans="3:22" x14ac:dyDescent="0.35">
      <c r="C308" t="str">
        <f>IF(BaseCoalPlants!B310="VDA_FLOP",IF(BaseCoalPlants!D310="ELC","*","INPUT"),BaseCoalPlants!B310)</f>
        <v>EFF</v>
      </c>
      <c r="D308" t="str">
        <f>IF(BaseCoalPlants!C310="","\I:",BaseCoalPlants!C310&amp;"_LE")</f>
        <v>ECSTMRSUR_LE</v>
      </c>
      <c r="E308" t="str">
        <f>IF(BaseCoalPlants!D310="-","",BaseCoalPlants!D310)</f>
        <v/>
      </c>
      <c r="F308" t="str">
        <f>IF(BaseCoalPlants!E310="-","",BaseCoalPlants!E310)</f>
        <v/>
      </c>
      <c r="G308" t="str">
        <f>IF(BaseCoalPlants!F310="-","",BaseCoalPlants!F310)</f>
        <v>ANNUAL</v>
      </c>
      <c r="H308">
        <f>IF(BaseCoalPlants!G310="-","",BaseCoalPlants!G310)</f>
        <v>1969</v>
      </c>
      <c r="I308" t="str">
        <f>IF(BaseCoalPlants!H310="-","",BaseCoalPlants!H310)</f>
        <v/>
      </c>
      <c r="J308" t="str">
        <f>IF(BaseCoalPlants!I310="-","",BaseCoalPlants!I310)</f>
        <v/>
      </c>
      <c r="K308" t="str">
        <f>IF(BaseCoalPlants!J310="-","",BaseCoalPlants!J310)</f>
        <v/>
      </c>
      <c r="L308" t="str">
        <f>IF(BaseCoalPlants!K310="-","",BaseCoalPlants!K310)</f>
        <v/>
      </c>
      <c r="M308" s="1" t="str">
        <f>IF(BaseCoalPlants!L310=0,"",BaseCoalPlants!L310)</f>
        <v/>
      </c>
      <c r="N308" s="1" t="str">
        <f>IF(BaseCoalPlants!W310=0,"",BaseCoalPlants!W310)</f>
        <v/>
      </c>
      <c r="O308" s="1" t="str">
        <f>IF(BaseCoalPlants!X310=0,"",BaseCoalPlants!X310)</f>
        <v/>
      </c>
      <c r="P308" s="1" t="str">
        <f>IF(BaseCoalPlants!Y310=0,"",BaseCoalPlants!Y310)</f>
        <v/>
      </c>
      <c r="Q308" s="1" t="str">
        <f>IF(BaseCoalPlants!Z310=0,"",BaseCoalPlants!Z310)</f>
        <v/>
      </c>
      <c r="R308" s="1" t="str">
        <f>IF(BaseCoalPlants!AA310=0,"",BaseCoalPlants!AA310)</f>
        <v/>
      </c>
      <c r="S308" s="1" t="str">
        <f>IF(BaseCoalPlants!AB310=0,"",BaseCoalPlants!AB310)</f>
        <v/>
      </c>
      <c r="T308" s="1" t="str">
        <f>IF(BaseCoalPlants!AC310=0,"",BaseCoalPlants!AC310)</f>
        <v/>
      </c>
      <c r="U308" s="1">
        <f>IF(BaseCoalPlants!AD310=0,"",BaseCoalPlants!AD310)</f>
        <v>0.23567117869685278</v>
      </c>
      <c r="V308" s="1" t="str">
        <f>IF(BaseCoalPlants!AE310=0,"",BaseCoalPlants!AE310)</f>
        <v/>
      </c>
    </row>
    <row r="309" spans="3:22" x14ac:dyDescent="0.35">
      <c r="C309" t="str">
        <f>IF(BaseCoalPlants!B311="VDA_FLOP",IF(BaseCoalPlants!D311="ELC","*","INPUT"),BaseCoalPlants!B311)</f>
        <v>EFF</v>
      </c>
      <c r="D309" t="str">
        <f>IF(BaseCoalPlants!C311="","\I:",BaseCoalPlants!C311&amp;"_LE")</f>
        <v>ECSTMRSUR_LE</v>
      </c>
      <c r="E309" t="str">
        <f>IF(BaseCoalPlants!D311="-","",BaseCoalPlants!D311)</f>
        <v/>
      </c>
      <c r="F309" t="str">
        <f>IF(BaseCoalPlants!E311="-","",BaseCoalPlants!E311)</f>
        <v/>
      </c>
      <c r="G309" t="str">
        <f>IF(BaseCoalPlants!F311="-","",BaseCoalPlants!F311)</f>
        <v>ANNUAL</v>
      </c>
      <c r="H309">
        <f>IF(BaseCoalPlants!G311="-","",BaseCoalPlants!G311)</f>
        <v>1974</v>
      </c>
      <c r="I309" t="str">
        <f>IF(BaseCoalPlants!H311="-","",BaseCoalPlants!H311)</f>
        <v/>
      </c>
      <c r="J309" t="str">
        <f>IF(BaseCoalPlants!I311="-","",BaseCoalPlants!I311)</f>
        <v/>
      </c>
      <c r="K309" t="str">
        <f>IF(BaseCoalPlants!J311="-","",BaseCoalPlants!J311)</f>
        <v/>
      </c>
      <c r="L309" t="str">
        <f>IF(BaseCoalPlants!K311="-","",BaseCoalPlants!K311)</f>
        <v/>
      </c>
      <c r="M309" s="1" t="str">
        <f>IF(BaseCoalPlants!L311=0,"",BaseCoalPlants!L311)</f>
        <v/>
      </c>
      <c r="N309" s="1" t="str">
        <f>IF(BaseCoalPlants!W311=0,"",BaseCoalPlants!W311)</f>
        <v/>
      </c>
      <c r="O309" s="1" t="str">
        <f>IF(BaseCoalPlants!X311=0,"",BaseCoalPlants!X311)</f>
        <v/>
      </c>
      <c r="P309" s="1" t="str">
        <f>IF(BaseCoalPlants!Y311=0,"",BaseCoalPlants!Y311)</f>
        <v/>
      </c>
      <c r="Q309" s="1">
        <f>IF(BaseCoalPlants!Z311=0,"",BaseCoalPlants!Z311)</f>
        <v>0.28981946243353629</v>
      </c>
      <c r="R309" s="1" t="str">
        <f>IF(BaseCoalPlants!AA311=0,"",BaseCoalPlants!AA311)</f>
        <v/>
      </c>
      <c r="S309" s="1" t="str">
        <f>IF(BaseCoalPlants!AB311=0,"",BaseCoalPlants!AB311)</f>
        <v/>
      </c>
      <c r="T309" s="1" t="str">
        <f>IF(BaseCoalPlants!AC311=0,"",BaseCoalPlants!AC311)</f>
        <v/>
      </c>
      <c r="U309" s="1" t="str">
        <f>IF(BaseCoalPlants!AD311=0,"",BaseCoalPlants!AD311)</f>
        <v/>
      </c>
      <c r="V309" s="1" t="str">
        <f>IF(BaseCoalPlants!AE311=0,"",BaseCoalPlants!AE311)</f>
        <v/>
      </c>
    </row>
    <row r="310" spans="3:22" x14ac:dyDescent="0.35">
      <c r="C310" t="str">
        <f>IF(BaseCoalPlants!B312="VDA_FLOP",IF(BaseCoalPlants!D312="ELC","*","INPUT"),BaseCoalPlants!B312)</f>
        <v>EFF</v>
      </c>
      <c r="D310" t="str">
        <f>IF(BaseCoalPlants!C312="","\I:",BaseCoalPlants!C312&amp;"_LE")</f>
        <v>ECSTMRSUR_LE</v>
      </c>
      <c r="E310" t="str">
        <f>IF(BaseCoalPlants!D312="-","",BaseCoalPlants!D312)</f>
        <v/>
      </c>
      <c r="F310" t="str">
        <f>IF(BaseCoalPlants!E312="-","",BaseCoalPlants!E312)</f>
        <v/>
      </c>
      <c r="G310" t="str">
        <f>IF(BaseCoalPlants!F312="-","",BaseCoalPlants!F312)</f>
        <v>ANNUAL</v>
      </c>
      <c r="H310">
        <f>IF(BaseCoalPlants!G312="-","",BaseCoalPlants!G312)</f>
        <v>1976</v>
      </c>
      <c r="I310" t="str">
        <f>IF(BaseCoalPlants!H312="-","",BaseCoalPlants!H312)</f>
        <v/>
      </c>
      <c r="J310" t="str">
        <f>IF(BaseCoalPlants!I312="-","",BaseCoalPlants!I312)</f>
        <v/>
      </c>
      <c r="K310" t="str">
        <f>IF(BaseCoalPlants!J312="-","",BaseCoalPlants!J312)</f>
        <v/>
      </c>
      <c r="L310" t="str">
        <f>IF(BaseCoalPlants!K312="-","",BaseCoalPlants!K312)</f>
        <v/>
      </c>
      <c r="M310" s="1" t="str">
        <f>IF(BaseCoalPlants!L312=0,"",BaseCoalPlants!L312)</f>
        <v/>
      </c>
      <c r="N310" s="1" t="str">
        <f>IF(BaseCoalPlants!W312=0,"",BaseCoalPlants!W312)</f>
        <v/>
      </c>
      <c r="O310" s="1" t="str">
        <f>IF(BaseCoalPlants!X312=0,"",BaseCoalPlants!X312)</f>
        <v/>
      </c>
      <c r="P310" s="1" t="str">
        <f>IF(BaseCoalPlants!Y312=0,"",BaseCoalPlants!Y312)</f>
        <v/>
      </c>
      <c r="Q310" s="1">
        <f>IF(BaseCoalPlants!Z312=0,"",BaseCoalPlants!Z312)</f>
        <v>0.29183335268474397</v>
      </c>
      <c r="R310" s="1" t="str">
        <f>IF(BaseCoalPlants!AA312=0,"",BaseCoalPlants!AA312)</f>
        <v/>
      </c>
      <c r="S310" s="1" t="str">
        <f>IF(BaseCoalPlants!AB312=0,"",BaseCoalPlants!AB312)</f>
        <v/>
      </c>
      <c r="T310" s="1" t="str">
        <f>IF(BaseCoalPlants!AC312=0,"",BaseCoalPlants!AC312)</f>
        <v/>
      </c>
      <c r="U310" s="1" t="str">
        <f>IF(BaseCoalPlants!AD312=0,"",BaseCoalPlants!AD312)</f>
        <v/>
      </c>
      <c r="V310" s="1" t="str">
        <f>IF(BaseCoalPlants!AE312=0,"",BaseCoalPlants!AE312)</f>
        <v/>
      </c>
    </row>
    <row r="311" spans="3:22" x14ac:dyDescent="0.35">
      <c r="C311" t="str">
        <f>IF(BaseCoalPlants!B313="VDA_FLOP",IF(BaseCoalPlants!D313="ELC","*","INPUT"),BaseCoalPlants!B313)</f>
        <v>EFF</v>
      </c>
      <c r="D311" t="str">
        <f>IF(BaseCoalPlants!C313="","\I:",BaseCoalPlants!C313&amp;"_LE")</f>
        <v>ECSTMRSUR_LE</v>
      </c>
      <c r="E311" t="str">
        <f>IF(BaseCoalPlants!D313="-","",BaseCoalPlants!D313)</f>
        <v/>
      </c>
      <c r="F311" t="str">
        <f>IF(BaseCoalPlants!E313="-","",BaseCoalPlants!E313)</f>
        <v/>
      </c>
      <c r="G311" t="str">
        <f>IF(BaseCoalPlants!F313="-","",BaseCoalPlants!F313)</f>
        <v>ANNUAL</v>
      </c>
      <c r="H311">
        <f>IF(BaseCoalPlants!G313="-","",BaseCoalPlants!G313)</f>
        <v>1982</v>
      </c>
      <c r="I311" t="str">
        <f>IF(BaseCoalPlants!H313="-","",BaseCoalPlants!H313)</f>
        <v/>
      </c>
      <c r="J311" t="str">
        <f>IF(BaseCoalPlants!I313="-","",BaseCoalPlants!I313)</f>
        <v/>
      </c>
      <c r="K311" t="str">
        <f>IF(BaseCoalPlants!J313="-","",BaseCoalPlants!J313)</f>
        <v/>
      </c>
      <c r="L311" t="str">
        <f>IF(BaseCoalPlants!K313="-","",BaseCoalPlants!K313)</f>
        <v/>
      </c>
      <c r="M311" s="1" t="str">
        <f>IF(BaseCoalPlants!L313=0,"",BaseCoalPlants!L313)</f>
        <v/>
      </c>
      <c r="N311" s="1" t="str">
        <f>IF(BaseCoalPlants!M313=0,"",BaseCoalPlants!M313)</f>
        <v/>
      </c>
      <c r="O311" s="1" t="str">
        <f>IF(BaseCoalPlants!N313=0,"",BaseCoalPlants!N313)</f>
        <v/>
      </c>
      <c r="P311" s="1" t="str">
        <f>IF(BaseCoalPlants!O313=0,"",BaseCoalPlants!O313)</f>
        <v/>
      </c>
      <c r="Q311" s="1">
        <f>IF(BaseCoalPlants!P313=0,"",BaseCoalPlants!P313)</f>
        <v>0.26398903565538601</v>
      </c>
      <c r="R311" s="1" t="str">
        <f>IF(BaseCoalPlants!Q313=0,"",BaseCoalPlants!Q313)</f>
        <v/>
      </c>
      <c r="S311" s="1" t="str">
        <f>IF(BaseCoalPlants!R313=0,"",BaseCoalPlants!R313)</f>
        <v/>
      </c>
      <c r="T311" s="1" t="str">
        <f>IF(BaseCoalPlants!S313=0,"",BaseCoalPlants!S313)</f>
        <v/>
      </c>
      <c r="U311" s="1" t="str">
        <f>IF(BaseCoalPlants!T313=0,"",BaseCoalPlants!T313)</f>
        <v/>
      </c>
      <c r="V311" s="1" t="str">
        <f>IF(BaseCoalPlants!U313=0,"",BaseCoalPlants!U313)</f>
        <v/>
      </c>
    </row>
    <row r="312" spans="3:22" x14ac:dyDescent="0.35">
      <c r="C312" t="str">
        <f>IF(BaseCoalPlants!B314="VDA_FLOP",IF(BaseCoalPlants!D314="ELC","*","INPUT"),BaseCoalPlants!B314)</f>
        <v>EFF</v>
      </c>
      <c r="D312" t="str">
        <f>IF(BaseCoalPlants!C314="","\I:",BaseCoalPlants!C314&amp;"_LE")</f>
        <v>ECSTMRSUR_LE</v>
      </c>
      <c r="E312" t="str">
        <f>IF(BaseCoalPlants!D314="-","",BaseCoalPlants!D314)</f>
        <v/>
      </c>
      <c r="F312" t="str">
        <f>IF(BaseCoalPlants!E314="-","",BaseCoalPlants!E314)</f>
        <v/>
      </c>
      <c r="G312" t="str">
        <f>IF(BaseCoalPlants!F314="-","",BaseCoalPlants!F314)</f>
        <v>ANNUAL</v>
      </c>
      <c r="H312">
        <f>IF(BaseCoalPlants!G314="-","",BaseCoalPlants!G314)</f>
        <v>1995</v>
      </c>
      <c r="I312" t="str">
        <f>IF(BaseCoalPlants!H314="-","",BaseCoalPlants!H314)</f>
        <v/>
      </c>
      <c r="J312" t="str">
        <f>IF(BaseCoalPlants!I314="-","",BaseCoalPlants!I314)</f>
        <v/>
      </c>
      <c r="K312" t="str">
        <f>IF(BaseCoalPlants!J314="-","",BaseCoalPlants!J314)</f>
        <v/>
      </c>
      <c r="L312" t="str">
        <f>IF(BaseCoalPlants!K314="-","",BaseCoalPlants!K314)</f>
        <v/>
      </c>
      <c r="M312" s="1" t="str">
        <f>IF(BaseCoalPlants!L314=0,"",BaseCoalPlants!L314)</f>
        <v/>
      </c>
      <c r="N312" s="1" t="str">
        <f>IF(BaseCoalPlants!M314=0,"",BaseCoalPlants!M314)</f>
        <v/>
      </c>
      <c r="O312" s="1" t="str">
        <f>IF(BaseCoalPlants!N314=0,"",BaseCoalPlants!N314)</f>
        <v/>
      </c>
      <c r="P312" s="1" t="str">
        <f>IF(BaseCoalPlants!O314=0,"",BaseCoalPlants!O314)</f>
        <v/>
      </c>
      <c r="Q312" s="1" t="str">
        <f>IF(BaseCoalPlants!P314=0,"",BaseCoalPlants!P314)</f>
        <v/>
      </c>
      <c r="R312" s="1" t="str">
        <f>IF(BaseCoalPlants!Q314=0,"",BaseCoalPlants!Q314)</f>
        <v/>
      </c>
      <c r="S312" s="1" t="str">
        <f>IF(BaseCoalPlants!R314=0,"",BaseCoalPlants!R314)</f>
        <v/>
      </c>
      <c r="T312" s="1" t="str">
        <f>IF(BaseCoalPlants!S314=0,"",BaseCoalPlants!S314)</f>
        <v/>
      </c>
      <c r="U312" s="1">
        <f>IF(BaseCoalPlants!T314=0,"",BaseCoalPlants!T314)</f>
        <v>0.28810556187787201</v>
      </c>
      <c r="V312" s="1" t="str">
        <f>IF(BaseCoalPlants!U314=0,"",BaseCoalPlants!U314)</f>
        <v/>
      </c>
    </row>
    <row r="313" spans="3:22" x14ac:dyDescent="0.35">
      <c r="C313" t="str">
        <f>IF(BaseCoalPlants!B315="VDA_FLOP",IF(BaseCoalPlants!D315="ELC","*","INPUT"),BaseCoalPlants!B315)</f>
        <v>EFF</v>
      </c>
      <c r="D313" t="str">
        <f>IF(BaseCoalPlants!C315="","\I:",BaseCoalPlants!C315&amp;"_LE")</f>
        <v>ECSTMRSUR_LE</v>
      </c>
      <c r="E313" t="str">
        <f>IF(BaseCoalPlants!D315="-","",BaseCoalPlants!D315)</f>
        <v/>
      </c>
      <c r="F313" t="str">
        <f>IF(BaseCoalPlants!E315="-","",BaseCoalPlants!E315)</f>
        <v/>
      </c>
      <c r="G313" t="str">
        <f>IF(BaseCoalPlants!F315="-","",BaseCoalPlants!F315)</f>
        <v>ANNUAL</v>
      </c>
      <c r="H313">
        <f>IF(BaseCoalPlants!G315="-","",BaseCoalPlants!G315)</f>
        <v>2003</v>
      </c>
      <c r="I313" t="str">
        <f>IF(BaseCoalPlants!H315="-","",BaseCoalPlants!H315)</f>
        <v/>
      </c>
      <c r="J313" t="str">
        <f>IF(BaseCoalPlants!I315="-","",BaseCoalPlants!I315)</f>
        <v/>
      </c>
      <c r="K313" t="str">
        <f>IF(BaseCoalPlants!J315="-","",BaseCoalPlants!J315)</f>
        <v/>
      </c>
      <c r="L313" t="str">
        <f>IF(BaseCoalPlants!K315="-","",BaseCoalPlants!K315)</f>
        <v/>
      </c>
      <c r="M313" s="1" t="str">
        <f>IF(BaseCoalPlants!L315=0,"",BaseCoalPlants!L315)</f>
        <v/>
      </c>
      <c r="N313" s="1" t="str">
        <f>IF(BaseCoalPlants!M315=0,"",BaseCoalPlants!M315)</f>
        <v/>
      </c>
      <c r="O313" s="1" t="str">
        <f>IF(BaseCoalPlants!N315=0,"",BaseCoalPlants!N315)</f>
        <v/>
      </c>
      <c r="P313" s="1" t="str">
        <f>IF(BaseCoalPlants!O315=0,"",BaseCoalPlants!O315)</f>
        <v/>
      </c>
      <c r="Q313" s="1" t="str">
        <f>IF(BaseCoalPlants!P315=0,"",BaseCoalPlants!P315)</f>
        <v/>
      </c>
      <c r="R313" s="1" t="str">
        <f>IF(BaseCoalPlants!Q315=0,"",BaseCoalPlants!Q315)</f>
        <v/>
      </c>
      <c r="S313" s="1" t="str">
        <f>IF(BaseCoalPlants!R315=0,"",BaseCoalPlants!R315)</f>
        <v/>
      </c>
      <c r="T313" s="1" t="str">
        <f>IF(BaseCoalPlants!S315=0,"",BaseCoalPlants!S315)</f>
        <v/>
      </c>
      <c r="U313" s="1">
        <f>IF(BaseCoalPlants!T315=0,"",BaseCoalPlants!T315)</f>
        <v>0.33030298622833698</v>
      </c>
      <c r="V313" s="1" t="str">
        <f>IF(BaseCoalPlants!U315=0,"",BaseCoalPlants!U315)</f>
        <v/>
      </c>
    </row>
    <row r="314" spans="3:22" x14ac:dyDescent="0.35">
      <c r="C314" t="str">
        <f>IF(BaseCoalPlants!B318="VDA_FLOP",IF(BaseCoalPlants!D318="ELC","*","INPUT"),BaseCoalPlants!B318)</f>
        <v>ENV_ACT</v>
      </c>
      <c r="D314" t="str">
        <f>IF(BaseCoalPlants!C318="","\I:",BaseCoalPlants!C318&amp;"_LE")</f>
        <v>ECSTMRBOO_LE</v>
      </c>
      <c r="E314" t="str">
        <f>IF(BaseCoalPlants!D318="-","",BaseCoalPlants!D318)</f>
        <v>ELCH2OC</v>
      </c>
      <c r="F314" t="str">
        <f>IF(BaseCoalPlants!E318="-","",BaseCoalPlants!E318)</f>
        <v/>
      </c>
      <c r="G314" t="str">
        <f>IF(BaseCoalPlants!F318="-","",BaseCoalPlants!F318)</f>
        <v>ANNUAL</v>
      </c>
      <c r="H314">
        <f>IF(BaseCoalPlants!G318="-","",BaseCoalPlants!G318)</f>
        <v>2010</v>
      </c>
      <c r="I314" t="str">
        <f>IF(BaseCoalPlants!H318="-","",BaseCoalPlants!H318)</f>
        <v/>
      </c>
      <c r="J314" t="str">
        <f>IF(BaseCoalPlants!I318="-","",BaseCoalPlants!I318)</f>
        <v/>
      </c>
      <c r="K314" t="str">
        <f>IF(BaseCoalPlants!J318="-","",BaseCoalPlants!J318)</f>
        <v/>
      </c>
      <c r="L314" t="str">
        <f>IF(BaseCoalPlants!K318="-","",BaseCoalPlants!K318)</f>
        <v/>
      </c>
      <c r="M314" s="1">
        <f>IF(BaseCoalPlants!L318=0,"",BaseCoalPlants!L318)</f>
        <v>31.388897608027101</v>
      </c>
      <c r="N314" s="1">
        <f>IF(BaseCoalPlants!M318=0,"",BaseCoalPlants!M318)</f>
        <v>31.388897608027101</v>
      </c>
      <c r="O314" s="1">
        <f>IF(BaseCoalPlants!N318=0,"",BaseCoalPlants!N318)</f>
        <v>31.388897608027101</v>
      </c>
      <c r="P314" s="1">
        <f>IF(BaseCoalPlants!O318=0,"",BaseCoalPlants!O318)</f>
        <v>31.388897608027101</v>
      </c>
      <c r="Q314" s="1">
        <f>IF(BaseCoalPlants!P318=0,"",BaseCoalPlants!P318)</f>
        <v>31.388897608027101</v>
      </c>
      <c r="R314" s="1">
        <f>IF(BaseCoalPlants!Q318=0,"",BaseCoalPlants!Q318)</f>
        <v>31.388897608027101</v>
      </c>
      <c r="S314" s="1">
        <f>IF(BaseCoalPlants!R318=0,"",BaseCoalPlants!R318)</f>
        <v>31.388897608027101</v>
      </c>
      <c r="T314" s="1">
        <f>IF(BaseCoalPlants!S318=0,"",BaseCoalPlants!S318)</f>
        <v>31.388897608027101</v>
      </c>
      <c r="U314" s="1">
        <f>IF(BaseCoalPlants!T318=0,"",BaseCoalPlants!T318)</f>
        <v>31.388897608027101</v>
      </c>
      <c r="V314" s="1">
        <f>IF(BaseCoalPlants!U318=0,"",BaseCoalPlants!U318)</f>
        <v>31.388897608027101</v>
      </c>
    </row>
    <row r="315" spans="3:22" x14ac:dyDescent="0.35">
      <c r="C315" t="str">
        <f>IF(BaseCoalPlants!B319="VDA_FLOP",IF(BaseCoalPlants!D319="ELC","*","INPUT"),BaseCoalPlants!B319)</f>
        <v>ENV_ACT</v>
      </c>
      <c r="D315" t="str">
        <f>IF(BaseCoalPlants!C319="","\I:",BaseCoalPlants!C319&amp;"_LE")</f>
        <v>ECSTMRBOO_LE</v>
      </c>
      <c r="E315" t="str">
        <f>IF(BaseCoalPlants!D319="-","",BaseCoalPlants!D319)</f>
        <v>ELCH2OW</v>
      </c>
      <c r="F315" t="str">
        <f>IF(BaseCoalPlants!E319="-","",BaseCoalPlants!E319)</f>
        <v/>
      </c>
      <c r="G315" t="str">
        <f>IF(BaseCoalPlants!F319="-","",BaseCoalPlants!F319)</f>
        <v>ANNUAL</v>
      </c>
      <c r="H315">
        <f>IF(BaseCoalPlants!G319="-","",BaseCoalPlants!G319)</f>
        <v>2010</v>
      </c>
      <c r="I315" t="str">
        <f>IF(BaseCoalPlants!H319="-","",BaseCoalPlants!H319)</f>
        <v/>
      </c>
      <c r="J315" t="str">
        <f>IF(BaseCoalPlants!I319="-","",BaseCoalPlants!I319)</f>
        <v/>
      </c>
      <c r="K315" t="str">
        <f>IF(BaseCoalPlants!J319="-","",BaseCoalPlants!J319)</f>
        <v/>
      </c>
      <c r="L315" t="str">
        <f>IF(BaseCoalPlants!K319="-","",BaseCoalPlants!K319)</f>
        <v/>
      </c>
      <c r="M315" s="1">
        <f>IF(BaseCoalPlants!L319=0,"",BaseCoalPlants!L319)</f>
        <v>7524.4465345684803</v>
      </c>
      <c r="N315" s="1">
        <f>IF(BaseCoalPlants!M319=0,"",BaseCoalPlants!M319)</f>
        <v>7524.4465345684803</v>
      </c>
      <c r="O315" s="1">
        <f>IF(BaseCoalPlants!N319=0,"",BaseCoalPlants!N319)</f>
        <v>7524.4465345684803</v>
      </c>
      <c r="P315" s="1">
        <f>IF(BaseCoalPlants!O319=0,"",BaseCoalPlants!O319)</f>
        <v>7524.4465345684803</v>
      </c>
      <c r="Q315" s="1">
        <f>IF(BaseCoalPlants!P319=0,"",BaseCoalPlants!P319)</f>
        <v>7524.4465345684803</v>
      </c>
      <c r="R315" s="1">
        <f>IF(BaseCoalPlants!Q319=0,"",BaseCoalPlants!Q319)</f>
        <v>7524.4465345684803</v>
      </c>
      <c r="S315" s="1">
        <f>IF(BaseCoalPlants!R319=0,"",BaseCoalPlants!R319)</f>
        <v>7524.4465345684803</v>
      </c>
      <c r="T315" s="1">
        <f>IF(BaseCoalPlants!S319=0,"",BaseCoalPlants!S319)</f>
        <v>7524.4465345684803</v>
      </c>
      <c r="U315" s="1">
        <f>IF(BaseCoalPlants!T319=0,"",BaseCoalPlants!T319)</f>
        <v>7524.4465345684803</v>
      </c>
      <c r="V315" s="1">
        <f>IF(BaseCoalPlants!U319=0,"",BaseCoalPlants!U319)</f>
        <v>7524.4465345684803</v>
      </c>
    </row>
    <row r="316" spans="3:22" x14ac:dyDescent="0.35">
      <c r="C316" t="str">
        <f>IF(BaseCoalPlants!B320="VDA_FLOP",IF(BaseCoalPlants!D320="ELC","*","INPUT"),BaseCoalPlants!B320)</f>
        <v>ENV_ACT</v>
      </c>
      <c r="D316" t="str">
        <f>IF(BaseCoalPlants!C320="","\I:",BaseCoalPlants!C320&amp;"_LE")</f>
        <v>ECSTMRBOR_LE</v>
      </c>
      <c r="E316" t="str">
        <f>IF(BaseCoalPlants!D320="-","",BaseCoalPlants!D320)</f>
        <v>ELCH2OC</v>
      </c>
      <c r="F316" t="str">
        <f>IF(BaseCoalPlants!E320="-","",BaseCoalPlants!E320)</f>
        <v/>
      </c>
      <c r="G316" t="str">
        <f>IF(BaseCoalPlants!F320="-","",BaseCoalPlants!F320)</f>
        <v>ANNUAL</v>
      </c>
      <c r="H316">
        <f>IF(BaseCoalPlants!G320="-","",BaseCoalPlants!G320)</f>
        <v>2010</v>
      </c>
      <c r="I316" t="str">
        <f>IF(BaseCoalPlants!H320="-","",BaseCoalPlants!H320)</f>
        <v/>
      </c>
      <c r="J316" t="str">
        <f>IF(BaseCoalPlants!I320="-","",BaseCoalPlants!I320)</f>
        <v/>
      </c>
      <c r="K316" t="str">
        <f>IF(BaseCoalPlants!J320="-","",BaseCoalPlants!J320)</f>
        <v/>
      </c>
      <c r="L316" t="str">
        <f>IF(BaseCoalPlants!K320="-","",BaseCoalPlants!K320)</f>
        <v/>
      </c>
      <c r="M316" s="1">
        <f>IF(BaseCoalPlants!L320=0,"",BaseCoalPlants!L320)</f>
        <v>130.83336967593601</v>
      </c>
      <c r="N316" s="1">
        <f>IF(BaseCoalPlants!M320=0,"",BaseCoalPlants!M320)</f>
        <v>130.83336967593601</v>
      </c>
      <c r="O316" s="1">
        <f>IF(BaseCoalPlants!N320=0,"",BaseCoalPlants!N320)</f>
        <v>130.83336967593601</v>
      </c>
      <c r="P316" s="1">
        <f>IF(BaseCoalPlants!O320=0,"",BaseCoalPlants!O320)</f>
        <v>130.83336967593601</v>
      </c>
      <c r="Q316" s="1">
        <f>IF(BaseCoalPlants!P320=0,"",BaseCoalPlants!P320)</f>
        <v>130.83336967593601</v>
      </c>
      <c r="R316" s="1">
        <f>IF(BaseCoalPlants!Q320=0,"",BaseCoalPlants!Q320)</f>
        <v>130.83336967593601</v>
      </c>
      <c r="S316" s="1">
        <f>IF(BaseCoalPlants!R320=0,"",BaseCoalPlants!R320)</f>
        <v>130.83336967593601</v>
      </c>
      <c r="T316" s="1">
        <f>IF(BaseCoalPlants!S320=0,"",BaseCoalPlants!S320)</f>
        <v>130.83336967593601</v>
      </c>
      <c r="U316" s="1">
        <f>IF(BaseCoalPlants!T320=0,"",BaseCoalPlants!T320)</f>
        <v>130.83336967593601</v>
      </c>
      <c r="V316" s="1">
        <f>IF(BaseCoalPlants!U320=0,"",BaseCoalPlants!U320)</f>
        <v>130.83336967593601</v>
      </c>
    </row>
    <row r="317" spans="3:22" x14ac:dyDescent="0.35">
      <c r="C317" t="str">
        <f>IF(BaseCoalPlants!B321="VDA_FLOP",IF(BaseCoalPlants!D321="ELC","*","INPUT"),BaseCoalPlants!B321)</f>
        <v>ENV_ACT</v>
      </c>
      <c r="D317" t="str">
        <f>IF(BaseCoalPlants!C321="","\I:",BaseCoalPlants!C321&amp;"_LE")</f>
        <v>ECSTMRBOR_LE</v>
      </c>
      <c r="E317" t="str">
        <f>IF(BaseCoalPlants!D321="-","",BaseCoalPlants!D321)</f>
        <v>ELCH2OW</v>
      </c>
      <c r="F317" t="str">
        <f>IF(BaseCoalPlants!E321="-","",BaseCoalPlants!E321)</f>
        <v/>
      </c>
      <c r="G317" t="str">
        <f>IF(BaseCoalPlants!F321="-","",BaseCoalPlants!F321)</f>
        <v>ANNUAL</v>
      </c>
      <c r="H317">
        <f>IF(BaseCoalPlants!G321="-","",BaseCoalPlants!G321)</f>
        <v>2010</v>
      </c>
      <c r="I317" t="str">
        <f>IF(BaseCoalPlants!H321="-","",BaseCoalPlants!H321)</f>
        <v/>
      </c>
      <c r="J317" t="str">
        <f>IF(BaseCoalPlants!I321="-","",BaseCoalPlants!I321)</f>
        <v/>
      </c>
      <c r="K317" t="str">
        <f>IF(BaseCoalPlants!J321="-","",BaseCoalPlants!J321)</f>
        <v/>
      </c>
      <c r="L317" t="str">
        <f>IF(BaseCoalPlants!K321="-","",BaseCoalPlants!K321)</f>
        <v/>
      </c>
      <c r="M317" s="1">
        <f>IF(BaseCoalPlants!L321=0,"",BaseCoalPlants!L321)</f>
        <v>147.50004097223399</v>
      </c>
      <c r="N317" s="1">
        <f>IF(BaseCoalPlants!M321=0,"",BaseCoalPlants!M321)</f>
        <v>147.50004097223399</v>
      </c>
      <c r="O317" s="1">
        <f>IF(BaseCoalPlants!N321=0,"",BaseCoalPlants!N321)</f>
        <v>147.50004097223399</v>
      </c>
      <c r="P317" s="1">
        <f>IF(BaseCoalPlants!O321=0,"",BaseCoalPlants!O321)</f>
        <v>147.50004097223399</v>
      </c>
      <c r="Q317" s="1">
        <f>IF(BaseCoalPlants!P321=0,"",BaseCoalPlants!P321)</f>
        <v>147.50004097223399</v>
      </c>
      <c r="R317" s="1">
        <f>IF(BaseCoalPlants!Q321=0,"",BaseCoalPlants!Q321)</f>
        <v>147.50004097223399</v>
      </c>
      <c r="S317" s="1">
        <f>IF(BaseCoalPlants!R321=0,"",BaseCoalPlants!R321)</f>
        <v>147.50004097223399</v>
      </c>
      <c r="T317" s="1">
        <f>IF(BaseCoalPlants!S321=0,"",BaseCoalPlants!S321)</f>
        <v>147.50004097223399</v>
      </c>
      <c r="U317" s="1">
        <f>IF(BaseCoalPlants!T321=0,"",BaseCoalPlants!T321)</f>
        <v>147.50004097223399</v>
      </c>
      <c r="V317" s="1">
        <f>IF(BaseCoalPlants!U321=0,"",BaseCoalPlants!U321)</f>
        <v>147.50004097223399</v>
      </c>
    </row>
    <row r="318" spans="3:22" x14ac:dyDescent="0.35">
      <c r="C318" t="str">
        <f>IF(BaseCoalPlants!B322="VDA_FLOP",IF(BaseCoalPlants!D322="ELC","*","INPUT"),BaseCoalPlants!B322)</f>
        <v>ENV_ACT</v>
      </c>
      <c r="D318" t="str">
        <f>IF(BaseCoalPlants!C322="","\I:",BaseCoalPlants!C322&amp;"_LE")</f>
        <v>ECSTMRBUO_LE</v>
      </c>
      <c r="E318" t="str">
        <f>IF(BaseCoalPlants!D322="-","",BaseCoalPlants!D322)</f>
        <v>ELCH2OC</v>
      </c>
      <c r="F318" t="str">
        <f>IF(BaseCoalPlants!E322="-","",BaseCoalPlants!E322)</f>
        <v/>
      </c>
      <c r="G318" t="str">
        <f>IF(BaseCoalPlants!F322="-","",BaseCoalPlants!F322)</f>
        <v>ANNUAL</v>
      </c>
      <c r="H318">
        <f>IF(BaseCoalPlants!G322="-","",BaseCoalPlants!G322)</f>
        <v>2010</v>
      </c>
      <c r="I318" t="str">
        <f>IF(BaseCoalPlants!H322="-","",BaseCoalPlants!H322)</f>
        <v/>
      </c>
      <c r="J318" t="str">
        <f>IF(BaseCoalPlants!I322="-","",BaseCoalPlants!I322)</f>
        <v/>
      </c>
      <c r="K318" t="str">
        <f>IF(BaseCoalPlants!J322="-","",BaseCoalPlants!J322)</f>
        <v/>
      </c>
      <c r="L318" t="str">
        <f>IF(BaseCoalPlants!K322="-","",BaseCoalPlants!K322)</f>
        <v/>
      </c>
      <c r="M318" s="1">
        <f>IF(BaseCoalPlants!L322=0,"",BaseCoalPlants!L322)</f>
        <v>31.388897608027101</v>
      </c>
      <c r="N318" s="1">
        <f>IF(BaseCoalPlants!M322=0,"",BaseCoalPlants!M322)</f>
        <v>31.388897608027101</v>
      </c>
      <c r="O318" s="1">
        <f>IF(BaseCoalPlants!N322=0,"",BaseCoalPlants!N322)</f>
        <v>31.388897608027101</v>
      </c>
      <c r="P318" s="1">
        <f>IF(BaseCoalPlants!O322=0,"",BaseCoalPlants!O322)</f>
        <v>31.388897608027101</v>
      </c>
      <c r="Q318" s="1">
        <f>IF(BaseCoalPlants!P322=0,"",BaseCoalPlants!P322)</f>
        <v>31.388897608027101</v>
      </c>
      <c r="R318" s="1">
        <f>IF(BaseCoalPlants!Q322=0,"",BaseCoalPlants!Q322)</f>
        <v>31.388897608027101</v>
      </c>
      <c r="S318" s="1">
        <f>IF(BaseCoalPlants!R322=0,"",BaseCoalPlants!R322)</f>
        <v>31.388897608027101</v>
      </c>
      <c r="T318" s="1">
        <f>IF(BaseCoalPlants!S322=0,"",BaseCoalPlants!S322)</f>
        <v>31.388897608027101</v>
      </c>
      <c r="U318" s="1">
        <f>IF(BaseCoalPlants!T322=0,"",BaseCoalPlants!T322)</f>
        <v>31.388897608027101</v>
      </c>
      <c r="V318" s="1">
        <f>IF(BaseCoalPlants!U322=0,"",BaseCoalPlants!U322)</f>
        <v>31.388897608027101</v>
      </c>
    </row>
    <row r="319" spans="3:22" x14ac:dyDescent="0.35">
      <c r="C319" t="str">
        <f>IF(BaseCoalPlants!B323="VDA_FLOP",IF(BaseCoalPlants!D323="ELC","*","INPUT"),BaseCoalPlants!B323)</f>
        <v>ENV_ACT</v>
      </c>
      <c r="D319" t="str">
        <f>IF(BaseCoalPlants!C323="","\I:",BaseCoalPlants!C323&amp;"_LE")</f>
        <v>ECSTMRBUO_LE</v>
      </c>
      <c r="E319" t="str">
        <f>IF(BaseCoalPlants!D323="-","",BaseCoalPlants!D323)</f>
        <v>ELCH2OW</v>
      </c>
      <c r="F319" t="str">
        <f>IF(BaseCoalPlants!E323="-","",BaseCoalPlants!E323)</f>
        <v/>
      </c>
      <c r="G319" t="str">
        <f>IF(BaseCoalPlants!F323="-","",BaseCoalPlants!F323)</f>
        <v>ANNUAL</v>
      </c>
      <c r="H319">
        <f>IF(BaseCoalPlants!G323="-","",BaseCoalPlants!G323)</f>
        <v>2010</v>
      </c>
      <c r="I319" t="str">
        <f>IF(BaseCoalPlants!H323="-","",BaseCoalPlants!H323)</f>
        <v/>
      </c>
      <c r="J319" t="str">
        <f>IF(BaseCoalPlants!I323="-","",BaseCoalPlants!I323)</f>
        <v/>
      </c>
      <c r="K319" t="str">
        <f>IF(BaseCoalPlants!J323="-","",BaseCoalPlants!J323)</f>
        <v/>
      </c>
      <c r="L319" t="str">
        <f>IF(BaseCoalPlants!K323="-","",BaseCoalPlants!K323)</f>
        <v/>
      </c>
      <c r="M319" s="1">
        <f>IF(BaseCoalPlants!L323=0,"",BaseCoalPlants!L323)</f>
        <v>7524.4465345684803</v>
      </c>
      <c r="N319" s="1">
        <f>IF(BaseCoalPlants!M323=0,"",BaseCoalPlants!M323)</f>
        <v>7524.4465345684803</v>
      </c>
      <c r="O319" s="1">
        <f>IF(BaseCoalPlants!N323=0,"",BaseCoalPlants!N323)</f>
        <v>7524.4465345684803</v>
      </c>
      <c r="P319" s="1">
        <f>IF(BaseCoalPlants!O323=0,"",BaseCoalPlants!O323)</f>
        <v>7524.4465345684803</v>
      </c>
      <c r="Q319" s="1">
        <f>IF(BaseCoalPlants!P323=0,"",BaseCoalPlants!P323)</f>
        <v>7524.4465345684803</v>
      </c>
      <c r="R319" s="1">
        <f>IF(BaseCoalPlants!Q323=0,"",BaseCoalPlants!Q323)</f>
        <v>7524.4465345684803</v>
      </c>
      <c r="S319" s="1">
        <f>IF(BaseCoalPlants!R323=0,"",BaseCoalPlants!R323)</f>
        <v>7524.4465345684803</v>
      </c>
      <c r="T319" s="1">
        <f>IF(BaseCoalPlants!S323=0,"",BaseCoalPlants!S323)</f>
        <v>7524.4465345684803</v>
      </c>
      <c r="U319" s="1">
        <f>IF(BaseCoalPlants!T323=0,"",BaseCoalPlants!T323)</f>
        <v>7524.4465345684803</v>
      </c>
      <c r="V319" s="1">
        <f>IF(BaseCoalPlants!U323=0,"",BaseCoalPlants!U323)</f>
        <v>7524.4465345684803</v>
      </c>
    </row>
    <row r="320" spans="3:22" x14ac:dyDescent="0.35">
      <c r="C320" t="str">
        <f>IF(BaseCoalPlants!B324="VDA_FLOP",IF(BaseCoalPlants!D324="ELC","*","INPUT"),BaseCoalPlants!B324)</f>
        <v>ENV_ACT</v>
      </c>
      <c r="D320" t="str">
        <f>IF(BaseCoalPlants!C324="","\I:",BaseCoalPlants!C324&amp;"_LE")</f>
        <v>ECSTMRBUR_LE</v>
      </c>
      <c r="E320" t="str">
        <f>IF(BaseCoalPlants!D324="-","",BaseCoalPlants!D324)</f>
        <v>ELCH2OC</v>
      </c>
      <c r="F320" t="str">
        <f>IF(BaseCoalPlants!E324="-","",BaseCoalPlants!E324)</f>
        <v/>
      </c>
      <c r="G320" t="str">
        <f>IF(BaseCoalPlants!F324="-","",BaseCoalPlants!F324)</f>
        <v>ANNUAL</v>
      </c>
      <c r="H320">
        <f>IF(BaseCoalPlants!G324="-","",BaseCoalPlants!G324)</f>
        <v>2010</v>
      </c>
      <c r="I320" t="str">
        <f>IF(BaseCoalPlants!H324="-","",BaseCoalPlants!H324)</f>
        <v/>
      </c>
      <c r="J320" t="str">
        <f>IF(BaseCoalPlants!I324="-","",BaseCoalPlants!I324)</f>
        <v/>
      </c>
      <c r="K320" t="str">
        <f>IF(BaseCoalPlants!J324="-","",BaseCoalPlants!J324)</f>
        <v/>
      </c>
      <c r="L320" t="str">
        <f>IF(BaseCoalPlants!K324="-","",BaseCoalPlants!K324)</f>
        <v/>
      </c>
      <c r="M320" s="1">
        <f>IF(BaseCoalPlants!L324=0,"",BaseCoalPlants!L324)</f>
        <v>130.83336967593601</v>
      </c>
      <c r="N320" s="1">
        <f>IF(BaseCoalPlants!M324=0,"",BaseCoalPlants!M324)</f>
        <v>130.83336967593601</v>
      </c>
      <c r="O320" s="1">
        <f>IF(BaseCoalPlants!N324=0,"",BaseCoalPlants!N324)</f>
        <v>130.83336967593601</v>
      </c>
      <c r="P320" s="1">
        <f>IF(BaseCoalPlants!O324=0,"",BaseCoalPlants!O324)</f>
        <v>130.83336967593601</v>
      </c>
      <c r="Q320" s="1">
        <f>IF(BaseCoalPlants!P324=0,"",BaseCoalPlants!P324)</f>
        <v>130.83336967593601</v>
      </c>
      <c r="R320" s="1">
        <f>IF(BaseCoalPlants!Q324=0,"",BaseCoalPlants!Q324)</f>
        <v>130.83336967593601</v>
      </c>
      <c r="S320" s="1">
        <f>IF(BaseCoalPlants!R324=0,"",BaseCoalPlants!R324)</f>
        <v>130.83336967593601</v>
      </c>
      <c r="T320" s="1">
        <f>IF(BaseCoalPlants!S324=0,"",BaseCoalPlants!S324)</f>
        <v>130.83336967593601</v>
      </c>
      <c r="U320" s="1">
        <f>IF(BaseCoalPlants!T324=0,"",BaseCoalPlants!T324)</f>
        <v>130.83336967593601</v>
      </c>
      <c r="V320" s="1">
        <f>IF(BaseCoalPlants!U324=0,"",BaseCoalPlants!U324)</f>
        <v>130.83336967593601</v>
      </c>
    </row>
    <row r="321" spans="3:22" x14ac:dyDescent="0.35">
      <c r="C321" t="str">
        <f>IF(BaseCoalPlants!B325="VDA_FLOP",IF(BaseCoalPlants!D325="ELC","*","INPUT"),BaseCoalPlants!B325)</f>
        <v>ENV_ACT</v>
      </c>
      <c r="D321" t="str">
        <f>IF(BaseCoalPlants!C325="","\I:",BaseCoalPlants!C325&amp;"_LE")</f>
        <v>ECSTMRBUR_LE</v>
      </c>
      <c r="E321" t="str">
        <f>IF(BaseCoalPlants!D325="-","",BaseCoalPlants!D325)</f>
        <v>ELCH2OW</v>
      </c>
      <c r="F321" t="str">
        <f>IF(BaseCoalPlants!E325="-","",BaseCoalPlants!E325)</f>
        <v/>
      </c>
      <c r="G321" t="str">
        <f>IF(BaseCoalPlants!F325="-","",BaseCoalPlants!F325)</f>
        <v>ANNUAL</v>
      </c>
      <c r="H321">
        <f>IF(BaseCoalPlants!G325="-","",BaseCoalPlants!G325)</f>
        <v>2010</v>
      </c>
      <c r="I321" t="str">
        <f>IF(BaseCoalPlants!H325="-","",BaseCoalPlants!H325)</f>
        <v/>
      </c>
      <c r="J321" t="str">
        <f>IF(BaseCoalPlants!I325="-","",BaseCoalPlants!I325)</f>
        <v/>
      </c>
      <c r="K321" t="str">
        <f>IF(BaseCoalPlants!J325="-","",BaseCoalPlants!J325)</f>
        <v/>
      </c>
      <c r="L321" t="str">
        <f>IF(BaseCoalPlants!K325="-","",BaseCoalPlants!K325)</f>
        <v/>
      </c>
      <c r="M321" s="1">
        <f>IF(BaseCoalPlants!L325=0,"",BaseCoalPlants!L325)</f>
        <v>147.50004097223399</v>
      </c>
      <c r="N321" s="1">
        <f>IF(BaseCoalPlants!M325=0,"",BaseCoalPlants!M325)</f>
        <v>147.50004097223399</v>
      </c>
      <c r="O321" s="1">
        <f>IF(BaseCoalPlants!N325=0,"",BaseCoalPlants!N325)</f>
        <v>147.50004097223399</v>
      </c>
      <c r="P321" s="1">
        <f>IF(BaseCoalPlants!O325=0,"",BaseCoalPlants!O325)</f>
        <v>147.50004097223399</v>
      </c>
      <c r="Q321" s="1">
        <f>IF(BaseCoalPlants!P325=0,"",BaseCoalPlants!P325)</f>
        <v>147.50004097223399</v>
      </c>
      <c r="R321" s="1">
        <f>IF(BaseCoalPlants!Q325=0,"",BaseCoalPlants!Q325)</f>
        <v>147.50004097223399</v>
      </c>
      <c r="S321" s="1">
        <f>IF(BaseCoalPlants!R325=0,"",BaseCoalPlants!R325)</f>
        <v>147.50004097223399</v>
      </c>
      <c r="T321" s="1">
        <f>IF(BaseCoalPlants!S325=0,"",BaseCoalPlants!S325)</f>
        <v>147.50004097223399</v>
      </c>
      <c r="U321" s="1">
        <f>IF(BaseCoalPlants!T325=0,"",BaseCoalPlants!T325)</f>
        <v>147.50004097223399</v>
      </c>
      <c r="V321" s="1">
        <f>IF(BaseCoalPlants!U325=0,"",BaseCoalPlants!U325)</f>
        <v>147.50004097223399</v>
      </c>
    </row>
    <row r="322" spans="3:22" x14ac:dyDescent="0.35">
      <c r="C322" t="str">
        <f>IF(BaseCoalPlants!B328="VDA_FLOP",IF(BaseCoalPlants!D328="ELC","*","INPUT"),BaseCoalPlants!B328)</f>
        <v>ENV_ACT</v>
      </c>
      <c r="D322" t="str">
        <f>IF(BaseCoalPlants!C328="","\I:",BaseCoalPlants!C328&amp;"_LE")</f>
        <v>ECSTMRLOO_LE</v>
      </c>
      <c r="E322" t="str">
        <f>IF(BaseCoalPlants!D328="-","",BaseCoalPlants!D328)</f>
        <v>ELCH2OC</v>
      </c>
      <c r="F322" t="str">
        <f>IF(BaseCoalPlants!E328="-","",BaseCoalPlants!E328)</f>
        <v/>
      </c>
      <c r="G322" t="str">
        <f>IF(BaseCoalPlants!F328="-","",BaseCoalPlants!F328)</f>
        <v>ANNUAL</v>
      </c>
      <c r="H322">
        <f>IF(BaseCoalPlants!G328="-","",BaseCoalPlants!G328)</f>
        <v>2010</v>
      </c>
      <c r="I322" t="str">
        <f>IF(BaseCoalPlants!H328="-","",BaseCoalPlants!H328)</f>
        <v/>
      </c>
      <c r="J322" t="str">
        <f>IF(BaseCoalPlants!I328="-","",BaseCoalPlants!I328)</f>
        <v/>
      </c>
      <c r="K322" t="str">
        <f>IF(BaseCoalPlants!J328="-","",BaseCoalPlants!J328)</f>
        <v/>
      </c>
      <c r="L322" t="str">
        <f>IF(BaseCoalPlants!K328="-","",BaseCoalPlants!K328)</f>
        <v/>
      </c>
      <c r="M322" s="1">
        <f>IF(BaseCoalPlants!L328=0,"",BaseCoalPlants!L328)</f>
        <v>31.388897608027101</v>
      </c>
      <c r="N322" s="1">
        <f>IF(BaseCoalPlants!M328=0,"",BaseCoalPlants!M328)</f>
        <v>31.388897608027101</v>
      </c>
      <c r="O322" s="1">
        <f>IF(BaseCoalPlants!N328=0,"",BaseCoalPlants!N328)</f>
        <v>31.388897608027101</v>
      </c>
      <c r="P322" s="1">
        <f>IF(BaseCoalPlants!O328=0,"",BaseCoalPlants!O328)</f>
        <v>31.388897608027101</v>
      </c>
      <c r="Q322" s="1">
        <f>IF(BaseCoalPlants!P328=0,"",BaseCoalPlants!P328)</f>
        <v>31.388897608027101</v>
      </c>
      <c r="R322" s="1">
        <f>IF(BaseCoalPlants!Q328=0,"",BaseCoalPlants!Q328)</f>
        <v>31.388897608027101</v>
      </c>
      <c r="S322" s="1">
        <f>IF(BaseCoalPlants!R328=0,"",BaseCoalPlants!R328)</f>
        <v>31.388897608027101</v>
      </c>
      <c r="T322" s="1">
        <f>IF(BaseCoalPlants!S328=0,"",BaseCoalPlants!S328)</f>
        <v>31.388897608027101</v>
      </c>
      <c r="U322" s="1">
        <f>IF(BaseCoalPlants!T328=0,"",BaseCoalPlants!T328)</f>
        <v>31.388897608027101</v>
      </c>
      <c r="V322" s="1">
        <f>IF(BaseCoalPlants!U328=0,"",BaseCoalPlants!U328)</f>
        <v>31.388897608027101</v>
      </c>
    </row>
    <row r="323" spans="3:22" x14ac:dyDescent="0.35">
      <c r="C323" t="str">
        <f>IF(BaseCoalPlants!B329="VDA_FLOP",IF(BaseCoalPlants!D329="ELC","*","INPUT"),BaseCoalPlants!B329)</f>
        <v>ENV_ACT</v>
      </c>
      <c r="D323" t="str">
        <f>IF(BaseCoalPlants!C329="","\I:",BaseCoalPlants!C329&amp;"_LE")</f>
        <v>ECSTMRLOO_LE</v>
      </c>
      <c r="E323" t="str">
        <f>IF(BaseCoalPlants!D329="-","",BaseCoalPlants!D329)</f>
        <v>ELCH2OW</v>
      </c>
      <c r="F323" t="str">
        <f>IF(BaseCoalPlants!E329="-","",BaseCoalPlants!E329)</f>
        <v/>
      </c>
      <c r="G323" t="str">
        <f>IF(BaseCoalPlants!F329="-","",BaseCoalPlants!F329)</f>
        <v>ANNUAL</v>
      </c>
      <c r="H323">
        <f>IF(BaseCoalPlants!G329="-","",BaseCoalPlants!G329)</f>
        <v>2010</v>
      </c>
      <c r="I323" t="str">
        <f>IF(BaseCoalPlants!H329="-","",BaseCoalPlants!H329)</f>
        <v/>
      </c>
      <c r="J323" t="str">
        <f>IF(BaseCoalPlants!I329="-","",BaseCoalPlants!I329)</f>
        <v/>
      </c>
      <c r="K323" t="str">
        <f>IF(BaseCoalPlants!J329="-","",BaseCoalPlants!J329)</f>
        <v/>
      </c>
      <c r="L323" t="str">
        <f>IF(BaseCoalPlants!K329="-","",BaseCoalPlants!K329)</f>
        <v/>
      </c>
      <c r="M323" s="1">
        <f>IF(BaseCoalPlants!L329=0,"",BaseCoalPlants!L329)</f>
        <v>7524.4465345684803</v>
      </c>
      <c r="N323" s="1">
        <f>IF(BaseCoalPlants!M329=0,"",BaseCoalPlants!M329)</f>
        <v>7524.4465345684803</v>
      </c>
      <c r="O323" s="1">
        <f>IF(BaseCoalPlants!N329=0,"",BaseCoalPlants!N329)</f>
        <v>7524.4465345684803</v>
      </c>
      <c r="P323" s="1">
        <f>IF(BaseCoalPlants!O329=0,"",BaseCoalPlants!O329)</f>
        <v>7524.4465345684803</v>
      </c>
      <c r="Q323" s="1">
        <f>IF(BaseCoalPlants!P329=0,"",BaseCoalPlants!P329)</f>
        <v>7524.4465345684803</v>
      </c>
      <c r="R323" s="1">
        <f>IF(BaseCoalPlants!Q329=0,"",BaseCoalPlants!Q329)</f>
        <v>7524.4465345684803</v>
      </c>
      <c r="S323" s="1">
        <f>IF(BaseCoalPlants!R329=0,"",BaseCoalPlants!R329)</f>
        <v>7524.4465345684803</v>
      </c>
      <c r="T323" s="1">
        <f>IF(BaseCoalPlants!S329=0,"",BaseCoalPlants!S329)</f>
        <v>7524.4465345684803</v>
      </c>
      <c r="U323" s="1">
        <f>IF(BaseCoalPlants!T329=0,"",BaseCoalPlants!T329)</f>
        <v>7524.4465345684803</v>
      </c>
      <c r="V323" s="1">
        <f>IF(BaseCoalPlants!U329=0,"",BaseCoalPlants!U329)</f>
        <v>7524.4465345684803</v>
      </c>
    </row>
    <row r="324" spans="3:22" x14ac:dyDescent="0.35">
      <c r="C324" t="str">
        <f>IF(BaseCoalPlants!B330="VDA_FLOP",IF(BaseCoalPlants!D330="ELC","*","INPUT"),BaseCoalPlants!B330)</f>
        <v>ENV_ACT</v>
      </c>
      <c r="D324" t="str">
        <f>IF(BaseCoalPlants!C330="","\I:",BaseCoalPlants!C330&amp;"_LE")</f>
        <v>ECSTMRLOR_LE</v>
      </c>
      <c r="E324" t="str">
        <f>IF(BaseCoalPlants!D330="-","",BaseCoalPlants!D330)</f>
        <v>ELCH2OC</v>
      </c>
      <c r="F324" t="str">
        <f>IF(BaseCoalPlants!E330="-","",BaseCoalPlants!E330)</f>
        <v/>
      </c>
      <c r="G324" t="str">
        <f>IF(BaseCoalPlants!F330="-","",BaseCoalPlants!F330)</f>
        <v>ANNUAL</v>
      </c>
      <c r="H324">
        <f>IF(BaseCoalPlants!G330="-","",BaseCoalPlants!G330)</f>
        <v>2010</v>
      </c>
      <c r="I324" t="str">
        <f>IF(BaseCoalPlants!H330="-","",BaseCoalPlants!H330)</f>
        <v/>
      </c>
      <c r="J324" t="str">
        <f>IF(BaseCoalPlants!I330="-","",BaseCoalPlants!I330)</f>
        <v/>
      </c>
      <c r="K324" t="str">
        <f>IF(BaseCoalPlants!J330="-","",BaseCoalPlants!J330)</f>
        <v/>
      </c>
      <c r="L324" t="str">
        <f>IF(BaseCoalPlants!K330="-","",BaseCoalPlants!K330)</f>
        <v/>
      </c>
      <c r="M324" s="1">
        <f>IF(BaseCoalPlants!L330=0,"",BaseCoalPlants!L330)</f>
        <v>130.83336967593601</v>
      </c>
      <c r="N324" s="1">
        <f>IF(BaseCoalPlants!M330=0,"",BaseCoalPlants!M330)</f>
        <v>130.83336967593601</v>
      </c>
      <c r="O324" s="1">
        <f>IF(BaseCoalPlants!N330=0,"",BaseCoalPlants!N330)</f>
        <v>130.83336967593601</v>
      </c>
      <c r="P324" s="1">
        <f>IF(BaseCoalPlants!O330=0,"",BaseCoalPlants!O330)</f>
        <v>130.83336967593601</v>
      </c>
      <c r="Q324" s="1">
        <f>IF(BaseCoalPlants!P330=0,"",BaseCoalPlants!P330)</f>
        <v>130.83336967593601</v>
      </c>
      <c r="R324" s="1">
        <f>IF(BaseCoalPlants!Q330=0,"",BaseCoalPlants!Q330)</f>
        <v>130.83336967593601</v>
      </c>
      <c r="S324" s="1">
        <f>IF(BaseCoalPlants!R330=0,"",BaseCoalPlants!R330)</f>
        <v>130.83336967593601</v>
      </c>
      <c r="T324" s="1">
        <f>IF(BaseCoalPlants!S330=0,"",BaseCoalPlants!S330)</f>
        <v>130.83336967593601</v>
      </c>
      <c r="U324" s="1">
        <f>IF(BaseCoalPlants!T330=0,"",BaseCoalPlants!T330)</f>
        <v>130.83336967593601</v>
      </c>
      <c r="V324" s="1">
        <f>IF(BaseCoalPlants!U330=0,"",BaseCoalPlants!U330)</f>
        <v>130.83336967593601</v>
      </c>
    </row>
    <row r="325" spans="3:22" x14ac:dyDescent="0.35">
      <c r="C325" t="str">
        <f>IF(BaseCoalPlants!B331="VDA_FLOP",IF(BaseCoalPlants!D331="ELC","*","INPUT"),BaseCoalPlants!B331)</f>
        <v>ENV_ACT</v>
      </c>
      <c r="D325" t="str">
        <f>IF(BaseCoalPlants!C331="","\I:",BaseCoalPlants!C331&amp;"_LE")</f>
        <v>ECSTMRLOR_LE</v>
      </c>
      <c r="E325" t="str">
        <f>IF(BaseCoalPlants!D331="-","",BaseCoalPlants!D331)</f>
        <v>ELCH2OW</v>
      </c>
      <c r="F325" t="str">
        <f>IF(BaseCoalPlants!E331="-","",BaseCoalPlants!E331)</f>
        <v/>
      </c>
      <c r="G325" t="str">
        <f>IF(BaseCoalPlants!F331="-","",BaseCoalPlants!F331)</f>
        <v>ANNUAL</v>
      </c>
      <c r="H325">
        <f>IF(BaseCoalPlants!G331="-","",BaseCoalPlants!G331)</f>
        <v>2010</v>
      </c>
      <c r="I325" t="str">
        <f>IF(BaseCoalPlants!H331="-","",BaseCoalPlants!H331)</f>
        <v/>
      </c>
      <c r="J325" t="str">
        <f>IF(BaseCoalPlants!I331="-","",BaseCoalPlants!I331)</f>
        <v/>
      </c>
      <c r="K325" t="str">
        <f>IF(BaseCoalPlants!J331="-","",BaseCoalPlants!J331)</f>
        <v/>
      </c>
      <c r="L325" t="str">
        <f>IF(BaseCoalPlants!K331="-","",BaseCoalPlants!K331)</f>
        <v/>
      </c>
      <c r="M325" s="1">
        <f>IF(BaseCoalPlants!L331=0,"",BaseCoalPlants!L331)</f>
        <v>147.50004097223399</v>
      </c>
      <c r="N325" s="1">
        <f>IF(BaseCoalPlants!M331=0,"",BaseCoalPlants!M331)</f>
        <v>147.50004097223399</v>
      </c>
      <c r="O325" s="1">
        <f>IF(BaseCoalPlants!N331=0,"",BaseCoalPlants!N331)</f>
        <v>147.50004097223399</v>
      </c>
      <c r="P325" s="1">
        <f>IF(BaseCoalPlants!O331=0,"",BaseCoalPlants!O331)</f>
        <v>147.50004097223399</v>
      </c>
      <c r="Q325" s="1">
        <f>IF(BaseCoalPlants!P331=0,"",BaseCoalPlants!P331)</f>
        <v>147.50004097223399</v>
      </c>
      <c r="R325" s="1">
        <f>IF(BaseCoalPlants!Q331=0,"",BaseCoalPlants!Q331)</f>
        <v>147.50004097223399</v>
      </c>
      <c r="S325" s="1">
        <f>IF(BaseCoalPlants!R331=0,"",BaseCoalPlants!R331)</f>
        <v>147.50004097223399</v>
      </c>
      <c r="T325" s="1">
        <f>IF(BaseCoalPlants!S331=0,"",BaseCoalPlants!S331)</f>
        <v>147.50004097223399</v>
      </c>
      <c r="U325" s="1">
        <f>IF(BaseCoalPlants!T331=0,"",BaseCoalPlants!T331)</f>
        <v>147.50004097223399</v>
      </c>
      <c r="V325" s="1">
        <f>IF(BaseCoalPlants!U331=0,"",BaseCoalPlants!U331)</f>
        <v>147.50004097223399</v>
      </c>
    </row>
    <row r="326" spans="3:22" x14ac:dyDescent="0.35">
      <c r="C326" t="str">
        <f>IF(BaseCoalPlants!B332="VDA_FLOP",IF(BaseCoalPlants!D332="ELC","*","INPUT"),BaseCoalPlants!B332)</f>
        <v>ENV_ACT</v>
      </c>
      <c r="D326" t="str">
        <f>IF(BaseCoalPlants!C332="","\I:",BaseCoalPlants!C332&amp;"_LE")</f>
        <v>ECSTMRLUO_LE</v>
      </c>
      <c r="E326" t="str">
        <f>IF(BaseCoalPlants!D332="-","",BaseCoalPlants!D332)</f>
        <v>ELCH2OC</v>
      </c>
      <c r="F326" t="str">
        <f>IF(BaseCoalPlants!E332="-","",BaseCoalPlants!E332)</f>
        <v/>
      </c>
      <c r="G326" t="str">
        <f>IF(BaseCoalPlants!F332="-","",BaseCoalPlants!F332)</f>
        <v>ANNUAL</v>
      </c>
      <c r="H326">
        <f>IF(BaseCoalPlants!G332="-","",BaseCoalPlants!G332)</f>
        <v>2010</v>
      </c>
      <c r="I326" t="str">
        <f>IF(BaseCoalPlants!H332="-","",BaseCoalPlants!H332)</f>
        <v/>
      </c>
      <c r="J326" t="str">
        <f>IF(BaseCoalPlants!I332="-","",BaseCoalPlants!I332)</f>
        <v/>
      </c>
      <c r="K326" t="str">
        <f>IF(BaseCoalPlants!J332="-","",BaseCoalPlants!J332)</f>
        <v/>
      </c>
      <c r="L326" t="str">
        <f>IF(BaseCoalPlants!K332="-","",BaseCoalPlants!K332)</f>
        <v/>
      </c>
      <c r="M326" s="1">
        <f>IF(BaseCoalPlants!L332=0,"",BaseCoalPlants!L332)</f>
        <v>31.388897608027101</v>
      </c>
      <c r="N326" s="1">
        <f>IF(BaseCoalPlants!M332=0,"",BaseCoalPlants!M332)</f>
        <v>31.388897608027101</v>
      </c>
      <c r="O326" s="1">
        <f>IF(BaseCoalPlants!N332=0,"",BaseCoalPlants!N332)</f>
        <v>31.388897608027101</v>
      </c>
      <c r="P326" s="1">
        <f>IF(BaseCoalPlants!O332=0,"",BaseCoalPlants!O332)</f>
        <v>31.388897608027101</v>
      </c>
      <c r="Q326" s="1">
        <f>IF(BaseCoalPlants!P332=0,"",BaseCoalPlants!P332)</f>
        <v>31.388897608027101</v>
      </c>
      <c r="R326" s="1">
        <f>IF(BaseCoalPlants!Q332=0,"",BaseCoalPlants!Q332)</f>
        <v>31.388897608027101</v>
      </c>
      <c r="S326" s="1">
        <f>IF(BaseCoalPlants!R332=0,"",BaseCoalPlants!R332)</f>
        <v>31.388897608027101</v>
      </c>
      <c r="T326" s="1">
        <f>IF(BaseCoalPlants!S332=0,"",BaseCoalPlants!S332)</f>
        <v>31.388897608027101</v>
      </c>
      <c r="U326" s="1">
        <f>IF(BaseCoalPlants!T332=0,"",BaseCoalPlants!T332)</f>
        <v>31.388897608027101</v>
      </c>
      <c r="V326" s="1">
        <f>IF(BaseCoalPlants!U332=0,"",BaseCoalPlants!U332)</f>
        <v>31.388897608027101</v>
      </c>
    </row>
    <row r="327" spans="3:22" x14ac:dyDescent="0.35">
      <c r="C327" t="str">
        <f>IF(BaseCoalPlants!B333="VDA_FLOP",IF(BaseCoalPlants!D333="ELC","*","INPUT"),BaseCoalPlants!B333)</f>
        <v>ENV_ACT</v>
      </c>
      <c r="D327" t="str">
        <f>IF(BaseCoalPlants!C333="","\I:",BaseCoalPlants!C333&amp;"_LE")</f>
        <v>ECSTMRLUO_LE</v>
      </c>
      <c r="E327" t="str">
        <f>IF(BaseCoalPlants!D333="-","",BaseCoalPlants!D333)</f>
        <v>ELCH2OW</v>
      </c>
      <c r="F327" t="str">
        <f>IF(BaseCoalPlants!E333="-","",BaseCoalPlants!E333)</f>
        <v/>
      </c>
      <c r="G327" t="str">
        <f>IF(BaseCoalPlants!F333="-","",BaseCoalPlants!F333)</f>
        <v>ANNUAL</v>
      </c>
      <c r="H327">
        <f>IF(BaseCoalPlants!G333="-","",BaseCoalPlants!G333)</f>
        <v>2010</v>
      </c>
      <c r="I327" t="str">
        <f>IF(BaseCoalPlants!H333="-","",BaseCoalPlants!H333)</f>
        <v/>
      </c>
      <c r="J327" t="str">
        <f>IF(BaseCoalPlants!I333="-","",BaseCoalPlants!I333)</f>
        <v/>
      </c>
      <c r="K327" t="str">
        <f>IF(BaseCoalPlants!J333="-","",BaseCoalPlants!J333)</f>
        <v/>
      </c>
      <c r="L327" t="str">
        <f>IF(BaseCoalPlants!K333="-","",BaseCoalPlants!K333)</f>
        <v/>
      </c>
      <c r="M327" s="1">
        <f>IF(BaseCoalPlants!L333=0,"",BaseCoalPlants!L333)</f>
        <v>7524.4465345684803</v>
      </c>
      <c r="N327" s="1">
        <f>IF(BaseCoalPlants!M333=0,"",BaseCoalPlants!M333)</f>
        <v>7524.4465345684803</v>
      </c>
      <c r="O327" s="1">
        <f>IF(BaseCoalPlants!N333=0,"",BaseCoalPlants!N333)</f>
        <v>7524.4465345684803</v>
      </c>
      <c r="P327" s="1">
        <f>IF(BaseCoalPlants!O333=0,"",BaseCoalPlants!O333)</f>
        <v>7524.4465345684803</v>
      </c>
      <c r="Q327" s="1">
        <f>IF(BaseCoalPlants!P333=0,"",BaseCoalPlants!P333)</f>
        <v>7524.4465345684803</v>
      </c>
      <c r="R327" s="1">
        <f>IF(BaseCoalPlants!Q333=0,"",BaseCoalPlants!Q333)</f>
        <v>7524.4465345684803</v>
      </c>
      <c r="S327" s="1">
        <f>IF(BaseCoalPlants!R333=0,"",BaseCoalPlants!R333)</f>
        <v>7524.4465345684803</v>
      </c>
      <c r="T327" s="1">
        <f>IF(BaseCoalPlants!S333=0,"",BaseCoalPlants!S333)</f>
        <v>7524.4465345684803</v>
      </c>
      <c r="U327" s="1">
        <f>IF(BaseCoalPlants!T333=0,"",BaseCoalPlants!T333)</f>
        <v>7524.4465345684803</v>
      </c>
      <c r="V327" s="1">
        <f>IF(BaseCoalPlants!U333=0,"",BaseCoalPlants!U333)</f>
        <v>7524.4465345684803</v>
      </c>
    </row>
    <row r="328" spans="3:22" x14ac:dyDescent="0.35">
      <c r="C328" t="str">
        <f>IF(BaseCoalPlants!B338="VDA_FLOP",IF(BaseCoalPlants!D338="ELC","*","INPUT"),BaseCoalPlants!B338)</f>
        <v>ENV_ACT</v>
      </c>
      <c r="D328" t="str">
        <f>IF(BaseCoalPlants!C338="","\I:",BaseCoalPlants!C338&amp;"_LE")</f>
        <v>ECSTMRSOO_LE</v>
      </c>
      <c r="E328" t="str">
        <f>IF(BaseCoalPlants!D338="-","",BaseCoalPlants!D338)</f>
        <v>ELCH2OC</v>
      </c>
      <c r="F328" t="str">
        <f>IF(BaseCoalPlants!E338="-","",BaseCoalPlants!E338)</f>
        <v/>
      </c>
      <c r="G328" t="str">
        <f>IF(BaseCoalPlants!F338="-","",BaseCoalPlants!F338)</f>
        <v>ANNUAL</v>
      </c>
      <c r="H328">
        <f>IF(BaseCoalPlants!G338="-","",BaseCoalPlants!G338)</f>
        <v>2010</v>
      </c>
      <c r="I328" t="str">
        <f>IF(BaseCoalPlants!H338="-","",BaseCoalPlants!H338)</f>
        <v/>
      </c>
      <c r="J328" t="str">
        <f>IF(BaseCoalPlants!I338="-","",BaseCoalPlants!I338)</f>
        <v/>
      </c>
      <c r="K328" t="str">
        <f>IF(BaseCoalPlants!J338="-","",BaseCoalPlants!J338)</f>
        <v/>
      </c>
      <c r="L328" t="str">
        <f>IF(BaseCoalPlants!K338="-","",BaseCoalPlants!K338)</f>
        <v/>
      </c>
      <c r="M328" s="1">
        <f>IF(BaseCoalPlants!L338=0,"",BaseCoalPlants!L338)</f>
        <v>31.388897608027101</v>
      </c>
      <c r="N328" s="1">
        <f>IF(BaseCoalPlants!M338=0,"",BaseCoalPlants!M338)</f>
        <v>31.388897608027101</v>
      </c>
      <c r="O328" s="1">
        <f>IF(BaseCoalPlants!N338=0,"",BaseCoalPlants!N338)</f>
        <v>31.388897608027101</v>
      </c>
      <c r="P328" s="1">
        <f>IF(BaseCoalPlants!O338=0,"",BaseCoalPlants!O338)</f>
        <v>31.388897608027101</v>
      </c>
      <c r="Q328" s="1">
        <f>IF(BaseCoalPlants!P338=0,"",BaseCoalPlants!P338)</f>
        <v>31.388897608027101</v>
      </c>
      <c r="R328" s="1">
        <f>IF(BaseCoalPlants!Q338=0,"",BaseCoalPlants!Q338)</f>
        <v>31.388897608027101</v>
      </c>
      <c r="S328" s="1">
        <f>IF(BaseCoalPlants!R338=0,"",BaseCoalPlants!R338)</f>
        <v>31.388897608027101</v>
      </c>
      <c r="T328" s="1">
        <f>IF(BaseCoalPlants!S338=0,"",BaseCoalPlants!S338)</f>
        <v>31.388897608027101</v>
      </c>
      <c r="U328" s="1">
        <f>IF(BaseCoalPlants!T338=0,"",BaseCoalPlants!T338)</f>
        <v>31.388897608027101</v>
      </c>
      <c r="V328" s="1">
        <f>IF(BaseCoalPlants!U338=0,"",BaseCoalPlants!U338)</f>
        <v>31.388897608027101</v>
      </c>
    </row>
    <row r="329" spans="3:22" x14ac:dyDescent="0.35">
      <c r="C329" t="str">
        <f>IF(BaseCoalPlants!B339="VDA_FLOP",IF(BaseCoalPlants!D339="ELC","*","INPUT"),BaseCoalPlants!B339)</f>
        <v>ENV_ACT</v>
      </c>
      <c r="D329" t="str">
        <f>IF(BaseCoalPlants!C339="","\I:",BaseCoalPlants!C339&amp;"_LE")</f>
        <v>ECSTMRSOO_LE</v>
      </c>
      <c r="E329" t="str">
        <f>IF(BaseCoalPlants!D339="-","",BaseCoalPlants!D339)</f>
        <v>ELCH2OW</v>
      </c>
      <c r="F329" t="str">
        <f>IF(BaseCoalPlants!E339="-","",BaseCoalPlants!E339)</f>
        <v/>
      </c>
      <c r="G329" t="str">
        <f>IF(BaseCoalPlants!F339="-","",BaseCoalPlants!F339)</f>
        <v>ANNUAL</v>
      </c>
      <c r="H329">
        <f>IF(BaseCoalPlants!G339="-","",BaseCoalPlants!G339)</f>
        <v>2010</v>
      </c>
      <c r="I329" t="str">
        <f>IF(BaseCoalPlants!H339="-","",BaseCoalPlants!H339)</f>
        <v/>
      </c>
      <c r="J329" t="str">
        <f>IF(BaseCoalPlants!I339="-","",BaseCoalPlants!I339)</f>
        <v/>
      </c>
      <c r="K329" t="str">
        <f>IF(BaseCoalPlants!J339="-","",BaseCoalPlants!J339)</f>
        <v/>
      </c>
      <c r="L329" t="str">
        <f>IF(BaseCoalPlants!K339="-","",BaseCoalPlants!K339)</f>
        <v/>
      </c>
      <c r="M329" s="1">
        <f>IF(BaseCoalPlants!L339=0,"",BaseCoalPlants!L339)</f>
        <v>7524.4465345684803</v>
      </c>
      <c r="N329" s="1">
        <f>IF(BaseCoalPlants!M339=0,"",BaseCoalPlants!M339)</f>
        <v>7524.4465345684803</v>
      </c>
      <c r="O329" s="1">
        <f>IF(BaseCoalPlants!N339=0,"",BaseCoalPlants!N339)</f>
        <v>7524.4465345684803</v>
      </c>
      <c r="P329" s="1">
        <f>IF(BaseCoalPlants!O339=0,"",BaseCoalPlants!O339)</f>
        <v>7524.4465345684803</v>
      </c>
      <c r="Q329" s="1">
        <f>IF(BaseCoalPlants!P339=0,"",BaseCoalPlants!P339)</f>
        <v>7524.4465345684803</v>
      </c>
      <c r="R329" s="1">
        <f>IF(BaseCoalPlants!Q339=0,"",BaseCoalPlants!Q339)</f>
        <v>7524.4465345684803</v>
      </c>
      <c r="S329" s="1">
        <f>IF(BaseCoalPlants!R339=0,"",BaseCoalPlants!R339)</f>
        <v>7524.4465345684803</v>
      </c>
      <c r="T329" s="1">
        <f>IF(BaseCoalPlants!S339=0,"",BaseCoalPlants!S339)</f>
        <v>7524.4465345684803</v>
      </c>
      <c r="U329" s="1">
        <f>IF(BaseCoalPlants!T339=0,"",BaseCoalPlants!T339)</f>
        <v>7524.4465345684803</v>
      </c>
      <c r="V329" s="1">
        <f>IF(BaseCoalPlants!U339=0,"",BaseCoalPlants!U339)</f>
        <v>7524.4465345684803</v>
      </c>
    </row>
    <row r="330" spans="3:22" x14ac:dyDescent="0.35">
      <c r="C330" t="str">
        <f>IF(BaseCoalPlants!B340="VDA_FLOP",IF(BaseCoalPlants!D340="ELC","*","INPUT"),BaseCoalPlants!B340)</f>
        <v>ENV_ACT</v>
      </c>
      <c r="D330" t="str">
        <f>IF(BaseCoalPlants!C340="","\I:",BaseCoalPlants!C340&amp;"_LE")</f>
        <v>ECSTMRSOR_LE</v>
      </c>
      <c r="E330" t="str">
        <f>IF(BaseCoalPlants!D340="-","",BaseCoalPlants!D340)</f>
        <v>ELCH2OC</v>
      </c>
      <c r="F330" t="str">
        <f>IF(BaseCoalPlants!E340="-","",BaseCoalPlants!E340)</f>
        <v/>
      </c>
      <c r="G330" t="str">
        <f>IF(BaseCoalPlants!F340="-","",BaseCoalPlants!F340)</f>
        <v>ANNUAL</v>
      </c>
      <c r="H330">
        <f>IF(BaseCoalPlants!G340="-","",BaseCoalPlants!G340)</f>
        <v>2010</v>
      </c>
      <c r="I330" t="str">
        <f>IF(BaseCoalPlants!H340="-","",BaseCoalPlants!H340)</f>
        <v/>
      </c>
      <c r="J330" t="str">
        <f>IF(BaseCoalPlants!I340="-","",BaseCoalPlants!I340)</f>
        <v/>
      </c>
      <c r="K330" t="str">
        <f>IF(BaseCoalPlants!J340="-","",BaseCoalPlants!J340)</f>
        <v/>
      </c>
      <c r="L330" t="str">
        <f>IF(BaseCoalPlants!K340="-","",BaseCoalPlants!K340)</f>
        <v/>
      </c>
      <c r="M330" s="1">
        <f>IF(BaseCoalPlants!L340=0,"",BaseCoalPlants!L340)</f>
        <v>130.83336967593601</v>
      </c>
      <c r="N330" s="1">
        <f>IF(BaseCoalPlants!M340=0,"",BaseCoalPlants!M340)</f>
        <v>130.83336967593601</v>
      </c>
      <c r="O330" s="1">
        <f>IF(BaseCoalPlants!N340=0,"",BaseCoalPlants!N340)</f>
        <v>130.83336967593601</v>
      </c>
      <c r="P330" s="1">
        <f>IF(BaseCoalPlants!O340=0,"",BaseCoalPlants!O340)</f>
        <v>130.83336967593601</v>
      </c>
      <c r="Q330" s="1">
        <f>IF(BaseCoalPlants!P340=0,"",BaseCoalPlants!P340)</f>
        <v>130.83336967593601</v>
      </c>
      <c r="R330" s="1">
        <f>IF(BaseCoalPlants!Q340=0,"",BaseCoalPlants!Q340)</f>
        <v>130.83336967593601</v>
      </c>
      <c r="S330" s="1">
        <f>IF(BaseCoalPlants!R340=0,"",BaseCoalPlants!R340)</f>
        <v>130.83336967593601</v>
      </c>
      <c r="T330" s="1">
        <f>IF(BaseCoalPlants!S340=0,"",BaseCoalPlants!S340)</f>
        <v>130.83336967593601</v>
      </c>
      <c r="U330" s="1">
        <f>IF(BaseCoalPlants!T340=0,"",BaseCoalPlants!T340)</f>
        <v>130.83336967593601</v>
      </c>
      <c r="V330" s="1">
        <f>IF(BaseCoalPlants!U340=0,"",BaseCoalPlants!U340)</f>
        <v>130.83336967593601</v>
      </c>
    </row>
    <row r="331" spans="3:22" x14ac:dyDescent="0.35">
      <c r="C331" t="str">
        <f>IF(BaseCoalPlants!B341="VDA_FLOP",IF(BaseCoalPlants!D341="ELC","*","INPUT"),BaseCoalPlants!B341)</f>
        <v>ENV_ACT</v>
      </c>
      <c r="D331" t="str">
        <f>IF(BaseCoalPlants!C341="","\I:",BaseCoalPlants!C341&amp;"_LE")</f>
        <v>ECSTMRSOR_LE</v>
      </c>
      <c r="E331" t="str">
        <f>IF(BaseCoalPlants!D341="-","",BaseCoalPlants!D341)</f>
        <v>ELCH2OW</v>
      </c>
      <c r="F331" t="str">
        <f>IF(BaseCoalPlants!E341="-","",BaseCoalPlants!E341)</f>
        <v/>
      </c>
      <c r="G331" t="str">
        <f>IF(BaseCoalPlants!F341="-","",BaseCoalPlants!F341)</f>
        <v>ANNUAL</v>
      </c>
      <c r="H331">
        <f>IF(BaseCoalPlants!G341="-","",BaseCoalPlants!G341)</f>
        <v>2010</v>
      </c>
      <c r="I331" t="str">
        <f>IF(BaseCoalPlants!H341="-","",BaseCoalPlants!H341)</f>
        <v/>
      </c>
      <c r="J331" t="str">
        <f>IF(BaseCoalPlants!I341="-","",BaseCoalPlants!I341)</f>
        <v/>
      </c>
      <c r="K331" t="str">
        <f>IF(BaseCoalPlants!J341="-","",BaseCoalPlants!J341)</f>
        <v/>
      </c>
      <c r="L331" t="str">
        <f>IF(BaseCoalPlants!K341="-","",BaseCoalPlants!K341)</f>
        <v/>
      </c>
      <c r="M331" s="1">
        <f>IF(BaseCoalPlants!L341=0,"",BaseCoalPlants!L341)</f>
        <v>147.50004097223399</v>
      </c>
      <c r="N331" s="1">
        <f>IF(BaseCoalPlants!M341=0,"",BaseCoalPlants!M341)</f>
        <v>147.50004097223399</v>
      </c>
      <c r="O331" s="1">
        <f>IF(BaseCoalPlants!N341=0,"",BaseCoalPlants!N341)</f>
        <v>147.50004097223399</v>
      </c>
      <c r="P331" s="1">
        <f>IF(BaseCoalPlants!O341=0,"",BaseCoalPlants!O341)</f>
        <v>147.50004097223399</v>
      </c>
      <c r="Q331" s="1">
        <f>IF(BaseCoalPlants!P341=0,"",BaseCoalPlants!P341)</f>
        <v>147.50004097223399</v>
      </c>
      <c r="R331" s="1">
        <f>IF(BaseCoalPlants!Q341=0,"",BaseCoalPlants!Q341)</f>
        <v>147.50004097223399</v>
      </c>
      <c r="S331" s="1">
        <f>IF(BaseCoalPlants!R341=0,"",BaseCoalPlants!R341)</f>
        <v>147.50004097223399</v>
      </c>
      <c r="T331" s="1">
        <f>IF(BaseCoalPlants!S341=0,"",BaseCoalPlants!S341)</f>
        <v>147.50004097223399</v>
      </c>
      <c r="U331" s="1">
        <f>IF(BaseCoalPlants!T341=0,"",BaseCoalPlants!T341)</f>
        <v>147.50004097223399</v>
      </c>
      <c r="V331" s="1">
        <f>IF(BaseCoalPlants!U341=0,"",BaseCoalPlants!U341)</f>
        <v>147.50004097223399</v>
      </c>
    </row>
    <row r="332" spans="3:22" x14ac:dyDescent="0.35">
      <c r="C332" t="str">
        <f>IF(BaseCoalPlants!B342="VDA_FLOP",IF(BaseCoalPlants!D342="ELC","*","INPUT"),BaseCoalPlants!B342)</f>
        <v>ENV_ACT</v>
      </c>
      <c r="D332" t="str">
        <f>IF(BaseCoalPlants!C342="","\I:",BaseCoalPlants!C342&amp;"_LE")</f>
        <v>ECSTMRSUO_LE</v>
      </c>
      <c r="E332" t="str">
        <f>IF(BaseCoalPlants!D342="-","",BaseCoalPlants!D342)</f>
        <v>ELCH2OC</v>
      </c>
      <c r="F332" t="str">
        <f>IF(BaseCoalPlants!E342="-","",BaseCoalPlants!E342)</f>
        <v/>
      </c>
      <c r="G332" t="str">
        <f>IF(BaseCoalPlants!F342="-","",BaseCoalPlants!F342)</f>
        <v>ANNUAL</v>
      </c>
      <c r="H332">
        <f>IF(BaseCoalPlants!G342="-","",BaseCoalPlants!G342)</f>
        <v>2010</v>
      </c>
      <c r="I332" t="str">
        <f>IF(BaseCoalPlants!H342="-","",BaseCoalPlants!H342)</f>
        <v/>
      </c>
      <c r="J332" t="str">
        <f>IF(BaseCoalPlants!I342="-","",BaseCoalPlants!I342)</f>
        <v/>
      </c>
      <c r="K332" t="str">
        <f>IF(BaseCoalPlants!J342="-","",BaseCoalPlants!J342)</f>
        <v/>
      </c>
      <c r="L332" t="str">
        <f>IF(BaseCoalPlants!K342="-","",BaseCoalPlants!K342)</f>
        <v/>
      </c>
      <c r="M332" s="1">
        <f>IF(BaseCoalPlants!L342=0,"",BaseCoalPlants!L342)</f>
        <v>31.388897608027101</v>
      </c>
      <c r="N332" s="1">
        <f>IF(BaseCoalPlants!M342=0,"",BaseCoalPlants!M342)</f>
        <v>31.388897608027101</v>
      </c>
      <c r="O332" s="1">
        <f>IF(BaseCoalPlants!N342=0,"",BaseCoalPlants!N342)</f>
        <v>31.388897608027101</v>
      </c>
      <c r="P332" s="1">
        <f>IF(BaseCoalPlants!O342=0,"",BaseCoalPlants!O342)</f>
        <v>31.388897608027101</v>
      </c>
      <c r="Q332" s="1">
        <f>IF(BaseCoalPlants!P342=0,"",BaseCoalPlants!P342)</f>
        <v>31.388897608027101</v>
      </c>
      <c r="R332" s="1">
        <f>IF(BaseCoalPlants!Q342=0,"",BaseCoalPlants!Q342)</f>
        <v>31.388897608027101</v>
      </c>
      <c r="S332" s="1">
        <f>IF(BaseCoalPlants!R342=0,"",BaseCoalPlants!R342)</f>
        <v>31.388897608027101</v>
      </c>
      <c r="T332" s="1">
        <f>IF(BaseCoalPlants!S342=0,"",BaseCoalPlants!S342)</f>
        <v>31.388897608027101</v>
      </c>
      <c r="U332" s="1">
        <f>IF(BaseCoalPlants!T342=0,"",BaseCoalPlants!T342)</f>
        <v>31.388897608027101</v>
      </c>
      <c r="V332" s="1">
        <f>IF(BaseCoalPlants!U342=0,"",BaseCoalPlants!U342)</f>
        <v>31.388897608027101</v>
      </c>
    </row>
    <row r="333" spans="3:22" x14ac:dyDescent="0.35">
      <c r="C333" t="str">
        <f>IF(BaseCoalPlants!B343="VDA_FLOP",IF(BaseCoalPlants!D343="ELC","*","INPUT"),BaseCoalPlants!B343)</f>
        <v>ENV_ACT</v>
      </c>
      <c r="D333" t="str">
        <f>IF(BaseCoalPlants!C343="","\I:",BaseCoalPlants!C343&amp;"_LE")</f>
        <v>ECSTMRSUO_LE</v>
      </c>
      <c r="E333" t="str">
        <f>IF(BaseCoalPlants!D343="-","",BaseCoalPlants!D343)</f>
        <v>ELCH2OW</v>
      </c>
      <c r="F333" t="str">
        <f>IF(BaseCoalPlants!E343="-","",BaseCoalPlants!E343)</f>
        <v/>
      </c>
      <c r="G333" t="str">
        <f>IF(BaseCoalPlants!F343="-","",BaseCoalPlants!F343)</f>
        <v>ANNUAL</v>
      </c>
      <c r="H333">
        <f>IF(BaseCoalPlants!G343="-","",BaseCoalPlants!G343)</f>
        <v>2010</v>
      </c>
      <c r="I333" t="str">
        <f>IF(BaseCoalPlants!H343="-","",BaseCoalPlants!H343)</f>
        <v/>
      </c>
      <c r="J333" t="str">
        <f>IF(BaseCoalPlants!I343="-","",BaseCoalPlants!I343)</f>
        <v/>
      </c>
      <c r="K333" t="str">
        <f>IF(BaseCoalPlants!J343="-","",BaseCoalPlants!J343)</f>
        <v/>
      </c>
      <c r="L333" t="str">
        <f>IF(BaseCoalPlants!K343="-","",BaseCoalPlants!K343)</f>
        <v/>
      </c>
      <c r="M333" s="1">
        <f>IF(BaseCoalPlants!L343=0,"",BaseCoalPlants!L343)</f>
        <v>7524.4465345684803</v>
      </c>
      <c r="N333" s="1">
        <f>IF(BaseCoalPlants!M343=0,"",BaseCoalPlants!M343)</f>
        <v>7524.4465345684803</v>
      </c>
      <c r="O333" s="1">
        <f>IF(BaseCoalPlants!N343=0,"",BaseCoalPlants!N343)</f>
        <v>7524.4465345684803</v>
      </c>
      <c r="P333" s="1">
        <f>IF(BaseCoalPlants!O343=0,"",BaseCoalPlants!O343)</f>
        <v>7524.4465345684803</v>
      </c>
      <c r="Q333" s="1">
        <f>IF(BaseCoalPlants!P343=0,"",BaseCoalPlants!P343)</f>
        <v>7524.4465345684803</v>
      </c>
      <c r="R333" s="1">
        <f>IF(BaseCoalPlants!Q343=0,"",BaseCoalPlants!Q343)</f>
        <v>7524.4465345684803</v>
      </c>
      <c r="S333" s="1">
        <f>IF(BaseCoalPlants!R343=0,"",BaseCoalPlants!R343)</f>
        <v>7524.4465345684803</v>
      </c>
      <c r="T333" s="1">
        <f>IF(BaseCoalPlants!S343=0,"",BaseCoalPlants!S343)</f>
        <v>7524.4465345684803</v>
      </c>
      <c r="U333" s="1">
        <f>IF(BaseCoalPlants!T343=0,"",BaseCoalPlants!T343)</f>
        <v>7524.4465345684803</v>
      </c>
      <c r="V333" s="1">
        <f>IF(BaseCoalPlants!U343=0,"",BaseCoalPlants!U343)</f>
        <v>7524.4465345684803</v>
      </c>
    </row>
    <row r="334" spans="3:22" x14ac:dyDescent="0.35">
      <c r="C334" t="str">
        <f>IF(BaseCoalPlants!B344="VDA_FLOP",IF(BaseCoalPlants!D344="ELC","*","INPUT"),BaseCoalPlants!B344)</f>
        <v>ENV_ACT</v>
      </c>
      <c r="D334" t="str">
        <f>IF(BaseCoalPlants!C344="","\I:",BaseCoalPlants!C344&amp;"_LE")</f>
        <v>ECSTMRSUR_LE</v>
      </c>
      <c r="E334" t="str">
        <f>IF(BaseCoalPlants!D344="-","",BaseCoalPlants!D344)</f>
        <v>ELCH2OC</v>
      </c>
      <c r="F334" t="str">
        <f>IF(BaseCoalPlants!E344="-","",BaseCoalPlants!E344)</f>
        <v/>
      </c>
      <c r="G334" t="str">
        <f>IF(BaseCoalPlants!F344="-","",BaseCoalPlants!F344)</f>
        <v>ANNUAL</v>
      </c>
      <c r="H334">
        <f>IF(BaseCoalPlants!G344="-","",BaseCoalPlants!G344)</f>
        <v>2010</v>
      </c>
      <c r="I334" t="str">
        <f>IF(BaseCoalPlants!H344="-","",BaseCoalPlants!H344)</f>
        <v/>
      </c>
      <c r="J334" t="str">
        <f>IF(BaseCoalPlants!I344="-","",BaseCoalPlants!I344)</f>
        <v/>
      </c>
      <c r="K334" t="str">
        <f>IF(BaseCoalPlants!J344="-","",BaseCoalPlants!J344)</f>
        <v/>
      </c>
      <c r="L334" t="str">
        <f>IF(BaseCoalPlants!K344="-","",BaseCoalPlants!K344)</f>
        <v/>
      </c>
      <c r="M334" s="1">
        <f>IF(BaseCoalPlants!L344=0,"",BaseCoalPlants!L344)</f>
        <v>130.83336967593601</v>
      </c>
      <c r="N334" s="1">
        <f>IF(BaseCoalPlants!M344=0,"",BaseCoalPlants!M344)</f>
        <v>130.83336967593601</v>
      </c>
      <c r="O334" s="1">
        <f>IF(BaseCoalPlants!N344=0,"",BaseCoalPlants!N344)</f>
        <v>130.83336967593601</v>
      </c>
      <c r="P334" s="1">
        <f>IF(BaseCoalPlants!O344=0,"",BaseCoalPlants!O344)</f>
        <v>130.83336967593601</v>
      </c>
      <c r="Q334" s="1">
        <f>IF(BaseCoalPlants!P344=0,"",BaseCoalPlants!P344)</f>
        <v>130.83336967593601</v>
      </c>
      <c r="R334" s="1">
        <f>IF(BaseCoalPlants!Q344=0,"",BaseCoalPlants!Q344)</f>
        <v>130.83336967593601</v>
      </c>
      <c r="S334" s="1">
        <f>IF(BaseCoalPlants!R344=0,"",BaseCoalPlants!R344)</f>
        <v>130.83336967593601</v>
      </c>
      <c r="T334" s="1">
        <f>IF(BaseCoalPlants!S344=0,"",BaseCoalPlants!S344)</f>
        <v>130.83336967593601</v>
      </c>
      <c r="U334" s="1">
        <f>IF(BaseCoalPlants!T344=0,"",BaseCoalPlants!T344)</f>
        <v>130.83336967593601</v>
      </c>
      <c r="V334" s="1">
        <f>IF(BaseCoalPlants!U344=0,"",BaseCoalPlants!U344)</f>
        <v>130.83336967593601</v>
      </c>
    </row>
    <row r="335" spans="3:22" x14ac:dyDescent="0.35">
      <c r="C335" t="str">
        <f>IF(BaseCoalPlants!B345="VDA_FLOP",IF(BaseCoalPlants!D345="ELC","*","INPUT"),BaseCoalPlants!B345)</f>
        <v>ENV_ACT</v>
      </c>
      <c r="D335" t="str">
        <f>IF(BaseCoalPlants!C345="","\I:",BaseCoalPlants!C345&amp;"_LE")</f>
        <v>ECSTMRSUR_LE</v>
      </c>
      <c r="E335" t="str">
        <f>IF(BaseCoalPlants!D345="-","",BaseCoalPlants!D345)</f>
        <v>ELCH2OW</v>
      </c>
      <c r="F335" t="str">
        <f>IF(BaseCoalPlants!E345="-","",BaseCoalPlants!E345)</f>
        <v/>
      </c>
      <c r="G335" t="str">
        <f>IF(BaseCoalPlants!F345="-","",BaseCoalPlants!F345)</f>
        <v>ANNUAL</v>
      </c>
      <c r="H335">
        <f>IF(BaseCoalPlants!G345="-","",BaseCoalPlants!G345)</f>
        <v>2010</v>
      </c>
      <c r="I335" t="str">
        <f>IF(BaseCoalPlants!H345="-","",BaseCoalPlants!H345)</f>
        <v/>
      </c>
      <c r="J335" t="str">
        <f>IF(BaseCoalPlants!I345="-","",BaseCoalPlants!I345)</f>
        <v/>
      </c>
      <c r="K335" t="str">
        <f>IF(BaseCoalPlants!J345="-","",BaseCoalPlants!J345)</f>
        <v/>
      </c>
      <c r="L335" t="str">
        <f>IF(BaseCoalPlants!K345="-","",BaseCoalPlants!K345)</f>
        <v/>
      </c>
      <c r="M335" s="1">
        <f>IF(BaseCoalPlants!L345=0,"",BaseCoalPlants!L345)</f>
        <v>147.50004097223399</v>
      </c>
      <c r="N335" s="1">
        <f>IF(BaseCoalPlants!M345=0,"",BaseCoalPlants!M345)</f>
        <v>147.50004097223399</v>
      </c>
      <c r="O335" s="1">
        <f>IF(BaseCoalPlants!N345=0,"",BaseCoalPlants!N345)</f>
        <v>147.50004097223399</v>
      </c>
      <c r="P335" s="1">
        <f>IF(BaseCoalPlants!O345=0,"",BaseCoalPlants!O345)</f>
        <v>147.50004097223399</v>
      </c>
      <c r="Q335" s="1">
        <f>IF(BaseCoalPlants!P345=0,"",BaseCoalPlants!P345)</f>
        <v>147.50004097223399</v>
      </c>
      <c r="R335" s="1">
        <f>IF(BaseCoalPlants!Q345=0,"",BaseCoalPlants!Q345)</f>
        <v>147.50004097223399</v>
      </c>
      <c r="S335" s="1">
        <f>IF(BaseCoalPlants!R345=0,"",BaseCoalPlants!R345)</f>
        <v>147.50004097223399</v>
      </c>
      <c r="T335" s="1">
        <f>IF(BaseCoalPlants!S345=0,"",BaseCoalPlants!S345)</f>
        <v>147.50004097223399</v>
      </c>
      <c r="U335" s="1">
        <f>IF(BaseCoalPlants!T345=0,"",BaseCoalPlants!T345)</f>
        <v>147.50004097223399</v>
      </c>
      <c r="V335" s="1">
        <f>IF(BaseCoalPlants!U345=0,"",BaseCoalPlants!U345)</f>
        <v>147.50004097223399</v>
      </c>
    </row>
    <row r="336" spans="3:22" x14ac:dyDescent="0.35">
      <c r="C336" t="str">
        <f>IF(BaseCoalPlants!B347="VDA_FLOP",IF(BaseCoalPlants!D347="ELC","*","INPUT"),BaseCoalPlants!B347)</f>
        <v>LIFE</v>
      </c>
      <c r="D336" t="str">
        <f>IF(BaseCoalPlants!C347="","\I:",BaseCoalPlants!C347&amp;"_LE")</f>
        <v>ECSTMRBOO_LE</v>
      </c>
      <c r="E336" t="str">
        <f>IF(BaseCoalPlants!D347="-","",BaseCoalPlants!D347)</f>
        <v/>
      </c>
      <c r="F336" t="str">
        <f>IF(BaseCoalPlants!E347="-","",BaseCoalPlants!E347)</f>
        <v/>
      </c>
      <c r="G336" t="str">
        <f>IF(BaseCoalPlants!F347="-","",BaseCoalPlants!F347)</f>
        <v/>
      </c>
      <c r="H336">
        <f>IF(BaseCoalPlants!G347="-","",BaseCoalPlants!G347)</f>
        <v>2010</v>
      </c>
      <c r="I336" t="str">
        <f>IF(BaseCoalPlants!H347="-","",BaseCoalPlants!H347)</f>
        <v/>
      </c>
      <c r="J336" t="str">
        <f>IF(BaseCoalPlants!I347="-","",BaseCoalPlants!I347)</f>
        <v/>
      </c>
      <c r="K336" t="str">
        <f>IF(BaseCoalPlants!J347="-","",BaseCoalPlants!J347)</f>
        <v/>
      </c>
      <c r="L336" t="str">
        <f>IF(BaseCoalPlants!K347="-","",BaseCoalPlants!K347)</f>
        <v/>
      </c>
      <c r="M336" s="1">
        <f>IF(BaseCoalPlants!L347=0,"",BaseCoalPlants!L347)</f>
        <v>50</v>
      </c>
      <c r="N336" s="1">
        <f>IF(BaseCoalPlants!M347=0,"",BaseCoalPlants!M347)</f>
        <v>50</v>
      </c>
      <c r="O336" s="1">
        <f>IF(BaseCoalPlants!N347=0,"",BaseCoalPlants!N347)</f>
        <v>50</v>
      </c>
      <c r="P336" s="1">
        <f>IF(BaseCoalPlants!O347=0,"",BaseCoalPlants!O347)</f>
        <v>50</v>
      </c>
      <c r="Q336" s="1">
        <f>IF(BaseCoalPlants!P347=0,"",BaseCoalPlants!P347)</f>
        <v>50</v>
      </c>
      <c r="R336" s="1">
        <f>IF(BaseCoalPlants!Q347=0,"",BaseCoalPlants!Q347)</f>
        <v>50</v>
      </c>
      <c r="S336" s="1">
        <f>IF(BaseCoalPlants!R347=0,"",BaseCoalPlants!R347)</f>
        <v>50</v>
      </c>
      <c r="T336" s="1">
        <f>IF(BaseCoalPlants!S347=0,"",BaseCoalPlants!S347)</f>
        <v>50</v>
      </c>
      <c r="U336" s="1">
        <f>IF(BaseCoalPlants!T347=0,"",BaseCoalPlants!T347)</f>
        <v>50</v>
      </c>
      <c r="V336" s="1">
        <f>IF(BaseCoalPlants!U347=0,"",BaseCoalPlants!U347)</f>
        <v>50</v>
      </c>
    </row>
    <row r="337" spans="3:22" x14ac:dyDescent="0.35">
      <c r="C337" t="str">
        <f>IF(BaseCoalPlants!B348="VDA_FLOP",IF(BaseCoalPlants!D348="ELC","*","INPUT"),BaseCoalPlants!B348)</f>
        <v>LIFE</v>
      </c>
      <c r="D337" t="str">
        <f>IF(BaseCoalPlants!C348="","\I:",BaseCoalPlants!C348&amp;"_LE")</f>
        <v>ECSTMRBOR_LE</v>
      </c>
      <c r="E337" t="str">
        <f>IF(BaseCoalPlants!D348="-","",BaseCoalPlants!D348)</f>
        <v/>
      </c>
      <c r="F337" t="str">
        <f>IF(BaseCoalPlants!E348="-","",BaseCoalPlants!E348)</f>
        <v/>
      </c>
      <c r="G337" t="str">
        <f>IF(BaseCoalPlants!F348="-","",BaseCoalPlants!F348)</f>
        <v/>
      </c>
      <c r="H337">
        <f>IF(BaseCoalPlants!G348="-","",BaseCoalPlants!G348)</f>
        <v>2010</v>
      </c>
      <c r="I337" t="str">
        <f>IF(BaseCoalPlants!H348="-","",BaseCoalPlants!H348)</f>
        <v/>
      </c>
      <c r="J337" t="str">
        <f>IF(BaseCoalPlants!I348="-","",BaseCoalPlants!I348)</f>
        <v/>
      </c>
      <c r="K337" t="str">
        <f>IF(BaseCoalPlants!J348="-","",BaseCoalPlants!J348)</f>
        <v/>
      </c>
      <c r="L337" t="str">
        <f>IF(BaseCoalPlants!K348="-","",BaseCoalPlants!K348)</f>
        <v/>
      </c>
      <c r="M337" s="1">
        <f>IF(BaseCoalPlants!L348=0,"",BaseCoalPlants!L348)</f>
        <v>50</v>
      </c>
      <c r="N337" s="1">
        <f>IF(BaseCoalPlants!M348=0,"",BaseCoalPlants!M348)</f>
        <v>50</v>
      </c>
      <c r="O337" s="1">
        <f>IF(BaseCoalPlants!N348=0,"",BaseCoalPlants!N348)</f>
        <v>50</v>
      </c>
      <c r="P337" s="1">
        <f>IF(BaseCoalPlants!O348=0,"",BaseCoalPlants!O348)</f>
        <v>50</v>
      </c>
      <c r="Q337" s="1">
        <f>IF(BaseCoalPlants!P348=0,"",BaseCoalPlants!P348)</f>
        <v>50</v>
      </c>
      <c r="R337" s="1">
        <f>IF(BaseCoalPlants!Q348=0,"",BaseCoalPlants!Q348)</f>
        <v>50</v>
      </c>
      <c r="S337" s="1">
        <f>IF(BaseCoalPlants!R348=0,"",BaseCoalPlants!R348)</f>
        <v>50</v>
      </c>
      <c r="T337" s="1">
        <f>IF(BaseCoalPlants!S348=0,"",BaseCoalPlants!S348)</f>
        <v>50</v>
      </c>
      <c r="U337" s="1">
        <f>IF(BaseCoalPlants!T348=0,"",BaseCoalPlants!T348)</f>
        <v>50</v>
      </c>
      <c r="V337" s="1">
        <f>IF(BaseCoalPlants!U348=0,"",BaseCoalPlants!U348)</f>
        <v>50</v>
      </c>
    </row>
    <row r="338" spans="3:22" x14ac:dyDescent="0.35">
      <c r="C338" t="str">
        <f>IF(BaseCoalPlants!B349="VDA_FLOP",IF(BaseCoalPlants!D349="ELC","*","INPUT"),BaseCoalPlants!B349)</f>
        <v>LIFE</v>
      </c>
      <c r="D338" t="str">
        <f>IF(BaseCoalPlants!C349="","\I:",BaseCoalPlants!C349&amp;"_LE")</f>
        <v>ECSTMRBUO_LE</v>
      </c>
      <c r="E338" t="str">
        <f>IF(BaseCoalPlants!D349="-","",BaseCoalPlants!D349)</f>
        <v/>
      </c>
      <c r="F338" t="str">
        <f>IF(BaseCoalPlants!E349="-","",BaseCoalPlants!E349)</f>
        <v/>
      </c>
      <c r="G338" t="str">
        <f>IF(BaseCoalPlants!F349="-","",BaseCoalPlants!F349)</f>
        <v/>
      </c>
      <c r="H338">
        <f>IF(BaseCoalPlants!G349="-","",BaseCoalPlants!G349)</f>
        <v>2010</v>
      </c>
      <c r="I338" t="str">
        <f>IF(BaseCoalPlants!H349="-","",BaseCoalPlants!H349)</f>
        <v/>
      </c>
      <c r="J338" t="str">
        <f>IF(BaseCoalPlants!I349="-","",BaseCoalPlants!I349)</f>
        <v/>
      </c>
      <c r="K338" t="str">
        <f>IF(BaseCoalPlants!J349="-","",BaseCoalPlants!J349)</f>
        <v/>
      </c>
      <c r="L338" t="str">
        <f>IF(BaseCoalPlants!K349="-","",BaseCoalPlants!K349)</f>
        <v/>
      </c>
      <c r="M338" s="1">
        <f>IF(BaseCoalPlants!L349=0,"",BaseCoalPlants!L349)</f>
        <v>50</v>
      </c>
      <c r="N338" s="1">
        <f>IF(BaseCoalPlants!M349=0,"",BaseCoalPlants!M349)</f>
        <v>50</v>
      </c>
      <c r="O338" s="1">
        <f>IF(BaseCoalPlants!N349=0,"",BaseCoalPlants!N349)</f>
        <v>50</v>
      </c>
      <c r="P338" s="1">
        <f>IF(BaseCoalPlants!O349=0,"",BaseCoalPlants!O349)</f>
        <v>50</v>
      </c>
      <c r="Q338" s="1">
        <f>IF(BaseCoalPlants!P349=0,"",BaseCoalPlants!P349)</f>
        <v>50</v>
      </c>
      <c r="R338" s="1">
        <f>IF(BaseCoalPlants!Q349=0,"",BaseCoalPlants!Q349)</f>
        <v>50</v>
      </c>
      <c r="S338" s="1">
        <f>IF(BaseCoalPlants!R349=0,"",BaseCoalPlants!R349)</f>
        <v>50</v>
      </c>
      <c r="T338" s="1">
        <f>IF(BaseCoalPlants!S349=0,"",BaseCoalPlants!S349)</f>
        <v>50</v>
      </c>
      <c r="U338" s="1">
        <f>IF(BaseCoalPlants!T349=0,"",BaseCoalPlants!T349)</f>
        <v>50</v>
      </c>
      <c r="V338" s="1">
        <f>IF(BaseCoalPlants!U349=0,"",BaseCoalPlants!U349)</f>
        <v>50</v>
      </c>
    </row>
    <row r="339" spans="3:22" x14ac:dyDescent="0.35">
      <c r="C339" t="str">
        <f>IF(BaseCoalPlants!B350="VDA_FLOP",IF(BaseCoalPlants!D350="ELC","*","INPUT"),BaseCoalPlants!B350)</f>
        <v>LIFE</v>
      </c>
      <c r="D339" t="str">
        <f>IF(BaseCoalPlants!C350="","\I:",BaseCoalPlants!C350&amp;"_LE")</f>
        <v>ECSTMRBUR_LE</v>
      </c>
      <c r="E339" t="str">
        <f>IF(BaseCoalPlants!D350="-","",BaseCoalPlants!D350)</f>
        <v/>
      </c>
      <c r="F339" t="str">
        <f>IF(BaseCoalPlants!E350="-","",BaseCoalPlants!E350)</f>
        <v/>
      </c>
      <c r="G339" t="str">
        <f>IF(BaseCoalPlants!F350="-","",BaseCoalPlants!F350)</f>
        <v/>
      </c>
      <c r="H339">
        <f>IF(BaseCoalPlants!G350="-","",BaseCoalPlants!G350)</f>
        <v>2010</v>
      </c>
      <c r="I339" t="str">
        <f>IF(BaseCoalPlants!H350="-","",BaseCoalPlants!H350)</f>
        <v/>
      </c>
      <c r="J339" t="str">
        <f>IF(BaseCoalPlants!I350="-","",BaseCoalPlants!I350)</f>
        <v/>
      </c>
      <c r="K339" t="str">
        <f>IF(BaseCoalPlants!J350="-","",BaseCoalPlants!J350)</f>
        <v/>
      </c>
      <c r="L339" t="str">
        <f>IF(BaseCoalPlants!K350="-","",BaseCoalPlants!K350)</f>
        <v/>
      </c>
      <c r="M339" s="1">
        <f>IF(BaseCoalPlants!L350=0,"",BaseCoalPlants!L350)</f>
        <v>50</v>
      </c>
      <c r="N339" s="1">
        <f>IF(BaseCoalPlants!M350=0,"",BaseCoalPlants!M350)</f>
        <v>50</v>
      </c>
      <c r="O339" s="1">
        <f>IF(BaseCoalPlants!N350=0,"",BaseCoalPlants!N350)</f>
        <v>50</v>
      </c>
      <c r="P339" s="1">
        <f>IF(BaseCoalPlants!O350=0,"",BaseCoalPlants!O350)</f>
        <v>50</v>
      </c>
      <c r="Q339" s="1">
        <f>IF(BaseCoalPlants!P350=0,"",BaseCoalPlants!P350)</f>
        <v>50</v>
      </c>
      <c r="R339" s="1">
        <f>IF(BaseCoalPlants!Q350=0,"",BaseCoalPlants!Q350)</f>
        <v>50</v>
      </c>
      <c r="S339" s="1">
        <f>IF(BaseCoalPlants!R350=0,"",BaseCoalPlants!R350)</f>
        <v>50</v>
      </c>
      <c r="T339" s="1">
        <f>IF(BaseCoalPlants!S350=0,"",BaseCoalPlants!S350)</f>
        <v>50</v>
      </c>
      <c r="U339" s="1">
        <f>IF(BaseCoalPlants!T350=0,"",BaseCoalPlants!T350)</f>
        <v>50</v>
      </c>
      <c r="V339" s="1">
        <f>IF(BaseCoalPlants!U350=0,"",BaseCoalPlants!U350)</f>
        <v>50</v>
      </c>
    </row>
    <row r="340" spans="3:22" x14ac:dyDescent="0.35">
      <c r="C340" t="str">
        <f>IF(BaseCoalPlants!B352="VDA_FLOP",IF(BaseCoalPlants!D352="ELC","*","INPUT"),BaseCoalPlants!B352)</f>
        <v>LIFE</v>
      </c>
      <c r="D340" t="str">
        <f>IF(BaseCoalPlants!C352="","\I:",BaseCoalPlants!C352&amp;"_LE")</f>
        <v>ECSTMRLOO_LE</v>
      </c>
      <c r="E340" t="str">
        <f>IF(BaseCoalPlants!D352="-","",BaseCoalPlants!D352)</f>
        <v/>
      </c>
      <c r="F340" t="str">
        <f>IF(BaseCoalPlants!E352="-","",BaseCoalPlants!E352)</f>
        <v/>
      </c>
      <c r="G340" t="str">
        <f>IF(BaseCoalPlants!F352="-","",BaseCoalPlants!F352)</f>
        <v/>
      </c>
      <c r="H340">
        <f>IF(BaseCoalPlants!G352="-","",BaseCoalPlants!G352)</f>
        <v>2010</v>
      </c>
      <c r="I340" t="str">
        <f>IF(BaseCoalPlants!H352="-","",BaseCoalPlants!H352)</f>
        <v/>
      </c>
      <c r="J340" t="str">
        <f>IF(BaseCoalPlants!I352="-","",BaseCoalPlants!I352)</f>
        <v/>
      </c>
      <c r="K340" t="str">
        <f>IF(BaseCoalPlants!J352="-","",BaseCoalPlants!J352)</f>
        <v/>
      </c>
      <c r="L340" t="str">
        <f>IF(BaseCoalPlants!K352="-","",BaseCoalPlants!K352)</f>
        <v/>
      </c>
      <c r="M340" s="1">
        <f>IF(BaseCoalPlants!L352=0,"",BaseCoalPlants!L352)</f>
        <v>50</v>
      </c>
      <c r="N340" s="1">
        <f>IF(BaseCoalPlants!M352=0,"",BaseCoalPlants!M352)</f>
        <v>50</v>
      </c>
      <c r="O340" s="1">
        <f>IF(BaseCoalPlants!N352=0,"",BaseCoalPlants!N352)</f>
        <v>50</v>
      </c>
      <c r="P340" s="1">
        <f>IF(BaseCoalPlants!O352=0,"",BaseCoalPlants!O352)</f>
        <v>50</v>
      </c>
      <c r="Q340" s="1">
        <f>IF(BaseCoalPlants!P352=0,"",BaseCoalPlants!P352)</f>
        <v>50</v>
      </c>
      <c r="R340" s="1">
        <f>IF(BaseCoalPlants!Q352=0,"",BaseCoalPlants!Q352)</f>
        <v>50</v>
      </c>
      <c r="S340" s="1">
        <f>IF(BaseCoalPlants!R352=0,"",BaseCoalPlants!R352)</f>
        <v>50</v>
      </c>
      <c r="T340" s="1">
        <f>IF(BaseCoalPlants!S352=0,"",BaseCoalPlants!S352)</f>
        <v>50</v>
      </c>
      <c r="U340" s="1">
        <f>IF(BaseCoalPlants!T352=0,"",BaseCoalPlants!T352)</f>
        <v>50</v>
      </c>
      <c r="V340" s="1">
        <f>IF(BaseCoalPlants!U352=0,"",BaseCoalPlants!U352)</f>
        <v>50</v>
      </c>
    </row>
    <row r="341" spans="3:22" x14ac:dyDescent="0.35">
      <c r="C341" t="str">
        <f>IF(BaseCoalPlants!B353="VDA_FLOP",IF(BaseCoalPlants!D353="ELC","*","INPUT"),BaseCoalPlants!B353)</f>
        <v>LIFE</v>
      </c>
      <c r="D341" t="str">
        <f>IF(BaseCoalPlants!C353="","\I:",BaseCoalPlants!C353&amp;"_LE")</f>
        <v>ECSTMRLOR_LE</v>
      </c>
      <c r="E341" t="str">
        <f>IF(BaseCoalPlants!D353="-","",BaseCoalPlants!D353)</f>
        <v/>
      </c>
      <c r="F341" t="str">
        <f>IF(BaseCoalPlants!E353="-","",BaseCoalPlants!E353)</f>
        <v/>
      </c>
      <c r="G341" t="str">
        <f>IF(BaseCoalPlants!F353="-","",BaseCoalPlants!F353)</f>
        <v/>
      </c>
      <c r="H341">
        <f>IF(BaseCoalPlants!G353="-","",BaseCoalPlants!G353)</f>
        <v>2010</v>
      </c>
      <c r="I341" t="str">
        <f>IF(BaseCoalPlants!H353="-","",BaseCoalPlants!H353)</f>
        <v/>
      </c>
      <c r="J341" t="str">
        <f>IF(BaseCoalPlants!I353="-","",BaseCoalPlants!I353)</f>
        <v/>
      </c>
      <c r="K341" t="str">
        <f>IF(BaseCoalPlants!J353="-","",BaseCoalPlants!J353)</f>
        <v/>
      </c>
      <c r="L341" t="str">
        <f>IF(BaseCoalPlants!K353="-","",BaseCoalPlants!K353)</f>
        <v/>
      </c>
      <c r="M341" s="1">
        <f>IF(BaseCoalPlants!L353=0,"",BaseCoalPlants!L353)</f>
        <v>50</v>
      </c>
      <c r="N341" s="1">
        <f>IF(BaseCoalPlants!M353=0,"",BaseCoalPlants!M353)</f>
        <v>50</v>
      </c>
      <c r="O341" s="1">
        <f>IF(BaseCoalPlants!N353=0,"",BaseCoalPlants!N353)</f>
        <v>50</v>
      </c>
      <c r="P341" s="1">
        <f>IF(BaseCoalPlants!O353=0,"",BaseCoalPlants!O353)</f>
        <v>50</v>
      </c>
      <c r="Q341" s="1">
        <f>IF(BaseCoalPlants!P353=0,"",BaseCoalPlants!P353)</f>
        <v>50</v>
      </c>
      <c r="R341" s="1">
        <f>IF(BaseCoalPlants!Q353=0,"",BaseCoalPlants!Q353)</f>
        <v>50</v>
      </c>
      <c r="S341" s="1">
        <f>IF(BaseCoalPlants!R353=0,"",BaseCoalPlants!R353)</f>
        <v>50</v>
      </c>
      <c r="T341" s="1">
        <f>IF(BaseCoalPlants!S353=0,"",BaseCoalPlants!S353)</f>
        <v>50</v>
      </c>
      <c r="U341" s="1">
        <f>IF(BaseCoalPlants!T353=0,"",BaseCoalPlants!T353)</f>
        <v>50</v>
      </c>
      <c r="V341" s="1">
        <f>IF(BaseCoalPlants!U353=0,"",BaseCoalPlants!U353)</f>
        <v>50</v>
      </c>
    </row>
    <row r="342" spans="3:22" x14ac:dyDescent="0.35">
      <c r="C342" t="str">
        <f>IF(BaseCoalPlants!B354="VDA_FLOP",IF(BaseCoalPlants!D354="ELC","*","INPUT"),BaseCoalPlants!B354)</f>
        <v>LIFE</v>
      </c>
      <c r="D342" t="str">
        <f>IF(BaseCoalPlants!C354="","\I:",BaseCoalPlants!C354&amp;"_LE")</f>
        <v>ECSTMRLUO_LE</v>
      </c>
      <c r="E342" t="str">
        <f>IF(BaseCoalPlants!D354="-","",BaseCoalPlants!D354)</f>
        <v/>
      </c>
      <c r="F342" t="str">
        <f>IF(BaseCoalPlants!E354="-","",BaseCoalPlants!E354)</f>
        <v/>
      </c>
      <c r="G342" t="str">
        <f>IF(BaseCoalPlants!F354="-","",BaseCoalPlants!F354)</f>
        <v/>
      </c>
      <c r="H342">
        <f>IF(BaseCoalPlants!G354="-","",BaseCoalPlants!G354)</f>
        <v>2010</v>
      </c>
      <c r="I342" t="str">
        <f>IF(BaseCoalPlants!H354="-","",BaseCoalPlants!H354)</f>
        <v/>
      </c>
      <c r="J342" t="str">
        <f>IF(BaseCoalPlants!I354="-","",BaseCoalPlants!I354)</f>
        <v/>
      </c>
      <c r="K342" t="str">
        <f>IF(BaseCoalPlants!J354="-","",BaseCoalPlants!J354)</f>
        <v/>
      </c>
      <c r="L342" t="str">
        <f>IF(BaseCoalPlants!K354="-","",BaseCoalPlants!K354)</f>
        <v/>
      </c>
      <c r="M342" s="1">
        <f>IF(BaseCoalPlants!L354=0,"",BaseCoalPlants!L354)</f>
        <v>50</v>
      </c>
      <c r="N342" s="1">
        <f>IF(BaseCoalPlants!M354=0,"",BaseCoalPlants!M354)</f>
        <v>50</v>
      </c>
      <c r="O342" s="1">
        <f>IF(BaseCoalPlants!N354=0,"",BaseCoalPlants!N354)</f>
        <v>50</v>
      </c>
      <c r="P342" s="1">
        <f>IF(BaseCoalPlants!O354=0,"",BaseCoalPlants!O354)</f>
        <v>50</v>
      </c>
      <c r="Q342" s="1">
        <f>IF(BaseCoalPlants!P354=0,"",BaseCoalPlants!P354)</f>
        <v>50</v>
      </c>
      <c r="R342" s="1">
        <f>IF(BaseCoalPlants!Q354=0,"",BaseCoalPlants!Q354)</f>
        <v>50</v>
      </c>
      <c r="S342" s="1">
        <f>IF(BaseCoalPlants!R354=0,"",BaseCoalPlants!R354)</f>
        <v>50</v>
      </c>
      <c r="T342" s="1">
        <f>IF(BaseCoalPlants!S354=0,"",BaseCoalPlants!S354)</f>
        <v>50</v>
      </c>
      <c r="U342" s="1">
        <f>IF(BaseCoalPlants!T354=0,"",BaseCoalPlants!T354)</f>
        <v>50</v>
      </c>
      <c r="V342" s="1">
        <f>IF(BaseCoalPlants!U354=0,"",BaseCoalPlants!U354)</f>
        <v>50</v>
      </c>
    </row>
    <row r="343" spans="3:22" x14ac:dyDescent="0.35">
      <c r="C343" t="str">
        <f>IF(BaseCoalPlants!B357="VDA_FLOP",IF(BaseCoalPlants!D357="ELC","*","INPUT"),BaseCoalPlants!B357)</f>
        <v>LIFE</v>
      </c>
      <c r="D343" t="str">
        <f>IF(BaseCoalPlants!C357="","\I:",BaseCoalPlants!C357&amp;"_LE")</f>
        <v>ECSTMRSOO_LE</v>
      </c>
      <c r="E343" t="str">
        <f>IF(BaseCoalPlants!D357="-","",BaseCoalPlants!D357)</f>
        <v/>
      </c>
      <c r="F343" t="str">
        <f>IF(BaseCoalPlants!E357="-","",BaseCoalPlants!E357)</f>
        <v/>
      </c>
      <c r="G343" t="str">
        <f>IF(BaseCoalPlants!F357="-","",BaseCoalPlants!F357)</f>
        <v/>
      </c>
      <c r="H343">
        <f>IF(BaseCoalPlants!G357="-","",BaseCoalPlants!G357)</f>
        <v>2010</v>
      </c>
      <c r="I343" t="str">
        <f>IF(BaseCoalPlants!H357="-","",BaseCoalPlants!H357)</f>
        <v/>
      </c>
      <c r="J343" t="str">
        <f>IF(BaseCoalPlants!I357="-","",BaseCoalPlants!I357)</f>
        <v/>
      </c>
      <c r="K343" t="str">
        <f>IF(BaseCoalPlants!J357="-","",BaseCoalPlants!J357)</f>
        <v/>
      </c>
      <c r="L343" t="str">
        <f>IF(BaseCoalPlants!K357="-","",BaseCoalPlants!K357)</f>
        <v/>
      </c>
      <c r="M343" s="1">
        <f>IF(BaseCoalPlants!L357=0,"",BaseCoalPlants!L357)</f>
        <v>50</v>
      </c>
      <c r="N343" s="1">
        <f>IF(BaseCoalPlants!M357=0,"",BaseCoalPlants!M357)</f>
        <v>50</v>
      </c>
      <c r="O343" s="1">
        <f>IF(BaseCoalPlants!N357=0,"",BaseCoalPlants!N357)</f>
        <v>50</v>
      </c>
      <c r="P343" s="1">
        <f>IF(BaseCoalPlants!O357=0,"",BaseCoalPlants!O357)</f>
        <v>50</v>
      </c>
      <c r="Q343" s="1">
        <f>IF(BaseCoalPlants!P357=0,"",BaseCoalPlants!P357)</f>
        <v>50</v>
      </c>
      <c r="R343" s="1">
        <f>IF(BaseCoalPlants!Q357=0,"",BaseCoalPlants!Q357)</f>
        <v>50</v>
      </c>
      <c r="S343" s="1">
        <f>IF(BaseCoalPlants!R357=0,"",BaseCoalPlants!R357)</f>
        <v>50</v>
      </c>
      <c r="T343" s="1">
        <f>IF(BaseCoalPlants!S357=0,"",BaseCoalPlants!S357)</f>
        <v>50</v>
      </c>
      <c r="U343" s="1">
        <f>IF(BaseCoalPlants!T357=0,"",BaseCoalPlants!T357)</f>
        <v>50</v>
      </c>
      <c r="V343" s="1">
        <f>IF(BaseCoalPlants!U357=0,"",BaseCoalPlants!U357)</f>
        <v>50</v>
      </c>
    </row>
    <row r="344" spans="3:22" x14ac:dyDescent="0.35">
      <c r="C344" t="str">
        <f>IF(BaseCoalPlants!B358="VDA_FLOP",IF(BaseCoalPlants!D358="ELC","*","INPUT"),BaseCoalPlants!B358)</f>
        <v>LIFE</v>
      </c>
      <c r="D344" t="str">
        <f>IF(BaseCoalPlants!C358="","\I:",BaseCoalPlants!C358&amp;"_LE")</f>
        <v>ECSTMRSOR_LE</v>
      </c>
      <c r="E344" t="str">
        <f>IF(BaseCoalPlants!D358="-","",BaseCoalPlants!D358)</f>
        <v/>
      </c>
      <c r="F344" t="str">
        <f>IF(BaseCoalPlants!E358="-","",BaseCoalPlants!E358)</f>
        <v/>
      </c>
      <c r="G344" t="str">
        <f>IF(BaseCoalPlants!F358="-","",BaseCoalPlants!F358)</f>
        <v/>
      </c>
      <c r="H344">
        <f>IF(BaseCoalPlants!G358="-","",BaseCoalPlants!G358)</f>
        <v>2010</v>
      </c>
      <c r="I344" t="str">
        <f>IF(BaseCoalPlants!H358="-","",BaseCoalPlants!H358)</f>
        <v/>
      </c>
      <c r="J344" t="str">
        <f>IF(BaseCoalPlants!I358="-","",BaseCoalPlants!I358)</f>
        <v/>
      </c>
      <c r="K344" t="str">
        <f>IF(BaseCoalPlants!J358="-","",BaseCoalPlants!J358)</f>
        <v/>
      </c>
      <c r="L344" t="str">
        <f>IF(BaseCoalPlants!K358="-","",BaseCoalPlants!K358)</f>
        <v/>
      </c>
      <c r="M344" s="1">
        <f>IF(BaseCoalPlants!L358=0,"",BaseCoalPlants!L358)</f>
        <v>50</v>
      </c>
      <c r="N344" s="1">
        <f>IF(BaseCoalPlants!M358=0,"",BaseCoalPlants!M358)</f>
        <v>50</v>
      </c>
      <c r="O344" s="1">
        <f>IF(BaseCoalPlants!N358=0,"",BaseCoalPlants!N358)</f>
        <v>50</v>
      </c>
      <c r="P344" s="1">
        <f>IF(BaseCoalPlants!O358=0,"",BaseCoalPlants!O358)</f>
        <v>50</v>
      </c>
      <c r="Q344" s="1">
        <f>IF(BaseCoalPlants!P358=0,"",BaseCoalPlants!P358)</f>
        <v>50</v>
      </c>
      <c r="R344" s="1">
        <f>IF(BaseCoalPlants!Q358=0,"",BaseCoalPlants!Q358)</f>
        <v>50</v>
      </c>
      <c r="S344" s="1">
        <f>IF(BaseCoalPlants!R358=0,"",BaseCoalPlants!R358)</f>
        <v>50</v>
      </c>
      <c r="T344" s="1">
        <f>IF(BaseCoalPlants!S358=0,"",BaseCoalPlants!S358)</f>
        <v>50</v>
      </c>
      <c r="U344" s="1">
        <f>IF(BaseCoalPlants!T358=0,"",BaseCoalPlants!T358)</f>
        <v>50</v>
      </c>
      <c r="V344" s="1">
        <f>IF(BaseCoalPlants!U358=0,"",BaseCoalPlants!U358)</f>
        <v>50</v>
      </c>
    </row>
    <row r="345" spans="3:22" x14ac:dyDescent="0.35">
      <c r="C345" t="str">
        <f>IF(BaseCoalPlants!B359="VDA_FLOP",IF(BaseCoalPlants!D359="ELC","*","INPUT"),BaseCoalPlants!B359)</f>
        <v>LIFE</v>
      </c>
      <c r="D345" t="str">
        <f>IF(BaseCoalPlants!C359="","\I:",BaseCoalPlants!C359&amp;"_LE")</f>
        <v>ECSTMRSUO_LE</v>
      </c>
      <c r="E345" t="str">
        <f>IF(BaseCoalPlants!D359="-","",BaseCoalPlants!D359)</f>
        <v/>
      </c>
      <c r="F345" t="str">
        <f>IF(BaseCoalPlants!E359="-","",BaseCoalPlants!E359)</f>
        <v/>
      </c>
      <c r="G345" t="str">
        <f>IF(BaseCoalPlants!F359="-","",BaseCoalPlants!F359)</f>
        <v/>
      </c>
      <c r="H345">
        <f>IF(BaseCoalPlants!G359="-","",BaseCoalPlants!G359)</f>
        <v>2010</v>
      </c>
      <c r="I345" t="str">
        <f>IF(BaseCoalPlants!H359="-","",BaseCoalPlants!H359)</f>
        <v/>
      </c>
      <c r="J345" t="str">
        <f>IF(BaseCoalPlants!I359="-","",BaseCoalPlants!I359)</f>
        <v/>
      </c>
      <c r="K345" t="str">
        <f>IF(BaseCoalPlants!J359="-","",BaseCoalPlants!J359)</f>
        <v/>
      </c>
      <c r="L345" t="str">
        <f>IF(BaseCoalPlants!K359="-","",BaseCoalPlants!K359)</f>
        <v/>
      </c>
      <c r="M345" s="1">
        <f>IF(BaseCoalPlants!L359=0,"",BaseCoalPlants!L359)</f>
        <v>50</v>
      </c>
      <c r="N345" s="1">
        <f>IF(BaseCoalPlants!M359=0,"",BaseCoalPlants!M359)</f>
        <v>50</v>
      </c>
      <c r="O345" s="1">
        <f>IF(BaseCoalPlants!N359=0,"",BaseCoalPlants!N359)</f>
        <v>50</v>
      </c>
      <c r="P345" s="1">
        <f>IF(BaseCoalPlants!O359=0,"",BaseCoalPlants!O359)</f>
        <v>50</v>
      </c>
      <c r="Q345" s="1">
        <f>IF(BaseCoalPlants!P359=0,"",BaseCoalPlants!P359)</f>
        <v>50</v>
      </c>
      <c r="R345" s="1">
        <f>IF(BaseCoalPlants!Q359=0,"",BaseCoalPlants!Q359)</f>
        <v>50</v>
      </c>
      <c r="S345" s="1">
        <f>IF(BaseCoalPlants!R359=0,"",BaseCoalPlants!R359)</f>
        <v>50</v>
      </c>
      <c r="T345" s="1">
        <f>IF(BaseCoalPlants!S359=0,"",BaseCoalPlants!S359)</f>
        <v>50</v>
      </c>
      <c r="U345" s="1">
        <f>IF(BaseCoalPlants!T359=0,"",BaseCoalPlants!T359)</f>
        <v>50</v>
      </c>
      <c r="V345" s="1">
        <f>IF(BaseCoalPlants!U359=0,"",BaseCoalPlants!U359)</f>
        <v>50</v>
      </c>
    </row>
    <row r="346" spans="3:22" x14ac:dyDescent="0.35">
      <c r="C346" t="str">
        <f>IF(BaseCoalPlants!B360="VDA_FLOP",IF(BaseCoalPlants!D360="ELC","*","INPUT"),BaseCoalPlants!B360)</f>
        <v>LIFE</v>
      </c>
      <c r="D346" t="str">
        <f>IF(BaseCoalPlants!C360="","\I:",BaseCoalPlants!C360&amp;"_LE")</f>
        <v>ECSTMRSUR_LE</v>
      </c>
      <c r="E346" t="str">
        <f>IF(BaseCoalPlants!D360="-","",BaseCoalPlants!D360)</f>
        <v/>
      </c>
      <c r="F346" t="str">
        <f>IF(BaseCoalPlants!E360="-","",BaseCoalPlants!E360)</f>
        <v/>
      </c>
      <c r="G346" t="str">
        <f>IF(BaseCoalPlants!F360="-","",BaseCoalPlants!F360)</f>
        <v/>
      </c>
      <c r="H346">
        <f>IF(BaseCoalPlants!G360="-","",BaseCoalPlants!G360)</f>
        <v>2010</v>
      </c>
      <c r="I346" t="str">
        <f>IF(BaseCoalPlants!H360="-","",BaseCoalPlants!H360)</f>
        <v/>
      </c>
      <c r="J346" t="str">
        <f>IF(BaseCoalPlants!I360="-","",BaseCoalPlants!I360)</f>
        <v/>
      </c>
      <c r="K346" t="str">
        <f>IF(BaseCoalPlants!J360="-","",BaseCoalPlants!J360)</f>
        <v/>
      </c>
      <c r="L346" t="str">
        <f>IF(BaseCoalPlants!K360="-","",BaseCoalPlants!K360)</f>
        <v/>
      </c>
      <c r="M346" s="1">
        <f>IF(BaseCoalPlants!L360=0,"",BaseCoalPlants!L360)</f>
        <v>50</v>
      </c>
      <c r="N346" s="1">
        <f>IF(BaseCoalPlants!M360=0,"",BaseCoalPlants!M360)</f>
        <v>50</v>
      </c>
      <c r="O346" s="1">
        <f>IF(BaseCoalPlants!N360=0,"",BaseCoalPlants!N360)</f>
        <v>50</v>
      </c>
      <c r="P346" s="1">
        <f>IF(BaseCoalPlants!O360=0,"",BaseCoalPlants!O360)</f>
        <v>50</v>
      </c>
      <c r="Q346" s="1">
        <f>IF(BaseCoalPlants!P360=0,"",BaseCoalPlants!P360)</f>
        <v>50</v>
      </c>
      <c r="R346" s="1">
        <f>IF(BaseCoalPlants!Q360=0,"",BaseCoalPlants!Q360)</f>
        <v>50</v>
      </c>
      <c r="S346" s="1">
        <f>IF(BaseCoalPlants!R360=0,"",BaseCoalPlants!R360)</f>
        <v>50</v>
      </c>
      <c r="T346" s="1">
        <f>IF(BaseCoalPlants!S360=0,"",BaseCoalPlants!S360)</f>
        <v>50</v>
      </c>
      <c r="U346" s="1">
        <f>IF(BaseCoalPlants!T360=0,"",BaseCoalPlants!T360)</f>
        <v>50</v>
      </c>
      <c r="V346" s="1">
        <f>IF(BaseCoalPlants!U360=0,"",BaseCoalPlants!U360)</f>
        <v>50</v>
      </c>
    </row>
    <row r="347" spans="3:22" x14ac:dyDescent="0.35">
      <c r="C347" t="str">
        <f>IF(BaseCoalPlants!B362="VDA_FLOP",IF(BaseCoalPlants!D362="ELC","*","INPUT"),BaseCoalPlants!B362)</f>
        <v>NCAP_AFA</v>
      </c>
      <c r="D347" t="str">
        <f>IF(BaseCoalPlants!C362="","\I:",BaseCoalPlants!C362&amp;"_LE")</f>
        <v>ECSTMRBOO_LE</v>
      </c>
      <c r="E347" t="str">
        <f>IF(BaseCoalPlants!D362="-","",BaseCoalPlants!D362)</f>
        <v/>
      </c>
      <c r="F347" t="str">
        <f>IF(BaseCoalPlants!E362="-","",BaseCoalPlants!E362)</f>
        <v>UP</v>
      </c>
      <c r="G347" t="str">
        <f>IF(BaseCoalPlants!F362="-","",BaseCoalPlants!F362)</f>
        <v/>
      </c>
      <c r="H347">
        <f>IF(BaseCoalPlants!G362="-","",BaseCoalPlants!G362)</f>
        <v>2010</v>
      </c>
      <c r="I347" t="str">
        <f>IF(BaseCoalPlants!H362="-","",BaseCoalPlants!H362)</f>
        <v/>
      </c>
      <c r="J347" t="str">
        <f>IF(BaseCoalPlants!I362="-","",BaseCoalPlants!I362)</f>
        <v/>
      </c>
      <c r="K347" t="str">
        <f>IF(BaseCoalPlants!J362="-","",BaseCoalPlants!J362)</f>
        <v/>
      </c>
      <c r="L347" t="str">
        <f>IF(BaseCoalPlants!K362="-","",BaseCoalPlants!K362)</f>
        <v/>
      </c>
      <c r="M347" s="3">
        <f>N347</f>
        <v>0.40999999642372148</v>
      </c>
      <c r="N347" s="3">
        <f>IF(BaseCoalPlants!M362=0,"",BaseCoalPlants!M362)*0.5</f>
        <v>0.40999999642372148</v>
      </c>
      <c r="O347" s="3">
        <f>IF(BaseCoalPlants!N362=0,"",BaseCoalPlants!N362)*0.5</f>
        <v>0.41000005602836598</v>
      </c>
      <c r="P347" s="3">
        <f>IF(BaseCoalPlants!O362=0,"",BaseCoalPlants!O362)*0.5</f>
        <v>0.40999999642372148</v>
      </c>
      <c r="Q347" s="3">
        <f>IF(BaseCoalPlants!P362=0,"",BaseCoalPlants!P362)*0.5</f>
        <v>0.462000012397766</v>
      </c>
      <c r="R347" s="3">
        <f>IF(BaseCoalPlants!Q362=0,"",BaseCoalPlants!Q362)*0.5</f>
        <v>0.462000012397766</v>
      </c>
      <c r="S347" s="3">
        <f>IF(BaseCoalPlants!R362=0,"",BaseCoalPlants!R362)*0.5</f>
        <v>0.48199999332428001</v>
      </c>
      <c r="T347" s="3">
        <f>IF(BaseCoalPlants!S362=0,"",BaseCoalPlants!S362)*0.5</f>
        <v>0.43500000238418601</v>
      </c>
      <c r="U347" s="3">
        <f>IF(BaseCoalPlants!T362=0,"",BaseCoalPlants!T362)*0.5</f>
        <v>0.48199999332428001</v>
      </c>
      <c r="V347" s="3">
        <f>IF(BaseCoalPlants!U362=0,"",BaseCoalPlants!U362)*0.5</f>
        <v>0.44999998807907099</v>
      </c>
    </row>
    <row r="348" spans="3:22" x14ac:dyDescent="0.35">
      <c r="C348" t="str">
        <f>IF(BaseCoalPlants!B363="VDA_FLOP",IF(BaseCoalPlants!D363="ELC","*","INPUT"),BaseCoalPlants!B363)</f>
        <v>NCAP_AFA</v>
      </c>
      <c r="D348" t="str">
        <f>IF(BaseCoalPlants!C363="","\I:",BaseCoalPlants!C363&amp;"_LE")</f>
        <v>ECSTMRBOR_LE</v>
      </c>
      <c r="E348" t="str">
        <f>IF(BaseCoalPlants!D363="-","",BaseCoalPlants!D363)</f>
        <v/>
      </c>
      <c r="F348" t="str">
        <f>IF(BaseCoalPlants!E363="-","",BaseCoalPlants!E363)</f>
        <v>UP</v>
      </c>
      <c r="G348" t="str">
        <f>IF(BaseCoalPlants!F363="-","",BaseCoalPlants!F363)</f>
        <v/>
      </c>
      <c r="H348">
        <f>IF(BaseCoalPlants!G363="-","",BaseCoalPlants!G363)</f>
        <v>2010</v>
      </c>
      <c r="I348" t="str">
        <f>IF(BaseCoalPlants!H363="-","",BaseCoalPlants!H363)</f>
        <v/>
      </c>
      <c r="J348" t="str">
        <f>IF(BaseCoalPlants!I363="-","",BaseCoalPlants!I363)</f>
        <v/>
      </c>
      <c r="K348" t="str">
        <f>IF(BaseCoalPlants!J363="-","",BaseCoalPlants!J363)</f>
        <v/>
      </c>
      <c r="L348" t="str">
        <f>IF(BaseCoalPlants!K363="-","",BaseCoalPlants!K363)</f>
        <v/>
      </c>
      <c r="M348" s="3">
        <f t="shared" ref="M348:M354" si="0">N348</f>
        <v>0.40999999642372148</v>
      </c>
      <c r="N348" s="3">
        <f>IF(BaseCoalPlants!M363=0,"",BaseCoalPlants!M363)*0.5</f>
        <v>0.40999999642372148</v>
      </c>
      <c r="O348" s="3">
        <f>IF(BaseCoalPlants!N363=0,"",BaseCoalPlants!N363)*0.5</f>
        <v>0.41000005602836598</v>
      </c>
      <c r="P348" s="3">
        <f>IF(BaseCoalPlants!O363=0,"",BaseCoalPlants!O363)*0.5</f>
        <v>0.40999999642372148</v>
      </c>
      <c r="Q348" s="3">
        <f>IF(BaseCoalPlants!P363=0,"",BaseCoalPlants!P363)*0.5</f>
        <v>0.462000012397766</v>
      </c>
      <c r="R348" s="3">
        <f>IF(BaseCoalPlants!Q363=0,"",BaseCoalPlants!Q363)*0.5</f>
        <v>0.462000012397766</v>
      </c>
      <c r="S348" s="3">
        <f>IF(BaseCoalPlants!R363=0,"",BaseCoalPlants!R363)*0.5</f>
        <v>0.48199999332428001</v>
      </c>
      <c r="T348" s="3">
        <f>IF(BaseCoalPlants!S363=0,"",BaseCoalPlants!S363)*0.5</f>
        <v>0.43500000238418601</v>
      </c>
      <c r="U348" s="3">
        <f>IF(BaseCoalPlants!T363=0,"",BaseCoalPlants!T363)*0.5</f>
        <v>0.48199999332428001</v>
      </c>
      <c r="V348" s="3">
        <f>IF(BaseCoalPlants!U363=0,"",BaseCoalPlants!U363)*0.5</f>
        <v>0.44999998807907099</v>
      </c>
    </row>
    <row r="349" spans="3:22" x14ac:dyDescent="0.35">
      <c r="C349" t="str">
        <f>IF(BaseCoalPlants!B364="VDA_FLOP",IF(BaseCoalPlants!D364="ELC","*","INPUT"),BaseCoalPlants!B364)</f>
        <v>NCAP_AFA</v>
      </c>
      <c r="D349" t="str">
        <f>IF(BaseCoalPlants!C364="","\I:",BaseCoalPlants!C364&amp;"_LE")</f>
        <v>ECSTMRBUO_LE</v>
      </c>
      <c r="E349" t="str">
        <f>IF(BaseCoalPlants!D364="-","",BaseCoalPlants!D364)</f>
        <v/>
      </c>
      <c r="F349" t="str">
        <f>IF(BaseCoalPlants!E364="-","",BaseCoalPlants!E364)</f>
        <v>UP</v>
      </c>
      <c r="G349" t="str">
        <f>IF(BaseCoalPlants!F364="-","",BaseCoalPlants!F364)</f>
        <v/>
      </c>
      <c r="H349">
        <f>IF(BaseCoalPlants!G364="-","",BaseCoalPlants!G364)</f>
        <v>2010</v>
      </c>
      <c r="I349" t="str">
        <f>IF(BaseCoalPlants!H364="-","",BaseCoalPlants!H364)</f>
        <v/>
      </c>
      <c r="J349" t="str">
        <f>IF(BaseCoalPlants!I364="-","",BaseCoalPlants!I364)</f>
        <v/>
      </c>
      <c r="K349" t="str">
        <f>IF(BaseCoalPlants!J364="-","",BaseCoalPlants!J364)</f>
        <v/>
      </c>
      <c r="L349" t="str">
        <f>IF(BaseCoalPlants!K364="-","",BaseCoalPlants!K364)</f>
        <v/>
      </c>
      <c r="M349" s="3">
        <f t="shared" si="0"/>
        <v>0.40999999642372148</v>
      </c>
      <c r="N349" s="3">
        <f>IF(BaseCoalPlants!M364=0,"",BaseCoalPlants!M364)*0.5</f>
        <v>0.40999999642372148</v>
      </c>
      <c r="O349" s="3">
        <f>IF(BaseCoalPlants!N364=0,"",BaseCoalPlants!N364)*0.5</f>
        <v>0.41000005602836598</v>
      </c>
      <c r="P349" s="3">
        <f>IF(BaseCoalPlants!O364=0,"",BaseCoalPlants!O364)*0.5</f>
        <v>0.40999999642372148</v>
      </c>
      <c r="Q349" s="3">
        <f>IF(BaseCoalPlants!P364=0,"",BaseCoalPlants!P364)*0.5</f>
        <v>0.462000012397766</v>
      </c>
      <c r="R349" s="3">
        <f>IF(BaseCoalPlants!Q364=0,"",BaseCoalPlants!Q364)*0.5</f>
        <v>0.462000012397766</v>
      </c>
      <c r="S349" s="3">
        <f>IF(BaseCoalPlants!R364=0,"",BaseCoalPlants!R364)*0.5</f>
        <v>0.48199999332428001</v>
      </c>
      <c r="T349" s="3">
        <f>IF(BaseCoalPlants!S364=0,"",BaseCoalPlants!S364)*0.5</f>
        <v>0.43500000238418601</v>
      </c>
      <c r="U349" s="3">
        <f>IF(BaseCoalPlants!T364=0,"",BaseCoalPlants!T364)*0.5</f>
        <v>0.48199999332428001</v>
      </c>
      <c r="V349" s="3">
        <f>IF(BaseCoalPlants!U364=0,"",BaseCoalPlants!U364)*0.5</f>
        <v>0.44999998807907099</v>
      </c>
    </row>
    <row r="350" spans="3:22" x14ac:dyDescent="0.35">
      <c r="C350" t="str">
        <f>IF(BaseCoalPlants!B365="VDA_FLOP",IF(BaseCoalPlants!D365="ELC","*","INPUT"),BaseCoalPlants!B365)</f>
        <v>NCAP_AFA</v>
      </c>
      <c r="D350" t="str">
        <f>IF(BaseCoalPlants!C365="","\I:",BaseCoalPlants!C365&amp;"_LE")</f>
        <v>ECSTMRBUR_LE</v>
      </c>
      <c r="E350" t="str">
        <f>IF(BaseCoalPlants!D365="-","",BaseCoalPlants!D365)</f>
        <v/>
      </c>
      <c r="F350" t="str">
        <f>IF(BaseCoalPlants!E365="-","",BaseCoalPlants!E365)</f>
        <v>UP</v>
      </c>
      <c r="G350" t="str">
        <f>IF(BaseCoalPlants!F365="-","",BaseCoalPlants!F365)</f>
        <v/>
      </c>
      <c r="H350">
        <f>IF(BaseCoalPlants!G365="-","",BaseCoalPlants!G365)</f>
        <v>2010</v>
      </c>
      <c r="I350" t="str">
        <f>IF(BaseCoalPlants!H365="-","",BaseCoalPlants!H365)</f>
        <v/>
      </c>
      <c r="J350" t="str">
        <f>IF(BaseCoalPlants!I365="-","",BaseCoalPlants!I365)</f>
        <v/>
      </c>
      <c r="K350" t="str">
        <f>IF(BaseCoalPlants!J365="-","",BaseCoalPlants!J365)</f>
        <v/>
      </c>
      <c r="L350" t="str">
        <f>IF(BaseCoalPlants!K365="-","",BaseCoalPlants!K365)</f>
        <v/>
      </c>
      <c r="M350" s="3">
        <f t="shared" si="0"/>
        <v>0.40999999642372148</v>
      </c>
      <c r="N350" s="3">
        <f>IF(BaseCoalPlants!M365=0,"",BaseCoalPlants!M365)*0.5</f>
        <v>0.40999999642372148</v>
      </c>
      <c r="O350" s="3">
        <f>IF(BaseCoalPlants!N365=0,"",BaseCoalPlants!N365)*0.5</f>
        <v>0.41000005602836598</v>
      </c>
      <c r="P350" s="3">
        <f>IF(BaseCoalPlants!O365=0,"",BaseCoalPlants!O365)*0.5</f>
        <v>0.40999999642372148</v>
      </c>
      <c r="Q350" s="3">
        <f>IF(BaseCoalPlants!P365=0,"",BaseCoalPlants!P365)*0.5</f>
        <v>0.462000012397766</v>
      </c>
      <c r="R350" s="3">
        <f>IF(BaseCoalPlants!Q365=0,"",BaseCoalPlants!Q365)*0.5</f>
        <v>0.462000012397766</v>
      </c>
      <c r="S350" s="3">
        <f>IF(BaseCoalPlants!R365=0,"",BaseCoalPlants!R365)*0.5</f>
        <v>0.48199999332428001</v>
      </c>
      <c r="T350" s="3">
        <f>IF(BaseCoalPlants!S365=0,"",BaseCoalPlants!S365)*0.5</f>
        <v>0.43500000238418601</v>
      </c>
      <c r="U350" s="3">
        <f>IF(BaseCoalPlants!T365=0,"",BaseCoalPlants!T365)*0.5</f>
        <v>0.48199999332428001</v>
      </c>
      <c r="V350" s="3">
        <f>IF(BaseCoalPlants!U365=0,"",BaseCoalPlants!U365)*0.5</f>
        <v>0.44999998807907099</v>
      </c>
    </row>
    <row r="351" spans="3:22" x14ac:dyDescent="0.35">
      <c r="C351" t="str">
        <f>IF(BaseCoalPlants!B367="VDA_FLOP",IF(BaseCoalPlants!D367="ELC","*","INPUT"),BaseCoalPlants!B367)</f>
        <v>NCAP_AFA</v>
      </c>
      <c r="D351" t="str">
        <f>IF(BaseCoalPlants!C367="","\I:",BaseCoalPlants!C367&amp;"_LE")</f>
        <v>ECSTMRLOO_LE</v>
      </c>
      <c r="E351" t="str">
        <f>IF(BaseCoalPlants!D367="-","",BaseCoalPlants!D367)</f>
        <v/>
      </c>
      <c r="F351" t="str">
        <f>IF(BaseCoalPlants!E367="-","",BaseCoalPlants!E367)</f>
        <v>UP</v>
      </c>
      <c r="G351" t="str">
        <f>IF(BaseCoalPlants!F367="-","",BaseCoalPlants!F367)</f>
        <v/>
      </c>
      <c r="H351">
        <f>IF(BaseCoalPlants!G367="-","",BaseCoalPlants!G367)</f>
        <v>2010</v>
      </c>
      <c r="I351" t="str">
        <f>IF(BaseCoalPlants!H367="-","",BaseCoalPlants!H367)</f>
        <v/>
      </c>
      <c r="J351" t="str">
        <f>IF(BaseCoalPlants!I367="-","",BaseCoalPlants!I367)</f>
        <v/>
      </c>
      <c r="K351" t="str">
        <f>IF(BaseCoalPlants!J367="-","",BaseCoalPlants!J367)</f>
        <v/>
      </c>
      <c r="L351" t="str">
        <f>IF(BaseCoalPlants!K367="-","",BaseCoalPlants!K367)</f>
        <v/>
      </c>
      <c r="M351" s="3">
        <f t="shared" si="0"/>
        <v>0.40999999642372148</v>
      </c>
      <c r="N351" s="3">
        <f>IF(BaseCoalPlants!M367=0,"",BaseCoalPlants!M367)*0.5</f>
        <v>0.40999999642372148</v>
      </c>
      <c r="O351" s="3">
        <f>IF(BaseCoalPlants!N367=0,"",BaseCoalPlants!N367)*0.5</f>
        <v>0.41000005602836598</v>
      </c>
      <c r="P351" s="3">
        <f>IF(BaseCoalPlants!O367=0,"",BaseCoalPlants!O367)*0.5</f>
        <v>0.40999999642372148</v>
      </c>
      <c r="Q351" s="3">
        <f>IF(BaseCoalPlants!P367=0,"",BaseCoalPlants!P367)*0.5</f>
        <v>0.462000012397766</v>
      </c>
      <c r="R351" s="3">
        <f>IF(BaseCoalPlants!Q367=0,"",BaseCoalPlants!Q367)*0.5</f>
        <v>0.462000012397766</v>
      </c>
      <c r="S351" s="3">
        <f>IF(BaseCoalPlants!R367=0,"",BaseCoalPlants!R367)*0.5</f>
        <v>0.48199999332428001</v>
      </c>
      <c r="T351" s="3">
        <f>IF(BaseCoalPlants!S367=0,"",BaseCoalPlants!S367)*0.5</f>
        <v>0.43500000238418601</v>
      </c>
      <c r="U351" s="3">
        <f>IF(BaseCoalPlants!T367=0,"",BaseCoalPlants!T367)*0.5</f>
        <v>0.48199999332428001</v>
      </c>
      <c r="V351" s="3">
        <f>IF(BaseCoalPlants!U367=0,"",BaseCoalPlants!U367)*0.5</f>
        <v>0.44999998807907099</v>
      </c>
    </row>
    <row r="352" spans="3:22" x14ac:dyDescent="0.35">
      <c r="C352" t="str">
        <f>IF(BaseCoalPlants!B368="VDA_FLOP",IF(BaseCoalPlants!D368="ELC","*","INPUT"),BaseCoalPlants!B368)</f>
        <v>NCAP_AFA</v>
      </c>
      <c r="D352" t="str">
        <f>IF(BaseCoalPlants!C368="","\I:",BaseCoalPlants!C368&amp;"_LE")</f>
        <v>ECSTMRLOR_LE</v>
      </c>
      <c r="E352" t="str">
        <f>IF(BaseCoalPlants!D368="-","",BaseCoalPlants!D368)</f>
        <v/>
      </c>
      <c r="F352" t="str">
        <f>IF(BaseCoalPlants!E368="-","",BaseCoalPlants!E368)</f>
        <v>UP</v>
      </c>
      <c r="G352" t="str">
        <f>IF(BaseCoalPlants!F368="-","",BaseCoalPlants!F368)</f>
        <v/>
      </c>
      <c r="H352">
        <f>IF(BaseCoalPlants!G368="-","",BaseCoalPlants!G368)</f>
        <v>2010</v>
      </c>
      <c r="I352" t="str">
        <f>IF(BaseCoalPlants!H368="-","",BaseCoalPlants!H368)</f>
        <v/>
      </c>
      <c r="J352" t="str">
        <f>IF(BaseCoalPlants!I368="-","",BaseCoalPlants!I368)</f>
        <v/>
      </c>
      <c r="K352" t="str">
        <f>IF(BaseCoalPlants!J368="-","",BaseCoalPlants!J368)</f>
        <v/>
      </c>
      <c r="L352" t="str">
        <f>IF(BaseCoalPlants!K368="-","",BaseCoalPlants!K368)</f>
        <v/>
      </c>
      <c r="M352" s="3">
        <f t="shared" si="0"/>
        <v>0.40999999642372148</v>
      </c>
      <c r="N352" s="3">
        <f>IF(BaseCoalPlants!M368=0,"",BaseCoalPlants!M368)*0.5</f>
        <v>0.40999999642372148</v>
      </c>
      <c r="O352" s="3">
        <f>IF(BaseCoalPlants!N368=0,"",BaseCoalPlants!N368)*0.5</f>
        <v>0.41000005602836598</v>
      </c>
      <c r="P352" s="3">
        <f>IF(BaseCoalPlants!O368=0,"",BaseCoalPlants!O368)*0.5</f>
        <v>0.40999999642372148</v>
      </c>
      <c r="Q352" s="3">
        <f>IF(BaseCoalPlants!P368=0,"",BaseCoalPlants!P368)*0.5</f>
        <v>0.462000012397766</v>
      </c>
      <c r="R352" s="3">
        <f>IF(BaseCoalPlants!Q368=0,"",BaseCoalPlants!Q368)*0.5</f>
        <v>0.462000012397766</v>
      </c>
      <c r="S352" s="3">
        <f>IF(BaseCoalPlants!R368=0,"",BaseCoalPlants!R368)*0.5</f>
        <v>0.48199999332428001</v>
      </c>
      <c r="T352" s="3">
        <f>IF(BaseCoalPlants!S368=0,"",BaseCoalPlants!S368)*0.5</f>
        <v>0.43500000238418601</v>
      </c>
      <c r="U352" s="3">
        <f>IF(BaseCoalPlants!T368=0,"",BaseCoalPlants!T368)*0.5</f>
        <v>0.48199999332428001</v>
      </c>
      <c r="V352" s="3">
        <f>IF(BaseCoalPlants!U368=0,"",BaseCoalPlants!U368)*0.5</f>
        <v>0.44999998807907099</v>
      </c>
    </row>
    <row r="353" spans="3:22" x14ac:dyDescent="0.35">
      <c r="C353" t="str">
        <f>IF(BaseCoalPlants!B369="VDA_FLOP",IF(BaseCoalPlants!D369="ELC","*","INPUT"),BaseCoalPlants!B369)</f>
        <v>NCAP_AFA</v>
      </c>
      <c r="D353" t="str">
        <f>IF(BaseCoalPlants!C369="","\I:",BaseCoalPlants!C369&amp;"_LE")</f>
        <v>ECSTMRLUO_LE</v>
      </c>
      <c r="E353" t="str">
        <f>IF(BaseCoalPlants!D369="-","",BaseCoalPlants!D369)</f>
        <v/>
      </c>
      <c r="F353" t="str">
        <f>IF(BaseCoalPlants!E369="-","",BaseCoalPlants!E369)</f>
        <v>UP</v>
      </c>
      <c r="G353" t="str">
        <f>IF(BaseCoalPlants!F369="-","",BaseCoalPlants!F369)</f>
        <v/>
      </c>
      <c r="H353">
        <f>IF(BaseCoalPlants!G369="-","",BaseCoalPlants!G369)</f>
        <v>2010</v>
      </c>
      <c r="I353" t="str">
        <f>IF(BaseCoalPlants!H369="-","",BaseCoalPlants!H369)</f>
        <v/>
      </c>
      <c r="J353" t="str">
        <f>IF(BaseCoalPlants!I369="-","",BaseCoalPlants!I369)</f>
        <v/>
      </c>
      <c r="K353" t="str">
        <f>IF(BaseCoalPlants!J369="-","",BaseCoalPlants!J369)</f>
        <v/>
      </c>
      <c r="L353" t="str">
        <f>IF(BaseCoalPlants!K369="-","",BaseCoalPlants!K369)</f>
        <v/>
      </c>
      <c r="M353" s="3">
        <f t="shared" si="0"/>
        <v>0.40999999642372148</v>
      </c>
      <c r="N353" s="3">
        <f>IF(BaseCoalPlants!M369=0,"",BaseCoalPlants!M369)*0.5</f>
        <v>0.40999999642372148</v>
      </c>
      <c r="O353" s="3">
        <f>IF(BaseCoalPlants!N369=0,"",BaseCoalPlants!N369)*0.5</f>
        <v>0.41000005602836598</v>
      </c>
      <c r="P353" s="3">
        <f>IF(BaseCoalPlants!O369=0,"",BaseCoalPlants!O369)*0.5</f>
        <v>0.40999999642372148</v>
      </c>
      <c r="Q353" s="3">
        <f>IF(BaseCoalPlants!P369=0,"",BaseCoalPlants!P369)*0.5</f>
        <v>0.462000012397766</v>
      </c>
      <c r="R353" s="3">
        <f>IF(BaseCoalPlants!Q369=0,"",BaseCoalPlants!Q369)*0.5</f>
        <v>0.462000012397766</v>
      </c>
      <c r="S353" s="3">
        <f>IF(BaseCoalPlants!R369=0,"",BaseCoalPlants!R369)*0.5</f>
        <v>0.48199999332428001</v>
      </c>
      <c r="T353" s="3">
        <f>IF(BaseCoalPlants!S369=0,"",BaseCoalPlants!S369)*0.5</f>
        <v>0.43500000238418601</v>
      </c>
      <c r="U353" s="3">
        <f>IF(BaseCoalPlants!T369=0,"",BaseCoalPlants!T369)*0.5</f>
        <v>0.48199999332428001</v>
      </c>
      <c r="V353" s="3">
        <f>IF(BaseCoalPlants!U369=0,"",BaseCoalPlants!U369)*0.5</f>
        <v>0.44999998807907099</v>
      </c>
    </row>
    <row r="354" spans="3:22" x14ac:dyDescent="0.35">
      <c r="C354" t="str">
        <f>IF(BaseCoalPlants!B372="VDA_FLOP",IF(BaseCoalPlants!D372="ELC","*","INPUT"),BaseCoalPlants!B372)</f>
        <v>NCAP_AFA</v>
      </c>
      <c r="D354" t="str">
        <f>IF(BaseCoalPlants!C372="","\I:",BaseCoalPlants!C372&amp;"_LE")</f>
        <v>ECSTMRSOO_LE</v>
      </c>
      <c r="E354" t="str">
        <f>IF(BaseCoalPlants!D372="-","",BaseCoalPlants!D372)</f>
        <v/>
      </c>
      <c r="F354" t="str">
        <f>IF(BaseCoalPlants!E372="-","",BaseCoalPlants!E372)</f>
        <v>UP</v>
      </c>
      <c r="G354" t="str">
        <f>IF(BaseCoalPlants!F372="-","",BaseCoalPlants!F372)</f>
        <v/>
      </c>
      <c r="H354">
        <f>IF(BaseCoalPlants!G372="-","",BaseCoalPlants!G372)</f>
        <v>2010</v>
      </c>
      <c r="I354" t="str">
        <f>IF(BaseCoalPlants!H372="-","",BaseCoalPlants!H372)</f>
        <v/>
      </c>
      <c r="J354" t="str">
        <f>IF(BaseCoalPlants!I372="-","",BaseCoalPlants!I372)</f>
        <v/>
      </c>
      <c r="K354" t="str">
        <f>IF(BaseCoalPlants!J372="-","",BaseCoalPlants!J372)</f>
        <v/>
      </c>
      <c r="L354" t="str">
        <f>IF(BaseCoalPlants!K372="-","",BaseCoalPlants!K372)</f>
        <v/>
      </c>
      <c r="M354" s="3">
        <f t="shared" si="0"/>
        <v>0.40999999642372148</v>
      </c>
      <c r="N354" s="3">
        <f>IF(BaseCoalPlants!M372=0,"",BaseCoalPlants!M372)*0.5</f>
        <v>0.40999999642372148</v>
      </c>
      <c r="O354" s="3">
        <f>IF(BaseCoalPlants!N372=0,"",BaseCoalPlants!N372)*0.5</f>
        <v>0.41000005602836598</v>
      </c>
      <c r="P354" s="3">
        <f>IF(BaseCoalPlants!O372=0,"",BaseCoalPlants!O372)*0.5</f>
        <v>0.40999999642372148</v>
      </c>
      <c r="Q354" s="3">
        <f>IF(BaseCoalPlants!P372=0,"",BaseCoalPlants!P372)*0.5</f>
        <v>0.462000012397766</v>
      </c>
      <c r="R354" s="3">
        <f>IF(BaseCoalPlants!Q372=0,"",BaseCoalPlants!Q372)*0.5</f>
        <v>0.462000012397766</v>
      </c>
      <c r="S354" s="3">
        <f>IF(BaseCoalPlants!R372=0,"",BaseCoalPlants!R372)*0.5</f>
        <v>0.48199999332428001</v>
      </c>
      <c r="T354" s="3">
        <f>IF(BaseCoalPlants!S372=0,"",BaseCoalPlants!S372)*0.5</f>
        <v>0.43500000238418601</v>
      </c>
      <c r="U354" s="3">
        <f>IF(BaseCoalPlants!T372=0,"",BaseCoalPlants!T372)*0.5</f>
        <v>0.48199999332428001</v>
      </c>
      <c r="V354" s="3">
        <f>IF(BaseCoalPlants!U372=0,"",BaseCoalPlants!U372)*0.5</f>
        <v>0.44999998807907099</v>
      </c>
    </row>
    <row r="355" spans="3:22" x14ac:dyDescent="0.35">
      <c r="C355" t="str">
        <f>IF(BaseCoalPlants!B373="VDA_FLOP",IF(BaseCoalPlants!D373="ELC","*","INPUT"),BaseCoalPlants!B373)</f>
        <v>NCAP_AFA</v>
      </c>
      <c r="D355" t="str">
        <f>IF(BaseCoalPlants!C373="","\I:",BaseCoalPlants!C373&amp;"_LE")</f>
        <v>ECSTMRSOR_LE</v>
      </c>
      <c r="E355" t="str">
        <f>IF(BaseCoalPlants!D373="-","",BaseCoalPlants!D373)</f>
        <v/>
      </c>
      <c r="F355" t="str">
        <f>IF(BaseCoalPlants!E373="-","",BaseCoalPlants!E373)</f>
        <v>UP</v>
      </c>
      <c r="G355" t="str">
        <f>IF(BaseCoalPlants!F373="-","",BaseCoalPlants!F373)</f>
        <v/>
      </c>
      <c r="H355">
        <f>IF(BaseCoalPlants!G373="-","",BaseCoalPlants!G373)</f>
        <v>2010</v>
      </c>
      <c r="I355" t="str">
        <f>IF(BaseCoalPlants!H373="-","",BaseCoalPlants!H373)</f>
        <v/>
      </c>
      <c r="J355" t="str">
        <f>IF(BaseCoalPlants!I373="-","",BaseCoalPlants!I373)</f>
        <v/>
      </c>
      <c r="K355" t="str">
        <f>IF(BaseCoalPlants!J373="-","",BaseCoalPlants!J373)</f>
        <v/>
      </c>
      <c r="L355" t="str">
        <f>IF(BaseCoalPlants!K373="-","",BaseCoalPlants!K373)</f>
        <v/>
      </c>
      <c r="M355" s="1" t="str">
        <f>IF(BaseCoalPlants!L373=0,"",BaseCoalPlants!L373)</f>
        <v/>
      </c>
      <c r="N355" s="1">
        <f>IF(BaseCoalPlants!M373=0,"",BaseCoalPlants!M373)</f>
        <v>0.81999999284744296</v>
      </c>
      <c r="O355" s="1">
        <f>IF(BaseCoalPlants!N373=0,"",BaseCoalPlants!N373)</f>
        <v>0.82000011205673196</v>
      </c>
      <c r="P355" s="1">
        <f>IF(BaseCoalPlants!O373=0,"",BaseCoalPlants!O373)</f>
        <v>0.81999999284744296</v>
      </c>
      <c r="Q355" s="1">
        <f>IF(BaseCoalPlants!P373=0,"",BaseCoalPlants!P373)</f>
        <v>0.924000024795532</v>
      </c>
      <c r="R355" s="1">
        <f>IF(BaseCoalPlants!Q373=0,"",BaseCoalPlants!Q373)</f>
        <v>0.924000024795532</v>
      </c>
      <c r="S355" s="1">
        <f>IF(BaseCoalPlants!R373=0,"",BaseCoalPlants!R373)</f>
        <v>0.96399998664856001</v>
      </c>
      <c r="T355" s="1">
        <f>IF(BaseCoalPlants!S373=0,"",BaseCoalPlants!S373)</f>
        <v>0.87000000476837203</v>
      </c>
      <c r="U355" s="1">
        <f>IF(BaseCoalPlants!T373=0,"",BaseCoalPlants!T373)</f>
        <v>0.96399998664856001</v>
      </c>
      <c r="V355" s="1">
        <f>IF(BaseCoalPlants!U373=0,"",BaseCoalPlants!U373)</f>
        <v>0.89999997615814198</v>
      </c>
    </row>
    <row r="356" spans="3:22" x14ac:dyDescent="0.35">
      <c r="C356" t="str">
        <f>IF(BaseCoalPlants!B374="VDA_FLOP",IF(BaseCoalPlants!D374="ELC","*","INPUT"),BaseCoalPlants!B374)</f>
        <v>NCAP_AFA</v>
      </c>
      <c r="D356" t="str">
        <f>IF(BaseCoalPlants!C374="","\I:",BaseCoalPlants!C374&amp;"_LE")</f>
        <v>ECSTMRSUO_LE</v>
      </c>
      <c r="E356" t="str">
        <f>IF(BaseCoalPlants!D374="-","",BaseCoalPlants!D374)</f>
        <v/>
      </c>
      <c r="F356" t="str">
        <f>IF(BaseCoalPlants!E374="-","",BaseCoalPlants!E374)</f>
        <v>UP</v>
      </c>
      <c r="G356" t="str">
        <f>IF(BaseCoalPlants!F374="-","",BaseCoalPlants!F374)</f>
        <v/>
      </c>
      <c r="H356">
        <f>IF(BaseCoalPlants!G374="-","",BaseCoalPlants!G374)</f>
        <v>2010</v>
      </c>
      <c r="I356" t="str">
        <f>IF(BaseCoalPlants!H374="-","",BaseCoalPlants!H374)</f>
        <v/>
      </c>
      <c r="J356" t="str">
        <f>IF(BaseCoalPlants!I374="-","",BaseCoalPlants!I374)</f>
        <v/>
      </c>
      <c r="K356" t="str">
        <f>IF(BaseCoalPlants!J374="-","",BaseCoalPlants!J374)</f>
        <v/>
      </c>
      <c r="L356" t="str">
        <f>IF(BaseCoalPlants!K374="-","",BaseCoalPlants!K374)</f>
        <v/>
      </c>
      <c r="M356" s="1" t="str">
        <f>IF(BaseCoalPlants!L374=0,"",BaseCoalPlants!L374)</f>
        <v/>
      </c>
      <c r="N356" s="1">
        <f>IF(BaseCoalPlants!M374=0,"",BaseCoalPlants!M374)</f>
        <v>0.81999999284744296</v>
      </c>
      <c r="O356" s="1">
        <f>IF(BaseCoalPlants!N374=0,"",BaseCoalPlants!N374)</f>
        <v>0.82000011205673196</v>
      </c>
      <c r="P356" s="1">
        <f>IF(BaseCoalPlants!O374=0,"",BaseCoalPlants!O374)</f>
        <v>0.81999999284744296</v>
      </c>
      <c r="Q356" s="1">
        <f>IF(BaseCoalPlants!P374=0,"",BaseCoalPlants!P374)</f>
        <v>0.924000024795532</v>
      </c>
      <c r="R356" s="1">
        <f>IF(BaseCoalPlants!Q374=0,"",BaseCoalPlants!Q374)</f>
        <v>0.924000024795532</v>
      </c>
      <c r="S356" s="1">
        <f>IF(BaseCoalPlants!R374=0,"",BaseCoalPlants!R374)</f>
        <v>0.96399998664856001</v>
      </c>
      <c r="T356" s="1">
        <f>IF(BaseCoalPlants!S374=0,"",BaseCoalPlants!S374)</f>
        <v>0.87000000476837203</v>
      </c>
      <c r="U356" s="1">
        <f>IF(BaseCoalPlants!T374=0,"",BaseCoalPlants!T374)</f>
        <v>0.96399998664856001</v>
      </c>
      <c r="V356" s="1">
        <f>IF(BaseCoalPlants!U374=0,"",BaseCoalPlants!U374)</f>
        <v>0.89999997615814198</v>
      </c>
    </row>
    <row r="357" spans="3:22" x14ac:dyDescent="0.35">
      <c r="C357" t="str">
        <f>IF(BaseCoalPlants!B375="VDA_FLOP",IF(BaseCoalPlants!D375="ELC","*","INPUT"),BaseCoalPlants!B375)</f>
        <v>NCAP_AFA</v>
      </c>
      <c r="D357" t="str">
        <f>IF(BaseCoalPlants!C375="","\I:",BaseCoalPlants!C375&amp;"_LE")</f>
        <v>ECSTMRSUR_LE</v>
      </c>
      <c r="E357" t="str">
        <f>IF(BaseCoalPlants!D375="-","",BaseCoalPlants!D375)</f>
        <v/>
      </c>
      <c r="F357" t="str">
        <f>IF(BaseCoalPlants!E375="-","",BaseCoalPlants!E375)</f>
        <v>UP</v>
      </c>
      <c r="G357" t="str">
        <f>IF(BaseCoalPlants!F375="-","",BaseCoalPlants!F375)</f>
        <v/>
      </c>
      <c r="H357">
        <f>IF(BaseCoalPlants!G375="-","",BaseCoalPlants!G375)</f>
        <v>2010</v>
      </c>
      <c r="I357" t="str">
        <f>IF(BaseCoalPlants!H375="-","",BaseCoalPlants!H375)</f>
        <v/>
      </c>
      <c r="J357" t="str">
        <f>IF(BaseCoalPlants!I375="-","",BaseCoalPlants!I375)</f>
        <v/>
      </c>
      <c r="K357" t="str">
        <f>IF(BaseCoalPlants!J375="-","",BaseCoalPlants!J375)</f>
        <v/>
      </c>
      <c r="L357" t="str">
        <f>IF(BaseCoalPlants!K375="-","",BaseCoalPlants!K375)</f>
        <v/>
      </c>
      <c r="M357" s="1" t="str">
        <f>IF(BaseCoalPlants!L375=0,"",BaseCoalPlants!L375)</f>
        <v/>
      </c>
      <c r="N357" s="1">
        <f>IF(BaseCoalPlants!M375=0,"",BaseCoalPlants!M375)</f>
        <v>0.81999999284744296</v>
      </c>
      <c r="O357" s="1">
        <f>IF(BaseCoalPlants!N375=0,"",BaseCoalPlants!N375)</f>
        <v>0.82000011205673196</v>
      </c>
      <c r="P357" s="1">
        <f>IF(BaseCoalPlants!O375=0,"",BaseCoalPlants!O375)</f>
        <v>0.81999999284744296</v>
      </c>
      <c r="Q357" s="1">
        <f>IF(BaseCoalPlants!P375=0,"",BaseCoalPlants!P375)</f>
        <v>0.924000024795532</v>
      </c>
      <c r="R357" s="1">
        <f>IF(BaseCoalPlants!Q375=0,"",BaseCoalPlants!Q375)</f>
        <v>0.924000024795532</v>
      </c>
      <c r="S357" s="1">
        <f>IF(BaseCoalPlants!R375=0,"",BaseCoalPlants!R375)</f>
        <v>0.96399998664856001</v>
      </c>
      <c r="T357" s="1">
        <f>IF(BaseCoalPlants!S375=0,"",BaseCoalPlants!S375)</f>
        <v>0.87000000476837203</v>
      </c>
      <c r="U357" s="1">
        <f>IF(BaseCoalPlants!T375=0,"",BaseCoalPlants!T375)</f>
        <v>0.96399998664856001</v>
      </c>
      <c r="V357" s="1">
        <f>IF(BaseCoalPlants!U375=0,"",BaseCoalPlants!U375)</f>
        <v>0.89999997615814198</v>
      </c>
    </row>
    <row r="358" spans="3:22" x14ac:dyDescent="0.35">
      <c r="C358" t="str">
        <f>IF(BaseCoalPlants!B378="VDA_FLOP",IF(BaseCoalPlants!D378="ELC","*","INPUT"),BaseCoalPlants!B378)</f>
        <v>NCAP_COST</v>
      </c>
      <c r="D358" t="str">
        <f>IF(BaseCoalPlants!C378="","\I:",BaseCoalPlants!C378&amp;"_LE")</f>
        <v>ECSTMRBOO_LE</v>
      </c>
      <c r="E358" t="str">
        <f>IF(BaseCoalPlants!D378="-","",BaseCoalPlants!D378)</f>
        <v/>
      </c>
      <c r="F358" t="str">
        <f>IF(BaseCoalPlants!E378="-","",BaseCoalPlants!E378)</f>
        <v/>
      </c>
      <c r="G358" t="str">
        <f>IF(BaseCoalPlants!F378="-","",BaseCoalPlants!F378)</f>
        <v/>
      </c>
      <c r="H358">
        <f>IF(BaseCoalPlants!G378="-","",BaseCoalPlants!G378)</f>
        <v>2010</v>
      </c>
      <c r="I358" t="str">
        <f>IF(BaseCoalPlants!H378="-","",BaseCoalPlants!H378)</f>
        <v/>
      </c>
      <c r="J358" t="str">
        <f>IF(BaseCoalPlants!I378="-","",BaseCoalPlants!I378)</f>
        <v>USD05</v>
      </c>
      <c r="K358" t="str">
        <f>IF(BaseCoalPlants!J378="-","",BaseCoalPlants!J378)</f>
        <v/>
      </c>
      <c r="L358" t="str">
        <f>IF(BaseCoalPlants!K378="-","",BaseCoalPlants!K378)</f>
        <v/>
      </c>
      <c r="M358" s="1">
        <f>IF(BaseCoalPlants!L378=0,"",BaseCoalPlants!L378)*0.8</f>
        <v>366.66212823050085</v>
      </c>
      <c r="N358" s="1">
        <f>IF(BaseCoalPlants!M378=0,"",BaseCoalPlants!M378)*0.8</f>
        <v>366.66212823050085</v>
      </c>
      <c r="O358" s="1">
        <f>IF(BaseCoalPlants!N378=0,"",BaseCoalPlants!N378)*0.8</f>
        <v>366.66212823050085</v>
      </c>
      <c r="P358" s="1">
        <f>IF(BaseCoalPlants!O378=0,"",BaseCoalPlants!O378)*0.8</f>
        <v>366.66212823050085</v>
      </c>
      <c r="Q358" s="1">
        <f>IF(BaseCoalPlants!P378=0,"",BaseCoalPlants!P378)*0.8</f>
        <v>366.66212823050085</v>
      </c>
      <c r="R358" s="1">
        <f>IF(BaseCoalPlants!Q378=0,"",BaseCoalPlants!Q378)*0.8</f>
        <v>366.66212823050085</v>
      </c>
      <c r="S358" s="1">
        <f>IF(BaseCoalPlants!R378=0,"",BaseCoalPlants!R378)*0.8</f>
        <v>366.66212823050085</v>
      </c>
      <c r="T358" s="1">
        <f>IF(BaseCoalPlants!S378=0,"",BaseCoalPlants!S378)*0.8</f>
        <v>366.66212823050085</v>
      </c>
      <c r="U358" s="1">
        <f>IF(BaseCoalPlants!T378=0,"",BaseCoalPlants!T378)*0.8</f>
        <v>366.66212823050085</v>
      </c>
      <c r="V358" s="1">
        <f>IF(BaseCoalPlants!U378=0,"",BaseCoalPlants!U378)*0.8</f>
        <v>366.66212823050085</v>
      </c>
    </row>
    <row r="359" spans="3:22" x14ac:dyDescent="0.35">
      <c r="C359" t="str">
        <f>IF(BaseCoalPlants!B379="VDA_FLOP",IF(BaseCoalPlants!D379="ELC","*","INPUT"),BaseCoalPlants!B379)</f>
        <v>NCAP_COST</v>
      </c>
      <c r="D359" t="str">
        <f>IF(BaseCoalPlants!C379="","\I:",BaseCoalPlants!C379&amp;"_LE")</f>
        <v>ECSTMRBOR_LE</v>
      </c>
      <c r="E359" t="str">
        <f>IF(BaseCoalPlants!D379="-","",BaseCoalPlants!D379)</f>
        <v/>
      </c>
      <c r="F359" t="str">
        <f>IF(BaseCoalPlants!E379="-","",BaseCoalPlants!E379)</f>
        <v/>
      </c>
      <c r="G359" t="str">
        <f>IF(BaseCoalPlants!F379="-","",BaseCoalPlants!F379)</f>
        <v/>
      </c>
      <c r="H359">
        <f>IF(BaseCoalPlants!G379="-","",BaseCoalPlants!G379)</f>
        <v>2010</v>
      </c>
      <c r="I359" t="str">
        <f>IF(BaseCoalPlants!H379="-","",BaseCoalPlants!H379)</f>
        <v/>
      </c>
      <c r="J359" t="str">
        <f>IF(BaseCoalPlants!I379="-","",BaseCoalPlants!I379)</f>
        <v>USD05</v>
      </c>
      <c r="K359" t="str">
        <f>IF(BaseCoalPlants!J379="-","",BaseCoalPlants!J379)</f>
        <v/>
      </c>
      <c r="L359" t="str">
        <f>IF(BaseCoalPlants!K379="-","",BaseCoalPlants!K379)</f>
        <v/>
      </c>
      <c r="M359" s="1">
        <f>IF(BaseCoalPlants!L379=0,"",BaseCoalPlants!L379)*0.8</f>
        <v>366.66212823050085</v>
      </c>
      <c r="N359" s="1">
        <f>IF(BaseCoalPlants!M379=0,"",BaseCoalPlants!M379)*0.8</f>
        <v>366.66212823050085</v>
      </c>
      <c r="O359" s="1">
        <f>IF(BaseCoalPlants!N379=0,"",BaseCoalPlants!N379)*0.8</f>
        <v>366.66212823050085</v>
      </c>
      <c r="P359" s="1">
        <f>IF(BaseCoalPlants!O379=0,"",BaseCoalPlants!O379)*0.8</f>
        <v>366.66212823050085</v>
      </c>
      <c r="Q359" s="1">
        <f>IF(BaseCoalPlants!P379=0,"",BaseCoalPlants!P379)*0.8</f>
        <v>366.66212823050085</v>
      </c>
      <c r="R359" s="1">
        <f>IF(BaseCoalPlants!Q379=0,"",BaseCoalPlants!Q379)*0.8</f>
        <v>366.66212823050085</v>
      </c>
      <c r="S359" s="1">
        <f>IF(BaseCoalPlants!R379=0,"",BaseCoalPlants!R379)*0.8</f>
        <v>366.66212823050085</v>
      </c>
      <c r="T359" s="1">
        <f>IF(BaseCoalPlants!S379=0,"",BaseCoalPlants!S379)*0.8</f>
        <v>366.66212823050085</v>
      </c>
      <c r="U359" s="1">
        <f>IF(BaseCoalPlants!T379=0,"",BaseCoalPlants!T379)*0.8</f>
        <v>366.66212823050085</v>
      </c>
      <c r="V359" s="1">
        <f>IF(BaseCoalPlants!U379=0,"",BaseCoalPlants!U379)*0.8</f>
        <v>366.66212823050085</v>
      </c>
    </row>
    <row r="360" spans="3:22" x14ac:dyDescent="0.35">
      <c r="C360" t="str">
        <f>IF(BaseCoalPlants!B380="VDA_FLOP",IF(BaseCoalPlants!D380="ELC","*","INPUT"),BaseCoalPlants!B380)</f>
        <v>NCAP_COST</v>
      </c>
      <c r="D360" t="str">
        <f>IF(BaseCoalPlants!C380="","\I:",BaseCoalPlants!C380&amp;"_LE")</f>
        <v>ECSTMRBUO_LE</v>
      </c>
      <c r="E360" t="str">
        <f>IF(BaseCoalPlants!D380="-","",BaseCoalPlants!D380)</f>
        <v/>
      </c>
      <c r="F360" t="str">
        <f>IF(BaseCoalPlants!E380="-","",BaseCoalPlants!E380)</f>
        <v/>
      </c>
      <c r="G360" t="str">
        <f>IF(BaseCoalPlants!F380="-","",BaseCoalPlants!F380)</f>
        <v/>
      </c>
      <c r="H360">
        <f>IF(BaseCoalPlants!G380="-","",BaseCoalPlants!G380)</f>
        <v>2010</v>
      </c>
      <c r="I360" t="str">
        <f>IF(BaseCoalPlants!H380="-","",BaseCoalPlants!H380)</f>
        <v/>
      </c>
      <c r="J360" t="str">
        <f>IF(BaseCoalPlants!I380="-","",BaseCoalPlants!I380)</f>
        <v>USD05</v>
      </c>
      <c r="K360" t="str">
        <f>IF(BaseCoalPlants!J380="-","",BaseCoalPlants!J380)</f>
        <v/>
      </c>
      <c r="L360" t="str">
        <f>IF(BaseCoalPlants!K380="-","",BaseCoalPlants!K380)</f>
        <v/>
      </c>
      <c r="M360" s="1">
        <f>IF(BaseCoalPlants!L380=0,"",BaseCoalPlants!L380)*0.8</f>
        <v>366.66212823050085</v>
      </c>
      <c r="N360" s="1">
        <f>IF(BaseCoalPlants!M380=0,"",BaseCoalPlants!M380)*0.8</f>
        <v>366.66212823050085</v>
      </c>
      <c r="O360" s="1">
        <f>IF(BaseCoalPlants!N380=0,"",BaseCoalPlants!N380)*0.8</f>
        <v>366.66212823050085</v>
      </c>
      <c r="P360" s="1">
        <f>IF(BaseCoalPlants!O380=0,"",BaseCoalPlants!O380)*0.8</f>
        <v>366.66212823050085</v>
      </c>
      <c r="Q360" s="1">
        <f>IF(BaseCoalPlants!P380=0,"",BaseCoalPlants!P380)*0.8</f>
        <v>366.66212823050085</v>
      </c>
      <c r="R360" s="1">
        <f>IF(BaseCoalPlants!Q380=0,"",BaseCoalPlants!Q380)*0.8</f>
        <v>366.66212823050085</v>
      </c>
      <c r="S360" s="1">
        <f>IF(BaseCoalPlants!R380=0,"",BaseCoalPlants!R380)*0.8</f>
        <v>366.66212823050085</v>
      </c>
      <c r="T360" s="1">
        <f>IF(BaseCoalPlants!S380=0,"",BaseCoalPlants!S380)*0.8</f>
        <v>366.66212823050085</v>
      </c>
      <c r="U360" s="1">
        <f>IF(BaseCoalPlants!T380=0,"",BaseCoalPlants!T380)*0.8</f>
        <v>366.66212823050085</v>
      </c>
      <c r="V360" s="1">
        <f>IF(BaseCoalPlants!U380=0,"",BaseCoalPlants!U380)*0.8</f>
        <v>366.66212823050085</v>
      </c>
    </row>
    <row r="361" spans="3:22" x14ac:dyDescent="0.35">
      <c r="C361" t="str">
        <f>IF(BaseCoalPlants!B381="VDA_FLOP",IF(BaseCoalPlants!D381="ELC","*","INPUT"),BaseCoalPlants!B381)</f>
        <v>NCAP_COST</v>
      </c>
      <c r="D361" t="str">
        <f>IF(BaseCoalPlants!C381="","\I:",BaseCoalPlants!C381&amp;"_LE")</f>
        <v>ECSTMRBUR_LE</v>
      </c>
      <c r="E361" t="str">
        <f>IF(BaseCoalPlants!D381="-","",BaseCoalPlants!D381)</f>
        <v/>
      </c>
      <c r="F361" t="str">
        <f>IF(BaseCoalPlants!E381="-","",BaseCoalPlants!E381)</f>
        <v/>
      </c>
      <c r="G361" t="str">
        <f>IF(BaseCoalPlants!F381="-","",BaseCoalPlants!F381)</f>
        <v/>
      </c>
      <c r="H361">
        <f>IF(BaseCoalPlants!G381="-","",BaseCoalPlants!G381)</f>
        <v>2010</v>
      </c>
      <c r="I361" t="str">
        <f>IF(BaseCoalPlants!H381="-","",BaseCoalPlants!H381)</f>
        <v/>
      </c>
      <c r="J361" t="str">
        <f>IF(BaseCoalPlants!I381="-","",BaseCoalPlants!I381)</f>
        <v>USD05</v>
      </c>
      <c r="K361" t="str">
        <f>IF(BaseCoalPlants!J381="-","",BaseCoalPlants!J381)</f>
        <v/>
      </c>
      <c r="L361" t="str">
        <f>IF(BaseCoalPlants!K381="-","",BaseCoalPlants!K381)</f>
        <v/>
      </c>
      <c r="M361" s="1">
        <f>IF(BaseCoalPlants!L381=0,"",BaseCoalPlants!L381)*0.8</f>
        <v>366.66212823050085</v>
      </c>
      <c r="N361" s="1">
        <f>IF(BaseCoalPlants!M381=0,"",BaseCoalPlants!M381)*0.8</f>
        <v>366.66212823050085</v>
      </c>
      <c r="O361" s="1">
        <f>IF(BaseCoalPlants!N381=0,"",BaseCoalPlants!N381)*0.8</f>
        <v>366.66212823050085</v>
      </c>
      <c r="P361" s="1">
        <f>IF(BaseCoalPlants!O381=0,"",BaseCoalPlants!O381)*0.8</f>
        <v>366.66212823050085</v>
      </c>
      <c r="Q361" s="1">
        <f>IF(BaseCoalPlants!P381=0,"",BaseCoalPlants!P381)*0.8</f>
        <v>366.66212823050085</v>
      </c>
      <c r="R361" s="1">
        <f>IF(BaseCoalPlants!Q381=0,"",BaseCoalPlants!Q381)*0.8</f>
        <v>366.66212823050085</v>
      </c>
      <c r="S361" s="1">
        <f>IF(BaseCoalPlants!R381=0,"",BaseCoalPlants!R381)*0.8</f>
        <v>366.66212823050085</v>
      </c>
      <c r="T361" s="1">
        <f>IF(BaseCoalPlants!S381=0,"",BaseCoalPlants!S381)*0.8</f>
        <v>366.66212823050085</v>
      </c>
      <c r="U361" s="1">
        <f>IF(BaseCoalPlants!T381=0,"",BaseCoalPlants!T381)*0.8</f>
        <v>366.66212823050085</v>
      </c>
      <c r="V361" s="1">
        <f>IF(BaseCoalPlants!U381=0,"",BaseCoalPlants!U381)*0.8</f>
        <v>366.66212823050085</v>
      </c>
    </row>
    <row r="362" spans="3:22" x14ac:dyDescent="0.35">
      <c r="C362" t="str">
        <f>IF(BaseCoalPlants!B384="VDA_FLOP",IF(BaseCoalPlants!D384="ELC","*","INPUT"),BaseCoalPlants!B384)</f>
        <v>NCAP_COST</v>
      </c>
      <c r="D362" t="str">
        <f>IF(BaseCoalPlants!C384="","\I:",BaseCoalPlants!C384&amp;"_LE")</f>
        <v>ECSTMRLOO_LE</v>
      </c>
      <c r="E362" t="str">
        <f>IF(BaseCoalPlants!D384="-","",BaseCoalPlants!D384)</f>
        <v/>
      </c>
      <c r="F362" t="str">
        <f>IF(BaseCoalPlants!E384="-","",BaseCoalPlants!E384)</f>
        <v/>
      </c>
      <c r="G362" t="str">
        <f>IF(BaseCoalPlants!F384="-","",BaseCoalPlants!F384)</f>
        <v/>
      </c>
      <c r="H362">
        <f>IF(BaseCoalPlants!G384="-","",BaseCoalPlants!G384)</f>
        <v>2010</v>
      </c>
      <c r="I362" t="str">
        <f>IF(BaseCoalPlants!H384="-","",BaseCoalPlants!H384)</f>
        <v/>
      </c>
      <c r="J362" t="str">
        <f>IF(BaseCoalPlants!I384="-","",BaseCoalPlants!I384)</f>
        <v>USD05</v>
      </c>
      <c r="K362" t="str">
        <f>IF(BaseCoalPlants!J384="-","",BaseCoalPlants!J384)</f>
        <v/>
      </c>
      <c r="L362" t="str">
        <f>IF(BaseCoalPlants!K384="-","",BaseCoalPlants!K384)</f>
        <v/>
      </c>
      <c r="M362" s="1">
        <f>IF(BaseCoalPlants!L384=0,"",BaseCoalPlants!L384)*0.8</f>
        <v>366.66212823050085</v>
      </c>
      <c r="N362" s="1">
        <f>IF(BaseCoalPlants!M384=0,"",BaseCoalPlants!M384)*0.8</f>
        <v>366.66212823050085</v>
      </c>
      <c r="O362" s="1">
        <f>IF(BaseCoalPlants!N384=0,"",BaseCoalPlants!N384)*0.8</f>
        <v>366.66212823050085</v>
      </c>
      <c r="P362" s="1">
        <f>IF(BaseCoalPlants!O384=0,"",BaseCoalPlants!O384)*0.8</f>
        <v>366.66212823050085</v>
      </c>
      <c r="Q362" s="1">
        <f>IF(BaseCoalPlants!P384=0,"",BaseCoalPlants!P384)*0.8</f>
        <v>366.66212823050085</v>
      </c>
      <c r="R362" s="1">
        <f>IF(BaseCoalPlants!Q384=0,"",BaseCoalPlants!Q384)*0.8</f>
        <v>366.66212823050085</v>
      </c>
      <c r="S362" s="1">
        <f>IF(BaseCoalPlants!R384=0,"",BaseCoalPlants!R384)*0.8</f>
        <v>366.66212823050085</v>
      </c>
      <c r="T362" s="1">
        <f>IF(BaseCoalPlants!S384=0,"",BaseCoalPlants!S384)*0.8</f>
        <v>366.66212823050085</v>
      </c>
      <c r="U362" s="1">
        <f>IF(BaseCoalPlants!T384=0,"",BaseCoalPlants!T384)*0.8</f>
        <v>366.66212823050085</v>
      </c>
      <c r="V362" s="1">
        <f>IF(BaseCoalPlants!U384=0,"",BaseCoalPlants!U384)*0.8</f>
        <v>366.66212823050085</v>
      </c>
    </row>
    <row r="363" spans="3:22" x14ac:dyDescent="0.35">
      <c r="C363" t="str">
        <f>IF(BaseCoalPlants!B385="VDA_FLOP",IF(BaseCoalPlants!D385="ELC","*","INPUT"),BaseCoalPlants!B385)</f>
        <v>NCAP_COST</v>
      </c>
      <c r="D363" t="str">
        <f>IF(BaseCoalPlants!C385="","\I:",BaseCoalPlants!C385&amp;"_LE")</f>
        <v>ECSTMRLOR_LE</v>
      </c>
      <c r="E363" t="str">
        <f>IF(BaseCoalPlants!D385="-","",BaseCoalPlants!D385)</f>
        <v/>
      </c>
      <c r="F363" t="str">
        <f>IF(BaseCoalPlants!E385="-","",BaseCoalPlants!E385)</f>
        <v/>
      </c>
      <c r="G363" t="str">
        <f>IF(BaseCoalPlants!F385="-","",BaseCoalPlants!F385)</f>
        <v/>
      </c>
      <c r="H363">
        <f>IF(BaseCoalPlants!G385="-","",BaseCoalPlants!G385)</f>
        <v>2010</v>
      </c>
      <c r="I363" t="str">
        <f>IF(BaseCoalPlants!H385="-","",BaseCoalPlants!H385)</f>
        <v/>
      </c>
      <c r="J363" t="str">
        <f>IF(BaseCoalPlants!I385="-","",BaseCoalPlants!I385)</f>
        <v>USD05</v>
      </c>
      <c r="K363" t="str">
        <f>IF(BaseCoalPlants!J385="-","",BaseCoalPlants!J385)</f>
        <v/>
      </c>
      <c r="L363" t="str">
        <f>IF(BaseCoalPlants!K385="-","",BaseCoalPlants!K385)</f>
        <v/>
      </c>
      <c r="M363" s="1">
        <f>IF(BaseCoalPlants!L385=0,"",BaseCoalPlants!L385)*0.8</f>
        <v>366.66212823050085</v>
      </c>
      <c r="N363" s="1">
        <f>IF(BaseCoalPlants!M385=0,"",BaseCoalPlants!M385)*0.8</f>
        <v>366.66212823050085</v>
      </c>
      <c r="O363" s="1">
        <f>IF(BaseCoalPlants!N385=0,"",BaseCoalPlants!N385)*0.8</f>
        <v>366.66212823050085</v>
      </c>
      <c r="P363" s="1">
        <f>IF(BaseCoalPlants!O385=0,"",BaseCoalPlants!O385)*0.8</f>
        <v>366.66212823050085</v>
      </c>
      <c r="Q363" s="1">
        <f>IF(BaseCoalPlants!P385=0,"",BaseCoalPlants!P385)*0.8</f>
        <v>366.66212823050085</v>
      </c>
      <c r="R363" s="1">
        <f>IF(BaseCoalPlants!Q385=0,"",BaseCoalPlants!Q385)*0.8</f>
        <v>366.66212823050085</v>
      </c>
      <c r="S363" s="1">
        <f>IF(BaseCoalPlants!R385=0,"",BaseCoalPlants!R385)*0.8</f>
        <v>366.66212823050085</v>
      </c>
      <c r="T363" s="1">
        <f>IF(BaseCoalPlants!S385=0,"",BaseCoalPlants!S385)*0.8</f>
        <v>366.66212823050085</v>
      </c>
      <c r="U363" s="1">
        <f>IF(BaseCoalPlants!T385=0,"",BaseCoalPlants!T385)*0.8</f>
        <v>366.66212823050085</v>
      </c>
      <c r="V363" s="1">
        <f>IF(BaseCoalPlants!U385=0,"",BaseCoalPlants!U385)*0.8</f>
        <v>366.66212823050085</v>
      </c>
    </row>
    <row r="364" spans="3:22" x14ac:dyDescent="0.35">
      <c r="C364" t="str">
        <f>IF(BaseCoalPlants!B386="VDA_FLOP",IF(BaseCoalPlants!D386="ELC","*","INPUT"),BaseCoalPlants!B386)</f>
        <v>NCAP_COST</v>
      </c>
      <c r="D364" t="str">
        <f>IF(BaseCoalPlants!C386="","\I:",BaseCoalPlants!C386&amp;"_LE")</f>
        <v>ECSTMRLUO_LE</v>
      </c>
      <c r="E364" t="str">
        <f>IF(BaseCoalPlants!D386="-","",BaseCoalPlants!D386)</f>
        <v/>
      </c>
      <c r="F364" t="str">
        <f>IF(BaseCoalPlants!E386="-","",BaseCoalPlants!E386)</f>
        <v/>
      </c>
      <c r="G364" t="str">
        <f>IF(BaseCoalPlants!F386="-","",BaseCoalPlants!F386)</f>
        <v/>
      </c>
      <c r="H364">
        <f>IF(BaseCoalPlants!G386="-","",BaseCoalPlants!G386)</f>
        <v>2010</v>
      </c>
      <c r="I364" t="str">
        <f>IF(BaseCoalPlants!H386="-","",BaseCoalPlants!H386)</f>
        <v/>
      </c>
      <c r="J364" t="str">
        <f>IF(BaseCoalPlants!I386="-","",BaseCoalPlants!I386)</f>
        <v>USD05</v>
      </c>
      <c r="K364" t="str">
        <f>IF(BaseCoalPlants!J386="-","",BaseCoalPlants!J386)</f>
        <v/>
      </c>
      <c r="L364" t="str">
        <f>IF(BaseCoalPlants!K386="-","",BaseCoalPlants!K386)</f>
        <v/>
      </c>
      <c r="M364" s="1">
        <f>IF(BaseCoalPlants!L386=0,"",BaseCoalPlants!L386)*0.8</f>
        <v>366.66212823050085</v>
      </c>
      <c r="N364" s="1">
        <f>IF(BaseCoalPlants!M386=0,"",BaseCoalPlants!M386)*0.8</f>
        <v>366.66212823050085</v>
      </c>
      <c r="O364" s="1">
        <f>IF(BaseCoalPlants!N386=0,"",BaseCoalPlants!N386)*0.8</f>
        <v>366.66212823050085</v>
      </c>
      <c r="P364" s="1">
        <f>IF(BaseCoalPlants!O386=0,"",BaseCoalPlants!O386)*0.8</f>
        <v>366.66212823050085</v>
      </c>
      <c r="Q364" s="1">
        <f>IF(BaseCoalPlants!P386=0,"",BaseCoalPlants!P386)*0.8</f>
        <v>366.66212823050085</v>
      </c>
      <c r="R364" s="1">
        <f>IF(BaseCoalPlants!Q386=0,"",BaseCoalPlants!Q386)*0.8</f>
        <v>366.66212823050085</v>
      </c>
      <c r="S364" s="1">
        <f>IF(BaseCoalPlants!R386=0,"",BaseCoalPlants!R386)*0.8</f>
        <v>366.66212823050085</v>
      </c>
      <c r="T364" s="1">
        <f>IF(BaseCoalPlants!S386=0,"",BaseCoalPlants!S386)*0.8</f>
        <v>366.66212823050085</v>
      </c>
      <c r="U364" s="1">
        <f>IF(BaseCoalPlants!T386=0,"",BaseCoalPlants!T386)*0.8</f>
        <v>366.66212823050085</v>
      </c>
      <c r="V364" s="1">
        <f>IF(BaseCoalPlants!U386=0,"",BaseCoalPlants!U386)*0.8</f>
        <v>366.66212823050085</v>
      </c>
    </row>
    <row r="365" spans="3:22" x14ac:dyDescent="0.35">
      <c r="C365" t="str">
        <f>IF(BaseCoalPlants!B390="VDA_FLOP",IF(BaseCoalPlants!D390="ELC","*","INPUT"),BaseCoalPlants!B390)</f>
        <v>NCAP_COST</v>
      </c>
      <c r="D365" t="str">
        <f>IF(BaseCoalPlants!C390="","\I:",BaseCoalPlants!C390&amp;"_LE")</f>
        <v>ECSTMRSOO_LE</v>
      </c>
      <c r="E365" t="str">
        <f>IF(BaseCoalPlants!D390="-","",BaseCoalPlants!D390)</f>
        <v/>
      </c>
      <c r="F365" t="str">
        <f>IF(BaseCoalPlants!E390="-","",BaseCoalPlants!E390)</f>
        <v/>
      </c>
      <c r="G365" t="str">
        <f>IF(BaseCoalPlants!F390="-","",BaseCoalPlants!F390)</f>
        <v/>
      </c>
      <c r="H365">
        <f>IF(BaseCoalPlants!G390="-","",BaseCoalPlants!G390)</f>
        <v>2010</v>
      </c>
      <c r="I365" t="str">
        <f>IF(BaseCoalPlants!H390="-","",BaseCoalPlants!H390)</f>
        <v/>
      </c>
      <c r="J365" t="str">
        <f>IF(BaseCoalPlants!I390="-","",BaseCoalPlants!I390)</f>
        <v>USD05</v>
      </c>
      <c r="K365" t="str">
        <f>IF(BaseCoalPlants!J390="-","",BaseCoalPlants!J390)</f>
        <v/>
      </c>
      <c r="L365" t="str">
        <f>IF(BaseCoalPlants!K390="-","",BaseCoalPlants!K390)</f>
        <v/>
      </c>
      <c r="M365" s="1">
        <f>IF(BaseCoalPlants!L390=0,"",BaseCoalPlants!L390)*0.8</f>
        <v>366.66212823050085</v>
      </c>
      <c r="N365" s="1">
        <f>IF(BaseCoalPlants!M390=0,"",BaseCoalPlants!M390)*0.8</f>
        <v>366.66212823050085</v>
      </c>
      <c r="O365" s="1">
        <f>IF(BaseCoalPlants!N390=0,"",BaseCoalPlants!N390)*0.8</f>
        <v>366.66212823050085</v>
      </c>
      <c r="P365" s="1">
        <f>IF(BaseCoalPlants!O390=0,"",BaseCoalPlants!O390)*0.8</f>
        <v>366.66212823050085</v>
      </c>
      <c r="Q365" s="1">
        <f>IF(BaseCoalPlants!P390=0,"",BaseCoalPlants!P390)*0.8</f>
        <v>366.66212823050085</v>
      </c>
      <c r="R365" s="1">
        <f>IF(BaseCoalPlants!Q390=0,"",BaseCoalPlants!Q390)*0.8</f>
        <v>366.66212823050085</v>
      </c>
      <c r="S365" s="1">
        <f>IF(BaseCoalPlants!R390=0,"",BaseCoalPlants!R390)*0.8</f>
        <v>366.66212823050085</v>
      </c>
      <c r="T365" s="1">
        <f>IF(BaseCoalPlants!S390=0,"",BaseCoalPlants!S390)*0.8</f>
        <v>366.66212823050085</v>
      </c>
      <c r="U365" s="1">
        <f>IF(BaseCoalPlants!T390=0,"",BaseCoalPlants!T390)*0.8</f>
        <v>366.66212823050085</v>
      </c>
      <c r="V365" s="1">
        <f>IF(BaseCoalPlants!U390=0,"",BaseCoalPlants!U390)*0.8</f>
        <v>366.66212823050085</v>
      </c>
    </row>
    <row r="366" spans="3:22" x14ac:dyDescent="0.35">
      <c r="C366" t="str">
        <f>IF(BaseCoalPlants!B391="VDA_FLOP",IF(BaseCoalPlants!D391="ELC","*","INPUT"),BaseCoalPlants!B391)</f>
        <v>NCAP_COST</v>
      </c>
      <c r="D366" t="str">
        <f>IF(BaseCoalPlants!C391="","\I:",BaseCoalPlants!C391&amp;"_LE")</f>
        <v>ECSTMRSOR_LE</v>
      </c>
      <c r="E366" t="str">
        <f>IF(BaseCoalPlants!D391="-","",BaseCoalPlants!D391)</f>
        <v/>
      </c>
      <c r="F366" t="str">
        <f>IF(BaseCoalPlants!E391="-","",BaseCoalPlants!E391)</f>
        <v/>
      </c>
      <c r="G366" t="str">
        <f>IF(BaseCoalPlants!F391="-","",BaseCoalPlants!F391)</f>
        <v/>
      </c>
      <c r="H366">
        <f>IF(BaseCoalPlants!G391="-","",BaseCoalPlants!G391)</f>
        <v>2010</v>
      </c>
      <c r="I366" t="str">
        <f>IF(BaseCoalPlants!H391="-","",BaseCoalPlants!H391)</f>
        <v/>
      </c>
      <c r="J366" t="str">
        <f>IF(BaseCoalPlants!I391="-","",BaseCoalPlants!I391)</f>
        <v>USD05</v>
      </c>
      <c r="K366" t="str">
        <f>IF(BaseCoalPlants!J391="-","",BaseCoalPlants!J391)</f>
        <v/>
      </c>
      <c r="L366" t="str">
        <f>IF(BaseCoalPlants!K391="-","",BaseCoalPlants!K391)</f>
        <v/>
      </c>
      <c r="M366" s="1">
        <f>IF(BaseCoalPlants!L391=0,"",BaseCoalPlants!L391)*0.8</f>
        <v>366.66212823050085</v>
      </c>
      <c r="N366" s="1">
        <f>IF(BaseCoalPlants!M391=0,"",BaseCoalPlants!M391)*0.8</f>
        <v>366.66212823050085</v>
      </c>
      <c r="O366" s="1">
        <f>IF(BaseCoalPlants!N391=0,"",BaseCoalPlants!N391)*0.8</f>
        <v>366.66212823050085</v>
      </c>
      <c r="P366" s="1">
        <f>IF(BaseCoalPlants!O391=0,"",BaseCoalPlants!O391)*0.8</f>
        <v>366.66212823050085</v>
      </c>
      <c r="Q366" s="1">
        <f>IF(BaseCoalPlants!P391=0,"",BaseCoalPlants!P391)*0.8</f>
        <v>366.66212823050085</v>
      </c>
      <c r="R366" s="1">
        <f>IF(BaseCoalPlants!Q391=0,"",BaseCoalPlants!Q391)*0.8</f>
        <v>366.66212823050085</v>
      </c>
      <c r="S366" s="1">
        <f>IF(BaseCoalPlants!R391=0,"",BaseCoalPlants!R391)*0.8</f>
        <v>366.66212823050085</v>
      </c>
      <c r="T366" s="1">
        <f>IF(BaseCoalPlants!S391=0,"",BaseCoalPlants!S391)*0.8</f>
        <v>366.66212823050085</v>
      </c>
      <c r="U366" s="1">
        <f>IF(BaseCoalPlants!T391=0,"",BaseCoalPlants!T391)*0.8</f>
        <v>366.66212823050085</v>
      </c>
      <c r="V366" s="1">
        <f>IF(BaseCoalPlants!U391=0,"",BaseCoalPlants!U391)*0.8</f>
        <v>366.66212823050085</v>
      </c>
    </row>
    <row r="367" spans="3:22" x14ac:dyDescent="0.35">
      <c r="C367" t="str">
        <f>IF(BaseCoalPlants!B392="VDA_FLOP",IF(BaseCoalPlants!D392="ELC","*","INPUT"),BaseCoalPlants!B392)</f>
        <v>NCAP_COST</v>
      </c>
      <c r="D367" t="str">
        <f>IF(BaseCoalPlants!C392="","\I:",BaseCoalPlants!C392&amp;"_LE")</f>
        <v>ECSTMRSUO_LE</v>
      </c>
      <c r="E367" t="str">
        <f>IF(BaseCoalPlants!D392="-","",BaseCoalPlants!D392)</f>
        <v/>
      </c>
      <c r="F367" t="str">
        <f>IF(BaseCoalPlants!E392="-","",BaseCoalPlants!E392)</f>
        <v/>
      </c>
      <c r="G367" t="str">
        <f>IF(BaseCoalPlants!F392="-","",BaseCoalPlants!F392)</f>
        <v/>
      </c>
      <c r="H367">
        <f>IF(BaseCoalPlants!G392="-","",BaseCoalPlants!G392)</f>
        <v>2010</v>
      </c>
      <c r="I367" t="str">
        <f>IF(BaseCoalPlants!H392="-","",BaseCoalPlants!H392)</f>
        <v/>
      </c>
      <c r="J367" t="str">
        <f>IF(BaseCoalPlants!I392="-","",BaseCoalPlants!I392)</f>
        <v>USD05</v>
      </c>
      <c r="K367" t="str">
        <f>IF(BaseCoalPlants!J392="-","",BaseCoalPlants!J392)</f>
        <v/>
      </c>
      <c r="L367" t="str">
        <f>IF(BaseCoalPlants!K392="-","",BaseCoalPlants!K392)</f>
        <v/>
      </c>
      <c r="M367" s="1">
        <f>IF(BaseCoalPlants!L392=0,"",BaseCoalPlants!L392)*0.8</f>
        <v>366.66212823050085</v>
      </c>
      <c r="N367" s="1">
        <f>IF(BaseCoalPlants!M392=0,"",BaseCoalPlants!M392)*0.8</f>
        <v>366.66212823050085</v>
      </c>
      <c r="O367" s="1">
        <f>IF(BaseCoalPlants!N392=0,"",BaseCoalPlants!N392)*0.8</f>
        <v>366.66212823050085</v>
      </c>
      <c r="P367" s="1">
        <f>IF(BaseCoalPlants!O392=0,"",BaseCoalPlants!O392)*0.8</f>
        <v>366.66212823050085</v>
      </c>
      <c r="Q367" s="1">
        <f>IF(BaseCoalPlants!P392=0,"",BaseCoalPlants!P392)*0.8</f>
        <v>366.66212823050085</v>
      </c>
      <c r="R367" s="1">
        <f>IF(BaseCoalPlants!Q392=0,"",BaseCoalPlants!Q392)*0.8</f>
        <v>366.66212823050085</v>
      </c>
      <c r="S367" s="1">
        <f>IF(BaseCoalPlants!R392=0,"",BaseCoalPlants!R392)*0.8</f>
        <v>366.66212823050085</v>
      </c>
      <c r="T367" s="1">
        <f>IF(BaseCoalPlants!S392=0,"",BaseCoalPlants!S392)*0.8</f>
        <v>366.66212823050085</v>
      </c>
      <c r="U367" s="1">
        <f>IF(BaseCoalPlants!T392=0,"",BaseCoalPlants!T392)*0.8</f>
        <v>366.66212823050085</v>
      </c>
      <c r="V367" s="1">
        <f>IF(BaseCoalPlants!U392=0,"",BaseCoalPlants!U392)*0.8</f>
        <v>366.66212823050085</v>
      </c>
    </row>
    <row r="368" spans="3:22" x14ac:dyDescent="0.35">
      <c r="C368" t="str">
        <f>IF(BaseCoalPlants!B393="VDA_FLOP",IF(BaseCoalPlants!D393="ELC","*","INPUT"),BaseCoalPlants!B393)</f>
        <v>NCAP_COST</v>
      </c>
      <c r="D368" t="str">
        <f>IF(BaseCoalPlants!C393="","\I:",BaseCoalPlants!C393&amp;"_LE")</f>
        <v>ECSTMRSUR_LE</v>
      </c>
      <c r="E368" t="str">
        <f>IF(BaseCoalPlants!D393="-","",BaseCoalPlants!D393)</f>
        <v/>
      </c>
      <c r="F368" t="str">
        <f>IF(BaseCoalPlants!E393="-","",BaseCoalPlants!E393)</f>
        <v/>
      </c>
      <c r="G368" t="str">
        <f>IF(BaseCoalPlants!F393="-","",BaseCoalPlants!F393)</f>
        <v/>
      </c>
      <c r="H368">
        <f>IF(BaseCoalPlants!G393="-","",BaseCoalPlants!G393)</f>
        <v>2010</v>
      </c>
      <c r="I368" t="str">
        <f>IF(BaseCoalPlants!H393="-","",BaseCoalPlants!H393)</f>
        <v/>
      </c>
      <c r="J368" t="str">
        <f>IF(BaseCoalPlants!I393="-","",BaseCoalPlants!I393)</f>
        <v>USD05</v>
      </c>
      <c r="K368" t="str">
        <f>IF(BaseCoalPlants!J393="-","",BaseCoalPlants!J393)</f>
        <v/>
      </c>
      <c r="L368" t="str">
        <f>IF(BaseCoalPlants!K393="-","",BaseCoalPlants!K393)</f>
        <v/>
      </c>
      <c r="M368" s="1">
        <f>IF(BaseCoalPlants!L393=0,"",BaseCoalPlants!L393)*0.8</f>
        <v>366.66212823050085</v>
      </c>
      <c r="N368" s="1">
        <f>IF(BaseCoalPlants!M393=0,"",BaseCoalPlants!M393)*0.8</f>
        <v>366.66212823050085</v>
      </c>
      <c r="O368" s="1">
        <f>IF(BaseCoalPlants!N393=0,"",BaseCoalPlants!N393)*0.8</f>
        <v>366.66212823050085</v>
      </c>
      <c r="P368" s="1">
        <f>IF(BaseCoalPlants!O393=0,"",BaseCoalPlants!O393)*0.8</f>
        <v>366.66212823050085</v>
      </c>
      <c r="Q368" s="1">
        <f>IF(BaseCoalPlants!P393=0,"",BaseCoalPlants!P393)*0.8</f>
        <v>366.66212823050085</v>
      </c>
      <c r="R368" s="1">
        <f>IF(BaseCoalPlants!Q393=0,"",BaseCoalPlants!Q393)*0.8</f>
        <v>366.66212823050085</v>
      </c>
      <c r="S368" s="1">
        <f>IF(BaseCoalPlants!R393=0,"",BaseCoalPlants!R393)*0.8</f>
        <v>366.66212823050085</v>
      </c>
      <c r="T368" s="1">
        <f>IF(BaseCoalPlants!S393=0,"",BaseCoalPlants!S393)*0.8</f>
        <v>366.66212823050085</v>
      </c>
      <c r="U368" s="1">
        <f>IF(BaseCoalPlants!T393=0,"",BaseCoalPlants!T393)*0.8</f>
        <v>366.66212823050085</v>
      </c>
      <c r="V368" s="1">
        <f>IF(BaseCoalPlants!U393=0,"",BaseCoalPlants!U393)*0.8</f>
        <v>366.66212823050085</v>
      </c>
    </row>
    <row r="369" spans="3:22" x14ac:dyDescent="0.35">
      <c r="C369" t="str">
        <f>IF(BaseCoalPlants!B395="VDA_FLOP",IF(BaseCoalPlants!D395="ELC","*","INPUT"),BaseCoalPlants!B395)</f>
        <v>NCAP_DRATE</v>
      </c>
      <c r="D369" t="str">
        <f>IF(BaseCoalPlants!C395="","\I:",BaseCoalPlants!C395&amp;"_LE")</f>
        <v>ECSTMRBOO_LE</v>
      </c>
      <c r="E369" t="str">
        <f>IF(BaseCoalPlants!D395="-","",BaseCoalPlants!D395)</f>
        <v/>
      </c>
      <c r="F369" t="str">
        <f>IF(BaseCoalPlants!E395="-","",BaseCoalPlants!E395)</f>
        <v/>
      </c>
      <c r="G369" t="str">
        <f>IF(BaseCoalPlants!F395="-","",BaseCoalPlants!F395)</f>
        <v/>
      </c>
      <c r="H369">
        <f>IF(BaseCoalPlants!G395="-","",BaseCoalPlants!G395)</f>
        <v>2010</v>
      </c>
      <c r="I369" t="str">
        <f>IF(BaseCoalPlants!H395="-","",BaseCoalPlants!H395)</f>
        <v/>
      </c>
      <c r="J369" t="str">
        <f>IF(BaseCoalPlants!I395="-","",BaseCoalPlants!I395)</f>
        <v/>
      </c>
      <c r="K369" t="str">
        <f>IF(BaseCoalPlants!J395="-","",BaseCoalPlants!J395)</f>
        <v/>
      </c>
      <c r="L369" t="str">
        <f>IF(BaseCoalPlants!K395="-","",BaseCoalPlants!K395)</f>
        <v/>
      </c>
      <c r="M369" s="1">
        <f>IF(BaseCoalPlants!L395=0,"",BaseCoalPlants!L395)</f>
        <v>0.05</v>
      </c>
      <c r="N369" s="1">
        <f>IF(BaseCoalPlants!M395=0,"",BaseCoalPlants!M395)</f>
        <v>0.05</v>
      </c>
      <c r="O369" s="1">
        <f>IF(BaseCoalPlants!N395=0,"",BaseCoalPlants!N395)</f>
        <v>0.05</v>
      </c>
      <c r="P369" s="1">
        <f>IF(BaseCoalPlants!O395=0,"",BaseCoalPlants!O395)</f>
        <v>0.05</v>
      </c>
      <c r="Q369" s="1">
        <f>IF(BaseCoalPlants!P395=0,"",BaseCoalPlants!P395)</f>
        <v>0.05</v>
      </c>
      <c r="R369" s="1">
        <f>IF(BaseCoalPlants!Q395=0,"",BaseCoalPlants!Q395)</f>
        <v>0.05</v>
      </c>
      <c r="S369" s="1">
        <f>IF(BaseCoalPlants!R395=0,"",BaseCoalPlants!R395)</f>
        <v>0.05</v>
      </c>
      <c r="T369" s="1">
        <f>IF(BaseCoalPlants!S395=0,"",BaseCoalPlants!S395)</f>
        <v>0.05</v>
      </c>
      <c r="U369" s="1">
        <f>IF(BaseCoalPlants!T395=0,"",BaseCoalPlants!T395)</f>
        <v>0.05</v>
      </c>
      <c r="V369" s="1">
        <f>IF(BaseCoalPlants!U395=0,"",BaseCoalPlants!U395)</f>
        <v>0.05</v>
      </c>
    </row>
    <row r="370" spans="3:22" x14ac:dyDescent="0.35">
      <c r="C370" t="str">
        <f>IF(BaseCoalPlants!B396="VDA_FLOP",IF(BaseCoalPlants!D396="ELC","*","INPUT"),BaseCoalPlants!B396)</f>
        <v>NCAP_DRATE</v>
      </c>
      <c r="D370" t="str">
        <f>IF(BaseCoalPlants!C396="","\I:",BaseCoalPlants!C396&amp;"_LE")</f>
        <v>ECSTMRBOR_LE</v>
      </c>
      <c r="E370" t="str">
        <f>IF(BaseCoalPlants!D396="-","",BaseCoalPlants!D396)</f>
        <v/>
      </c>
      <c r="F370" t="str">
        <f>IF(BaseCoalPlants!E396="-","",BaseCoalPlants!E396)</f>
        <v/>
      </c>
      <c r="G370" t="str">
        <f>IF(BaseCoalPlants!F396="-","",BaseCoalPlants!F396)</f>
        <v/>
      </c>
      <c r="H370">
        <f>IF(BaseCoalPlants!G396="-","",BaseCoalPlants!G396)</f>
        <v>2010</v>
      </c>
      <c r="I370" t="str">
        <f>IF(BaseCoalPlants!H396="-","",BaseCoalPlants!H396)</f>
        <v/>
      </c>
      <c r="J370" t="str">
        <f>IF(BaseCoalPlants!I396="-","",BaseCoalPlants!I396)</f>
        <v/>
      </c>
      <c r="K370" t="str">
        <f>IF(BaseCoalPlants!J396="-","",BaseCoalPlants!J396)</f>
        <v/>
      </c>
      <c r="L370" t="str">
        <f>IF(BaseCoalPlants!K396="-","",BaseCoalPlants!K396)</f>
        <v/>
      </c>
      <c r="M370" s="1">
        <f>IF(BaseCoalPlants!L396=0,"",BaseCoalPlants!L396)</f>
        <v>0.05</v>
      </c>
      <c r="N370" s="1">
        <f>IF(BaseCoalPlants!M396=0,"",BaseCoalPlants!M396)</f>
        <v>0.05</v>
      </c>
      <c r="O370" s="1">
        <f>IF(BaseCoalPlants!N396=0,"",BaseCoalPlants!N396)</f>
        <v>0.05</v>
      </c>
      <c r="P370" s="1">
        <f>IF(BaseCoalPlants!O396=0,"",BaseCoalPlants!O396)</f>
        <v>0.05</v>
      </c>
      <c r="Q370" s="1">
        <f>IF(BaseCoalPlants!P396=0,"",BaseCoalPlants!P396)</f>
        <v>0.05</v>
      </c>
      <c r="R370" s="1">
        <f>IF(BaseCoalPlants!Q396=0,"",BaseCoalPlants!Q396)</f>
        <v>0.05</v>
      </c>
      <c r="S370" s="1">
        <f>IF(BaseCoalPlants!R396=0,"",BaseCoalPlants!R396)</f>
        <v>0.05</v>
      </c>
      <c r="T370" s="1">
        <f>IF(BaseCoalPlants!S396=0,"",BaseCoalPlants!S396)</f>
        <v>0.05</v>
      </c>
      <c r="U370" s="1">
        <f>IF(BaseCoalPlants!T396=0,"",BaseCoalPlants!T396)</f>
        <v>0.05</v>
      </c>
      <c r="V370" s="1">
        <f>IF(BaseCoalPlants!U396=0,"",BaseCoalPlants!U396)</f>
        <v>0.05</v>
      </c>
    </row>
    <row r="371" spans="3:22" x14ac:dyDescent="0.35">
      <c r="C371" t="str">
        <f>IF(BaseCoalPlants!B397="VDA_FLOP",IF(BaseCoalPlants!D397="ELC","*","INPUT"),BaseCoalPlants!B397)</f>
        <v>NCAP_DRATE</v>
      </c>
      <c r="D371" t="str">
        <f>IF(BaseCoalPlants!C397="","\I:",BaseCoalPlants!C397&amp;"_LE")</f>
        <v>ECSTMRBUO_LE</v>
      </c>
      <c r="E371" t="str">
        <f>IF(BaseCoalPlants!D397="-","",BaseCoalPlants!D397)</f>
        <v/>
      </c>
      <c r="F371" t="str">
        <f>IF(BaseCoalPlants!E397="-","",BaseCoalPlants!E397)</f>
        <v/>
      </c>
      <c r="G371" t="str">
        <f>IF(BaseCoalPlants!F397="-","",BaseCoalPlants!F397)</f>
        <v/>
      </c>
      <c r="H371">
        <f>IF(BaseCoalPlants!G397="-","",BaseCoalPlants!G397)</f>
        <v>2010</v>
      </c>
      <c r="I371" t="str">
        <f>IF(BaseCoalPlants!H397="-","",BaseCoalPlants!H397)</f>
        <v/>
      </c>
      <c r="J371" t="str">
        <f>IF(BaseCoalPlants!I397="-","",BaseCoalPlants!I397)</f>
        <v/>
      </c>
      <c r="K371" t="str">
        <f>IF(BaseCoalPlants!J397="-","",BaseCoalPlants!J397)</f>
        <v/>
      </c>
      <c r="L371" t="str">
        <f>IF(BaseCoalPlants!K397="-","",BaseCoalPlants!K397)</f>
        <v/>
      </c>
      <c r="M371" s="1">
        <f>IF(BaseCoalPlants!L397=0,"",BaseCoalPlants!L397)</f>
        <v>0.05</v>
      </c>
      <c r="N371" s="1">
        <f>IF(BaseCoalPlants!M397=0,"",BaseCoalPlants!M397)</f>
        <v>0.05</v>
      </c>
      <c r="O371" s="1">
        <f>IF(BaseCoalPlants!N397=0,"",BaseCoalPlants!N397)</f>
        <v>0.05</v>
      </c>
      <c r="P371" s="1">
        <f>IF(BaseCoalPlants!O397=0,"",BaseCoalPlants!O397)</f>
        <v>0.05</v>
      </c>
      <c r="Q371" s="1">
        <f>IF(BaseCoalPlants!P397=0,"",BaseCoalPlants!P397)</f>
        <v>0.05</v>
      </c>
      <c r="R371" s="1">
        <f>IF(BaseCoalPlants!Q397=0,"",BaseCoalPlants!Q397)</f>
        <v>0.05</v>
      </c>
      <c r="S371" s="1">
        <f>IF(BaseCoalPlants!R397=0,"",BaseCoalPlants!R397)</f>
        <v>0.05</v>
      </c>
      <c r="T371" s="1">
        <f>IF(BaseCoalPlants!S397=0,"",BaseCoalPlants!S397)</f>
        <v>0.05</v>
      </c>
      <c r="U371" s="1">
        <f>IF(BaseCoalPlants!T397=0,"",BaseCoalPlants!T397)</f>
        <v>0.05</v>
      </c>
      <c r="V371" s="1">
        <f>IF(BaseCoalPlants!U397=0,"",BaseCoalPlants!U397)</f>
        <v>0.05</v>
      </c>
    </row>
    <row r="372" spans="3:22" x14ac:dyDescent="0.35">
      <c r="C372" t="str">
        <f>IF(BaseCoalPlants!B398="VDA_FLOP",IF(BaseCoalPlants!D398="ELC","*","INPUT"),BaseCoalPlants!B398)</f>
        <v>NCAP_DRATE</v>
      </c>
      <c r="D372" t="str">
        <f>IF(BaseCoalPlants!C398="","\I:",BaseCoalPlants!C398&amp;"_LE")</f>
        <v>ECSTMRBUR_LE</v>
      </c>
      <c r="E372" t="str">
        <f>IF(BaseCoalPlants!D398="-","",BaseCoalPlants!D398)</f>
        <v/>
      </c>
      <c r="F372" t="str">
        <f>IF(BaseCoalPlants!E398="-","",BaseCoalPlants!E398)</f>
        <v/>
      </c>
      <c r="G372" t="str">
        <f>IF(BaseCoalPlants!F398="-","",BaseCoalPlants!F398)</f>
        <v/>
      </c>
      <c r="H372">
        <f>IF(BaseCoalPlants!G398="-","",BaseCoalPlants!G398)</f>
        <v>2010</v>
      </c>
      <c r="I372" t="str">
        <f>IF(BaseCoalPlants!H398="-","",BaseCoalPlants!H398)</f>
        <v/>
      </c>
      <c r="J372" t="str">
        <f>IF(BaseCoalPlants!I398="-","",BaseCoalPlants!I398)</f>
        <v/>
      </c>
      <c r="K372" t="str">
        <f>IF(BaseCoalPlants!J398="-","",BaseCoalPlants!J398)</f>
        <v/>
      </c>
      <c r="L372" t="str">
        <f>IF(BaseCoalPlants!K398="-","",BaseCoalPlants!K398)</f>
        <v/>
      </c>
      <c r="M372" s="1">
        <f>IF(BaseCoalPlants!L398=0,"",BaseCoalPlants!L398)</f>
        <v>0.05</v>
      </c>
      <c r="N372" s="1">
        <f>IF(BaseCoalPlants!M398=0,"",BaseCoalPlants!M398)</f>
        <v>0.05</v>
      </c>
      <c r="O372" s="1">
        <f>IF(BaseCoalPlants!N398=0,"",BaseCoalPlants!N398)</f>
        <v>0.05</v>
      </c>
      <c r="P372" s="1">
        <f>IF(BaseCoalPlants!O398=0,"",BaseCoalPlants!O398)</f>
        <v>0.05</v>
      </c>
      <c r="Q372" s="1">
        <f>IF(BaseCoalPlants!P398=0,"",BaseCoalPlants!P398)</f>
        <v>0.05</v>
      </c>
      <c r="R372" s="1">
        <f>IF(BaseCoalPlants!Q398=0,"",BaseCoalPlants!Q398)</f>
        <v>0.05</v>
      </c>
      <c r="S372" s="1">
        <f>IF(BaseCoalPlants!R398=0,"",BaseCoalPlants!R398)</f>
        <v>0.05</v>
      </c>
      <c r="T372" s="1">
        <f>IF(BaseCoalPlants!S398=0,"",BaseCoalPlants!S398)</f>
        <v>0.05</v>
      </c>
      <c r="U372" s="1">
        <f>IF(BaseCoalPlants!T398=0,"",BaseCoalPlants!T398)</f>
        <v>0.05</v>
      </c>
      <c r="V372" s="1">
        <f>IF(BaseCoalPlants!U398=0,"",BaseCoalPlants!U398)</f>
        <v>0.05</v>
      </c>
    </row>
    <row r="373" spans="3:22" x14ac:dyDescent="0.35">
      <c r="C373" t="str">
        <f>IF(BaseCoalPlants!B400="VDA_FLOP",IF(BaseCoalPlants!D400="ELC","*","INPUT"),BaseCoalPlants!B400)</f>
        <v>NCAP_DRATE</v>
      </c>
      <c r="D373" t="str">
        <f>IF(BaseCoalPlants!C400="","\I:",BaseCoalPlants!C400&amp;"_LE")</f>
        <v>ECSTMRLOO_LE</v>
      </c>
      <c r="E373" t="str">
        <f>IF(BaseCoalPlants!D400="-","",BaseCoalPlants!D400)</f>
        <v/>
      </c>
      <c r="F373" t="str">
        <f>IF(BaseCoalPlants!E400="-","",BaseCoalPlants!E400)</f>
        <v/>
      </c>
      <c r="G373" t="str">
        <f>IF(BaseCoalPlants!F400="-","",BaseCoalPlants!F400)</f>
        <v/>
      </c>
      <c r="H373">
        <f>IF(BaseCoalPlants!G400="-","",BaseCoalPlants!G400)</f>
        <v>2010</v>
      </c>
      <c r="I373" t="str">
        <f>IF(BaseCoalPlants!H400="-","",BaseCoalPlants!H400)</f>
        <v/>
      </c>
      <c r="J373" t="str">
        <f>IF(BaseCoalPlants!I400="-","",BaseCoalPlants!I400)</f>
        <v/>
      </c>
      <c r="K373" t="str">
        <f>IF(BaseCoalPlants!J400="-","",BaseCoalPlants!J400)</f>
        <v/>
      </c>
      <c r="L373" t="str">
        <f>IF(BaseCoalPlants!K400="-","",BaseCoalPlants!K400)</f>
        <v/>
      </c>
      <c r="M373" s="1">
        <f>IF(BaseCoalPlants!L400=0,"",BaseCoalPlants!L400)</f>
        <v>0.05</v>
      </c>
      <c r="N373" s="1">
        <f>IF(BaseCoalPlants!M400=0,"",BaseCoalPlants!M400)</f>
        <v>0.05</v>
      </c>
      <c r="O373" s="1">
        <f>IF(BaseCoalPlants!N400=0,"",BaseCoalPlants!N400)</f>
        <v>0.05</v>
      </c>
      <c r="P373" s="1">
        <f>IF(BaseCoalPlants!O400=0,"",BaseCoalPlants!O400)</f>
        <v>0.05</v>
      </c>
      <c r="Q373" s="1">
        <f>IF(BaseCoalPlants!P400=0,"",BaseCoalPlants!P400)</f>
        <v>0.05</v>
      </c>
      <c r="R373" s="1">
        <f>IF(BaseCoalPlants!Q400=0,"",BaseCoalPlants!Q400)</f>
        <v>0.05</v>
      </c>
      <c r="S373" s="1">
        <f>IF(BaseCoalPlants!R400=0,"",BaseCoalPlants!R400)</f>
        <v>0.05</v>
      </c>
      <c r="T373" s="1">
        <f>IF(BaseCoalPlants!S400=0,"",BaseCoalPlants!S400)</f>
        <v>0.05</v>
      </c>
      <c r="U373" s="1">
        <f>IF(BaseCoalPlants!T400=0,"",BaseCoalPlants!T400)</f>
        <v>0.05</v>
      </c>
      <c r="V373" s="1">
        <f>IF(BaseCoalPlants!U400=0,"",BaseCoalPlants!U400)</f>
        <v>0.05</v>
      </c>
    </row>
    <row r="374" spans="3:22" x14ac:dyDescent="0.35">
      <c r="C374" t="str">
        <f>IF(BaseCoalPlants!B401="VDA_FLOP",IF(BaseCoalPlants!D401="ELC","*","INPUT"),BaseCoalPlants!B401)</f>
        <v>NCAP_DRATE</v>
      </c>
      <c r="D374" t="str">
        <f>IF(BaseCoalPlants!C401="","\I:",BaseCoalPlants!C401&amp;"_LE")</f>
        <v>ECSTMRLOR_LE</v>
      </c>
      <c r="E374" t="str">
        <f>IF(BaseCoalPlants!D401="-","",BaseCoalPlants!D401)</f>
        <v/>
      </c>
      <c r="F374" t="str">
        <f>IF(BaseCoalPlants!E401="-","",BaseCoalPlants!E401)</f>
        <v/>
      </c>
      <c r="G374" t="str">
        <f>IF(BaseCoalPlants!F401="-","",BaseCoalPlants!F401)</f>
        <v/>
      </c>
      <c r="H374">
        <f>IF(BaseCoalPlants!G401="-","",BaseCoalPlants!G401)</f>
        <v>2010</v>
      </c>
      <c r="I374" t="str">
        <f>IF(BaseCoalPlants!H401="-","",BaseCoalPlants!H401)</f>
        <v/>
      </c>
      <c r="J374" t="str">
        <f>IF(BaseCoalPlants!I401="-","",BaseCoalPlants!I401)</f>
        <v/>
      </c>
      <c r="K374" t="str">
        <f>IF(BaseCoalPlants!J401="-","",BaseCoalPlants!J401)</f>
        <v/>
      </c>
      <c r="L374" t="str">
        <f>IF(BaseCoalPlants!K401="-","",BaseCoalPlants!K401)</f>
        <v/>
      </c>
      <c r="M374" s="1">
        <f>IF(BaseCoalPlants!L401=0,"",BaseCoalPlants!L401)</f>
        <v>0.05</v>
      </c>
      <c r="N374" s="1">
        <f>IF(BaseCoalPlants!M401=0,"",BaseCoalPlants!M401)</f>
        <v>0.05</v>
      </c>
      <c r="O374" s="1">
        <f>IF(BaseCoalPlants!N401=0,"",BaseCoalPlants!N401)</f>
        <v>0.05</v>
      </c>
      <c r="P374" s="1">
        <f>IF(BaseCoalPlants!O401=0,"",BaseCoalPlants!O401)</f>
        <v>0.05</v>
      </c>
      <c r="Q374" s="1">
        <f>IF(BaseCoalPlants!P401=0,"",BaseCoalPlants!P401)</f>
        <v>0.05</v>
      </c>
      <c r="R374" s="1">
        <f>IF(BaseCoalPlants!Q401=0,"",BaseCoalPlants!Q401)</f>
        <v>0.05</v>
      </c>
      <c r="S374" s="1">
        <f>IF(BaseCoalPlants!R401=0,"",BaseCoalPlants!R401)</f>
        <v>0.05</v>
      </c>
      <c r="T374" s="1">
        <f>IF(BaseCoalPlants!S401=0,"",BaseCoalPlants!S401)</f>
        <v>0.05</v>
      </c>
      <c r="U374" s="1">
        <f>IF(BaseCoalPlants!T401=0,"",BaseCoalPlants!T401)</f>
        <v>0.05</v>
      </c>
      <c r="V374" s="1">
        <f>IF(BaseCoalPlants!U401=0,"",BaseCoalPlants!U401)</f>
        <v>0.05</v>
      </c>
    </row>
    <row r="375" spans="3:22" x14ac:dyDescent="0.35">
      <c r="C375" t="str">
        <f>IF(BaseCoalPlants!B402="VDA_FLOP",IF(BaseCoalPlants!D402="ELC","*","INPUT"),BaseCoalPlants!B402)</f>
        <v>NCAP_DRATE</v>
      </c>
      <c r="D375" t="str">
        <f>IF(BaseCoalPlants!C402="","\I:",BaseCoalPlants!C402&amp;"_LE")</f>
        <v>ECSTMRLUO_LE</v>
      </c>
      <c r="E375" t="str">
        <f>IF(BaseCoalPlants!D402="-","",BaseCoalPlants!D402)</f>
        <v/>
      </c>
      <c r="F375" t="str">
        <f>IF(BaseCoalPlants!E402="-","",BaseCoalPlants!E402)</f>
        <v/>
      </c>
      <c r="G375" t="str">
        <f>IF(BaseCoalPlants!F402="-","",BaseCoalPlants!F402)</f>
        <v/>
      </c>
      <c r="H375">
        <f>IF(BaseCoalPlants!G402="-","",BaseCoalPlants!G402)</f>
        <v>2010</v>
      </c>
      <c r="I375" t="str">
        <f>IF(BaseCoalPlants!H402="-","",BaseCoalPlants!H402)</f>
        <v/>
      </c>
      <c r="J375" t="str">
        <f>IF(BaseCoalPlants!I402="-","",BaseCoalPlants!I402)</f>
        <v/>
      </c>
      <c r="K375" t="str">
        <f>IF(BaseCoalPlants!J402="-","",BaseCoalPlants!J402)</f>
        <v/>
      </c>
      <c r="L375" t="str">
        <f>IF(BaseCoalPlants!K402="-","",BaseCoalPlants!K402)</f>
        <v/>
      </c>
      <c r="M375" s="1">
        <f>IF(BaseCoalPlants!L402=0,"",BaseCoalPlants!L402)</f>
        <v>0.05</v>
      </c>
      <c r="N375" s="1">
        <f>IF(BaseCoalPlants!M402=0,"",BaseCoalPlants!M402)</f>
        <v>0.05</v>
      </c>
      <c r="O375" s="1">
        <f>IF(BaseCoalPlants!N402=0,"",BaseCoalPlants!N402)</f>
        <v>0.05</v>
      </c>
      <c r="P375" s="1">
        <f>IF(BaseCoalPlants!O402=0,"",BaseCoalPlants!O402)</f>
        <v>0.05</v>
      </c>
      <c r="Q375" s="1">
        <f>IF(BaseCoalPlants!P402=0,"",BaseCoalPlants!P402)</f>
        <v>0.05</v>
      </c>
      <c r="R375" s="1">
        <f>IF(BaseCoalPlants!Q402=0,"",BaseCoalPlants!Q402)</f>
        <v>0.05</v>
      </c>
      <c r="S375" s="1">
        <f>IF(BaseCoalPlants!R402=0,"",BaseCoalPlants!R402)</f>
        <v>0.05</v>
      </c>
      <c r="T375" s="1">
        <f>IF(BaseCoalPlants!S402=0,"",BaseCoalPlants!S402)</f>
        <v>0.05</v>
      </c>
      <c r="U375" s="1">
        <f>IF(BaseCoalPlants!T402=0,"",BaseCoalPlants!T402)</f>
        <v>0.05</v>
      </c>
      <c r="V375" s="1">
        <f>IF(BaseCoalPlants!U402=0,"",BaseCoalPlants!U402)</f>
        <v>0.05</v>
      </c>
    </row>
    <row r="376" spans="3:22" x14ac:dyDescent="0.35">
      <c r="C376" t="str">
        <f>IF(BaseCoalPlants!B405="VDA_FLOP",IF(BaseCoalPlants!D405="ELC","*","INPUT"),BaseCoalPlants!B405)</f>
        <v>NCAP_DRATE</v>
      </c>
      <c r="D376" t="str">
        <f>IF(BaseCoalPlants!C405="","\I:",BaseCoalPlants!C405&amp;"_LE")</f>
        <v>ECSTMRSOO_LE</v>
      </c>
      <c r="E376" t="str">
        <f>IF(BaseCoalPlants!D405="-","",BaseCoalPlants!D405)</f>
        <v/>
      </c>
      <c r="F376" t="str">
        <f>IF(BaseCoalPlants!E405="-","",BaseCoalPlants!E405)</f>
        <v/>
      </c>
      <c r="G376" t="str">
        <f>IF(BaseCoalPlants!F405="-","",BaseCoalPlants!F405)</f>
        <v/>
      </c>
      <c r="H376">
        <f>IF(BaseCoalPlants!G405="-","",BaseCoalPlants!G405)</f>
        <v>2010</v>
      </c>
      <c r="I376" t="str">
        <f>IF(BaseCoalPlants!H405="-","",BaseCoalPlants!H405)</f>
        <v/>
      </c>
      <c r="J376" t="str">
        <f>IF(BaseCoalPlants!I405="-","",BaseCoalPlants!I405)</f>
        <v/>
      </c>
      <c r="K376" t="str">
        <f>IF(BaseCoalPlants!J405="-","",BaseCoalPlants!J405)</f>
        <v/>
      </c>
      <c r="L376" t="str">
        <f>IF(BaseCoalPlants!K405="-","",BaseCoalPlants!K405)</f>
        <v/>
      </c>
      <c r="M376" s="1">
        <f>IF(BaseCoalPlants!L405=0,"",BaseCoalPlants!L405)</f>
        <v>0.05</v>
      </c>
      <c r="N376" s="1">
        <f>IF(BaseCoalPlants!M405=0,"",BaseCoalPlants!M405)</f>
        <v>0.05</v>
      </c>
      <c r="O376" s="1">
        <f>IF(BaseCoalPlants!N405=0,"",BaseCoalPlants!N405)</f>
        <v>0.05</v>
      </c>
      <c r="P376" s="1">
        <f>IF(BaseCoalPlants!O405=0,"",BaseCoalPlants!O405)</f>
        <v>0.05</v>
      </c>
      <c r="Q376" s="1">
        <f>IF(BaseCoalPlants!P405=0,"",BaseCoalPlants!P405)</f>
        <v>0.05</v>
      </c>
      <c r="R376" s="1">
        <f>IF(BaseCoalPlants!Q405=0,"",BaseCoalPlants!Q405)</f>
        <v>0.05</v>
      </c>
      <c r="S376" s="1">
        <f>IF(BaseCoalPlants!R405=0,"",BaseCoalPlants!R405)</f>
        <v>0.05</v>
      </c>
      <c r="T376" s="1">
        <f>IF(BaseCoalPlants!S405=0,"",BaseCoalPlants!S405)</f>
        <v>0.05</v>
      </c>
      <c r="U376" s="1">
        <f>IF(BaseCoalPlants!T405=0,"",BaseCoalPlants!T405)</f>
        <v>0.05</v>
      </c>
      <c r="V376" s="1">
        <f>IF(BaseCoalPlants!U405=0,"",BaseCoalPlants!U405)</f>
        <v>0.05</v>
      </c>
    </row>
    <row r="377" spans="3:22" x14ac:dyDescent="0.35">
      <c r="C377" t="str">
        <f>IF(BaseCoalPlants!B406="VDA_FLOP",IF(BaseCoalPlants!D406="ELC","*","INPUT"),BaseCoalPlants!B406)</f>
        <v>NCAP_DRATE</v>
      </c>
      <c r="D377" t="str">
        <f>IF(BaseCoalPlants!C406="","\I:",BaseCoalPlants!C406&amp;"_LE")</f>
        <v>ECSTMRSOR_LE</v>
      </c>
      <c r="E377" t="str">
        <f>IF(BaseCoalPlants!D406="-","",BaseCoalPlants!D406)</f>
        <v/>
      </c>
      <c r="F377" t="str">
        <f>IF(BaseCoalPlants!E406="-","",BaseCoalPlants!E406)</f>
        <v/>
      </c>
      <c r="G377" t="str">
        <f>IF(BaseCoalPlants!F406="-","",BaseCoalPlants!F406)</f>
        <v/>
      </c>
      <c r="H377">
        <f>IF(BaseCoalPlants!G406="-","",BaseCoalPlants!G406)</f>
        <v>2010</v>
      </c>
      <c r="I377" t="str">
        <f>IF(BaseCoalPlants!H406="-","",BaseCoalPlants!H406)</f>
        <v/>
      </c>
      <c r="J377" t="str">
        <f>IF(BaseCoalPlants!I406="-","",BaseCoalPlants!I406)</f>
        <v/>
      </c>
      <c r="K377" t="str">
        <f>IF(BaseCoalPlants!J406="-","",BaseCoalPlants!J406)</f>
        <v/>
      </c>
      <c r="L377" t="str">
        <f>IF(BaseCoalPlants!K406="-","",BaseCoalPlants!K406)</f>
        <v/>
      </c>
      <c r="M377" s="1">
        <f>IF(BaseCoalPlants!L406=0,"",BaseCoalPlants!L406)</f>
        <v>0.05</v>
      </c>
      <c r="N377" s="1">
        <f>IF(BaseCoalPlants!M406=0,"",BaseCoalPlants!M406)</f>
        <v>0.05</v>
      </c>
      <c r="O377" s="1">
        <f>IF(BaseCoalPlants!N406=0,"",BaseCoalPlants!N406)</f>
        <v>0.05</v>
      </c>
      <c r="P377" s="1">
        <f>IF(BaseCoalPlants!O406=0,"",BaseCoalPlants!O406)</f>
        <v>0.05</v>
      </c>
      <c r="Q377" s="1">
        <f>IF(BaseCoalPlants!P406=0,"",BaseCoalPlants!P406)</f>
        <v>0.05</v>
      </c>
      <c r="R377" s="1">
        <f>IF(BaseCoalPlants!Q406=0,"",BaseCoalPlants!Q406)</f>
        <v>0.05</v>
      </c>
      <c r="S377" s="1">
        <f>IF(BaseCoalPlants!R406=0,"",BaseCoalPlants!R406)</f>
        <v>0.05</v>
      </c>
      <c r="T377" s="1">
        <f>IF(BaseCoalPlants!S406=0,"",BaseCoalPlants!S406)</f>
        <v>0.05</v>
      </c>
      <c r="U377" s="1">
        <f>IF(BaseCoalPlants!T406=0,"",BaseCoalPlants!T406)</f>
        <v>0.05</v>
      </c>
      <c r="V377" s="1">
        <f>IF(BaseCoalPlants!U406=0,"",BaseCoalPlants!U406)</f>
        <v>0.05</v>
      </c>
    </row>
    <row r="378" spans="3:22" x14ac:dyDescent="0.35">
      <c r="C378" t="str">
        <f>IF(BaseCoalPlants!B407="VDA_FLOP",IF(BaseCoalPlants!D407="ELC","*","INPUT"),BaseCoalPlants!B407)</f>
        <v>NCAP_DRATE</v>
      </c>
      <c r="D378" t="str">
        <f>IF(BaseCoalPlants!C407="","\I:",BaseCoalPlants!C407&amp;"_LE")</f>
        <v>ECSTMRSUO_LE</v>
      </c>
      <c r="E378" t="str">
        <f>IF(BaseCoalPlants!D407="-","",BaseCoalPlants!D407)</f>
        <v/>
      </c>
      <c r="F378" t="str">
        <f>IF(BaseCoalPlants!E407="-","",BaseCoalPlants!E407)</f>
        <v/>
      </c>
      <c r="G378" t="str">
        <f>IF(BaseCoalPlants!F407="-","",BaseCoalPlants!F407)</f>
        <v/>
      </c>
      <c r="H378">
        <f>IF(BaseCoalPlants!G407="-","",BaseCoalPlants!G407)</f>
        <v>2010</v>
      </c>
      <c r="I378" t="str">
        <f>IF(BaseCoalPlants!H407="-","",BaseCoalPlants!H407)</f>
        <v/>
      </c>
      <c r="J378" t="str">
        <f>IF(BaseCoalPlants!I407="-","",BaseCoalPlants!I407)</f>
        <v/>
      </c>
      <c r="K378" t="str">
        <f>IF(BaseCoalPlants!J407="-","",BaseCoalPlants!J407)</f>
        <v/>
      </c>
      <c r="L378" t="str">
        <f>IF(BaseCoalPlants!K407="-","",BaseCoalPlants!K407)</f>
        <v/>
      </c>
      <c r="M378" s="1">
        <f>IF(BaseCoalPlants!L407=0,"",BaseCoalPlants!L407)</f>
        <v>0.05</v>
      </c>
      <c r="N378" s="1">
        <f>IF(BaseCoalPlants!M407=0,"",BaseCoalPlants!M407)</f>
        <v>0.05</v>
      </c>
      <c r="O378" s="1">
        <f>IF(BaseCoalPlants!N407=0,"",BaseCoalPlants!N407)</f>
        <v>0.05</v>
      </c>
      <c r="P378" s="1">
        <f>IF(BaseCoalPlants!O407=0,"",BaseCoalPlants!O407)</f>
        <v>0.05</v>
      </c>
      <c r="Q378" s="1">
        <f>IF(BaseCoalPlants!P407=0,"",BaseCoalPlants!P407)</f>
        <v>0.05</v>
      </c>
      <c r="R378" s="1">
        <f>IF(BaseCoalPlants!Q407=0,"",BaseCoalPlants!Q407)</f>
        <v>0.05</v>
      </c>
      <c r="S378" s="1">
        <f>IF(BaseCoalPlants!R407=0,"",BaseCoalPlants!R407)</f>
        <v>0.05</v>
      </c>
      <c r="T378" s="1">
        <f>IF(BaseCoalPlants!S407=0,"",BaseCoalPlants!S407)</f>
        <v>0.05</v>
      </c>
      <c r="U378" s="1">
        <f>IF(BaseCoalPlants!T407=0,"",BaseCoalPlants!T407)</f>
        <v>0.05</v>
      </c>
      <c r="V378" s="1">
        <f>IF(BaseCoalPlants!U407=0,"",BaseCoalPlants!U407)</f>
        <v>0.05</v>
      </c>
    </row>
    <row r="379" spans="3:22" x14ac:dyDescent="0.35">
      <c r="C379" t="str">
        <f>IF(BaseCoalPlants!B408="VDA_FLOP",IF(BaseCoalPlants!D408="ELC","*","INPUT"),BaseCoalPlants!B408)</f>
        <v>NCAP_DRATE</v>
      </c>
      <c r="D379" t="str">
        <f>IF(BaseCoalPlants!C408="","\I:",BaseCoalPlants!C408&amp;"_LE")</f>
        <v>ECSTMRSUR_LE</v>
      </c>
      <c r="E379" t="str">
        <f>IF(BaseCoalPlants!D408="-","",BaseCoalPlants!D408)</f>
        <v/>
      </c>
      <c r="F379" t="str">
        <f>IF(BaseCoalPlants!E408="-","",BaseCoalPlants!E408)</f>
        <v/>
      </c>
      <c r="G379" t="str">
        <f>IF(BaseCoalPlants!F408="-","",BaseCoalPlants!F408)</f>
        <v/>
      </c>
      <c r="H379">
        <f>IF(BaseCoalPlants!G408="-","",BaseCoalPlants!G408)</f>
        <v>2010</v>
      </c>
      <c r="I379" t="str">
        <f>IF(BaseCoalPlants!H408="-","",BaseCoalPlants!H408)</f>
        <v/>
      </c>
      <c r="J379" t="str">
        <f>IF(BaseCoalPlants!I408="-","",BaseCoalPlants!I408)</f>
        <v/>
      </c>
      <c r="K379" t="str">
        <f>IF(BaseCoalPlants!J408="-","",BaseCoalPlants!J408)</f>
        <v/>
      </c>
      <c r="L379" t="str">
        <f>IF(BaseCoalPlants!K408="-","",BaseCoalPlants!K408)</f>
        <v/>
      </c>
      <c r="M379" s="1">
        <f>IF(BaseCoalPlants!L408=0,"",BaseCoalPlants!L408)</f>
        <v>0.05</v>
      </c>
      <c r="N379" s="1">
        <f>IF(BaseCoalPlants!M408=0,"",BaseCoalPlants!M408)</f>
        <v>0.05</v>
      </c>
      <c r="O379" s="1">
        <f>IF(BaseCoalPlants!N408=0,"",BaseCoalPlants!N408)</f>
        <v>0.05</v>
      </c>
      <c r="P379" s="1">
        <f>IF(BaseCoalPlants!O408=0,"",BaseCoalPlants!O408)</f>
        <v>0.05</v>
      </c>
      <c r="Q379" s="1">
        <f>IF(BaseCoalPlants!P408=0,"",BaseCoalPlants!P408)</f>
        <v>0.05</v>
      </c>
      <c r="R379" s="1">
        <f>IF(BaseCoalPlants!Q408=0,"",BaseCoalPlants!Q408)</f>
        <v>0.05</v>
      </c>
      <c r="S379" s="1">
        <f>IF(BaseCoalPlants!R408=0,"",BaseCoalPlants!R408)</f>
        <v>0.05</v>
      </c>
      <c r="T379" s="1">
        <f>IF(BaseCoalPlants!S408=0,"",BaseCoalPlants!S408)</f>
        <v>0.05</v>
      </c>
      <c r="U379" s="1">
        <f>IF(BaseCoalPlants!T408=0,"",BaseCoalPlants!T408)</f>
        <v>0.05</v>
      </c>
      <c r="V379" s="1">
        <f>IF(BaseCoalPlants!U408=0,"",BaseCoalPlants!U408)</f>
        <v>0.05</v>
      </c>
    </row>
    <row r="380" spans="3:22" x14ac:dyDescent="0.35">
      <c r="C380" t="str">
        <f>IF(BaseCoalPlants!B410="VDA_FLOP",IF(BaseCoalPlants!D410="ELC","*","INPUT"),BaseCoalPlants!B410)</f>
        <v>NCAP_FOM</v>
      </c>
      <c r="D380" t="str">
        <f>IF(BaseCoalPlants!C410="","\I:",BaseCoalPlants!C410&amp;"_LE")</f>
        <v>ECSTMRBOO_LE</v>
      </c>
      <c r="E380" t="str">
        <f>IF(BaseCoalPlants!D410="-","",BaseCoalPlants!D410)</f>
        <v/>
      </c>
      <c r="F380" t="str">
        <f>IF(BaseCoalPlants!E410="-","",BaseCoalPlants!E410)</f>
        <v/>
      </c>
      <c r="G380" t="str">
        <f>IF(BaseCoalPlants!F410="-","",BaseCoalPlants!F410)</f>
        <v/>
      </c>
      <c r="H380">
        <f>IF(BaseCoalPlants!G410="-","",BaseCoalPlants!G410)</f>
        <v>2010</v>
      </c>
      <c r="I380" t="str">
        <f>IF(BaseCoalPlants!H410="-","",BaseCoalPlants!H410)</f>
        <v/>
      </c>
      <c r="J380" t="str">
        <f>IF(BaseCoalPlants!I410="-","",BaseCoalPlants!I410)</f>
        <v>USD05</v>
      </c>
      <c r="K380" t="str">
        <f>IF(BaseCoalPlants!J410="-","",BaseCoalPlants!J410)</f>
        <v/>
      </c>
      <c r="L380" t="str">
        <f>IF(BaseCoalPlants!K410="-","",BaseCoalPlants!K410)</f>
        <v/>
      </c>
      <c r="M380" s="1" t="str">
        <f>IF(BaseCoalPlants!L410=0,"",BaseCoalPlants!L410)</f>
        <v/>
      </c>
      <c r="N380" s="1">
        <f>IF(BaseCoalPlants!M410=0,"",BaseCoalPlants!M410)</f>
        <v>21.7074569803959</v>
      </c>
      <c r="O380" s="1">
        <f>IF(BaseCoalPlants!N410=0,"",BaseCoalPlants!N410)</f>
        <v>23.7500588799602</v>
      </c>
      <c r="P380" s="1">
        <f>IF(BaseCoalPlants!O410=0,"",BaseCoalPlants!O410)</f>
        <v>18.033481970103601</v>
      </c>
      <c r="Q380" s="1">
        <f>IF(BaseCoalPlants!P410=0,"",BaseCoalPlants!P410)</f>
        <v>15.842980976030599</v>
      </c>
      <c r="R380" s="1">
        <f>IF(BaseCoalPlants!Q410=0,"",BaseCoalPlants!Q410)</f>
        <v>21.677069281099101</v>
      </c>
      <c r="S380" s="1">
        <f>IF(BaseCoalPlants!R410=0,"",BaseCoalPlants!R410)</f>
        <v>19.831084394682101</v>
      </c>
      <c r="T380" s="1">
        <f>IF(BaseCoalPlants!S410=0,"",BaseCoalPlants!S410)</f>
        <v>24.3376818661146</v>
      </c>
      <c r="U380" s="1">
        <f>IF(BaseCoalPlants!T410=0,"",BaseCoalPlants!T410)</f>
        <v>20.095378605344798</v>
      </c>
      <c r="V380" s="1">
        <f>IF(BaseCoalPlants!U410=0,"",BaseCoalPlants!U410)</f>
        <v>18.041996336996299</v>
      </c>
    </row>
    <row r="381" spans="3:22" x14ac:dyDescent="0.35">
      <c r="C381" t="str">
        <f>IF(BaseCoalPlants!B411="VDA_FLOP",IF(BaseCoalPlants!D411="ELC","*","INPUT"),BaseCoalPlants!B411)</f>
        <v>NCAP_FOM</v>
      </c>
      <c r="D381" t="str">
        <f>IF(BaseCoalPlants!C411="","\I:",BaseCoalPlants!C411&amp;"_LE")</f>
        <v>ECSTMRBOR_LE</v>
      </c>
      <c r="E381" t="str">
        <f>IF(BaseCoalPlants!D411="-","",BaseCoalPlants!D411)</f>
        <v/>
      </c>
      <c r="F381" t="str">
        <f>IF(BaseCoalPlants!E411="-","",BaseCoalPlants!E411)</f>
        <v/>
      </c>
      <c r="G381" t="str">
        <f>IF(BaseCoalPlants!F411="-","",BaseCoalPlants!F411)</f>
        <v/>
      </c>
      <c r="H381">
        <f>IF(BaseCoalPlants!G411="-","",BaseCoalPlants!G411)</f>
        <v>2010</v>
      </c>
      <c r="I381" t="str">
        <f>IF(BaseCoalPlants!H411="-","",BaseCoalPlants!H411)</f>
        <v/>
      </c>
      <c r="J381" t="str">
        <f>IF(BaseCoalPlants!I411="-","",BaseCoalPlants!I411)</f>
        <v>USD05</v>
      </c>
      <c r="K381" t="str">
        <f>IF(BaseCoalPlants!J411="-","",BaseCoalPlants!J411)</f>
        <v/>
      </c>
      <c r="L381" t="str">
        <f>IF(BaseCoalPlants!K411="-","",BaseCoalPlants!K411)</f>
        <v/>
      </c>
      <c r="M381" s="1" t="str">
        <f>IF(BaseCoalPlants!L411=0,"",BaseCoalPlants!L411)</f>
        <v/>
      </c>
      <c r="N381" s="1">
        <f>IF(BaseCoalPlants!M411=0,"",BaseCoalPlants!M411)</f>
        <v>21.7074569803959</v>
      </c>
      <c r="O381" s="1">
        <f>IF(BaseCoalPlants!N411=0,"",BaseCoalPlants!N411)</f>
        <v>23.7500588799602</v>
      </c>
      <c r="P381" s="1">
        <f>IF(BaseCoalPlants!O411=0,"",BaseCoalPlants!O411)</f>
        <v>18.033481970103601</v>
      </c>
      <c r="Q381" s="1">
        <f>IF(BaseCoalPlants!P411=0,"",BaseCoalPlants!P411)</f>
        <v>15.842980976030599</v>
      </c>
      <c r="R381" s="1">
        <f>IF(BaseCoalPlants!Q411=0,"",BaseCoalPlants!Q411)</f>
        <v>21.677069281099101</v>
      </c>
      <c r="S381" s="1">
        <f>IF(BaseCoalPlants!R411=0,"",BaseCoalPlants!R411)</f>
        <v>19.831084394682101</v>
      </c>
      <c r="T381" s="1">
        <f>IF(BaseCoalPlants!S411=0,"",BaseCoalPlants!S411)</f>
        <v>24.3376818661146</v>
      </c>
      <c r="U381" s="1">
        <f>IF(BaseCoalPlants!T411=0,"",BaseCoalPlants!T411)</f>
        <v>20.095378605344798</v>
      </c>
      <c r="V381" s="1">
        <f>IF(BaseCoalPlants!U411=0,"",BaseCoalPlants!U411)</f>
        <v>18.041996336996299</v>
      </c>
    </row>
    <row r="382" spans="3:22" x14ac:dyDescent="0.35">
      <c r="C382" t="str">
        <f>IF(BaseCoalPlants!B412="VDA_FLOP",IF(BaseCoalPlants!D412="ELC","*","INPUT"),BaseCoalPlants!B412)</f>
        <v>NCAP_FOM</v>
      </c>
      <c r="D382" t="str">
        <f>IF(BaseCoalPlants!C412="","\I:",BaseCoalPlants!C412&amp;"_LE")</f>
        <v>ECSTMRBUO_LE</v>
      </c>
      <c r="E382" t="str">
        <f>IF(BaseCoalPlants!D412="-","",BaseCoalPlants!D412)</f>
        <v/>
      </c>
      <c r="F382" t="str">
        <f>IF(BaseCoalPlants!E412="-","",BaseCoalPlants!E412)</f>
        <v/>
      </c>
      <c r="G382" t="str">
        <f>IF(BaseCoalPlants!F412="-","",BaseCoalPlants!F412)</f>
        <v/>
      </c>
      <c r="H382">
        <f>IF(BaseCoalPlants!G412="-","",BaseCoalPlants!G412)</f>
        <v>2010</v>
      </c>
      <c r="I382" t="str">
        <f>IF(BaseCoalPlants!H412="-","",BaseCoalPlants!H412)</f>
        <v/>
      </c>
      <c r="J382" t="str">
        <f>IF(BaseCoalPlants!I412="-","",BaseCoalPlants!I412)</f>
        <v>USD05</v>
      </c>
      <c r="K382" t="str">
        <f>IF(BaseCoalPlants!J412="-","",BaseCoalPlants!J412)</f>
        <v/>
      </c>
      <c r="L382" t="str">
        <f>IF(BaseCoalPlants!K412="-","",BaseCoalPlants!K412)</f>
        <v/>
      </c>
      <c r="M382" s="1" t="str">
        <f>IF(BaseCoalPlants!L412=0,"",BaseCoalPlants!L412)</f>
        <v/>
      </c>
      <c r="N382" s="1">
        <f>IF(BaseCoalPlants!M412=0,"",BaseCoalPlants!M412)</f>
        <v>21.7074569803959</v>
      </c>
      <c r="O382" s="1">
        <f>IF(BaseCoalPlants!N412=0,"",BaseCoalPlants!N412)</f>
        <v>23.7500588799602</v>
      </c>
      <c r="P382" s="1">
        <f>IF(BaseCoalPlants!O412=0,"",BaseCoalPlants!O412)</f>
        <v>18.033481970103601</v>
      </c>
      <c r="Q382" s="1">
        <f>IF(BaseCoalPlants!P412=0,"",BaseCoalPlants!P412)</f>
        <v>15.842980976030599</v>
      </c>
      <c r="R382" s="1">
        <f>IF(BaseCoalPlants!Q412=0,"",BaseCoalPlants!Q412)</f>
        <v>21.677069281099101</v>
      </c>
      <c r="S382" s="1">
        <f>IF(BaseCoalPlants!R412=0,"",BaseCoalPlants!R412)</f>
        <v>19.831084394682101</v>
      </c>
      <c r="T382" s="1">
        <f>IF(BaseCoalPlants!S412=0,"",BaseCoalPlants!S412)</f>
        <v>24.3376818661146</v>
      </c>
      <c r="U382" s="1">
        <f>IF(BaseCoalPlants!T412=0,"",BaseCoalPlants!T412)</f>
        <v>20.095378605344798</v>
      </c>
      <c r="V382" s="1">
        <f>IF(BaseCoalPlants!U412=0,"",BaseCoalPlants!U412)</f>
        <v>18.041996336996299</v>
      </c>
    </row>
    <row r="383" spans="3:22" x14ac:dyDescent="0.35">
      <c r="C383" t="str">
        <f>IF(BaseCoalPlants!B413="VDA_FLOP",IF(BaseCoalPlants!D413="ELC","*","INPUT"),BaseCoalPlants!B413)</f>
        <v>NCAP_FOM</v>
      </c>
      <c r="D383" t="str">
        <f>IF(BaseCoalPlants!C413="","\I:",BaseCoalPlants!C413&amp;"_LE")</f>
        <v>ECSTMRBUR_LE</v>
      </c>
      <c r="E383" t="str">
        <f>IF(BaseCoalPlants!D413="-","",BaseCoalPlants!D413)</f>
        <v/>
      </c>
      <c r="F383" t="str">
        <f>IF(BaseCoalPlants!E413="-","",BaseCoalPlants!E413)</f>
        <v/>
      </c>
      <c r="G383" t="str">
        <f>IF(BaseCoalPlants!F413="-","",BaseCoalPlants!F413)</f>
        <v/>
      </c>
      <c r="H383">
        <f>IF(BaseCoalPlants!G413="-","",BaseCoalPlants!G413)</f>
        <v>2010</v>
      </c>
      <c r="I383" t="str">
        <f>IF(BaseCoalPlants!H413="-","",BaseCoalPlants!H413)</f>
        <v/>
      </c>
      <c r="J383" t="str">
        <f>IF(BaseCoalPlants!I413="-","",BaseCoalPlants!I413)</f>
        <v>USD05</v>
      </c>
      <c r="K383" t="str">
        <f>IF(BaseCoalPlants!J413="-","",BaseCoalPlants!J413)</f>
        <v/>
      </c>
      <c r="L383" t="str">
        <f>IF(BaseCoalPlants!K413="-","",BaseCoalPlants!K413)</f>
        <v/>
      </c>
      <c r="M383" s="1" t="str">
        <f>IF(BaseCoalPlants!L413=0,"",BaseCoalPlants!L413)</f>
        <v/>
      </c>
      <c r="N383" s="1">
        <f>IF(BaseCoalPlants!M413=0,"",BaseCoalPlants!M413)</f>
        <v>21.7074569803959</v>
      </c>
      <c r="O383" s="1">
        <f>IF(BaseCoalPlants!N413=0,"",BaseCoalPlants!N413)</f>
        <v>23.7500588799602</v>
      </c>
      <c r="P383" s="1">
        <f>IF(BaseCoalPlants!O413=0,"",BaseCoalPlants!O413)</f>
        <v>18.033481970103601</v>
      </c>
      <c r="Q383" s="1">
        <f>IF(BaseCoalPlants!P413=0,"",BaseCoalPlants!P413)</f>
        <v>15.842980976030599</v>
      </c>
      <c r="R383" s="1">
        <f>IF(BaseCoalPlants!Q413=0,"",BaseCoalPlants!Q413)</f>
        <v>21.677069281099101</v>
      </c>
      <c r="S383" s="1">
        <f>IF(BaseCoalPlants!R413=0,"",BaseCoalPlants!R413)</f>
        <v>19.831084394682101</v>
      </c>
      <c r="T383" s="1">
        <f>IF(BaseCoalPlants!S413=0,"",BaseCoalPlants!S413)</f>
        <v>24.3376818661146</v>
      </c>
      <c r="U383" s="1">
        <f>IF(BaseCoalPlants!T413=0,"",BaseCoalPlants!T413)</f>
        <v>20.095378605344798</v>
      </c>
      <c r="V383" s="1">
        <f>IF(BaseCoalPlants!U413=0,"",BaseCoalPlants!U413)</f>
        <v>18.041996336996299</v>
      </c>
    </row>
    <row r="384" spans="3:22" x14ac:dyDescent="0.35">
      <c r="C384" t="str">
        <f>IF(BaseCoalPlants!B415="VDA_FLOP",IF(BaseCoalPlants!D415="ELC","*","INPUT"),BaseCoalPlants!B415)</f>
        <v>NCAP_FOM</v>
      </c>
      <c r="D384" t="str">
        <f>IF(BaseCoalPlants!C415="","\I:",BaseCoalPlants!C415&amp;"_LE")</f>
        <v>ECSTMRLOO_LE</v>
      </c>
      <c r="E384" t="str">
        <f>IF(BaseCoalPlants!D415="-","",BaseCoalPlants!D415)</f>
        <v/>
      </c>
      <c r="F384" t="str">
        <f>IF(BaseCoalPlants!E415="-","",BaseCoalPlants!E415)</f>
        <v/>
      </c>
      <c r="G384" t="str">
        <f>IF(BaseCoalPlants!F415="-","",BaseCoalPlants!F415)</f>
        <v/>
      </c>
      <c r="H384">
        <f>IF(BaseCoalPlants!G415="-","",BaseCoalPlants!G415)</f>
        <v>2010</v>
      </c>
      <c r="I384" t="str">
        <f>IF(BaseCoalPlants!H415="-","",BaseCoalPlants!H415)</f>
        <v/>
      </c>
      <c r="J384" t="str">
        <f>IF(BaseCoalPlants!I415="-","",BaseCoalPlants!I415)</f>
        <v>USD05</v>
      </c>
      <c r="K384" t="str">
        <f>IF(BaseCoalPlants!J415="-","",BaseCoalPlants!J415)</f>
        <v/>
      </c>
      <c r="L384" t="str">
        <f>IF(BaseCoalPlants!K415="-","",BaseCoalPlants!K415)</f>
        <v/>
      </c>
      <c r="M384" s="1" t="str">
        <f>IF(BaseCoalPlants!L415=0,"",BaseCoalPlants!L415)</f>
        <v/>
      </c>
      <c r="N384" s="1">
        <f>IF(BaseCoalPlants!M415=0,"",BaseCoalPlants!M415)</f>
        <v>21.7074569803959</v>
      </c>
      <c r="O384" s="1">
        <f>IF(BaseCoalPlants!N415=0,"",BaseCoalPlants!N415)</f>
        <v>23.7500588799602</v>
      </c>
      <c r="P384" s="1">
        <f>IF(BaseCoalPlants!O415=0,"",BaseCoalPlants!O415)</f>
        <v>18.033481970103601</v>
      </c>
      <c r="Q384" s="1">
        <f>IF(BaseCoalPlants!P415=0,"",BaseCoalPlants!P415)</f>
        <v>15.842980976030599</v>
      </c>
      <c r="R384" s="1">
        <f>IF(BaseCoalPlants!Q415=0,"",BaseCoalPlants!Q415)</f>
        <v>21.677069281099101</v>
      </c>
      <c r="S384" s="1">
        <f>IF(BaseCoalPlants!R415=0,"",BaseCoalPlants!R415)</f>
        <v>19.831084394682101</v>
      </c>
      <c r="T384" s="1">
        <f>IF(BaseCoalPlants!S415=0,"",BaseCoalPlants!S415)</f>
        <v>24.3376818661146</v>
      </c>
      <c r="U384" s="1">
        <f>IF(BaseCoalPlants!T415=0,"",BaseCoalPlants!T415)</f>
        <v>20.095378605344798</v>
      </c>
      <c r="V384" s="1">
        <f>IF(BaseCoalPlants!U415=0,"",BaseCoalPlants!U415)</f>
        <v>18.041996336996299</v>
      </c>
    </row>
    <row r="385" spans="3:22" x14ac:dyDescent="0.35">
      <c r="C385" t="str">
        <f>IF(BaseCoalPlants!B416="VDA_FLOP",IF(BaseCoalPlants!D416="ELC","*","INPUT"),BaseCoalPlants!B416)</f>
        <v>NCAP_FOM</v>
      </c>
      <c r="D385" t="str">
        <f>IF(BaseCoalPlants!C416="","\I:",BaseCoalPlants!C416&amp;"_LE")</f>
        <v>ECSTMRLOR_LE</v>
      </c>
      <c r="E385" t="str">
        <f>IF(BaseCoalPlants!D416="-","",BaseCoalPlants!D416)</f>
        <v/>
      </c>
      <c r="F385" t="str">
        <f>IF(BaseCoalPlants!E416="-","",BaseCoalPlants!E416)</f>
        <v/>
      </c>
      <c r="G385" t="str">
        <f>IF(BaseCoalPlants!F416="-","",BaseCoalPlants!F416)</f>
        <v/>
      </c>
      <c r="H385">
        <f>IF(BaseCoalPlants!G416="-","",BaseCoalPlants!G416)</f>
        <v>2010</v>
      </c>
      <c r="I385" t="str">
        <f>IF(BaseCoalPlants!H416="-","",BaseCoalPlants!H416)</f>
        <v/>
      </c>
      <c r="J385" t="str">
        <f>IF(BaseCoalPlants!I416="-","",BaseCoalPlants!I416)</f>
        <v>USD05</v>
      </c>
      <c r="K385" t="str">
        <f>IF(BaseCoalPlants!J416="-","",BaseCoalPlants!J416)</f>
        <v/>
      </c>
      <c r="L385" t="str">
        <f>IF(BaseCoalPlants!K416="-","",BaseCoalPlants!K416)</f>
        <v/>
      </c>
      <c r="M385" s="1" t="str">
        <f>IF(BaseCoalPlants!L416=0,"",BaseCoalPlants!L416)</f>
        <v/>
      </c>
      <c r="N385" s="1">
        <f>IF(BaseCoalPlants!M416=0,"",BaseCoalPlants!M416)</f>
        <v>21.7074569803959</v>
      </c>
      <c r="O385" s="1">
        <f>IF(BaseCoalPlants!N416=0,"",BaseCoalPlants!N416)</f>
        <v>23.7500588799602</v>
      </c>
      <c r="P385" s="1">
        <f>IF(BaseCoalPlants!O416=0,"",BaseCoalPlants!O416)</f>
        <v>18.033481970103601</v>
      </c>
      <c r="Q385" s="1">
        <f>IF(BaseCoalPlants!P416=0,"",BaseCoalPlants!P416)</f>
        <v>15.842980976030599</v>
      </c>
      <c r="R385" s="1">
        <f>IF(BaseCoalPlants!Q416=0,"",BaseCoalPlants!Q416)</f>
        <v>21.677069281099101</v>
      </c>
      <c r="S385" s="1">
        <f>IF(BaseCoalPlants!R416=0,"",BaseCoalPlants!R416)</f>
        <v>19.831084394682101</v>
      </c>
      <c r="T385" s="1">
        <f>IF(BaseCoalPlants!S416=0,"",BaseCoalPlants!S416)</f>
        <v>24.3376818661146</v>
      </c>
      <c r="U385" s="1">
        <f>IF(BaseCoalPlants!T416=0,"",BaseCoalPlants!T416)</f>
        <v>20.095378605344798</v>
      </c>
      <c r="V385" s="1">
        <f>IF(BaseCoalPlants!U416=0,"",BaseCoalPlants!U416)</f>
        <v>18.041996336996299</v>
      </c>
    </row>
    <row r="386" spans="3:22" x14ac:dyDescent="0.35">
      <c r="C386" t="str">
        <f>IF(BaseCoalPlants!B417="VDA_FLOP",IF(BaseCoalPlants!D417="ELC","*","INPUT"),BaseCoalPlants!B417)</f>
        <v>NCAP_FOM</v>
      </c>
      <c r="D386" t="str">
        <f>IF(BaseCoalPlants!C417="","\I:",BaseCoalPlants!C417&amp;"_LE")</f>
        <v>ECSTMRLUO_LE</v>
      </c>
      <c r="E386" t="str">
        <f>IF(BaseCoalPlants!D417="-","",BaseCoalPlants!D417)</f>
        <v/>
      </c>
      <c r="F386" t="str">
        <f>IF(BaseCoalPlants!E417="-","",BaseCoalPlants!E417)</f>
        <v/>
      </c>
      <c r="G386" t="str">
        <f>IF(BaseCoalPlants!F417="-","",BaseCoalPlants!F417)</f>
        <v/>
      </c>
      <c r="H386">
        <f>IF(BaseCoalPlants!G417="-","",BaseCoalPlants!G417)</f>
        <v>2010</v>
      </c>
      <c r="I386" t="str">
        <f>IF(BaseCoalPlants!H417="-","",BaseCoalPlants!H417)</f>
        <v/>
      </c>
      <c r="J386" t="str">
        <f>IF(BaseCoalPlants!I417="-","",BaseCoalPlants!I417)</f>
        <v>USD05</v>
      </c>
      <c r="K386" t="str">
        <f>IF(BaseCoalPlants!J417="-","",BaseCoalPlants!J417)</f>
        <v/>
      </c>
      <c r="L386" t="str">
        <f>IF(BaseCoalPlants!K417="-","",BaseCoalPlants!K417)</f>
        <v/>
      </c>
      <c r="M386" s="1" t="str">
        <f>IF(BaseCoalPlants!L417=0,"",BaseCoalPlants!L417)</f>
        <v/>
      </c>
      <c r="N386" s="1">
        <f>IF(BaseCoalPlants!M417=0,"",BaseCoalPlants!M417)</f>
        <v>21.7074569803959</v>
      </c>
      <c r="O386" s="1">
        <f>IF(BaseCoalPlants!N417=0,"",BaseCoalPlants!N417)</f>
        <v>23.7500588799602</v>
      </c>
      <c r="P386" s="1">
        <f>IF(BaseCoalPlants!O417=0,"",BaseCoalPlants!O417)</f>
        <v>18.033481970103601</v>
      </c>
      <c r="Q386" s="1">
        <f>IF(BaseCoalPlants!P417=0,"",BaseCoalPlants!P417)</f>
        <v>15.842980976030599</v>
      </c>
      <c r="R386" s="1">
        <f>IF(BaseCoalPlants!Q417=0,"",BaseCoalPlants!Q417)</f>
        <v>21.677069281099101</v>
      </c>
      <c r="S386" s="1">
        <f>IF(BaseCoalPlants!R417=0,"",BaseCoalPlants!R417)</f>
        <v>19.831084394682101</v>
      </c>
      <c r="T386" s="1">
        <f>IF(BaseCoalPlants!S417=0,"",BaseCoalPlants!S417)</f>
        <v>24.3376818661146</v>
      </c>
      <c r="U386" s="1">
        <f>IF(BaseCoalPlants!T417=0,"",BaseCoalPlants!T417)</f>
        <v>20.095378605344798</v>
      </c>
      <c r="V386" s="1">
        <f>IF(BaseCoalPlants!U417=0,"",BaseCoalPlants!U417)</f>
        <v>18.041996336996299</v>
      </c>
    </row>
    <row r="387" spans="3:22" x14ac:dyDescent="0.35">
      <c r="C387" t="str">
        <f>IF(BaseCoalPlants!B420="VDA_FLOP",IF(BaseCoalPlants!D420="ELC","*","INPUT"),BaseCoalPlants!B420)</f>
        <v>NCAP_FOM</v>
      </c>
      <c r="D387" t="str">
        <f>IF(BaseCoalPlants!C420="","\I:",BaseCoalPlants!C420&amp;"_LE")</f>
        <v>ECSTMRSOO_LE</v>
      </c>
      <c r="E387" t="str">
        <f>IF(BaseCoalPlants!D420="-","",BaseCoalPlants!D420)</f>
        <v/>
      </c>
      <c r="F387" t="str">
        <f>IF(BaseCoalPlants!E420="-","",BaseCoalPlants!E420)</f>
        <v/>
      </c>
      <c r="G387" t="str">
        <f>IF(BaseCoalPlants!F420="-","",BaseCoalPlants!F420)</f>
        <v/>
      </c>
      <c r="H387">
        <f>IF(BaseCoalPlants!G420="-","",BaseCoalPlants!G420)</f>
        <v>2010</v>
      </c>
      <c r="I387" t="str">
        <f>IF(BaseCoalPlants!H420="-","",BaseCoalPlants!H420)</f>
        <v/>
      </c>
      <c r="J387" t="str">
        <f>IF(BaseCoalPlants!I420="-","",BaseCoalPlants!I420)</f>
        <v>USD05</v>
      </c>
      <c r="K387" t="str">
        <f>IF(BaseCoalPlants!J420="-","",BaseCoalPlants!J420)</f>
        <v/>
      </c>
      <c r="L387" t="str">
        <f>IF(BaseCoalPlants!K420="-","",BaseCoalPlants!K420)</f>
        <v/>
      </c>
      <c r="M387" s="1" t="str">
        <f>IF(BaseCoalPlants!L420=0,"",BaseCoalPlants!L420)</f>
        <v/>
      </c>
      <c r="N387" s="1">
        <f>IF(BaseCoalPlants!M420=0,"",BaseCoalPlants!M420)</f>
        <v>21.7074569803959</v>
      </c>
      <c r="O387" s="1">
        <f>IF(BaseCoalPlants!N420=0,"",BaseCoalPlants!N420)</f>
        <v>23.7500588799602</v>
      </c>
      <c r="P387" s="1">
        <f>IF(BaseCoalPlants!O420=0,"",BaseCoalPlants!O420)</f>
        <v>18.033481970103601</v>
      </c>
      <c r="Q387" s="1">
        <f>IF(BaseCoalPlants!P420=0,"",BaseCoalPlants!P420)</f>
        <v>15.842980976030599</v>
      </c>
      <c r="R387" s="1">
        <f>IF(BaseCoalPlants!Q420=0,"",BaseCoalPlants!Q420)</f>
        <v>21.677069281099101</v>
      </c>
      <c r="S387" s="1">
        <f>IF(BaseCoalPlants!R420=0,"",BaseCoalPlants!R420)</f>
        <v>19.831084394682101</v>
      </c>
      <c r="T387" s="1">
        <f>IF(BaseCoalPlants!S420=0,"",BaseCoalPlants!S420)</f>
        <v>24.3376818661146</v>
      </c>
      <c r="U387" s="1">
        <f>IF(BaseCoalPlants!T420=0,"",BaseCoalPlants!T420)</f>
        <v>20.095378605344798</v>
      </c>
      <c r="V387" s="1">
        <f>IF(BaseCoalPlants!U420=0,"",BaseCoalPlants!U420)</f>
        <v>18.041996336996299</v>
      </c>
    </row>
    <row r="388" spans="3:22" x14ac:dyDescent="0.35">
      <c r="C388" t="str">
        <f>IF(BaseCoalPlants!B421="VDA_FLOP",IF(BaseCoalPlants!D421="ELC","*","INPUT"),BaseCoalPlants!B421)</f>
        <v>NCAP_FOM</v>
      </c>
      <c r="D388" t="str">
        <f>IF(BaseCoalPlants!C421="","\I:",BaseCoalPlants!C421&amp;"_LE")</f>
        <v>ECSTMRSOR_LE</v>
      </c>
      <c r="E388" t="str">
        <f>IF(BaseCoalPlants!D421="-","",BaseCoalPlants!D421)</f>
        <v/>
      </c>
      <c r="F388" t="str">
        <f>IF(BaseCoalPlants!E421="-","",BaseCoalPlants!E421)</f>
        <v/>
      </c>
      <c r="G388" t="str">
        <f>IF(BaseCoalPlants!F421="-","",BaseCoalPlants!F421)</f>
        <v/>
      </c>
      <c r="H388">
        <f>IF(BaseCoalPlants!G421="-","",BaseCoalPlants!G421)</f>
        <v>2010</v>
      </c>
      <c r="I388" t="str">
        <f>IF(BaseCoalPlants!H421="-","",BaseCoalPlants!H421)</f>
        <v/>
      </c>
      <c r="J388" t="str">
        <f>IF(BaseCoalPlants!I421="-","",BaseCoalPlants!I421)</f>
        <v>USD05</v>
      </c>
      <c r="K388" t="str">
        <f>IF(BaseCoalPlants!J421="-","",BaseCoalPlants!J421)</f>
        <v/>
      </c>
      <c r="L388" t="str">
        <f>IF(BaseCoalPlants!K421="-","",BaseCoalPlants!K421)</f>
        <v/>
      </c>
      <c r="M388" s="1" t="str">
        <f>IF(BaseCoalPlants!L421=0,"",BaseCoalPlants!L421)</f>
        <v/>
      </c>
      <c r="N388" s="1">
        <f>IF(BaseCoalPlants!M421=0,"",BaseCoalPlants!M421)</f>
        <v>21.7074569803959</v>
      </c>
      <c r="O388" s="1">
        <f>IF(BaseCoalPlants!N421=0,"",BaseCoalPlants!N421)</f>
        <v>23.7500588799602</v>
      </c>
      <c r="P388" s="1">
        <f>IF(BaseCoalPlants!O421=0,"",BaseCoalPlants!O421)</f>
        <v>18.033481970103601</v>
      </c>
      <c r="Q388" s="1">
        <f>IF(BaseCoalPlants!P421=0,"",BaseCoalPlants!P421)</f>
        <v>15.842980976030599</v>
      </c>
      <c r="R388" s="1">
        <f>IF(BaseCoalPlants!Q421=0,"",BaseCoalPlants!Q421)</f>
        <v>21.677069281099101</v>
      </c>
      <c r="S388" s="1">
        <f>IF(BaseCoalPlants!R421=0,"",BaseCoalPlants!R421)</f>
        <v>19.831084394682101</v>
      </c>
      <c r="T388" s="1">
        <f>IF(BaseCoalPlants!S421=0,"",BaseCoalPlants!S421)</f>
        <v>24.3376818661146</v>
      </c>
      <c r="U388" s="1">
        <f>IF(BaseCoalPlants!T421=0,"",BaseCoalPlants!T421)</f>
        <v>20.095378605344798</v>
      </c>
      <c r="V388" s="1">
        <f>IF(BaseCoalPlants!U421=0,"",BaseCoalPlants!U421)</f>
        <v>18.041996336996299</v>
      </c>
    </row>
    <row r="389" spans="3:22" x14ac:dyDescent="0.35">
      <c r="C389" t="str">
        <f>IF(BaseCoalPlants!B422="VDA_FLOP",IF(BaseCoalPlants!D422="ELC","*","INPUT"),BaseCoalPlants!B422)</f>
        <v>NCAP_FOM</v>
      </c>
      <c r="D389" t="str">
        <f>IF(BaseCoalPlants!C422="","\I:",BaseCoalPlants!C422&amp;"_LE")</f>
        <v>ECSTMRSUO_LE</v>
      </c>
      <c r="E389" t="str">
        <f>IF(BaseCoalPlants!D422="-","",BaseCoalPlants!D422)</f>
        <v/>
      </c>
      <c r="F389" t="str">
        <f>IF(BaseCoalPlants!E422="-","",BaseCoalPlants!E422)</f>
        <v/>
      </c>
      <c r="G389" t="str">
        <f>IF(BaseCoalPlants!F422="-","",BaseCoalPlants!F422)</f>
        <v/>
      </c>
      <c r="H389">
        <f>IF(BaseCoalPlants!G422="-","",BaseCoalPlants!G422)</f>
        <v>2010</v>
      </c>
      <c r="I389" t="str">
        <f>IF(BaseCoalPlants!H422="-","",BaseCoalPlants!H422)</f>
        <v/>
      </c>
      <c r="J389" t="str">
        <f>IF(BaseCoalPlants!I422="-","",BaseCoalPlants!I422)</f>
        <v>USD05</v>
      </c>
      <c r="K389" t="str">
        <f>IF(BaseCoalPlants!J422="-","",BaseCoalPlants!J422)</f>
        <v/>
      </c>
      <c r="L389" t="str">
        <f>IF(BaseCoalPlants!K422="-","",BaseCoalPlants!K422)</f>
        <v/>
      </c>
      <c r="M389" s="1" t="str">
        <f>IF(BaseCoalPlants!L422=0,"",BaseCoalPlants!L422)</f>
        <v/>
      </c>
      <c r="N389" s="1">
        <f>IF(BaseCoalPlants!M422=0,"",BaseCoalPlants!M422)</f>
        <v>21.7074569803959</v>
      </c>
      <c r="O389" s="1">
        <f>IF(BaseCoalPlants!N422=0,"",BaseCoalPlants!N422)</f>
        <v>23.7500588799602</v>
      </c>
      <c r="P389" s="1">
        <f>IF(BaseCoalPlants!O422=0,"",BaseCoalPlants!O422)</f>
        <v>18.033481970103601</v>
      </c>
      <c r="Q389" s="1">
        <f>IF(BaseCoalPlants!P422=0,"",BaseCoalPlants!P422)</f>
        <v>15.842980976030599</v>
      </c>
      <c r="R389" s="1">
        <f>IF(BaseCoalPlants!Q422=0,"",BaseCoalPlants!Q422)</f>
        <v>21.677069281099101</v>
      </c>
      <c r="S389" s="1">
        <f>IF(BaseCoalPlants!R422=0,"",BaseCoalPlants!R422)</f>
        <v>19.831084394682101</v>
      </c>
      <c r="T389" s="1">
        <f>IF(BaseCoalPlants!S422=0,"",BaseCoalPlants!S422)</f>
        <v>24.3376818661146</v>
      </c>
      <c r="U389" s="1">
        <f>IF(BaseCoalPlants!T422=0,"",BaseCoalPlants!T422)</f>
        <v>20.095378605344798</v>
      </c>
      <c r="V389" s="1">
        <f>IF(BaseCoalPlants!U422=0,"",BaseCoalPlants!U422)</f>
        <v>18.041996336996299</v>
      </c>
    </row>
    <row r="390" spans="3:22" x14ac:dyDescent="0.35">
      <c r="C390" t="str">
        <f>IF(BaseCoalPlants!B423="VDA_FLOP",IF(BaseCoalPlants!D423="ELC","*","INPUT"),BaseCoalPlants!B423)</f>
        <v>NCAP_FOM</v>
      </c>
      <c r="D390" t="str">
        <f>IF(BaseCoalPlants!C423="","\I:",BaseCoalPlants!C423&amp;"_LE")</f>
        <v>ECSTMRSUR_LE</v>
      </c>
      <c r="E390" t="str">
        <f>IF(BaseCoalPlants!D423="-","",BaseCoalPlants!D423)</f>
        <v/>
      </c>
      <c r="F390" t="str">
        <f>IF(BaseCoalPlants!E423="-","",BaseCoalPlants!E423)</f>
        <v/>
      </c>
      <c r="G390" t="str">
        <f>IF(BaseCoalPlants!F423="-","",BaseCoalPlants!F423)</f>
        <v/>
      </c>
      <c r="H390">
        <f>IF(BaseCoalPlants!G423="-","",BaseCoalPlants!G423)</f>
        <v>2010</v>
      </c>
      <c r="I390" t="str">
        <f>IF(BaseCoalPlants!H423="-","",BaseCoalPlants!H423)</f>
        <v/>
      </c>
      <c r="J390" t="str">
        <f>IF(BaseCoalPlants!I423="-","",BaseCoalPlants!I423)</f>
        <v>USD05</v>
      </c>
      <c r="K390" t="str">
        <f>IF(BaseCoalPlants!J423="-","",BaseCoalPlants!J423)</f>
        <v/>
      </c>
      <c r="L390" t="str">
        <f>IF(BaseCoalPlants!K423="-","",BaseCoalPlants!K423)</f>
        <v/>
      </c>
      <c r="M390" s="1" t="str">
        <f>IF(BaseCoalPlants!L423=0,"",BaseCoalPlants!L423)</f>
        <v/>
      </c>
      <c r="N390" s="1">
        <f>IF(BaseCoalPlants!M423=0,"",BaseCoalPlants!M423)</f>
        <v>21.7074569803959</v>
      </c>
      <c r="O390" s="1">
        <f>IF(BaseCoalPlants!N423=0,"",BaseCoalPlants!N423)</f>
        <v>23.7500588799602</v>
      </c>
      <c r="P390" s="1">
        <f>IF(BaseCoalPlants!O423=0,"",BaseCoalPlants!O423)</f>
        <v>18.033481970103601</v>
      </c>
      <c r="Q390" s="1">
        <f>IF(BaseCoalPlants!P423=0,"",BaseCoalPlants!P423)</f>
        <v>15.842980976030599</v>
      </c>
      <c r="R390" s="1">
        <f>IF(BaseCoalPlants!Q423=0,"",BaseCoalPlants!Q423)</f>
        <v>21.677069281099101</v>
      </c>
      <c r="S390" s="1">
        <f>IF(BaseCoalPlants!R423=0,"",BaseCoalPlants!R423)</f>
        <v>19.831084394682101</v>
      </c>
      <c r="T390" s="1">
        <f>IF(BaseCoalPlants!S423=0,"",BaseCoalPlants!S423)</f>
        <v>24.3376818661146</v>
      </c>
      <c r="U390" s="1">
        <f>IF(BaseCoalPlants!T423=0,"",BaseCoalPlants!T423)</f>
        <v>20.095378605344798</v>
      </c>
      <c r="V390" s="1">
        <f>IF(BaseCoalPlants!U423=0,"",BaseCoalPlants!U423)</f>
        <v>18.041996336996299</v>
      </c>
    </row>
    <row r="391" spans="3:22" x14ac:dyDescent="0.35">
      <c r="C391" t="str">
        <f>IF(BaseCoalPlants!B425="VDA_FLOP",IF(BaseCoalPlants!D425="ELC","*","INPUT"),BaseCoalPlants!B425)</f>
        <v>NCAP_PKCNT</v>
      </c>
      <c r="D391" t="str">
        <f>IF(BaseCoalPlants!C425="","\I:",BaseCoalPlants!C425&amp;"_LE")</f>
        <v>ECSTMRBOO_LE</v>
      </c>
      <c r="E391" t="str">
        <f>IF(BaseCoalPlants!D425="-","",BaseCoalPlants!D425)</f>
        <v/>
      </c>
      <c r="F391" t="str">
        <f>IF(BaseCoalPlants!E425="-","",BaseCoalPlants!E425)</f>
        <v/>
      </c>
      <c r="G391" t="str">
        <f>IF(BaseCoalPlants!F425="-","",BaseCoalPlants!F425)</f>
        <v>ANNUAL</v>
      </c>
      <c r="H391">
        <f>IF(BaseCoalPlants!G425="-","",BaseCoalPlants!G425)</f>
        <v>2010</v>
      </c>
      <c r="I391" t="str">
        <f>IF(BaseCoalPlants!H425="-","",BaseCoalPlants!H425)</f>
        <v/>
      </c>
      <c r="J391" t="str">
        <f>IF(BaseCoalPlants!I425="-","",BaseCoalPlants!I425)</f>
        <v/>
      </c>
      <c r="K391" t="str">
        <f>IF(BaseCoalPlants!J425="-","",BaseCoalPlants!J425)</f>
        <v/>
      </c>
      <c r="L391" t="str">
        <f>IF(BaseCoalPlants!K425="-","",BaseCoalPlants!K425)</f>
        <v/>
      </c>
      <c r="M391" s="1">
        <f>IF(BaseCoalPlants!L425=0,"",BaseCoalPlants!L425)</f>
        <v>0.95</v>
      </c>
      <c r="N391" s="1">
        <f>IF(BaseCoalPlants!M425=0,"",BaseCoalPlants!M425)</f>
        <v>0.95</v>
      </c>
      <c r="O391" s="1">
        <f>IF(BaseCoalPlants!N425=0,"",BaseCoalPlants!N425)</f>
        <v>0.95</v>
      </c>
      <c r="P391" s="1">
        <f>IF(BaseCoalPlants!O425=0,"",BaseCoalPlants!O425)</f>
        <v>0.95</v>
      </c>
      <c r="Q391" s="1">
        <f>IF(BaseCoalPlants!P425=0,"",BaseCoalPlants!P425)</f>
        <v>0.95</v>
      </c>
      <c r="R391" s="1">
        <f>IF(BaseCoalPlants!Q425=0,"",BaseCoalPlants!Q425)</f>
        <v>0.95</v>
      </c>
      <c r="S391" s="1">
        <f>IF(BaseCoalPlants!R425=0,"",BaseCoalPlants!R425)</f>
        <v>0.95</v>
      </c>
      <c r="T391" s="1">
        <f>IF(BaseCoalPlants!S425=0,"",BaseCoalPlants!S425)</f>
        <v>0.95</v>
      </c>
      <c r="U391" s="1">
        <f>IF(BaseCoalPlants!T425=0,"",BaseCoalPlants!T425)</f>
        <v>0.95</v>
      </c>
      <c r="V391" s="1">
        <f>IF(BaseCoalPlants!U425=0,"",BaseCoalPlants!U425)</f>
        <v>0.95</v>
      </c>
    </row>
    <row r="392" spans="3:22" x14ac:dyDescent="0.35">
      <c r="C392" t="str">
        <f>IF(BaseCoalPlants!B426="VDA_FLOP",IF(BaseCoalPlants!D426="ELC","*","INPUT"),BaseCoalPlants!B426)</f>
        <v>NCAP_PKCNT</v>
      </c>
      <c r="D392" t="str">
        <f>IF(BaseCoalPlants!C426="","\I:",BaseCoalPlants!C426&amp;"_LE")</f>
        <v>ECSTMRBOR_LE</v>
      </c>
      <c r="E392" t="str">
        <f>IF(BaseCoalPlants!D426="-","",BaseCoalPlants!D426)</f>
        <v/>
      </c>
      <c r="F392" t="str">
        <f>IF(BaseCoalPlants!E426="-","",BaseCoalPlants!E426)</f>
        <v/>
      </c>
      <c r="G392" t="str">
        <f>IF(BaseCoalPlants!F426="-","",BaseCoalPlants!F426)</f>
        <v>ANNUAL</v>
      </c>
      <c r="H392">
        <f>IF(BaseCoalPlants!G426="-","",BaseCoalPlants!G426)</f>
        <v>2010</v>
      </c>
      <c r="I392" t="str">
        <f>IF(BaseCoalPlants!H426="-","",BaseCoalPlants!H426)</f>
        <v/>
      </c>
      <c r="J392" t="str">
        <f>IF(BaseCoalPlants!I426="-","",BaseCoalPlants!I426)</f>
        <v/>
      </c>
      <c r="K392" t="str">
        <f>IF(BaseCoalPlants!J426="-","",BaseCoalPlants!J426)</f>
        <v/>
      </c>
      <c r="L392" t="str">
        <f>IF(BaseCoalPlants!K426="-","",BaseCoalPlants!K426)</f>
        <v/>
      </c>
      <c r="M392" s="1">
        <f>IF(BaseCoalPlants!L426=0,"",BaseCoalPlants!L426)</f>
        <v>0.95</v>
      </c>
      <c r="N392" s="1">
        <f>IF(BaseCoalPlants!M426=0,"",BaseCoalPlants!M426)</f>
        <v>0.95</v>
      </c>
      <c r="O392" s="1">
        <f>IF(BaseCoalPlants!N426=0,"",BaseCoalPlants!N426)</f>
        <v>0.95</v>
      </c>
      <c r="P392" s="1">
        <f>IF(BaseCoalPlants!O426=0,"",BaseCoalPlants!O426)</f>
        <v>0.95</v>
      </c>
      <c r="Q392" s="1">
        <f>IF(BaseCoalPlants!P426=0,"",BaseCoalPlants!P426)</f>
        <v>0.95</v>
      </c>
      <c r="R392" s="1">
        <f>IF(BaseCoalPlants!Q426=0,"",BaseCoalPlants!Q426)</f>
        <v>0.95</v>
      </c>
      <c r="S392" s="1">
        <f>IF(BaseCoalPlants!R426=0,"",BaseCoalPlants!R426)</f>
        <v>0.95</v>
      </c>
      <c r="T392" s="1">
        <f>IF(BaseCoalPlants!S426=0,"",BaseCoalPlants!S426)</f>
        <v>0.95</v>
      </c>
      <c r="U392" s="1">
        <f>IF(BaseCoalPlants!T426=0,"",BaseCoalPlants!T426)</f>
        <v>0.95</v>
      </c>
      <c r="V392" s="1">
        <f>IF(BaseCoalPlants!U426=0,"",BaseCoalPlants!U426)</f>
        <v>0.95</v>
      </c>
    </row>
    <row r="393" spans="3:22" x14ac:dyDescent="0.35">
      <c r="C393" t="str">
        <f>IF(BaseCoalPlants!B427="VDA_FLOP",IF(BaseCoalPlants!D427="ELC","*","INPUT"),BaseCoalPlants!B427)</f>
        <v>NCAP_PKCNT</v>
      </c>
      <c r="D393" t="str">
        <f>IF(BaseCoalPlants!C427="","\I:",BaseCoalPlants!C427&amp;"_LE")</f>
        <v>ECSTMRBUO_LE</v>
      </c>
      <c r="E393" t="str">
        <f>IF(BaseCoalPlants!D427="-","",BaseCoalPlants!D427)</f>
        <v/>
      </c>
      <c r="F393" t="str">
        <f>IF(BaseCoalPlants!E427="-","",BaseCoalPlants!E427)</f>
        <v/>
      </c>
      <c r="G393" t="str">
        <f>IF(BaseCoalPlants!F427="-","",BaseCoalPlants!F427)</f>
        <v>ANNUAL</v>
      </c>
      <c r="H393">
        <f>IF(BaseCoalPlants!G427="-","",BaseCoalPlants!G427)</f>
        <v>2010</v>
      </c>
      <c r="I393" t="str">
        <f>IF(BaseCoalPlants!H427="-","",BaseCoalPlants!H427)</f>
        <v/>
      </c>
      <c r="J393" t="str">
        <f>IF(BaseCoalPlants!I427="-","",BaseCoalPlants!I427)</f>
        <v/>
      </c>
      <c r="K393" t="str">
        <f>IF(BaseCoalPlants!J427="-","",BaseCoalPlants!J427)</f>
        <v/>
      </c>
      <c r="L393" t="str">
        <f>IF(BaseCoalPlants!K427="-","",BaseCoalPlants!K427)</f>
        <v/>
      </c>
      <c r="M393" s="1">
        <f>IF(BaseCoalPlants!L427=0,"",BaseCoalPlants!L427)</f>
        <v>0.95</v>
      </c>
      <c r="N393" s="1">
        <f>IF(BaseCoalPlants!M427=0,"",BaseCoalPlants!M427)</f>
        <v>0.95</v>
      </c>
      <c r="O393" s="1">
        <f>IF(BaseCoalPlants!N427=0,"",BaseCoalPlants!N427)</f>
        <v>0.95</v>
      </c>
      <c r="P393" s="1">
        <f>IF(BaseCoalPlants!O427=0,"",BaseCoalPlants!O427)</f>
        <v>0.95</v>
      </c>
      <c r="Q393" s="1">
        <f>IF(BaseCoalPlants!P427=0,"",BaseCoalPlants!P427)</f>
        <v>0.95</v>
      </c>
      <c r="R393" s="1">
        <f>IF(BaseCoalPlants!Q427=0,"",BaseCoalPlants!Q427)</f>
        <v>0.95</v>
      </c>
      <c r="S393" s="1">
        <f>IF(BaseCoalPlants!R427=0,"",BaseCoalPlants!R427)</f>
        <v>0.95</v>
      </c>
      <c r="T393" s="1">
        <f>IF(BaseCoalPlants!S427=0,"",BaseCoalPlants!S427)</f>
        <v>0.95</v>
      </c>
      <c r="U393" s="1">
        <f>IF(BaseCoalPlants!T427=0,"",BaseCoalPlants!T427)</f>
        <v>0.95</v>
      </c>
      <c r="V393" s="1">
        <f>IF(BaseCoalPlants!U427=0,"",BaseCoalPlants!U427)</f>
        <v>0.95</v>
      </c>
    </row>
    <row r="394" spans="3:22" x14ac:dyDescent="0.35">
      <c r="C394" t="str">
        <f>IF(BaseCoalPlants!B428="VDA_FLOP",IF(BaseCoalPlants!D428="ELC","*","INPUT"),BaseCoalPlants!B428)</f>
        <v>NCAP_PKCNT</v>
      </c>
      <c r="D394" t="str">
        <f>IF(BaseCoalPlants!C428="","\I:",BaseCoalPlants!C428&amp;"_LE")</f>
        <v>ECSTMRBUR_LE</v>
      </c>
      <c r="E394" t="str">
        <f>IF(BaseCoalPlants!D428="-","",BaseCoalPlants!D428)</f>
        <v/>
      </c>
      <c r="F394" t="str">
        <f>IF(BaseCoalPlants!E428="-","",BaseCoalPlants!E428)</f>
        <v/>
      </c>
      <c r="G394" t="str">
        <f>IF(BaseCoalPlants!F428="-","",BaseCoalPlants!F428)</f>
        <v>ANNUAL</v>
      </c>
      <c r="H394">
        <f>IF(BaseCoalPlants!G428="-","",BaseCoalPlants!G428)</f>
        <v>2010</v>
      </c>
      <c r="I394" t="str">
        <f>IF(BaseCoalPlants!H428="-","",BaseCoalPlants!H428)</f>
        <v/>
      </c>
      <c r="J394" t="str">
        <f>IF(BaseCoalPlants!I428="-","",BaseCoalPlants!I428)</f>
        <v/>
      </c>
      <c r="K394" t="str">
        <f>IF(BaseCoalPlants!J428="-","",BaseCoalPlants!J428)</f>
        <v/>
      </c>
      <c r="L394" t="str">
        <f>IF(BaseCoalPlants!K428="-","",BaseCoalPlants!K428)</f>
        <v/>
      </c>
      <c r="M394" s="1">
        <f>IF(BaseCoalPlants!L428=0,"",BaseCoalPlants!L428)</f>
        <v>0.95</v>
      </c>
      <c r="N394" s="1">
        <f>IF(BaseCoalPlants!M428=0,"",BaseCoalPlants!M428)</f>
        <v>0.95</v>
      </c>
      <c r="O394" s="1">
        <f>IF(BaseCoalPlants!N428=0,"",BaseCoalPlants!N428)</f>
        <v>0.95</v>
      </c>
      <c r="P394" s="1">
        <f>IF(BaseCoalPlants!O428=0,"",BaseCoalPlants!O428)</f>
        <v>0.95</v>
      </c>
      <c r="Q394" s="1">
        <f>IF(BaseCoalPlants!P428=0,"",BaseCoalPlants!P428)</f>
        <v>0.95</v>
      </c>
      <c r="R394" s="1">
        <f>IF(BaseCoalPlants!Q428=0,"",BaseCoalPlants!Q428)</f>
        <v>0.95</v>
      </c>
      <c r="S394" s="1">
        <f>IF(BaseCoalPlants!R428=0,"",BaseCoalPlants!R428)</f>
        <v>0.95</v>
      </c>
      <c r="T394" s="1">
        <f>IF(BaseCoalPlants!S428=0,"",BaseCoalPlants!S428)</f>
        <v>0.95</v>
      </c>
      <c r="U394" s="1">
        <f>IF(BaseCoalPlants!T428=0,"",BaseCoalPlants!T428)</f>
        <v>0.95</v>
      </c>
      <c r="V394" s="1">
        <f>IF(BaseCoalPlants!U428=0,"",BaseCoalPlants!U428)</f>
        <v>0.95</v>
      </c>
    </row>
    <row r="395" spans="3:22" x14ac:dyDescent="0.35">
      <c r="C395" t="str">
        <f>IF(BaseCoalPlants!B430="VDA_FLOP",IF(BaseCoalPlants!D430="ELC","*","INPUT"),BaseCoalPlants!B430)</f>
        <v>NCAP_PKCNT</v>
      </c>
      <c r="D395" t="str">
        <f>IF(BaseCoalPlants!C430="","\I:",BaseCoalPlants!C430&amp;"_LE")</f>
        <v>ECSTMRLOO_LE</v>
      </c>
      <c r="E395" t="str">
        <f>IF(BaseCoalPlants!D430="-","",BaseCoalPlants!D430)</f>
        <v/>
      </c>
      <c r="F395" t="str">
        <f>IF(BaseCoalPlants!E430="-","",BaseCoalPlants!E430)</f>
        <v/>
      </c>
      <c r="G395" t="str">
        <f>IF(BaseCoalPlants!F430="-","",BaseCoalPlants!F430)</f>
        <v>ANNUAL</v>
      </c>
      <c r="H395">
        <f>IF(BaseCoalPlants!G430="-","",BaseCoalPlants!G430)</f>
        <v>2010</v>
      </c>
      <c r="I395" t="str">
        <f>IF(BaseCoalPlants!H430="-","",BaseCoalPlants!H430)</f>
        <v/>
      </c>
      <c r="J395" t="str">
        <f>IF(BaseCoalPlants!I430="-","",BaseCoalPlants!I430)</f>
        <v/>
      </c>
      <c r="K395" t="str">
        <f>IF(BaseCoalPlants!J430="-","",BaseCoalPlants!J430)</f>
        <v/>
      </c>
      <c r="L395" t="str">
        <f>IF(BaseCoalPlants!K430="-","",BaseCoalPlants!K430)</f>
        <v/>
      </c>
      <c r="M395" s="1">
        <f>IF(BaseCoalPlants!L430=0,"",BaseCoalPlants!L430)</f>
        <v>0.95</v>
      </c>
      <c r="N395" s="1">
        <f>IF(BaseCoalPlants!M430=0,"",BaseCoalPlants!M430)</f>
        <v>0.95</v>
      </c>
      <c r="O395" s="1">
        <f>IF(BaseCoalPlants!N430=0,"",BaseCoalPlants!N430)</f>
        <v>0.95</v>
      </c>
      <c r="P395" s="1">
        <f>IF(BaseCoalPlants!O430=0,"",BaseCoalPlants!O430)</f>
        <v>0.95</v>
      </c>
      <c r="Q395" s="1">
        <f>IF(BaseCoalPlants!P430=0,"",BaseCoalPlants!P430)</f>
        <v>0.95</v>
      </c>
      <c r="R395" s="1">
        <f>IF(BaseCoalPlants!Q430=0,"",BaseCoalPlants!Q430)</f>
        <v>0.95</v>
      </c>
      <c r="S395" s="1">
        <f>IF(BaseCoalPlants!R430=0,"",BaseCoalPlants!R430)</f>
        <v>0.95</v>
      </c>
      <c r="T395" s="1">
        <f>IF(BaseCoalPlants!S430=0,"",BaseCoalPlants!S430)</f>
        <v>0.95</v>
      </c>
      <c r="U395" s="1">
        <f>IF(BaseCoalPlants!T430=0,"",BaseCoalPlants!T430)</f>
        <v>0.95</v>
      </c>
      <c r="V395" s="1">
        <f>IF(BaseCoalPlants!U430=0,"",BaseCoalPlants!U430)</f>
        <v>0.95</v>
      </c>
    </row>
    <row r="396" spans="3:22" x14ac:dyDescent="0.35">
      <c r="C396" t="str">
        <f>IF(BaseCoalPlants!B431="VDA_FLOP",IF(BaseCoalPlants!D431="ELC","*","INPUT"),BaseCoalPlants!B431)</f>
        <v>NCAP_PKCNT</v>
      </c>
      <c r="D396" t="str">
        <f>IF(BaseCoalPlants!C431="","\I:",BaseCoalPlants!C431&amp;"_LE")</f>
        <v>ECSTMRLOR_LE</v>
      </c>
      <c r="E396" t="str">
        <f>IF(BaseCoalPlants!D431="-","",BaseCoalPlants!D431)</f>
        <v/>
      </c>
      <c r="F396" t="str">
        <f>IF(BaseCoalPlants!E431="-","",BaseCoalPlants!E431)</f>
        <v/>
      </c>
      <c r="G396" t="str">
        <f>IF(BaseCoalPlants!F431="-","",BaseCoalPlants!F431)</f>
        <v>ANNUAL</v>
      </c>
      <c r="H396">
        <f>IF(BaseCoalPlants!G431="-","",BaseCoalPlants!G431)</f>
        <v>2010</v>
      </c>
      <c r="I396" t="str">
        <f>IF(BaseCoalPlants!H431="-","",BaseCoalPlants!H431)</f>
        <v/>
      </c>
      <c r="J396" t="str">
        <f>IF(BaseCoalPlants!I431="-","",BaseCoalPlants!I431)</f>
        <v/>
      </c>
      <c r="K396" t="str">
        <f>IF(BaseCoalPlants!J431="-","",BaseCoalPlants!J431)</f>
        <v/>
      </c>
      <c r="L396" t="str">
        <f>IF(BaseCoalPlants!K431="-","",BaseCoalPlants!K431)</f>
        <v/>
      </c>
      <c r="M396" s="1">
        <f>IF(BaseCoalPlants!L431=0,"",BaseCoalPlants!L431)</f>
        <v>0.95</v>
      </c>
      <c r="N396" s="1">
        <f>IF(BaseCoalPlants!M431=0,"",BaseCoalPlants!M431)</f>
        <v>0.95</v>
      </c>
      <c r="O396" s="1">
        <f>IF(BaseCoalPlants!N431=0,"",BaseCoalPlants!N431)</f>
        <v>0.95</v>
      </c>
      <c r="P396" s="1">
        <f>IF(BaseCoalPlants!O431=0,"",BaseCoalPlants!O431)</f>
        <v>0.95</v>
      </c>
      <c r="Q396" s="1">
        <f>IF(BaseCoalPlants!P431=0,"",BaseCoalPlants!P431)</f>
        <v>0.95</v>
      </c>
      <c r="R396" s="1">
        <f>IF(BaseCoalPlants!Q431=0,"",BaseCoalPlants!Q431)</f>
        <v>0.95</v>
      </c>
      <c r="S396" s="1">
        <f>IF(BaseCoalPlants!R431=0,"",BaseCoalPlants!R431)</f>
        <v>0.95</v>
      </c>
      <c r="T396" s="1">
        <f>IF(BaseCoalPlants!S431=0,"",BaseCoalPlants!S431)</f>
        <v>0.95</v>
      </c>
      <c r="U396" s="1">
        <f>IF(BaseCoalPlants!T431=0,"",BaseCoalPlants!T431)</f>
        <v>0.95</v>
      </c>
      <c r="V396" s="1">
        <f>IF(BaseCoalPlants!U431=0,"",BaseCoalPlants!U431)</f>
        <v>0.95</v>
      </c>
    </row>
    <row r="397" spans="3:22" x14ac:dyDescent="0.35">
      <c r="C397" t="str">
        <f>IF(BaseCoalPlants!B432="VDA_FLOP",IF(BaseCoalPlants!D432="ELC","*","INPUT"),BaseCoalPlants!B432)</f>
        <v>NCAP_PKCNT</v>
      </c>
      <c r="D397" t="str">
        <f>IF(BaseCoalPlants!C432="","\I:",BaseCoalPlants!C432&amp;"_LE")</f>
        <v>ECSTMRLUO_LE</v>
      </c>
      <c r="E397" t="str">
        <f>IF(BaseCoalPlants!D432="-","",BaseCoalPlants!D432)</f>
        <v/>
      </c>
      <c r="F397" t="str">
        <f>IF(BaseCoalPlants!E432="-","",BaseCoalPlants!E432)</f>
        <v/>
      </c>
      <c r="G397" t="str">
        <f>IF(BaseCoalPlants!F432="-","",BaseCoalPlants!F432)</f>
        <v>ANNUAL</v>
      </c>
      <c r="H397">
        <f>IF(BaseCoalPlants!G432="-","",BaseCoalPlants!G432)</f>
        <v>2010</v>
      </c>
      <c r="I397" t="str">
        <f>IF(BaseCoalPlants!H432="-","",BaseCoalPlants!H432)</f>
        <v/>
      </c>
      <c r="J397" t="str">
        <f>IF(BaseCoalPlants!I432="-","",BaseCoalPlants!I432)</f>
        <v/>
      </c>
      <c r="K397" t="str">
        <f>IF(BaseCoalPlants!J432="-","",BaseCoalPlants!J432)</f>
        <v/>
      </c>
      <c r="L397" t="str">
        <f>IF(BaseCoalPlants!K432="-","",BaseCoalPlants!K432)</f>
        <v/>
      </c>
      <c r="M397" s="1">
        <f>IF(BaseCoalPlants!L432=0,"",BaseCoalPlants!L432)</f>
        <v>0.95</v>
      </c>
      <c r="N397" s="1">
        <f>IF(BaseCoalPlants!M432=0,"",BaseCoalPlants!M432)</f>
        <v>0.95</v>
      </c>
      <c r="O397" s="1">
        <f>IF(BaseCoalPlants!N432=0,"",BaseCoalPlants!N432)</f>
        <v>0.95</v>
      </c>
      <c r="P397" s="1">
        <f>IF(BaseCoalPlants!O432=0,"",BaseCoalPlants!O432)</f>
        <v>0.95</v>
      </c>
      <c r="Q397" s="1">
        <f>IF(BaseCoalPlants!P432=0,"",BaseCoalPlants!P432)</f>
        <v>0.95</v>
      </c>
      <c r="R397" s="1">
        <f>IF(BaseCoalPlants!Q432=0,"",BaseCoalPlants!Q432)</f>
        <v>0.95</v>
      </c>
      <c r="S397" s="1">
        <f>IF(BaseCoalPlants!R432=0,"",BaseCoalPlants!R432)</f>
        <v>0.95</v>
      </c>
      <c r="T397" s="1">
        <f>IF(BaseCoalPlants!S432=0,"",BaseCoalPlants!S432)</f>
        <v>0.95</v>
      </c>
      <c r="U397" s="1">
        <f>IF(BaseCoalPlants!T432=0,"",BaseCoalPlants!T432)</f>
        <v>0.95</v>
      </c>
      <c r="V397" s="1">
        <f>IF(BaseCoalPlants!U432=0,"",BaseCoalPlants!U432)</f>
        <v>0.95</v>
      </c>
    </row>
    <row r="398" spans="3:22" x14ac:dyDescent="0.35">
      <c r="C398" t="str">
        <f>IF(BaseCoalPlants!B435="VDA_FLOP",IF(BaseCoalPlants!D435="ELC","*","INPUT"),BaseCoalPlants!B435)</f>
        <v>NCAP_PKCNT</v>
      </c>
      <c r="D398" t="str">
        <f>IF(BaseCoalPlants!C435="","\I:",BaseCoalPlants!C435&amp;"_LE")</f>
        <v>ECSTMRSOO_LE</v>
      </c>
      <c r="E398" t="str">
        <f>IF(BaseCoalPlants!D435="-","",BaseCoalPlants!D435)</f>
        <v/>
      </c>
      <c r="F398" t="str">
        <f>IF(BaseCoalPlants!E435="-","",BaseCoalPlants!E435)</f>
        <v/>
      </c>
      <c r="G398" t="str">
        <f>IF(BaseCoalPlants!F435="-","",BaseCoalPlants!F435)</f>
        <v>ANNUAL</v>
      </c>
      <c r="H398">
        <f>IF(BaseCoalPlants!G435="-","",BaseCoalPlants!G435)</f>
        <v>2010</v>
      </c>
      <c r="I398" t="str">
        <f>IF(BaseCoalPlants!H435="-","",BaseCoalPlants!H435)</f>
        <v/>
      </c>
      <c r="J398" t="str">
        <f>IF(BaseCoalPlants!I435="-","",BaseCoalPlants!I435)</f>
        <v/>
      </c>
      <c r="K398" t="str">
        <f>IF(BaseCoalPlants!J435="-","",BaseCoalPlants!J435)</f>
        <v/>
      </c>
      <c r="L398" t="str">
        <f>IF(BaseCoalPlants!K435="-","",BaseCoalPlants!K435)</f>
        <v/>
      </c>
      <c r="M398" s="1">
        <f>IF(BaseCoalPlants!L435=0,"",BaseCoalPlants!L435)</f>
        <v>0.95</v>
      </c>
      <c r="N398" s="1">
        <f>IF(BaseCoalPlants!M435=0,"",BaseCoalPlants!M435)</f>
        <v>0.95</v>
      </c>
      <c r="O398" s="1">
        <f>IF(BaseCoalPlants!N435=0,"",BaseCoalPlants!N435)</f>
        <v>0.95</v>
      </c>
      <c r="P398" s="1">
        <f>IF(BaseCoalPlants!O435=0,"",BaseCoalPlants!O435)</f>
        <v>0.95</v>
      </c>
      <c r="Q398" s="1">
        <f>IF(BaseCoalPlants!P435=0,"",BaseCoalPlants!P435)</f>
        <v>0.95</v>
      </c>
      <c r="R398" s="1">
        <f>IF(BaseCoalPlants!Q435=0,"",BaseCoalPlants!Q435)</f>
        <v>0.95</v>
      </c>
      <c r="S398" s="1">
        <f>IF(BaseCoalPlants!R435=0,"",BaseCoalPlants!R435)</f>
        <v>0.95</v>
      </c>
      <c r="T398" s="1">
        <f>IF(BaseCoalPlants!S435=0,"",BaseCoalPlants!S435)</f>
        <v>0.95</v>
      </c>
      <c r="U398" s="1">
        <f>IF(BaseCoalPlants!T435=0,"",BaseCoalPlants!T435)</f>
        <v>0.95</v>
      </c>
      <c r="V398" s="1">
        <f>IF(BaseCoalPlants!U435=0,"",BaseCoalPlants!U435)</f>
        <v>0.95</v>
      </c>
    </row>
    <row r="399" spans="3:22" x14ac:dyDescent="0.35">
      <c r="C399" t="str">
        <f>IF(BaseCoalPlants!B436="VDA_FLOP",IF(BaseCoalPlants!D436="ELC","*","INPUT"),BaseCoalPlants!B436)</f>
        <v>NCAP_PKCNT</v>
      </c>
      <c r="D399" t="str">
        <f>IF(BaseCoalPlants!C436="","\I:",BaseCoalPlants!C436&amp;"_LE")</f>
        <v>ECSTMRSOR_LE</v>
      </c>
      <c r="E399" t="str">
        <f>IF(BaseCoalPlants!D436="-","",BaseCoalPlants!D436)</f>
        <v/>
      </c>
      <c r="F399" t="str">
        <f>IF(BaseCoalPlants!E436="-","",BaseCoalPlants!E436)</f>
        <v/>
      </c>
      <c r="G399" t="str">
        <f>IF(BaseCoalPlants!F436="-","",BaseCoalPlants!F436)</f>
        <v>ANNUAL</v>
      </c>
      <c r="H399">
        <f>IF(BaseCoalPlants!G436="-","",BaseCoalPlants!G436)</f>
        <v>2010</v>
      </c>
      <c r="I399" t="str">
        <f>IF(BaseCoalPlants!H436="-","",BaseCoalPlants!H436)</f>
        <v/>
      </c>
      <c r="J399" t="str">
        <f>IF(BaseCoalPlants!I436="-","",BaseCoalPlants!I436)</f>
        <v/>
      </c>
      <c r="K399" t="str">
        <f>IF(BaseCoalPlants!J436="-","",BaseCoalPlants!J436)</f>
        <v/>
      </c>
      <c r="L399" t="str">
        <f>IF(BaseCoalPlants!K436="-","",BaseCoalPlants!K436)</f>
        <v/>
      </c>
      <c r="M399" s="1">
        <f>IF(BaseCoalPlants!L436=0,"",BaseCoalPlants!L436)</f>
        <v>0.95</v>
      </c>
      <c r="N399" s="1">
        <f>IF(BaseCoalPlants!M436=0,"",BaseCoalPlants!M436)</f>
        <v>0.95</v>
      </c>
      <c r="O399" s="1">
        <f>IF(BaseCoalPlants!N436=0,"",BaseCoalPlants!N436)</f>
        <v>0.95</v>
      </c>
      <c r="P399" s="1">
        <f>IF(BaseCoalPlants!O436=0,"",BaseCoalPlants!O436)</f>
        <v>0.95</v>
      </c>
      <c r="Q399" s="1">
        <f>IF(BaseCoalPlants!P436=0,"",BaseCoalPlants!P436)</f>
        <v>0.95</v>
      </c>
      <c r="R399" s="1">
        <f>IF(BaseCoalPlants!Q436=0,"",BaseCoalPlants!Q436)</f>
        <v>0.95</v>
      </c>
      <c r="S399" s="1">
        <f>IF(BaseCoalPlants!R436=0,"",BaseCoalPlants!R436)</f>
        <v>0.95</v>
      </c>
      <c r="T399" s="1">
        <f>IF(BaseCoalPlants!S436=0,"",BaseCoalPlants!S436)</f>
        <v>0.95</v>
      </c>
      <c r="U399" s="1">
        <f>IF(BaseCoalPlants!T436=0,"",BaseCoalPlants!T436)</f>
        <v>0.95</v>
      </c>
      <c r="V399" s="1">
        <f>IF(BaseCoalPlants!U436=0,"",BaseCoalPlants!U436)</f>
        <v>0.95</v>
      </c>
    </row>
    <row r="400" spans="3:22" x14ac:dyDescent="0.35">
      <c r="C400" t="str">
        <f>IF(BaseCoalPlants!B437="VDA_FLOP",IF(BaseCoalPlants!D437="ELC","*","INPUT"),BaseCoalPlants!B437)</f>
        <v>NCAP_PKCNT</v>
      </c>
      <c r="D400" t="str">
        <f>IF(BaseCoalPlants!C437="","\I:",BaseCoalPlants!C437&amp;"_LE")</f>
        <v>ECSTMRSUO_LE</v>
      </c>
      <c r="E400" t="str">
        <f>IF(BaseCoalPlants!D437="-","",BaseCoalPlants!D437)</f>
        <v/>
      </c>
      <c r="F400" t="str">
        <f>IF(BaseCoalPlants!E437="-","",BaseCoalPlants!E437)</f>
        <v/>
      </c>
      <c r="G400" t="str">
        <f>IF(BaseCoalPlants!F437="-","",BaseCoalPlants!F437)</f>
        <v>ANNUAL</v>
      </c>
      <c r="H400">
        <f>IF(BaseCoalPlants!G437="-","",BaseCoalPlants!G437)</f>
        <v>2010</v>
      </c>
      <c r="I400" t="str">
        <f>IF(BaseCoalPlants!H437="-","",BaseCoalPlants!H437)</f>
        <v/>
      </c>
      <c r="J400" t="str">
        <f>IF(BaseCoalPlants!I437="-","",BaseCoalPlants!I437)</f>
        <v/>
      </c>
      <c r="K400" t="str">
        <f>IF(BaseCoalPlants!J437="-","",BaseCoalPlants!J437)</f>
        <v/>
      </c>
      <c r="L400" t="str">
        <f>IF(BaseCoalPlants!K437="-","",BaseCoalPlants!K437)</f>
        <v/>
      </c>
      <c r="M400" s="1">
        <f>IF(BaseCoalPlants!L437=0,"",BaseCoalPlants!L437)</f>
        <v>0.95</v>
      </c>
      <c r="N400" s="1">
        <f>IF(BaseCoalPlants!M437=0,"",BaseCoalPlants!M437)</f>
        <v>0.95</v>
      </c>
      <c r="O400" s="1">
        <f>IF(BaseCoalPlants!N437=0,"",BaseCoalPlants!N437)</f>
        <v>0.95</v>
      </c>
      <c r="P400" s="1">
        <f>IF(BaseCoalPlants!O437=0,"",BaseCoalPlants!O437)</f>
        <v>0.95</v>
      </c>
      <c r="Q400" s="1">
        <f>IF(BaseCoalPlants!P437=0,"",BaseCoalPlants!P437)</f>
        <v>0.95</v>
      </c>
      <c r="R400" s="1">
        <f>IF(BaseCoalPlants!Q437=0,"",BaseCoalPlants!Q437)</f>
        <v>0.95</v>
      </c>
      <c r="S400" s="1">
        <f>IF(BaseCoalPlants!R437=0,"",BaseCoalPlants!R437)</f>
        <v>0.95</v>
      </c>
      <c r="T400" s="1">
        <f>IF(BaseCoalPlants!S437=0,"",BaseCoalPlants!S437)</f>
        <v>0.95</v>
      </c>
      <c r="U400" s="1">
        <f>IF(BaseCoalPlants!T437=0,"",BaseCoalPlants!T437)</f>
        <v>0.95</v>
      </c>
      <c r="V400" s="1">
        <f>IF(BaseCoalPlants!U437=0,"",BaseCoalPlants!U437)</f>
        <v>0.95</v>
      </c>
    </row>
    <row r="401" spans="3:22" x14ac:dyDescent="0.35">
      <c r="C401" t="str">
        <f>IF(BaseCoalPlants!B438="VDA_FLOP",IF(BaseCoalPlants!D438="ELC","*","INPUT"),BaseCoalPlants!B438)</f>
        <v>NCAP_PKCNT</v>
      </c>
      <c r="D401" t="str">
        <f>IF(BaseCoalPlants!C438="","\I:",BaseCoalPlants!C438&amp;"_LE")</f>
        <v>ECSTMRSUR_LE</v>
      </c>
      <c r="E401" t="str">
        <f>IF(BaseCoalPlants!D438="-","",BaseCoalPlants!D438)</f>
        <v/>
      </c>
      <c r="F401" t="str">
        <f>IF(BaseCoalPlants!E438="-","",BaseCoalPlants!E438)</f>
        <v/>
      </c>
      <c r="G401" t="str">
        <f>IF(BaseCoalPlants!F438="-","",BaseCoalPlants!F438)</f>
        <v>ANNUAL</v>
      </c>
      <c r="H401">
        <f>IF(BaseCoalPlants!G438="-","",BaseCoalPlants!G438)</f>
        <v>2010</v>
      </c>
      <c r="I401" t="str">
        <f>IF(BaseCoalPlants!H438="-","",BaseCoalPlants!H438)</f>
        <v/>
      </c>
      <c r="J401" t="str">
        <f>IF(BaseCoalPlants!I438="-","",BaseCoalPlants!I438)</f>
        <v/>
      </c>
      <c r="K401" t="str">
        <f>IF(BaseCoalPlants!J438="-","",BaseCoalPlants!J438)</f>
        <v/>
      </c>
      <c r="L401" t="str">
        <f>IF(BaseCoalPlants!K438="-","",BaseCoalPlants!K438)</f>
        <v/>
      </c>
      <c r="M401" s="1">
        <f>IF(BaseCoalPlants!L438=0,"",BaseCoalPlants!L438)</f>
        <v>0.95</v>
      </c>
      <c r="N401" s="1">
        <f>IF(BaseCoalPlants!M438=0,"",BaseCoalPlants!M438)</f>
        <v>0.95</v>
      </c>
      <c r="O401" s="1">
        <f>IF(BaseCoalPlants!N438=0,"",BaseCoalPlants!N438)</f>
        <v>0.95</v>
      </c>
      <c r="P401" s="1">
        <f>IF(BaseCoalPlants!O438=0,"",BaseCoalPlants!O438)</f>
        <v>0.95</v>
      </c>
      <c r="Q401" s="1">
        <f>IF(BaseCoalPlants!P438=0,"",BaseCoalPlants!P438)</f>
        <v>0.95</v>
      </c>
      <c r="R401" s="1">
        <f>IF(BaseCoalPlants!Q438=0,"",BaseCoalPlants!Q438)</f>
        <v>0.95</v>
      </c>
      <c r="S401" s="1">
        <f>IF(BaseCoalPlants!R438=0,"",BaseCoalPlants!R438)</f>
        <v>0.95</v>
      </c>
      <c r="T401" s="1">
        <f>IF(BaseCoalPlants!S438=0,"",BaseCoalPlants!S438)</f>
        <v>0.95</v>
      </c>
      <c r="U401" s="1">
        <f>IF(BaseCoalPlants!T438=0,"",BaseCoalPlants!T438)</f>
        <v>0.95</v>
      </c>
      <c r="V401" s="1">
        <f>IF(BaseCoalPlants!U438=0,"",BaseCoalPlants!U438)</f>
        <v>0.95</v>
      </c>
    </row>
    <row r="402" spans="3:22" x14ac:dyDescent="0.35">
      <c r="C402" t="str">
        <f>IF(BaseCoalPlants!B440="VDA_FLOP",IF(BaseCoalPlants!D440="ELC","*","INPUT"),BaseCoalPlants!B440)</f>
        <v>PRC_CAPACT</v>
      </c>
      <c r="D402" t="str">
        <f>IF(BaseCoalPlants!C440="","\I:",BaseCoalPlants!C440&amp;"_LE")</f>
        <v>ECSTMRBOO_LE</v>
      </c>
      <c r="E402" t="str">
        <f>IF(BaseCoalPlants!D440="-","",BaseCoalPlants!D440)</f>
        <v/>
      </c>
      <c r="F402" t="str">
        <f>IF(BaseCoalPlants!E440="-","",BaseCoalPlants!E440)</f>
        <v/>
      </c>
      <c r="G402" t="str">
        <f>IF(BaseCoalPlants!F440="-","",BaseCoalPlants!F440)</f>
        <v/>
      </c>
      <c r="H402">
        <f>IF(BaseCoalPlants!G440="-","",BaseCoalPlants!G440)</f>
        <v>0</v>
      </c>
      <c r="I402" t="str">
        <f>IF(BaseCoalPlants!H440="-","",BaseCoalPlants!H440)</f>
        <v/>
      </c>
      <c r="J402" t="str">
        <f>IF(BaseCoalPlants!I440="-","",BaseCoalPlants!I440)</f>
        <v/>
      </c>
      <c r="K402" t="str">
        <f>IF(BaseCoalPlants!J440="-","",BaseCoalPlants!J440)</f>
        <v/>
      </c>
      <c r="L402" t="str">
        <f>IF(BaseCoalPlants!K440="-","",BaseCoalPlants!K440)</f>
        <v/>
      </c>
      <c r="M402" s="1">
        <f>IF(BaseCoalPlants!L440=0,"",BaseCoalPlants!L440)</f>
        <v>31.536000000000001</v>
      </c>
      <c r="N402" s="1">
        <f>IF(BaseCoalPlants!M440=0,"",BaseCoalPlants!M440)</f>
        <v>31.536000000000001</v>
      </c>
      <c r="O402" s="1">
        <f>IF(BaseCoalPlants!N440=0,"",BaseCoalPlants!N440)</f>
        <v>31.536000000000001</v>
      </c>
      <c r="P402" s="1">
        <f>IF(BaseCoalPlants!O440=0,"",BaseCoalPlants!O440)</f>
        <v>31.536000000000001</v>
      </c>
      <c r="Q402" s="1">
        <f>IF(BaseCoalPlants!P440=0,"",BaseCoalPlants!P440)</f>
        <v>31.536000000000001</v>
      </c>
      <c r="R402" s="1">
        <f>IF(BaseCoalPlants!Q440=0,"",BaseCoalPlants!Q440)</f>
        <v>31.536000000000001</v>
      </c>
      <c r="S402" s="1">
        <f>IF(BaseCoalPlants!R440=0,"",BaseCoalPlants!R440)</f>
        <v>31.536000000000001</v>
      </c>
      <c r="T402" s="1">
        <f>IF(BaseCoalPlants!S440=0,"",BaseCoalPlants!S440)</f>
        <v>31.536000000000001</v>
      </c>
      <c r="U402" s="1">
        <f>IF(BaseCoalPlants!T440=0,"",BaseCoalPlants!T440)</f>
        <v>31.536000000000001</v>
      </c>
      <c r="V402" s="1">
        <f>IF(BaseCoalPlants!U440=0,"",BaseCoalPlants!U440)</f>
        <v>31.536000000000001</v>
      </c>
    </row>
    <row r="403" spans="3:22" x14ac:dyDescent="0.35">
      <c r="C403" t="str">
        <f>IF(BaseCoalPlants!B441="VDA_FLOP",IF(BaseCoalPlants!D441="ELC","*","INPUT"),BaseCoalPlants!B441)</f>
        <v>PRC_CAPACT</v>
      </c>
      <c r="D403" t="str">
        <f>IF(BaseCoalPlants!C441="","\I:",BaseCoalPlants!C441&amp;"_LE")</f>
        <v>ECSTMRBOR_LE</v>
      </c>
      <c r="E403" t="str">
        <f>IF(BaseCoalPlants!D441="-","",BaseCoalPlants!D441)</f>
        <v/>
      </c>
      <c r="F403" t="str">
        <f>IF(BaseCoalPlants!E441="-","",BaseCoalPlants!E441)</f>
        <v/>
      </c>
      <c r="G403" t="str">
        <f>IF(BaseCoalPlants!F441="-","",BaseCoalPlants!F441)</f>
        <v/>
      </c>
      <c r="H403">
        <f>IF(BaseCoalPlants!G441="-","",BaseCoalPlants!G441)</f>
        <v>0</v>
      </c>
      <c r="I403" t="str">
        <f>IF(BaseCoalPlants!H441="-","",BaseCoalPlants!H441)</f>
        <v/>
      </c>
      <c r="J403" t="str">
        <f>IF(BaseCoalPlants!I441="-","",BaseCoalPlants!I441)</f>
        <v/>
      </c>
      <c r="K403" t="str">
        <f>IF(BaseCoalPlants!J441="-","",BaseCoalPlants!J441)</f>
        <v/>
      </c>
      <c r="L403" t="str">
        <f>IF(BaseCoalPlants!K441="-","",BaseCoalPlants!K441)</f>
        <v/>
      </c>
      <c r="M403" s="1">
        <f>IF(BaseCoalPlants!L441=0,"",BaseCoalPlants!L441)</f>
        <v>31.536000000000001</v>
      </c>
      <c r="N403" s="1">
        <f>IF(BaseCoalPlants!M441=0,"",BaseCoalPlants!M441)</f>
        <v>31.536000000000001</v>
      </c>
      <c r="O403" s="1">
        <f>IF(BaseCoalPlants!N441=0,"",BaseCoalPlants!N441)</f>
        <v>31.536000000000001</v>
      </c>
      <c r="P403" s="1">
        <f>IF(BaseCoalPlants!O441=0,"",BaseCoalPlants!O441)</f>
        <v>31.536000000000001</v>
      </c>
      <c r="Q403" s="1">
        <f>IF(BaseCoalPlants!P441=0,"",BaseCoalPlants!P441)</f>
        <v>31.536000000000001</v>
      </c>
      <c r="R403" s="1">
        <f>IF(BaseCoalPlants!Q441=0,"",BaseCoalPlants!Q441)</f>
        <v>31.536000000000001</v>
      </c>
      <c r="S403" s="1">
        <f>IF(BaseCoalPlants!R441=0,"",BaseCoalPlants!R441)</f>
        <v>31.536000000000001</v>
      </c>
      <c r="T403" s="1">
        <f>IF(BaseCoalPlants!S441=0,"",BaseCoalPlants!S441)</f>
        <v>31.536000000000001</v>
      </c>
      <c r="U403" s="1">
        <f>IF(BaseCoalPlants!T441=0,"",BaseCoalPlants!T441)</f>
        <v>31.536000000000001</v>
      </c>
      <c r="V403" s="1">
        <f>IF(BaseCoalPlants!U441=0,"",BaseCoalPlants!U441)</f>
        <v>31.536000000000001</v>
      </c>
    </row>
    <row r="404" spans="3:22" x14ac:dyDescent="0.35">
      <c r="C404" t="str">
        <f>IF(BaseCoalPlants!B442="VDA_FLOP",IF(BaseCoalPlants!D442="ELC","*","INPUT"),BaseCoalPlants!B442)</f>
        <v>PRC_CAPACT</v>
      </c>
      <c r="D404" t="str">
        <f>IF(BaseCoalPlants!C442="","\I:",BaseCoalPlants!C442&amp;"_LE")</f>
        <v>ECSTMRBUO_LE</v>
      </c>
      <c r="E404" t="str">
        <f>IF(BaseCoalPlants!D442="-","",BaseCoalPlants!D442)</f>
        <v/>
      </c>
      <c r="F404" t="str">
        <f>IF(BaseCoalPlants!E442="-","",BaseCoalPlants!E442)</f>
        <v/>
      </c>
      <c r="G404" t="str">
        <f>IF(BaseCoalPlants!F442="-","",BaseCoalPlants!F442)</f>
        <v/>
      </c>
      <c r="H404">
        <f>IF(BaseCoalPlants!G442="-","",BaseCoalPlants!G442)</f>
        <v>0</v>
      </c>
      <c r="I404" t="str">
        <f>IF(BaseCoalPlants!H442="-","",BaseCoalPlants!H442)</f>
        <v/>
      </c>
      <c r="J404" t="str">
        <f>IF(BaseCoalPlants!I442="-","",BaseCoalPlants!I442)</f>
        <v/>
      </c>
      <c r="K404" t="str">
        <f>IF(BaseCoalPlants!J442="-","",BaseCoalPlants!J442)</f>
        <v/>
      </c>
      <c r="L404" t="str">
        <f>IF(BaseCoalPlants!K442="-","",BaseCoalPlants!K442)</f>
        <v/>
      </c>
      <c r="M404" s="1">
        <f>IF(BaseCoalPlants!L442=0,"",BaseCoalPlants!L442)</f>
        <v>31.536000000000001</v>
      </c>
      <c r="N404" s="1">
        <f>IF(BaseCoalPlants!M442=0,"",BaseCoalPlants!M442)</f>
        <v>31.536000000000001</v>
      </c>
      <c r="O404" s="1">
        <f>IF(BaseCoalPlants!N442=0,"",BaseCoalPlants!N442)</f>
        <v>31.536000000000001</v>
      </c>
      <c r="P404" s="1">
        <f>IF(BaseCoalPlants!O442=0,"",BaseCoalPlants!O442)</f>
        <v>31.536000000000001</v>
      </c>
      <c r="Q404" s="1">
        <f>IF(BaseCoalPlants!P442=0,"",BaseCoalPlants!P442)</f>
        <v>31.536000000000001</v>
      </c>
      <c r="R404" s="1">
        <f>IF(BaseCoalPlants!Q442=0,"",BaseCoalPlants!Q442)</f>
        <v>31.536000000000001</v>
      </c>
      <c r="S404" s="1">
        <f>IF(BaseCoalPlants!R442=0,"",BaseCoalPlants!R442)</f>
        <v>31.536000000000001</v>
      </c>
      <c r="T404" s="1">
        <f>IF(BaseCoalPlants!S442=0,"",BaseCoalPlants!S442)</f>
        <v>31.536000000000001</v>
      </c>
      <c r="U404" s="1">
        <f>IF(BaseCoalPlants!T442=0,"",BaseCoalPlants!T442)</f>
        <v>31.536000000000001</v>
      </c>
      <c r="V404" s="1">
        <f>IF(BaseCoalPlants!U442=0,"",BaseCoalPlants!U442)</f>
        <v>31.536000000000001</v>
      </c>
    </row>
    <row r="405" spans="3:22" x14ac:dyDescent="0.35">
      <c r="C405" t="str">
        <f>IF(BaseCoalPlants!B443="VDA_FLOP",IF(BaseCoalPlants!D443="ELC","*","INPUT"),BaseCoalPlants!B443)</f>
        <v>PRC_CAPACT</v>
      </c>
      <c r="D405" t="str">
        <f>IF(BaseCoalPlants!C443="","\I:",BaseCoalPlants!C443&amp;"_LE")</f>
        <v>ECSTMRBUR_LE</v>
      </c>
      <c r="E405" t="str">
        <f>IF(BaseCoalPlants!D443="-","",BaseCoalPlants!D443)</f>
        <v/>
      </c>
      <c r="F405" t="str">
        <f>IF(BaseCoalPlants!E443="-","",BaseCoalPlants!E443)</f>
        <v/>
      </c>
      <c r="G405" t="str">
        <f>IF(BaseCoalPlants!F443="-","",BaseCoalPlants!F443)</f>
        <v/>
      </c>
      <c r="H405">
        <f>IF(BaseCoalPlants!G443="-","",BaseCoalPlants!G443)</f>
        <v>0</v>
      </c>
      <c r="I405" t="str">
        <f>IF(BaseCoalPlants!H443="-","",BaseCoalPlants!H443)</f>
        <v/>
      </c>
      <c r="J405" t="str">
        <f>IF(BaseCoalPlants!I443="-","",BaseCoalPlants!I443)</f>
        <v/>
      </c>
      <c r="K405" t="str">
        <f>IF(BaseCoalPlants!J443="-","",BaseCoalPlants!J443)</f>
        <v/>
      </c>
      <c r="L405" t="str">
        <f>IF(BaseCoalPlants!K443="-","",BaseCoalPlants!K443)</f>
        <v/>
      </c>
      <c r="M405" s="1">
        <f>IF(BaseCoalPlants!L443=0,"",BaseCoalPlants!L443)</f>
        <v>31.536000000000001</v>
      </c>
      <c r="N405" s="1">
        <f>IF(BaseCoalPlants!M443=0,"",BaseCoalPlants!M443)</f>
        <v>31.536000000000001</v>
      </c>
      <c r="O405" s="1">
        <f>IF(BaseCoalPlants!N443=0,"",BaseCoalPlants!N443)</f>
        <v>31.536000000000001</v>
      </c>
      <c r="P405" s="1">
        <f>IF(BaseCoalPlants!O443=0,"",BaseCoalPlants!O443)</f>
        <v>31.536000000000001</v>
      </c>
      <c r="Q405" s="1">
        <f>IF(BaseCoalPlants!P443=0,"",BaseCoalPlants!P443)</f>
        <v>31.536000000000001</v>
      </c>
      <c r="R405" s="1">
        <f>IF(BaseCoalPlants!Q443=0,"",BaseCoalPlants!Q443)</f>
        <v>31.536000000000001</v>
      </c>
      <c r="S405" s="1">
        <f>IF(BaseCoalPlants!R443=0,"",BaseCoalPlants!R443)</f>
        <v>31.536000000000001</v>
      </c>
      <c r="T405" s="1">
        <f>IF(BaseCoalPlants!S443=0,"",BaseCoalPlants!S443)</f>
        <v>31.536000000000001</v>
      </c>
      <c r="U405" s="1">
        <f>IF(BaseCoalPlants!T443=0,"",BaseCoalPlants!T443)</f>
        <v>31.536000000000001</v>
      </c>
      <c r="V405" s="1">
        <f>IF(BaseCoalPlants!U443=0,"",BaseCoalPlants!U443)</f>
        <v>31.536000000000001</v>
      </c>
    </row>
    <row r="406" spans="3:22" x14ac:dyDescent="0.35">
      <c r="C406" t="str">
        <f>IF(BaseCoalPlants!B445="VDA_FLOP",IF(BaseCoalPlants!D445="ELC","*","INPUT"),BaseCoalPlants!B445)</f>
        <v>PRC_CAPACT</v>
      </c>
      <c r="D406" t="str">
        <f>IF(BaseCoalPlants!C445="","\I:",BaseCoalPlants!C445&amp;"_LE")</f>
        <v>ECSTMRLOO_LE</v>
      </c>
      <c r="E406" t="str">
        <f>IF(BaseCoalPlants!D445="-","",BaseCoalPlants!D445)</f>
        <v/>
      </c>
      <c r="F406" t="str">
        <f>IF(BaseCoalPlants!E445="-","",BaseCoalPlants!E445)</f>
        <v/>
      </c>
      <c r="G406" t="str">
        <f>IF(BaseCoalPlants!F445="-","",BaseCoalPlants!F445)</f>
        <v/>
      </c>
      <c r="H406">
        <f>IF(BaseCoalPlants!G445="-","",BaseCoalPlants!G445)</f>
        <v>0</v>
      </c>
      <c r="I406" t="str">
        <f>IF(BaseCoalPlants!H445="-","",BaseCoalPlants!H445)</f>
        <v/>
      </c>
      <c r="J406" t="str">
        <f>IF(BaseCoalPlants!I445="-","",BaseCoalPlants!I445)</f>
        <v/>
      </c>
      <c r="K406" t="str">
        <f>IF(BaseCoalPlants!J445="-","",BaseCoalPlants!J445)</f>
        <v/>
      </c>
      <c r="L406" t="str">
        <f>IF(BaseCoalPlants!K445="-","",BaseCoalPlants!K445)</f>
        <v/>
      </c>
      <c r="M406" s="1">
        <f>IF(BaseCoalPlants!L445=0,"",BaseCoalPlants!L445)</f>
        <v>31.536000000000001</v>
      </c>
      <c r="N406" s="1">
        <f>IF(BaseCoalPlants!M445=0,"",BaseCoalPlants!M445)</f>
        <v>31.536000000000001</v>
      </c>
      <c r="O406" s="1">
        <f>IF(BaseCoalPlants!N445=0,"",BaseCoalPlants!N445)</f>
        <v>31.536000000000001</v>
      </c>
      <c r="P406" s="1">
        <f>IF(BaseCoalPlants!O445=0,"",BaseCoalPlants!O445)</f>
        <v>31.536000000000001</v>
      </c>
      <c r="Q406" s="1">
        <f>IF(BaseCoalPlants!P445=0,"",BaseCoalPlants!P445)</f>
        <v>31.536000000000001</v>
      </c>
      <c r="R406" s="1">
        <f>IF(BaseCoalPlants!Q445=0,"",BaseCoalPlants!Q445)</f>
        <v>31.536000000000001</v>
      </c>
      <c r="S406" s="1">
        <f>IF(BaseCoalPlants!R445=0,"",BaseCoalPlants!R445)</f>
        <v>31.536000000000001</v>
      </c>
      <c r="T406" s="1">
        <f>IF(BaseCoalPlants!S445=0,"",BaseCoalPlants!S445)</f>
        <v>31.536000000000001</v>
      </c>
      <c r="U406" s="1">
        <f>IF(BaseCoalPlants!T445=0,"",BaseCoalPlants!T445)</f>
        <v>31.536000000000001</v>
      </c>
      <c r="V406" s="1">
        <f>IF(BaseCoalPlants!U445=0,"",BaseCoalPlants!U445)</f>
        <v>31.536000000000001</v>
      </c>
    </row>
    <row r="407" spans="3:22" x14ac:dyDescent="0.35">
      <c r="C407" t="str">
        <f>IF(BaseCoalPlants!B446="VDA_FLOP",IF(BaseCoalPlants!D446="ELC","*","INPUT"),BaseCoalPlants!B446)</f>
        <v>PRC_CAPACT</v>
      </c>
      <c r="D407" t="str">
        <f>IF(BaseCoalPlants!C446="","\I:",BaseCoalPlants!C446&amp;"_LE")</f>
        <v>ECSTMRLOR_LE</v>
      </c>
      <c r="E407" t="str">
        <f>IF(BaseCoalPlants!D446="-","",BaseCoalPlants!D446)</f>
        <v/>
      </c>
      <c r="F407" t="str">
        <f>IF(BaseCoalPlants!E446="-","",BaseCoalPlants!E446)</f>
        <v/>
      </c>
      <c r="G407" t="str">
        <f>IF(BaseCoalPlants!F446="-","",BaseCoalPlants!F446)</f>
        <v/>
      </c>
      <c r="H407">
        <f>IF(BaseCoalPlants!G446="-","",BaseCoalPlants!G446)</f>
        <v>0</v>
      </c>
      <c r="I407" t="str">
        <f>IF(BaseCoalPlants!H446="-","",BaseCoalPlants!H446)</f>
        <v/>
      </c>
      <c r="J407" t="str">
        <f>IF(BaseCoalPlants!I446="-","",BaseCoalPlants!I446)</f>
        <v/>
      </c>
      <c r="K407" t="str">
        <f>IF(BaseCoalPlants!J446="-","",BaseCoalPlants!J446)</f>
        <v/>
      </c>
      <c r="L407" t="str">
        <f>IF(BaseCoalPlants!K446="-","",BaseCoalPlants!K446)</f>
        <v/>
      </c>
      <c r="M407" s="1">
        <f>IF(BaseCoalPlants!L446=0,"",BaseCoalPlants!L446)</f>
        <v>31.536000000000001</v>
      </c>
      <c r="N407" s="1">
        <f>IF(BaseCoalPlants!M446=0,"",BaseCoalPlants!M446)</f>
        <v>31.536000000000001</v>
      </c>
      <c r="O407" s="1">
        <f>IF(BaseCoalPlants!N446=0,"",BaseCoalPlants!N446)</f>
        <v>31.536000000000001</v>
      </c>
      <c r="P407" s="1">
        <f>IF(BaseCoalPlants!O446=0,"",BaseCoalPlants!O446)</f>
        <v>31.536000000000001</v>
      </c>
      <c r="Q407" s="1">
        <f>IF(BaseCoalPlants!P446=0,"",BaseCoalPlants!P446)</f>
        <v>31.536000000000001</v>
      </c>
      <c r="R407" s="1">
        <f>IF(BaseCoalPlants!Q446=0,"",BaseCoalPlants!Q446)</f>
        <v>31.536000000000001</v>
      </c>
      <c r="S407" s="1">
        <f>IF(BaseCoalPlants!R446=0,"",BaseCoalPlants!R446)</f>
        <v>31.536000000000001</v>
      </c>
      <c r="T407" s="1">
        <f>IF(BaseCoalPlants!S446=0,"",BaseCoalPlants!S446)</f>
        <v>31.536000000000001</v>
      </c>
      <c r="U407" s="1">
        <f>IF(BaseCoalPlants!T446=0,"",BaseCoalPlants!T446)</f>
        <v>31.536000000000001</v>
      </c>
      <c r="V407" s="1">
        <f>IF(BaseCoalPlants!U446=0,"",BaseCoalPlants!U446)</f>
        <v>31.536000000000001</v>
      </c>
    </row>
    <row r="408" spans="3:22" x14ac:dyDescent="0.35">
      <c r="C408" t="str">
        <f>IF(BaseCoalPlants!B447="VDA_FLOP",IF(BaseCoalPlants!D447="ELC","*","INPUT"),BaseCoalPlants!B447)</f>
        <v>PRC_CAPACT</v>
      </c>
      <c r="D408" t="str">
        <f>IF(BaseCoalPlants!C447="","\I:",BaseCoalPlants!C447&amp;"_LE")</f>
        <v>ECSTMRLUO_LE</v>
      </c>
      <c r="E408" t="str">
        <f>IF(BaseCoalPlants!D447="-","",BaseCoalPlants!D447)</f>
        <v/>
      </c>
      <c r="F408" t="str">
        <f>IF(BaseCoalPlants!E447="-","",BaseCoalPlants!E447)</f>
        <v/>
      </c>
      <c r="G408" t="str">
        <f>IF(BaseCoalPlants!F447="-","",BaseCoalPlants!F447)</f>
        <v/>
      </c>
      <c r="H408">
        <f>IF(BaseCoalPlants!G447="-","",BaseCoalPlants!G447)</f>
        <v>0</v>
      </c>
      <c r="I408" t="str">
        <f>IF(BaseCoalPlants!H447="-","",BaseCoalPlants!H447)</f>
        <v/>
      </c>
      <c r="J408" t="str">
        <f>IF(BaseCoalPlants!I447="-","",BaseCoalPlants!I447)</f>
        <v/>
      </c>
      <c r="K408" t="str">
        <f>IF(BaseCoalPlants!J447="-","",BaseCoalPlants!J447)</f>
        <v/>
      </c>
      <c r="L408" t="str">
        <f>IF(BaseCoalPlants!K447="-","",BaseCoalPlants!K447)</f>
        <v/>
      </c>
      <c r="M408" s="1">
        <f>IF(BaseCoalPlants!L447=0,"",BaseCoalPlants!L447)</f>
        <v>31.536000000000001</v>
      </c>
      <c r="N408" s="1">
        <f>IF(BaseCoalPlants!M447=0,"",BaseCoalPlants!M447)</f>
        <v>31.536000000000001</v>
      </c>
      <c r="O408" s="1">
        <f>IF(BaseCoalPlants!N447=0,"",BaseCoalPlants!N447)</f>
        <v>31.536000000000001</v>
      </c>
      <c r="P408" s="1">
        <f>IF(BaseCoalPlants!O447=0,"",BaseCoalPlants!O447)</f>
        <v>31.536000000000001</v>
      </c>
      <c r="Q408" s="1">
        <f>IF(BaseCoalPlants!P447=0,"",BaseCoalPlants!P447)</f>
        <v>31.536000000000001</v>
      </c>
      <c r="R408" s="1">
        <f>IF(BaseCoalPlants!Q447=0,"",BaseCoalPlants!Q447)</f>
        <v>31.536000000000001</v>
      </c>
      <c r="S408" s="1">
        <f>IF(BaseCoalPlants!R447=0,"",BaseCoalPlants!R447)</f>
        <v>31.536000000000001</v>
      </c>
      <c r="T408" s="1">
        <f>IF(BaseCoalPlants!S447=0,"",BaseCoalPlants!S447)</f>
        <v>31.536000000000001</v>
      </c>
      <c r="U408" s="1">
        <f>IF(BaseCoalPlants!T447=0,"",BaseCoalPlants!T447)</f>
        <v>31.536000000000001</v>
      </c>
      <c r="V408" s="1">
        <f>IF(BaseCoalPlants!U447=0,"",BaseCoalPlants!U447)</f>
        <v>31.536000000000001</v>
      </c>
    </row>
    <row r="409" spans="3:22" x14ac:dyDescent="0.35">
      <c r="C409" t="str">
        <f>IF(BaseCoalPlants!B450="VDA_FLOP",IF(BaseCoalPlants!D450="ELC","*","INPUT"),BaseCoalPlants!B450)</f>
        <v>PRC_CAPACT</v>
      </c>
      <c r="D409" t="str">
        <f>IF(BaseCoalPlants!C450="","\I:",BaseCoalPlants!C450&amp;"_LE")</f>
        <v>ECSTMRSOO_LE</v>
      </c>
      <c r="E409" t="str">
        <f>IF(BaseCoalPlants!D450="-","",BaseCoalPlants!D450)</f>
        <v/>
      </c>
      <c r="F409" t="str">
        <f>IF(BaseCoalPlants!E450="-","",BaseCoalPlants!E450)</f>
        <v/>
      </c>
      <c r="G409" t="str">
        <f>IF(BaseCoalPlants!F450="-","",BaseCoalPlants!F450)</f>
        <v/>
      </c>
      <c r="H409">
        <f>IF(BaseCoalPlants!G450="-","",BaseCoalPlants!G450)</f>
        <v>0</v>
      </c>
      <c r="I409" t="str">
        <f>IF(BaseCoalPlants!H450="-","",BaseCoalPlants!H450)</f>
        <v/>
      </c>
      <c r="J409" t="str">
        <f>IF(BaseCoalPlants!I450="-","",BaseCoalPlants!I450)</f>
        <v/>
      </c>
      <c r="K409" t="str">
        <f>IF(BaseCoalPlants!J450="-","",BaseCoalPlants!J450)</f>
        <v/>
      </c>
      <c r="L409" t="str">
        <f>IF(BaseCoalPlants!K450="-","",BaseCoalPlants!K450)</f>
        <v/>
      </c>
      <c r="M409" s="1">
        <f>IF(BaseCoalPlants!L450=0,"",BaseCoalPlants!L450)</f>
        <v>31.536000000000001</v>
      </c>
      <c r="N409" s="1">
        <f>IF(BaseCoalPlants!M450=0,"",BaseCoalPlants!M450)</f>
        <v>31.536000000000001</v>
      </c>
      <c r="O409" s="1">
        <f>IF(BaseCoalPlants!N450=0,"",BaseCoalPlants!N450)</f>
        <v>31.536000000000001</v>
      </c>
      <c r="P409" s="1">
        <f>IF(BaseCoalPlants!O450=0,"",BaseCoalPlants!O450)</f>
        <v>31.536000000000001</v>
      </c>
      <c r="Q409" s="1">
        <f>IF(BaseCoalPlants!P450=0,"",BaseCoalPlants!P450)</f>
        <v>31.536000000000001</v>
      </c>
      <c r="R409" s="1">
        <f>IF(BaseCoalPlants!Q450=0,"",BaseCoalPlants!Q450)</f>
        <v>31.536000000000001</v>
      </c>
      <c r="S409" s="1">
        <f>IF(BaseCoalPlants!R450=0,"",BaseCoalPlants!R450)</f>
        <v>31.536000000000001</v>
      </c>
      <c r="T409" s="1">
        <f>IF(BaseCoalPlants!S450=0,"",BaseCoalPlants!S450)</f>
        <v>31.536000000000001</v>
      </c>
      <c r="U409" s="1">
        <f>IF(BaseCoalPlants!T450=0,"",BaseCoalPlants!T450)</f>
        <v>31.536000000000001</v>
      </c>
      <c r="V409" s="1">
        <f>IF(BaseCoalPlants!U450=0,"",BaseCoalPlants!U450)</f>
        <v>31.536000000000001</v>
      </c>
    </row>
    <row r="410" spans="3:22" x14ac:dyDescent="0.35">
      <c r="C410" t="str">
        <f>IF(BaseCoalPlants!B451="VDA_FLOP",IF(BaseCoalPlants!D451="ELC","*","INPUT"),BaseCoalPlants!B451)</f>
        <v>PRC_CAPACT</v>
      </c>
      <c r="D410" t="str">
        <f>IF(BaseCoalPlants!C451="","\I:",BaseCoalPlants!C451&amp;"_LE")</f>
        <v>ECSTMRSOR_LE</v>
      </c>
      <c r="E410" t="str">
        <f>IF(BaseCoalPlants!D451="-","",BaseCoalPlants!D451)</f>
        <v/>
      </c>
      <c r="F410" t="str">
        <f>IF(BaseCoalPlants!E451="-","",BaseCoalPlants!E451)</f>
        <v/>
      </c>
      <c r="G410" t="str">
        <f>IF(BaseCoalPlants!F451="-","",BaseCoalPlants!F451)</f>
        <v/>
      </c>
      <c r="H410">
        <f>IF(BaseCoalPlants!G451="-","",BaseCoalPlants!G451)</f>
        <v>0</v>
      </c>
      <c r="I410" t="str">
        <f>IF(BaseCoalPlants!H451="-","",BaseCoalPlants!H451)</f>
        <v/>
      </c>
      <c r="J410" t="str">
        <f>IF(BaseCoalPlants!I451="-","",BaseCoalPlants!I451)</f>
        <v/>
      </c>
      <c r="K410" t="str">
        <f>IF(BaseCoalPlants!J451="-","",BaseCoalPlants!J451)</f>
        <v/>
      </c>
      <c r="L410" t="str">
        <f>IF(BaseCoalPlants!K451="-","",BaseCoalPlants!K451)</f>
        <v/>
      </c>
      <c r="M410" s="1">
        <f>IF(BaseCoalPlants!L451=0,"",BaseCoalPlants!L451)</f>
        <v>31.536000000000001</v>
      </c>
      <c r="N410" s="1">
        <f>IF(BaseCoalPlants!M451=0,"",BaseCoalPlants!M451)</f>
        <v>31.536000000000001</v>
      </c>
      <c r="O410" s="1">
        <f>IF(BaseCoalPlants!N451=0,"",BaseCoalPlants!N451)</f>
        <v>31.536000000000001</v>
      </c>
      <c r="P410" s="1">
        <f>IF(BaseCoalPlants!O451=0,"",BaseCoalPlants!O451)</f>
        <v>31.536000000000001</v>
      </c>
      <c r="Q410" s="1">
        <f>IF(BaseCoalPlants!P451=0,"",BaseCoalPlants!P451)</f>
        <v>31.536000000000001</v>
      </c>
      <c r="R410" s="1">
        <f>IF(BaseCoalPlants!Q451=0,"",BaseCoalPlants!Q451)</f>
        <v>31.536000000000001</v>
      </c>
      <c r="S410" s="1">
        <f>IF(BaseCoalPlants!R451=0,"",BaseCoalPlants!R451)</f>
        <v>31.536000000000001</v>
      </c>
      <c r="T410" s="1">
        <f>IF(BaseCoalPlants!S451=0,"",BaseCoalPlants!S451)</f>
        <v>31.536000000000001</v>
      </c>
      <c r="U410" s="1">
        <f>IF(BaseCoalPlants!T451=0,"",BaseCoalPlants!T451)</f>
        <v>31.536000000000001</v>
      </c>
      <c r="V410" s="1">
        <f>IF(BaseCoalPlants!U451=0,"",BaseCoalPlants!U451)</f>
        <v>31.536000000000001</v>
      </c>
    </row>
    <row r="411" spans="3:22" x14ac:dyDescent="0.35">
      <c r="C411" t="str">
        <f>IF(BaseCoalPlants!B452="VDA_FLOP",IF(BaseCoalPlants!D452="ELC","*","INPUT"),BaseCoalPlants!B452)</f>
        <v>PRC_CAPACT</v>
      </c>
      <c r="D411" t="str">
        <f>IF(BaseCoalPlants!C452="","\I:",BaseCoalPlants!C452&amp;"_LE")</f>
        <v>ECSTMRSUO_LE</v>
      </c>
      <c r="E411" t="str">
        <f>IF(BaseCoalPlants!D452="-","",BaseCoalPlants!D452)</f>
        <v/>
      </c>
      <c r="F411" t="str">
        <f>IF(BaseCoalPlants!E452="-","",BaseCoalPlants!E452)</f>
        <v/>
      </c>
      <c r="G411" t="str">
        <f>IF(BaseCoalPlants!F452="-","",BaseCoalPlants!F452)</f>
        <v/>
      </c>
      <c r="H411">
        <f>IF(BaseCoalPlants!G452="-","",BaseCoalPlants!G452)</f>
        <v>0</v>
      </c>
      <c r="I411" t="str">
        <f>IF(BaseCoalPlants!H452="-","",BaseCoalPlants!H452)</f>
        <v/>
      </c>
      <c r="J411" t="str">
        <f>IF(BaseCoalPlants!I452="-","",BaseCoalPlants!I452)</f>
        <v/>
      </c>
      <c r="K411" t="str">
        <f>IF(BaseCoalPlants!J452="-","",BaseCoalPlants!J452)</f>
        <v/>
      </c>
      <c r="L411" t="str">
        <f>IF(BaseCoalPlants!K452="-","",BaseCoalPlants!K452)</f>
        <v/>
      </c>
      <c r="M411" s="1">
        <f>IF(BaseCoalPlants!L452=0,"",BaseCoalPlants!L452)</f>
        <v>31.536000000000001</v>
      </c>
      <c r="N411" s="1">
        <f>IF(BaseCoalPlants!M452=0,"",BaseCoalPlants!M452)</f>
        <v>31.536000000000001</v>
      </c>
      <c r="O411" s="1">
        <f>IF(BaseCoalPlants!N452=0,"",BaseCoalPlants!N452)</f>
        <v>31.536000000000001</v>
      </c>
      <c r="P411" s="1">
        <f>IF(BaseCoalPlants!O452=0,"",BaseCoalPlants!O452)</f>
        <v>31.536000000000001</v>
      </c>
      <c r="Q411" s="1">
        <f>IF(BaseCoalPlants!P452=0,"",BaseCoalPlants!P452)</f>
        <v>31.536000000000001</v>
      </c>
      <c r="R411" s="1">
        <f>IF(BaseCoalPlants!Q452=0,"",BaseCoalPlants!Q452)</f>
        <v>31.536000000000001</v>
      </c>
      <c r="S411" s="1">
        <f>IF(BaseCoalPlants!R452=0,"",BaseCoalPlants!R452)</f>
        <v>31.536000000000001</v>
      </c>
      <c r="T411" s="1">
        <f>IF(BaseCoalPlants!S452=0,"",BaseCoalPlants!S452)</f>
        <v>31.536000000000001</v>
      </c>
      <c r="U411" s="1">
        <f>IF(BaseCoalPlants!T452=0,"",BaseCoalPlants!T452)</f>
        <v>31.536000000000001</v>
      </c>
      <c r="V411" s="1">
        <f>IF(BaseCoalPlants!U452=0,"",BaseCoalPlants!U452)</f>
        <v>31.536000000000001</v>
      </c>
    </row>
    <row r="412" spans="3:22" x14ac:dyDescent="0.35">
      <c r="C412" t="str">
        <f>IF(BaseCoalPlants!B453="VDA_FLOP",IF(BaseCoalPlants!D453="ELC","*","INPUT"),BaseCoalPlants!B453)</f>
        <v>PRC_CAPACT</v>
      </c>
      <c r="D412" t="str">
        <f>IF(BaseCoalPlants!C453="","\I:",BaseCoalPlants!C453&amp;"_LE")</f>
        <v>ECSTMRSUR_LE</v>
      </c>
      <c r="E412" t="str">
        <f>IF(BaseCoalPlants!D453="-","",BaseCoalPlants!D453)</f>
        <v/>
      </c>
      <c r="F412" t="str">
        <f>IF(BaseCoalPlants!E453="-","",BaseCoalPlants!E453)</f>
        <v/>
      </c>
      <c r="G412" t="str">
        <f>IF(BaseCoalPlants!F453="-","",BaseCoalPlants!F453)</f>
        <v/>
      </c>
      <c r="H412">
        <f>IF(BaseCoalPlants!G453="-","",BaseCoalPlants!G453)</f>
        <v>0</v>
      </c>
      <c r="I412" t="str">
        <f>IF(BaseCoalPlants!H453="-","",BaseCoalPlants!H453)</f>
        <v/>
      </c>
      <c r="J412" t="str">
        <f>IF(BaseCoalPlants!I453="-","",BaseCoalPlants!I453)</f>
        <v/>
      </c>
      <c r="K412" t="str">
        <f>IF(BaseCoalPlants!J453="-","",BaseCoalPlants!J453)</f>
        <v/>
      </c>
      <c r="L412" t="str">
        <f>IF(BaseCoalPlants!K453="-","",BaseCoalPlants!K453)</f>
        <v/>
      </c>
      <c r="M412" s="1">
        <f>IF(BaseCoalPlants!L453=0,"",BaseCoalPlants!L453)</f>
        <v>31.536000000000001</v>
      </c>
      <c r="N412" s="1">
        <f>IF(BaseCoalPlants!M453=0,"",BaseCoalPlants!M453)</f>
        <v>31.536000000000001</v>
      </c>
      <c r="O412" s="1">
        <f>IF(BaseCoalPlants!N453=0,"",BaseCoalPlants!N453)</f>
        <v>31.536000000000001</v>
      </c>
      <c r="P412" s="1">
        <f>IF(BaseCoalPlants!O453=0,"",BaseCoalPlants!O453)</f>
        <v>31.536000000000001</v>
      </c>
      <c r="Q412" s="1">
        <f>IF(BaseCoalPlants!P453=0,"",BaseCoalPlants!P453)</f>
        <v>31.536000000000001</v>
      </c>
      <c r="R412" s="1">
        <f>IF(BaseCoalPlants!Q453=0,"",BaseCoalPlants!Q453)</f>
        <v>31.536000000000001</v>
      </c>
      <c r="S412" s="1">
        <f>IF(BaseCoalPlants!R453=0,"",BaseCoalPlants!R453)</f>
        <v>31.536000000000001</v>
      </c>
      <c r="T412" s="1">
        <f>IF(BaseCoalPlants!S453=0,"",BaseCoalPlants!S453)</f>
        <v>31.536000000000001</v>
      </c>
      <c r="U412" s="1">
        <f>IF(BaseCoalPlants!T453=0,"",BaseCoalPlants!T453)</f>
        <v>31.536000000000001</v>
      </c>
      <c r="V412" s="1">
        <f>IF(BaseCoalPlants!U453=0,"",BaseCoalPlants!U453)</f>
        <v>31.536000000000001</v>
      </c>
    </row>
    <row r="413" spans="3:22" x14ac:dyDescent="0.35">
      <c r="C413">
        <f>IF(BaseCoalPlants!B454="VDA_FLOP",IF(BaseCoalPlants!D454="ELC","*","INPUT"),BaseCoalPlants!B454)</f>
        <v>0</v>
      </c>
      <c r="D413" t="str">
        <f>IF(BaseCoalPlants!C454="","\I:",BaseCoalPlants!C454&amp;"_LE")</f>
        <v>\I:</v>
      </c>
      <c r="E413">
        <f>IF(BaseCoalPlants!D454="-","",BaseCoalPlants!D454)</f>
        <v>0</v>
      </c>
      <c r="F413">
        <f>IF(BaseCoalPlants!E454="-","",BaseCoalPlants!E454)</f>
        <v>0</v>
      </c>
      <c r="G413">
        <f>IF(BaseCoalPlants!F454="-","",BaseCoalPlants!F454)</f>
        <v>0</v>
      </c>
      <c r="H413">
        <f>IF(BaseCoalPlants!G454="-","",BaseCoalPlants!G454)</f>
        <v>0</v>
      </c>
      <c r="I413">
        <f>IF(BaseCoalPlants!H454="-","",BaseCoalPlants!H454)</f>
        <v>0</v>
      </c>
      <c r="J413">
        <f>IF(BaseCoalPlants!I454="-","",BaseCoalPlants!I454)</f>
        <v>0</v>
      </c>
      <c r="K413">
        <f>IF(BaseCoalPlants!J454="-","",BaseCoalPlants!J454)</f>
        <v>0</v>
      </c>
      <c r="L413">
        <f>IF(BaseCoalPlants!K454="-","",BaseCoalPlants!K454)</f>
        <v>0</v>
      </c>
      <c r="M413" s="1" t="str">
        <f>IF(BaseCoalPlants!L454=0,"",BaseCoalPlants!L454)</f>
        <v/>
      </c>
      <c r="N413" s="1" t="str">
        <f>IF(BaseCoalPlants!M454=0,"",BaseCoalPlants!M454)</f>
        <v/>
      </c>
      <c r="O413" s="1" t="str">
        <f>IF(BaseCoalPlants!N454=0,"",BaseCoalPlants!N454)</f>
        <v/>
      </c>
      <c r="P413" s="1" t="str">
        <f>IF(BaseCoalPlants!O454=0,"",BaseCoalPlants!O454)</f>
        <v/>
      </c>
      <c r="Q413" s="1" t="str">
        <f>IF(BaseCoalPlants!P454=0,"",BaseCoalPlants!P454)</f>
        <v/>
      </c>
      <c r="R413" s="1" t="str">
        <f>IF(BaseCoalPlants!Q454=0,"",BaseCoalPlants!Q454)</f>
        <v/>
      </c>
      <c r="S413" s="1" t="str">
        <f>IF(BaseCoalPlants!R454=0,"",BaseCoalPlants!R454)</f>
        <v/>
      </c>
      <c r="T413" s="1" t="str">
        <f>IF(BaseCoalPlants!S454=0,"",BaseCoalPlants!S454)</f>
        <v/>
      </c>
      <c r="U413" s="1" t="str">
        <f>IF(BaseCoalPlants!T454=0,"",BaseCoalPlants!T454)</f>
        <v/>
      </c>
      <c r="V413" s="1" t="str">
        <f>IF(BaseCoalPlants!U454=0,"",BaseCoalPlants!U454)</f>
        <v/>
      </c>
    </row>
    <row r="414" spans="3:22" x14ac:dyDescent="0.35">
      <c r="C414">
        <f>IF(BaseCoalPlants!B455="VDA_FLOP",IF(BaseCoalPlants!D455="ELC","*","INPUT"),BaseCoalPlants!B455)</f>
        <v>0</v>
      </c>
      <c r="D414" t="str">
        <f>IF(BaseCoalPlants!C455="","\I:",BaseCoalPlants!C455&amp;"_LE")</f>
        <v>\I:</v>
      </c>
      <c r="E414">
        <f>IF(BaseCoalPlants!D455="-","",BaseCoalPlants!D455)</f>
        <v>0</v>
      </c>
      <c r="F414">
        <f>IF(BaseCoalPlants!E455="-","",BaseCoalPlants!E455)</f>
        <v>0</v>
      </c>
      <c r="G414">
        <f>IF(BaseCoalPlants!F455="-","",BaseCoalPlants!F455)</f>
        <v>0</v>
      </c>
      <c r="H414">
        <f>IF(BaseCoalPlants!G455="-","",BaseCoalPlants!G455)</f>
        <v>0</v>
      </c>
      <c r="I414">
        <f>IF(BaseCoalPlants!H455="-","",BaseCoalPlants!H455)</f>
        <v>0</v>
      </c>
      <c r="J414">
        <f>IF(BaseCoalPlants!I455="-","",BaseCoalPlants!I455)</f>
        <v>0</v>
      </c>
      <c r="K414">
        <f>IF(BaseCoalPlants!J455="-","",BaseCoalPlants!J455)</f>
        <v>0</v>
      </c>
      <c r="L414">
        <f>IF(BaseCoalPlants!K455="-","",BaseCoalPlants!K455)</f>
        <v>0</v>
      </c>
      <c r="M414" s="1" t="str">
        <f>IF(BaseCoalPlants!L455=0,"",BaseCoalPlants!L455)</f>
        <v/>
      </c>
      <c r="N414" s="1" t="str">
        <f>IF(BaseCoalPlants!M455=0,"",BaseCoalPlants!M455)</f>
        <v/>
      </c>
      <c r="O414" s="1" t="str">
        <f>IF(BaseCoalPlants!N455=0,"",BaseCoalPlants!N455)</f>
        <v/>
      </c>
      <c r="P414" s="1" t="str">
        <f>IF(BaseCoalPlants!O455=0,"",BaseCoalPlants!O455)</f>
        <v/>
      </c>
      <c r="Q414" s="1" t="str">
        <f>IF(BaseCoalPlants!P455=0,"",BaseCoalPlants!P455)</f>
        <v/>
      </c>
      <c r="R414" s="1" t="str">
        <f>IF(BaseCoalPlants!Q455=0,"",BaseCoalPlants!Q455)</f>
        <v/>
      </c>
      <c r="S414" s="1" t="str">
        <f>IF(BaseCoalPlants!R455=0,"",BaseCoalPlants!R455)</f>
        <v/>
      </c>
      <c r="T414" s="1" t="str">
        <f>IF(BaseCoalPlants!S455=0,"",BaseCoalPlants!S455)</f>
        <v/>
      </c>
      <c r="U414" s="1" t="str">
        <f>IF(BaseCoalPlants!T455=0,"",BaseCoalPlants!T455)</f>
        <v/>
      </c>
      <c r="V414" s="1" t="str">
        <f>IF(BaseCoalPlants!U455=0,"",BaseCoalPlants!U455)</f>
        <v/>
      </c>
    </row>
    <row r="415" spans="3:22" x14ac:dyDescent="0.35">
      <c r="C415">
        <f>IF(BaseCoalPlants!B456="VDA_FLOP",IF(BaseCoalPlants!D456="ELC","*","INPUT"),BaseCoalPlants!B456)</f>
        <v>0</v>
      </c>
      <c r="D415" t="str">
        <f>IF(BaseCoalPlants!C456="","\I:",BaseCoalPlants!C456&amp;"_LE")</f>
        <v>\I:</v>
      </c>
      <c r="E415">
        <f>IF(BaseCoalPlants!D456="-","",BaseCoalPlants!D456)</f>
        <v>0</v>
      </c>
      <c r="F415">
        <f>IF(BaseCoalPlants!E456="-","",BaseCoalPlants!E456)</f>
        <v>0</v>
      </c>
      <c r="G415">
        <f>IF(BaseCoalPlants!F456="-","",BaseCoalPlants!F456)</f>
        <v>0</v>
      </c>
      <c r="H415">
        <f>IF(BaseCoalPlants!G456="-","",BaseCoalPlants!G456)</f>
        <v>0</v>
      </c>
      <c r="I415">
        <f>IF(BaseCoalPlants!H456="-","",BaseCoalPlants!H456)</f>
        <v>0</v>
      </c>
      <c r="J415">
        <f>IF(BaseCoalPlants!I456="-","",BaseCoalPlants!I456)</f>
        <v>0</v>
      </c>
      <c r="K415">
        <f>IF(BaseCoalPlants!J456="-","",BaseCoalPlants!J456)</f>
        <v>0</v>
      </c>
      <c r="L415">
        <f>IF(BaseCoalPlants!K456="-","",BaseCoalPlants!K456)</f>
        <v>0</v>
      </c>
      <c r="M415" s="1" t="str">
        <f>IF(BaseCoalPlants!L456=0,"",BaseCoalPlants!L456)</f>
        <v/>
      </c>
      <c r="N415" s="1" t="str">
        <f>IF(BaseCoalPlants!M456=0,"",BaseCoalPlants!M456)</f>
        <v/>
      </c>
      <c r="O415" s="1" t="str">
        <f>IF(BaseCoalPlants!N456=0,"",BaseCoalPlants!N456)</f>
        <v/>
      </c>
      <c r="P415" s="1" t="str">
        <f>IF(BaseCoalPlants!O456=0,"",BaseCoalPlants!O456)</f>
        <v/>
      </c>
      <c r="Q415" s="1" t="str">
        <f>IF(BaseCoalPlants!P456=0,"",BaseCoalPlants!P456)</f>
        <v/>
      </c>
      <c r="R415" s="1" t="str">
        <f>IF(BaseCoalPlants!Q456=0,"",BaseCoalPlants!Q456)</f>
        <v/>
      </c>
      <c r="S415" s="1" t="str">
        <f>IF(BaseCoalPlants!R456=0,"",BaseCoalPlants!R456)</f>
        <v/>
      </c>
      <c r="T415" s="1" t="str">
        <f>IF(BaseCoalPlants!S456=0,"",BaseCoalPlants!S456)</f>
        <v/>
      </c>
      <c r="U415" s="1" t="str">
        <f>IF(BaseCoalPlants!T456=0,"",BaseCoalPlants!T456)</f>
        <v/>
      </c>
      <c r="V415" s="1" t="str">
        <f>IF(BaseCoalPlants!U456=0,"",BaseCoalPlants!U456)</f>
        <v/>
      </c>
    </row>
    <row r="416" spans="3:22" x14ac:dyDescent="0.35">
      <c r="C416">
        <f>IF(BaseCoalPlants!B457="VDA_FLOP",IF(BaseCoalPlants!D457="ELC","*","INPUT"),BaseCoalPlants!B457)</f>
        <v>0</v>
      </c>
      <c r="D416" t="str">
        <f>IF(BaseCoalPlants!C457="","\I:",BaseCoalPlants!C457&amp;"_LE")</f>
        <v>\I:</v>
      </c>
      <c r="E416">
        <f>IF(BaseCoalPlants!D457="-","",BaseCoalPlants!D457)</f>
        <v>0</v>
      </c>
      <c r="F416">
        <f>IF(BaseCoalPlants!E457="-","",BaseCoalPlants!E457)</f>
        <v>0</v>
      </c>
      <c r="G416">
        <f>IF(BaseCoalPlants!F457="-","",BaseCoalPlants!F457)</f>
        <v>0</v>
      </c>
      <c r="H416">
        <f>IF(BaseCoalPlants!G457="-","",BaseCoalPlants!G457)</f>
        <v>0</v>
      </c>
      <c r="I416">
        <f>IF(BaseCoalPlants!H457="-","",BaseCoalPlants!H457)</f>
        <v>0</v>
      </c>
      <c r="J416">
        <f>IF(BaseCoalPlants!I457="-","",BaseCoalPlants!I457)</f>
        <v>0</v>
      </c>
      <c r="K416">
        <f>IF(BaseCoalPlants!J457="-","",BaseCoalPlants!J457)</f>
        <v>0</v>
      </c>
      <c r="L416">
        <f>IF(BaseCoalPlants!K457="-","",BaseCoalPlants!K457)</f>
        <v>0</v>
      </c>
      <c r="M416" s="1" t="str">
        <f>IF(BaseCoalPlants!L457=0,"",BaseCoalPlants!L457)</f>
        <v/>
      </c>
      <c r="N416" s="1" t="str">
        <f>IF(BaseCoalPlants!M457=0,"",BaseCoalPlants!M457)</f>
        <v/>
      </c>
      <c r="O416" s="1" t="str">
        <f>IF(BaseCoalPlants!N457=0,"",BaseCoalPlants!N457)</f>
        <v/>
      </c>
      <c r="P416" s="1" t="str">
        <f>IF(BaseCoalPlants!O457=0,"",BaseCoalPlants!O457)</f>
        <v/>
      </c>
      <c r="Q416" s="1" t="str">
        <f>IF(BaseCoalPlants!P457=0,"",BaseCoalPlants!P457)</f>
        <v/>
      </c>
      <c r="R416" s="1" t="str">
        <f>IF(BaseCoalPlants!Q457=0,"",BaseCoalPlants!Q457)</f>
        <v/>
      </c>
      <c r="S416" s="1" t="str">
        <f>IF(BaseCoalPlants!R457=0,"",BaseCoalPlants!R457)</f>
        <v/>
      </c>
      <c r="T416" s="1" t="str">
        <f>IF(BaseCoalPlants!S457=0,"",BaseCoalPlants!S457)</f>
        <v/>
      </c>
      <c r="U416" s="1" t="str">
        <f>IF(BaseCoalPlants!T457=0,"",BaseCoalPlants!T457)</f>
        <v/>
      </c>
      <c r="V416" s="1" t="str">
        <f>IF(BaseCoalPlants!U457=0,"",BaseCoalPlants!U457)</f>
        <v/>
      </c>
    </row>
    <row r="417" spans="3:22" x14ac:dyDescent="0.35">
      <c r="C417">
        <f>IF(BaseCoalPlants!B458="VDA_FLOP",IF(BaseCoalPlants!D458="ELC","*","INPUT"),BaseCoalPlants!B458)</f>
        <v>0</v>
      </c>
      <c r="D417" t="str">
        <f>IF(BaseCoalPlants!C458="","\I:",BaseCoalPlants!C458&amp;"_LE")</f>
        <v>\I:</v>
      </c>
      <c r="E417">
        <f>IF(BaseCoalPlants!D458="-","",BaseCoalPlants!D458)</f>
        <v>0</v>
      </c>
      <c r="F417">
        <f>IF(BaseCoalPlants!E458="-","",BaseCoalPlants!E458)</f>
        <v>0</v>
      </c>
      <c r="G417">
        <f>IF(BaseCoalPlants!F458="-","",BaseCoalPlants!F458)</f>
        <v>0</v>
      </c>
      <c r="H417">
        <f>IF(BaseCoalPlants!G458="-","",BaseCoalPlants!G458)</f>
        <v>0</v>
      </c>
      <c r="I417">
        <f>IF(BaseCoalPlants!H458="-","",BaseCoalPlants!H458)</f>
        <v>0</v>
      </c>
      <c r="J417">
        <f>IF(BaseCoalPlants!I458="-","",BaseCoalPlants!I458)</f>
        <v>0</v>
      </c>
      <c r="K417">
        <f>IF(BaseCoalPlants!J458="-","",BaseCoalPlants!J458)</f>
        <v>0</v>
      </c>
      <c r="L417">
        <f>IF(BaseCoalPlants!K458="-","",BaseCoalPlants!K458)</f>
        <v>0</v>
      </c>
      <c r="M417" s="1" t="str">
        <f>IF(BaseCoalPlants!L458=0,"",BaseCoalPlants!L458)</f>
        <v/>
      </c>
      <c r="N417" s="1" t="str">
        <f>IF(BaseCoalPlants!M458=0,"",BaseCoalPlants!M458)</f>
        <v/>
      </c>
      <c r="O417" s="1" t="str">
        <f>IF(BaseCoalPlants!N458=0,"",BaseCoalPlants!N458)</f>
        <v/>
      </c>
      <c r="P417" s="1" t="str">
        <f>IF(BaseCoalPlants!O458=0,"",BaseCoalPlants!O458)</f>
        <v/>
      </c>
      <c r="Q417" s="1" t="str">
        <f>IF(BaseCoalPlants!P458=0,"",BaseCoalPlants!P458)</f>
        <v/>
      </c>
      <c r="R417" s="1" t="str">
        <f>IF(BaseCoalPlants!Q458=0,"",BaseCoalPlants!Q458)</f>
        <v/>
      </c>
      <c r="S417" s="1" t="str">
        <f>IF(BaseCoalPlants!R458=0,"",BaseCoalPlants!R458)</f>
        <v/>
      </c>
      <c r="T417" s="1" t="str">
        <f>IF(BaseCoalPlants!S458=0,"",BaseCoalPlants!S458)</f>
        <v/>
      </c>
      <c r="U417" s="1" t="str">
        <f>IF(BaseCoalPlants!T458=0,"",BaseCoalPlants!T458)</f>
        <v/>
      </c>
      <c r="V417" s="1" t="str">
        <f>IF(BaseCoalPlants!U458=0,"",BaseCoalPlants!U458)</f>
        <v/>
      </c>
    </row>
    <row r="418" spans="3:22" x14ac:dyDescent="0.35">
      <c r="C418">
        <f>IF(BaseCoalPlants!B459="VDA_FLOP",IF(BaseCoalPlants!D459="ELC","*","INPUT"),BaseCoalPlants!B459)</f>
        <v>0</v>
      </c>
      <c r="D418" t="str">
        <f>IF(BaseCoalPlants!C459="","\I:",BaseCoalPlants!C459&amp;"_LE")</f>
        <v>\I:</v>
      </c>
      <c r="E418">
        <f>IF(BaseCoalPlants!D459="-","",BaseCoalPlants!D459)</f>
        <v>0</v>
      </c>
      <c r="F418">
        <f>IF(BaseCoalPlants!E459="-","",BaseCoalPlants!E459)</f>
        <v>0</v>
      </c>
      <c r="G418">
        <f>IF(BaseCoalPlants!F459="-","",BaseCoalPlants!F459)</f>
        <v>0</v>
      </c>
      <c r="H418">
        <f>IF(BaseCoalPlants!G459="-","",BaseCoalPlants!G459)</f>
        <v>0</v>
      </c>
      <c r="I418">
        <f>IF(BaseCoalPlants!H459="-","",BaseCoalPlants!H459)</f>
        <v>0</v>
      </c>
      <c r="J418">
        <f>IF(BaseCoalPlants!I459="-","",BaseCoalPlants!I459)</f>
        <v>0</v>
      </c>
      <c r="K418">
        <f>IF(BaseCoalPlants!J459="-","",BaseCoalPlants!J459)</f>
        <v>0</v>
      </c>
      <c r="L418">
        <f>IF(BaseCoalPlants!K459="-","",BaseCoalPlants!K459)</f>
        <v>0</v>
      </c>
      <c r="M418" s="1" t="str">
        <f>IF(BaseCoalPlants!L459=0,"",BaseCoalPlants!L459)</f>
        <v/>
      </c>
      <c r="N418" s="1" t="str">
        <f>IF(BaseCoalPlants!M459=0,"",BaseCoalPlants!M459)</f>
        <v/>
      </c>
      <c r="O418" s="1" t="str">
        <f>IF(BaseCoalPlants!N459=0,"",BaseCoalPlants!N459)</f>
        <v/>
      </c>
      <c r="P418" s="1" t="str">
        <f>IF(BaseCoalPlants!O459=0,"",BaseCoalPlants!O459)</f>
        <v/>
      </c>
      <c r="Q418" s="1" t="str">
        <f>IF(BaseCoalPlants!P459=0,"",BaseCoalPlants!P459)</f>
        <v/>
      </c>
      <c r="R418" s="1" t="str">
        <f>IF(BaseCoalPlants!Q459=0,"",BaseCoalPlants!Q459)</f>
        <v/>
      </c>
      <c r="S418" s="1" t="str">
        <f>IF(BaseCoalPlants!R459=0,"",BaseCoalPlants!R459)</f>
        <v/>
      </c>
      <c r="T418" s="1" t="str">
        <f>IF(BaseCoalPlants!S459=0,"",BaseCoalPlants!S459)</f>
        <v/>
      </c>
      <c r="U418" s="1" t="str">
        <f>IF(BaseCoalPlants!T459=0,"",BaseCoalPlants!T459)</f>
        <v/>
      </c>
      <c r="V418" s="1" t="str">
        <f>IF(BaseCoalPlants!U459=0,"",BaseCoalPlants!U459)</f>
        <v/>
      </c>
    </row>
    <row r="419" spans="3:22" x14ac:dyDescent="0.35">
      <c r="C419">
        <f>IF(BaseCoalPlants!B460="VDA_FLOP",IF(BaseCoalPlants!D460="ELC","*","INPUT"),BaseCoalPlants!B460)</f>
        <v>0</v>
      </c>
      <c r="D419" t="str">
        <f>IF(BaseCoalPlants!C460="","\I:",BaseCoalPlants!C460&amp;"_LE")</f>
        <v>\I:</v>
      </c>
      <c r="E419">
        <f>IF(BaseCoalPlants!D460="-","",BaseCoalPlants!D460)</f>
        <v>0</v>
      </c>
      <c r="F419">
        <f>IF(BaseCoalPlants!E460="-","",BaseCoalPlants!E460)</f>
        <v>0</v>
      </c>
      <c r="G419">
        <f>IF(BaseCoalPlants!F460="-","",BaseCoalPlants!F460)</f>
        <v>0</v>
      </c>
      <c r="H419">
        <f>IF(BaseCoalPlants!G460="-","",BaseCoalPlants!G460)</f>
        <v>0</v>
      </c>
      <c r="I419">
        <f>IF(BaseCoalPlants!H460="-","",BaseCoalPlants!H460)</f>
        <v>0</v>
      </c>
      <c r="J419">
        <f>IF(BaseCoalPlants!I460="-","",BaseCoalPlants!I460)</f>
        <v>0</v>
      </c>
      <c r="K419">
        <f>IF(BaseCoalPlants!J460="-","",BaseCoalPlants!J460)</f>
        <v>0</v>
      </c>
      <c r="L419">
        <f>IF(BaseCoalPlants!K460="-","",BaseCoalPlants!K460)</f>
        <v>0</v>
      </c>
      <c r="M419" s="1" t="str">
        <f>IF(BaseCoalPlants!L460=0,"",BaseCoalPlants!L460)</f>
        <v/>
      </c>
      <c r="N419" s="1" t="str">
        <f>IF(BaseCoalPlants!M460=0,"",BaseCoalPlants!M460)</f>
        <v/>
      </c>
      <c r="O419" s="1" t="str">
        <f>IF(BaseCoalPlants!N460=0,"",BaseCoalPlants!N460)</f>
        <v/>
      </c>
      <c r="P419" s="1" t="str">
        <f>IF(BaseCoalPlants!O460=0,"",BaseCoalPlants!O460)</f>
        <v/>
      </c>
      <c r="Q419" s="1" t="str">
        <f>IF(BaseCoalPlants!P460=0,"",BaseCoalPlants!P460)</f>
        <v/>
      </c>
      <c r="R419" s="1" t="str">
        <f>IF(BaseCoalPlants!Q460=0,"",BaseCoalPlants!Q460)</f>
        <v/>
      </c>
      <c r="S419" s="1" t="str">
        <f>IF(BaseCoalPlants!R460=0,"",BaseCoalPlants!R460)</f>
        <v/>
      </c>
      <c r="T419" s="1" t="str">
        <f>IF(BaseCoalPlants!S460=0,"",BaseCoalPlants!S460)</f>
        <v/>
      </c>
      <c r="U419" s="1" t="str">
        <f>IF(BaseCoalPlants!T460=0,"",BaseCoalPlants!T460)</f>
        <v/>
      </c>
      <c r="V419" s="1" t="str">
        <f>IF(BaseCoalPlants!U460=0,"",BaseCoalPlants!U460)</f>
        <v/>
      </c>
    </row>
    <row r="420" spans="3:22" x14ac:dyDescent="0.35">
      <c r="C420">
        <f>IF(BaseCoalPlants!B461="VDA_FLOP",IF(BaseCoalPlants!D461="ELC","*","INPUT"),BaseCoalPlants!B461)</f>
        <v>0</v>
      </c>
      <c r="D420" t="str">
        <f>IF(BaseCoalPlants!C461="","\I:",BaseCoalPlants!C461&amp;"_LE")</f>
        <v>\I:</v>
      </c>
      <c r="E420">
        <f>IF(BaseCoalPlants!D461="-","",BaseCoalPlants!D461)</f>
        <v>0</v>
      </c>
      <c r="F420">
        <f>IF(BaseCoalPlants!E461="-","",BaseCoalPlants!E461)</f>
        <v>0</v>
      </c>
      <c r="G420">
        <f>IF(BaseCoalPlants!F461="-","",BaseCoalPlants!F461)</f>
        <v>0</v>
      </c>
      <c r="H420">
        <f>IF(BaseCoalPlants!G461="-","",BaseCoalPlants!G461)</f>
        <v>0</v>
      </c>
      <c r="I420">
        <f>IF(BaseCoalPlants!H461="-","",BaseCoalPlants!H461)</f>
        <v>0</v>
      </c>
      <c r="J420">
        <f>IF(BaseCoalPlants!I461="-","",BaseCoalPlants!I461)</f>
        <v>0</v>
      </c>
      <c r="K420">
        <f>IF(BaseCoalPlants!J461="-","",BaseCoalPlants!J461)</f>
        <v>0</v>
      </c>
      <c r="L420">
        <f>IF(BaseCoalPlants!K461="-","",BaseCoalPlants!K461)</f>
        <v>0</v>
      </c>
      <c r="M420" s="1" t="str">
        <f>IF(BaseCoalPlants!L461=0,"",BaseCoalPlants!L461)</f>
        <v/>
      </c>
      <c r="N420" s="1" t="str">
        <f>IF(BaseCoalPlants!M461=0,"",BaseCoalPlants!M461)</f>
        <v/>
      </c>
      <c r="O420" s="1" t="str">
        <f>IF(BaseCoalPlants!N461=0,"",BaseCoalPlants!N461)</f>
        <v/>
      </c>
      <c r="P420" s="1" t="str">
        <f>IF(BaseCoalPlants!O461=0,"",BaseCoalPlants!O461)</f>
        <v/>
      </c>
      <c r="Q420" s="1" t="str">
        <f>IF(BaseCoalPlants!P461=0,"",BaseCoalPlants!P461)</f>
        <v/>
      </c>
      <c r="R420" s="1" t="str">
        <f>IF(BaseCoalPlants!Q461=0,"",BaseCoalPlants!Q461)</f>
        <v/>
      </c>
      <c r="S420" s="1" t="str">
        <f>IF(BaseCoalPlants!R461=0,"",BaseCoalPlants!R461)</f>
        <v/>
      </c>
      <c r="T420" s="1" t="str">
        <f>IF(BaseCoalPlants!S461=0,"",BaseCoalPlants!S461)</f>
        <v/>
      </c>
      <c r="U420" s="1" t="str">
        <f>IF(BaseCoalPlants!T461=0,"",BaseCoalPlants!T461)</f>
        <v/>
      </c>
      <c r="V420" s="1" t="str">
        <f>IF(BaseCoalPlants!U461=0,"",BaseCoalPlants!U461)</f>
        <v/>
      </c>
    </row>
    <row r="421" spans="3:22" x14ac:dyDescent="0.35">
      <c r="C421">
        <f>IF(BaseCoalPlants!B462="VDA_FLOP",IF(BaseCoalPlants!D462="ELC","*","INPUT"),BaseCoalPlants!B462)</f>
        <v>0</v>
      </c>
      <c r="D421" t="str">
        <f>IF(BaseCoalPlants!C462="","\I:",BaseCoalPlants!C462&amp;"_LE")</f>
        <v>\I:</v>
      </c>
      <c r="E421">
        <f>IF(BaseCoalPlants!D462="-","",BaseCoalPlants!D462)</f>
        <v>0</v>
      </c>
      <c r="F421">
        <f>IF(BaseCoalPlants!E462="-","",BaseCoalPlants!E462)</f>
        <v>0</v>
      </c>
      <c r="G421">
        <f>IF(BaseCoalPlants!F462="-","",BaseCoalPlants!F462)</f>
        <v>0</v>
      </c>
      <c r="H421">
        <f>IF(BaseCoalPlants!G462="-","",BaseCoalPlants!G462)</f>
        <v>0</v>
      </c>
      <c r="I421">
        <f>IF(BaseCoalPlants!H462="-","",BaseCoalPlants!H462)</f>
        <v>0</v>
      </c>
      <c r="J421">
        <f>IF(BaseCoalPlants!I462="-","",BaseCoalPlants!I462)</f>
        <v>0</v>
      </c>
      <c r="K421">
        <f>IF(BaseCoalPlants!J462="-","",BaseCoalPlants!J462)</f>
        <v>0</v>
      </c>
      <c r="L421">
        <f>IF(BaseCoalPlants!K462="-","",BaseCoalPlants!K462)</f>
        <v>0</v>
      </c>
      <c r="M421" s="1" t="str">
        <f>IF(BaseCoalPlants!L462=0,"",BaseCoalPlants!L462)</f>
        <v/>
      </c>
      <c r="N421" s="1" t="str">
        <f>IF(BaseCoalPlants!M462=0,"",BaseCoalPlants!M462)</f>
        <v/>
      </c>
      <c r="O421" s="1" t="str">
        <f>IF(BaseCoalPlants!N462=0,"",BaseCoalPlants!N462)</f>
        <v/>
      </c>
      <c r="P421" s="1" t="str">
        <f>IF(BaseCoalPlants!O462=0,"",BaseCoalPlants!O462)</f>
        <v/>
      </c>
      <c r="Q421" s="1" t="str">
        <f>IF(BaseCoalPlants!P462=0,"",BaseCoalPlants!P462)</f>
        <v/>
      </c>
      <c r="R421" s="1" t="str">
        <f>IF(BaseCoalPlants!Q462=0,"",BaseCoalPlants!Q462)</f>
        <v/>
      </c>
      <c r="S421" s="1" t="str">
        <f>IF(BaseCoalPlants!R462=0,"",BaseCoalPlants!R462)</f>
        <v/>
      </c>
      <c r="T421" s="1" t="str">
        <f>IF(BaseCoalPlants!S462=0,"",BaseCoalPlants!S462)</f>
        <v/>
      </c>
      <c r="U421" s="1" t="str">
        <f>IF(BaseCoalPlants!T462=0,"",BaseCoalPlants!T462)</f>
        <v/>
      </c>
      <c r="V421" s="1" t="str">
        <f>IF(BaseCoalPlants!U462=0,"",BaseCoalPlants!U462)</f>
        <v/>
      </c>
    </row>
    <row r="422" spans="3:22" x14ac:dyDescent="0.35">
      <c r="C422">
        <f>IF(BaseCoalPlants!B463="VDA_FLOP",IF(BaseCoalPlants!D463="ELC","*","INPUT"),BaseCoalPlants!B463)</f>
        <v>0</v>
      </c>
      <c r="D422" t="str">
        <f>IF(BaseCoalPlants!C463="","\I:",BaseCoalPlants!C463&amp;"_LE")</f>
        <v>\I:</v>
      </c>
      <c r="E422">
        <f>IF(BaseCoalPlants!D463="-","",BaseCoalPlants!D463)</f>
        <v>0</v>
      </c>
      <c r="F422">
        <f>IF(BaseCoalPlants!E463="-","",BaseCoalPlants!E463)</f>
        <v>0</v>
      </c>
      <c r="G422">
        <f>IF(BaseCoalPlants!F463="-","",BaseCoalPlants!F463)</f>
        <v>0</v>
      </c>
      <c r="H422">
        <f>IF(BaseCoalPlants!G463="-","",BaseCoalPlants!G463)</f>
        <v>0</v>
      </c>
      <c r="I422">
        <f>IF(BaseCoalPlants!H463="-","",BaseCoalPlants!H463)</f>
        <v>0</v>
      </c>
      <c r="J422">
        <f>IF(BaseCoalPlants!I463="-","",BaseCoalPlants!I463)</f>
        <v>0</v>
      </c>
      <c r="K422">
        <f>IF(BaseCoalPlants!J463="-","",BaseCoalPlants!J463)</f>
        <v>0</v>
      </c>
      <c r="L422">
        <f>IF(BaseCoalPlants!K463="-","",BaseCoalPlants!K463)</f>
        <v>0</v>
      </c>
      <c r="M422" s="1" t="str">
        <f>IF(BaseCoalPlants!L463=0,"",BaseCoalPlants!L463)</f>
        <v/>
      </c>
      <c r="N422" s="1" t="str">
        <f>IF(BaseCoalPlants!M463=0,"",BaseCoalPlants!M463)</f>
        <v/>
      </c>
      <c r="O422" s="1" t="str">
        <f>IF(BaseCoalPlants!N463=0,"",BaseCoalPlants!N463)</f>
        <v/>
      </c>
      <c r="P422" s="1" t="str">
        <f>IF(BaseCoalPlants!O463=0,"",BaseCoalPlants!O463)</f>
        <v/>
      </c>
      <c r="Q422" s="1" t="str">
        <f>IF(BaseCoalPlants!P463=0,"",BaseCoalPlants!P463)</f>
        <v/>
      </c>
      <c r="R422" s="1" t="str">
        <f>IF(BaseCoalPlants!Q463=0,"",BaseCoalPlants!Q463)</f>
        <v/>
      </c>
      <c r="S422" s="1" t="str">
        <f>IF(BaseCoalPlants!R463=0,"",BaseCoalPlants!R463)</f>
        <v/>
      </c>
      <c r="T422" s="1" t="str">
        <f>IF(BaseCoalPlants!S463=0,"",BaseCoalPlants!S463)</f>
        <v/>
      </c>
      <c r="U422" s="1" t="str">
        <f>IF(BaseCoalPlants!T463=0,"",BaseCoalPlants!T463)</f>
        <v/>
      </c>
      <c r="V422" s="1" t="str">
        <f>IF(BaseCoalPlants!U463=0,"",BaseCoalPlants!U463)</f>
        <v/>
      </c>
    </row>
    <row r="423" spans="3:22" x14ac:dyDescent="0.35">
      <c r="C423">
        <f>IF(BaseCoalPlants!B464="VDA_FLOP",IF(BaseCoalPlants!D464="ELC","*","INPUT"),BaseCoalPlants!B464)</f>
        <v>0</v>
      </c>
      <c r="D423" t="str">
        <f>IF(BaseCoalPlants!C464="","\I:",BaseCoalPlants!C464&amp;"_LE")</f>
        <v>\I:</v>
      </c>
      <c r="E423">
        <f>IF(BaseCoalPlants!D464="-","",BaseCoalPlants!D464)</f>
        <v>0</v>
      </c>
      <c r="F423">
        <f>IF(BaseCoalPlants!E464="-","",BaseCoalPlants!E464)</f>
        <v>0</v>
      </c>
      <c r="G423">
        <f>IF(BaseCoalPlants!F464="-","",BaseCoalPlants!F464)</f>
        <v>0</v>
      </c>
      <c r="H423">
        <f>IF(BaseCoalPlants!G464="-","",BaseCoalPlants!G464)</f>
        <v>0</v>
      </c>
      <c r="I423">
        <f>IF(BaseCoalPlants!H464="-","",BaseCoalPlants!H464)</f>
        <v>0</v>
      </c>
      <c r="J423">
        <f>IF(BaseCoalPlants!I464="-","",BaseCoalPlants!I464)</f>
        <v>0</v>
      </c>
      <c r="K423">
        <f>IF(BaseCoalPlants!J464="-","",BaseCoalPlants!J464)</f>
        <v>0</v>
      </c>
      <c r="L423">
        <f>IF(BaseCoalPlants!K464="-","",BaseCoalPlants!K464)</f>
        <v>0</v>
      </c>
      <c r="M423" s="1" t="str">
        <f>IF(BaseCoalPlants!L464=0,"",BaseCoalPlants!L464)</f>
        <v/>
      </c>
      <c r="N423" s="1" t="str">
        <f>IF(BaseCoalPlants!M464=0,"",BaseCoalPlants!M464)</f>
        <v/>
      </c>
      <c r="O423" s="1" t="str">
        <f>IF(BaseCoalPlants!N464=0,"",BaseCoalPlants!N464)</f>
        <v/>
      </c>
      <c r="P423" s="1" t="str">
        <f>IF(BaseCoalPlants!O464=0,"",BaseCoalPlants!O464)</f>
        <v/>
      </c>
      <c r="Q423" s="1" t="str">
        <f>IF(BaseCoalPlants!P464=0,"",BaseCoalPlants!P464)</f>
        <v/>
      </c>
      <c r="R423" s="1" t="str">
        <f>IF(BaseCoalPlants!Q464=0,"",BaseCoalPlants!Q464)</f>
        <v/>
      </c>
      <c r="S423" s="1" t="str">
        <f>IF(BaseCoalPlants!R464=0,"",BaseCoalPlants!R464)</f>
        <v/>
      </c>
      <c r="T423" s="1" t="str">
        <f>IF(BaseCoalPlants!S464=0,"",BaseCoalPlants!S464)</f>
        <v/>
      </c>
      <c r="U423" s="1" t="str">
        <f>IF(BaseCoalPlants!T464=0,"",BaseCoalPlants!T464)</f>
        <v/>
      </c>
      <c r="V423" s="1" t="str">
        <f>IF(BaseCoalPlants!U464=0,"",BaseCoalPlants!U464)</f>
        <v/>
      </c>
    </row>
    <row r="424" spans="3:22" x14ac:dyDescent="0.35">
      <c r="C424">
        <f>IF(BaseCoalPlants!B465="VDA_FLOP",IF(BaseCoalPlants!D465="ELC","*","INPUT"),BaseCoalPlants!B465)</f>
        <v>0</v>
      </c>
      <c r="D424" t="str">
        <f>IF(BaseCoalPlants!C465="","\I:",BaseCoalPlants!C465&amp;"_LE")</f>
        <v>\I:</v>
      </c>
      <c r="E424">
        <f>IF(BaseCoalPlants!D465="-","",BaseCoalPlants!D465)</f>
        <v>0</v>
      </c>
      <c r="F424">
        <f>IF(BaseCoalPlants!E465="-","",BaseCoalPlants!E465)</f>
        <v>0</v>
      </c>
      <c r="G424">
        <f>IF(BaseCoalPlants!F465="-","",BaseCoalPlants!F465)</f>
        <v>0</v>
      </c>
      <c r="H424">
        <f>IF(BaseCoalPlants!G465="-","",BaseCoalPlants!G465)</f>
        <v>0</v>
      </c>
      <c r="I424">
        <f>IF(BaseCoalPlants!H465="-","",BaseCoalPlants!H465)</f>
        <v>0</v>
      </c>
      <c r="J424">
        <f>IF(BaseCoalPlants!I465="-","",BaseCoalPlants!I465)</f>
        <v>0</v>
      </c>
      <c r="K424">
        <f>IF(BaseCoalPlants!J465="-","",BaseCoalPlants!J465)</f>
        <v>0</v>
      </c>
      <c r="L424">
        <f>IF(BaseCoalPlants!K465="-","",BaseCoalPlants!K465)</f>
        <v>0</v>
      </c>
      <c r="M424" s="1" t="str">
        <f>IF(BaseCoalPlants!L465=0,"",BaseCoalPlants!L465)</f>
        <v/>
      </c>
      <c r="N424" s="1" t="str">
        <f>IF(BaseCoalPlants!M465=0,"",BaseCoalPlants!M465)</f>
        <v/>
      </c>
      <c r="O424" s="1" t="str">
        <f>IF(BaseCoalPlants!N465=0,"",BaseCoalPlants!N465)</f>
        <v/>
      </c>
      <c r="P424" s="1" t="str">
        <f>IF(BaseCoalPlants!O465=0,"",BaseCoalPlants!O465)</f>
        <v/>
      </c>
      <c r="Q424" s="1" t="str">
        <f>IF(BaseCoalPlants!P465=0,"",BaseCoalPlants!P465)</f>
        <v/>
      </c>
      <c r="R424" s="1" t="str">
        <f>IF(BaseCoalPlants!Q465=0,"",BaseCoalPlants!Q465)</f>
        <v/>
      </c>
      <c r="S424" s="1" t="str">
        <f>IF(BaseCoalPlants!R465=0,"",BaseCoalPlants!R465)</f>
        <v/>
      </c>
      <c r="T424" s="1" t="str">
        <f>IF(BaseCoalPlants!S465=0,"",BaseCoalPlants!S465)</f>
        <v/>
      </c>
      <c r="U424" s="1" t="str">
        <f>IF(BaseCoalPlants!T465=0,"",BaseCoalPlants!T465)</f>
        <v/>
      </c>
      <c r="V424" s="1" t="str">
        <f>IF(BaseCoalPlants!U465=0,"",BaseCoalPlants!U465)</f>
        <v/>
      </c>
    </row>
    <row r="425" spans="3:22" x14ac:dyDescent="0.35">
      <c r="C425">
        <f>IF(BaseCoalPlants!B466="VDA_FLOP",IF(BaseCoalPlants!D466="ELC","*","INPUT"),BaseCoalPlants!B466)</f>
        <v>0</v>
      </c>
      <c r="D425" t="str">
        <f>IF(BaseCoalPlants!C466="","\I:",BaseCoalPlants!C466&amp;"_LE")</f>
        <v>\I:</v>
      </c>
      <c r="E425">
        <f>IF(BaseCoalPlants!D466="-","",BaseCoalPlants!D466)</f>
        <v>0</v>
      </c>
      <c r="F425">
        <f>IF(BaseCoalPlants!E466="-","",BaseCoalPlants!E466)</f>
        <v>0</v>
      </c>
      <c r="G425">
        <f>IF(BaseCoalPlants!F466="-","",BaseCoalPlants!F466)</f>
        <v>0</v>
      </c>
      <c r="H425">
        <f>IF(BaseCoalPlants!G466="-","",BaseCoalPlants!G466)</f>
        <v>0</v>
      </c>
      <c r="I425">
        <f>IF(BaseCoalPlants!H466="-","",BaseCoalPlants!H466)</f>
        <v>0</v>
      </c>
      <c r="J425">
        <f>IF(BaseCoalPlants!I466="-","",BaseCoalPlants!I466)</f>
        <v>0</v>
      </c>
      <c r="K425">
        <f>IF(BaseCoalPlants!J466="-","",BaseCoalPlants!J466)</f>
        <v>0</v>
      </c>
      <c r="L425">
        <f>IF(BaseCoalPlants!K466="-","",BaseCoalPlants!K466)</f>
        <v>0</v>
      </c>
      <c r="M425" s="1" t="str">
        <f>IF(BaseCoalPlants!L466=0,"",BaseCoalPlants!L466)</f>
        <v/>
      </c>
      <c r="N425" s="1" t="str">
        <f>IF(BaseCoalPlants!M466=0,"",BaseCoalPlants!M466)</f>
        <v/>
      </c>
      <c r="O425" s="1" t="str">
        <f>IF(BaseCoalPlants!N466=0,"",BaseCoalPlants!N466)</f>
        <v/>
      </c>
      <c r="P425" s="1" t="str">
        <f>IF(BaseCoalPlants!O466=0,"",BaseCoalPlants!O466)</f>
        <v/>
      </c>
      <c r="Q425" s="1" t="str">
        <f>IF(BaseCoalPlants!P466=0,"",BaseCoalPlants!P466)</f>
        <v/>
      </c>
      <c r="R425" s="1" t="str">
        <f>IF(BaseCoalPlants!Q466=0,"",BaseCoalPlants!Q466)</f>
        <v/>
      </c>
      <c r="S425" s="1" t="str">
        <f>IF(BaseCoalPlants!R466=0,"",BaseCoalPlants!R466)</f>
        <v/>
      </c>
      <c r="T425" s="1" t="str">
        <f>IF(BaseCoalPlants!S466=0,"",BaseCoalPlants!S466)</f>
        <v/>
      </c>
      <c r="U425" s="1" t="str">
        <f>IF(BaseCoalPlants!T466=0,"",BaseCoalPlants!T466)</f>
        <v/>
      </c>
      <c r="V425" s="1" t="str">
        <f>IF(BaseCoalPlants!U466=0,"",BaseCoalPlants!U466)</f>
        <v/>
      </c>
    </row>
    <row r="426" spans="3:22" x14ac:dyDescent="0.35">
      <c r="C426">
        <f>IF(BaseCoalPlants!B467="VDA_FLOP",IF(BaseCoalPlants!D467="ELC","*","INPUT"),BaseCoalPlants!B467)</f>
        <v>0</v>
      </c>
      <c r="D426" t="str">
        <f>IF(BaseCoalPlants!C467="","\I:",BaseCoalPlants!C467&amp;"_LE")</f>
        <v>\I:</v>
      </c>
      <c r="E426">
        <f>IF(BaseCoalPlants!D467="-","",BaseCoalPlants!D467)</f>
        <v>0</v>
      </c>
      <c r="F426">
        <f>IF(BaseCoalPlants!E467="-","",BaseCoalPlants!E467)</f>
        <v>0</v>
      </c>
      <c r="G426">
        <f>IF(BaseCoalPlants!F467="-","",BaseCoalPlants!F467)</f>
        <v>0</v>
      </c>
      <c r="H426">
        <f>IF(BaseCoalPlants!G467="-","",BaseCoalPlants!G467)</f>
        <v>0</v>
      </c>
      <c r="I426">
        <f>IF(BaseCoalPlants!H467="-","",BaseCoalPlants!H467)</f>
        <v>0</v>
      </c>
      <c r="J426">
        <f>IF(BaseCoalPlants!I467="-","",BaseCoalPlants!I467)</f>
        <v>0</v>
      </c>
      <c r="K426">
        <f>IF(BaseCoalPlants!J467="-","",BaseCoalPlants!J467)</f>
        <v>0</v>
      </c>
      <c r="L426">
        <f>IF(BaseCoalPlants!K467="-","",BaseCoalPlants!K467)</f>
        <v>0</v>
      </c>
      <c r="M426" s="1" t="str">
        <f>IF(BaseCoalPlants!L467=0,"",BaseCoalPlants!L467)</f>
        <v/>
      </c>
      <c r="N426" s="1" t="str">
        <f>IF(BaseCoalPlants!M467=0,"",BaseCoalPlants!M467)</f>
        <v/>
      </c>
      <c r="O426" s="1" t="str">
        <f>IF(BaseCoalPlants!N467=0,"",BaseCoalPlants!N467)</f>
        <v/>
      </c>
      <c r="P426" s="1" t="str">
        <f>IF(BaseCoalPlants!O467=0,"",BaseCoalPlants!O467)</f>
        <v/>
      </c>
      <c r="Q426" s="1" t="str">
        <f>IF(BaseCoalPlants!P467=0,"",BaseCoalPlants!P467)</f>
        <v/>
      </c>
      <c r="R426" s="1" t="str">
        <f>IF(BaseCoalPlants!Q467=0,"",BaseCoalPlants!Q467)</f>
        <v/>
      </c>
      <c r="S426" s="1" t="str">
        <f>IF(BaseCoalPlants!R467=0,"",BaseCoalPlants!R467)</f>
        <v/>
      </c>
      <c r="T426" s="1" t="str">
        <f>IF(BaseCoalPlants!S467=0,"",BaseCoalPlants!S467)</f>
        <v/>
      </c>
      <c r="U426" s="1" t="str">
        <f>IF(BaseCoalPlants!T467=0,"",BaseCoalPlants!T467)</f>
        <v/>
      </c>
      <c r="V426" s="1" t="str">
        <f>IF(BaseCoalPlants!U467=0,"",BaseCoalPlants!U467)</f>
        <v/>
      </c>
    </row>
    <row r="427" spans="3:22" x14ac:dyDescent="0.35">
      <c r="C427">
        <f>IF(BaseCoalPlants!B468="VDA_FLOP",IF(BaseCoalPlants!D468="ELC","*","INPUT"),BaseCoalPlants!B468)</f>
        <v>0</v>
      </c>
      <c r="D427" t="str">
        <f>IF(BaseCoalPlants!C468="","\I:",BaseCoalPlants!C468&amp;"_LE")</f>
        <v>\I:</v>
      </c>
      <c r="E427">
        <f>IF(BaseCoalPlants!D468="-","",BaseCoalPlants!D468)</f>
        <v>0</v>
      </c>
      <c r="F427">
        <f>IF(BaseCoalPlants!E468="-","",BaseCoalPlants!E468)</f>
        <v>0</v>
      </c>
      <c r="G427">
        <f>IF(BaseCoalPlants!F468="-","",BaseCoalPlants!F468)</f>
        <v>0</v>
      </c>
      <c r="H427">
        <f>IF(BaseCoalPlants!G468="-","",BaseCoalPlants!G468)</f>
        <v>0</v>
      </c>
      <c r="I427">
        <f>IF(BaseCoalPlants!H468="-","",BaseCoalPlants!H468)</f>
        <v>0</v>
      </c>
      <c r="J427">
        <f>IF(BaseCoalPlants!I468="-","",BaseCoalPlants!I468)</f>
        <v>0</v>
      </c>
      <c r="K427">
        <f>IF(BaseCoalPlants!J468="-","",BaseCoalPlants!J468)</f>
        <v>0</v>
      </c>
      <c r="L427">
        <f>IF(BaseCoalPlants!K468="-","",BaseCoalPlants!K468)</f>
        <v>0</v>
      </c>
      <c r="M427" s="1" t="str">
        <f>IF(BaseCoalPlants!L468=0,"",BaseCoalPlants!L468)</f>
        <v/>
      </c>
      <c r="N427" s="1" t="str">
        <f>IF(BaseCoalPlants!M468=0,"",BaseCoalPlants!M468)</f>
        <v/>
      </c>
      <c r="O427" s="1" t="str">
        <f>IF(BaseCoalPlants!N468=0,"",BaseCoalPlants!N468)</f>
        <v/>
      </c>
      <c r="P427" s="1" t="str">
        <f>IF(BaseCoalPlants!O468=0,"",BaseCoalPlants!O468)</f>
        <v/>
      </c>
      <c r="Q427" s="1" t="str">
        <f>IF(BaseCoalPlants!P468=0,"",BaseCoalPlants!P468)</f>
        <v/>
      </c>
      <c r="R427" s="1" t="str">
        <f>IF(BaseCoalPlants!Q468=0,"",BaseCoalPlants!Q468)</f>
        <v/>
      </c>
      <c r="S427" s="1" t="str">
        <f>IF(BaseCoalPlants!R468=0,"",BaseCoalPlants!R468)</f>
        <v/>
      </c>
      <c r="T427" s="1" t="str">
        <f>IF(BaseCoalPlants!S468=0,"",BaseCoalPlants!S468)</f>
        <v/>
      </c>
      <c r="U427" s="1" t="str">
        <f>IF(BaseCoalPlants!T468=0,"",BaseCoalPlants!T468)</f>
        <v/>
      </c>
      <c r="V427" s="1" t="str">
        <f>IF(BaseCoalPlants!U468=0,"",BaseCoalPlants!U468)</f>
        <v/>
      </c>
    </row>
    <row r="428" spans="3:22" x14ac:dyDescent="0.35">
      <c r="C428">
        <f>IF(BaseCoalPlants!B469="VDA_FLOP",IF(BaseCoalPlants!D469="ELC","*","INPUT"),BaseCoalPlants!B469)</f>
        <v>0</v>
      </c>
      <c r="D428" t="str">
        <f>IF(BaseCoalPlants!C469="","\I:",BaseCoalPlants!C469&amp;"_LE")</f>
        <v>\I:</v>
      </c>
      <c r="E428">
        <f>IF(BaseCoalPlants!D469="-","",BaseCoalPlants!D469)</f>
        <v>0</v>
      </c>
      <c r="F428">
        <f>IF(BaseCoalPlants!E469="-","",BaseCoalPlants!E469)</f>
        <v>0</v>
      </c>
      <c r="G428">
        <f>IF(BaseCoalPlants!F469="-","",BaseCoalPlants!F469)</f>
        <v>0</v>
      </c>
      <c r="H428">
        <f>IF(BaseCoalPlants!G469="-","",BaseCoalPlants!G469)</f>
        <v>0</v>
      </c>
      <c r="I428">
        <f>IF(BaseCoalPlants!H469="-","",BaseCoalPlants!H469)</f>
        <v>0</v>
      </c>
      <c r="J428">
        <f>IF(BaseCoalPlants!I469="-","",BaseCoalPlants!I469)</f>
        <v>0</v>
      </c>
      <c r="K428">
        <f>IF(BaseCoalPlants!J469="-","",BaseCoalPlants!J469)</f>
        <v>0</v>
      </c>
      <c r="L428">
        <f>IF(BaseCoalPlants!K469="-","",BaseCoalPlants!K469)</f>
        <v>0</v>
      </c>
      <c r="M428" s="1" t="str">
        <f>IF(BaseCoalPlants!L469=0,"",BaseCoalPlants!L469)</f>
        <v/>
      </c>
      <c r="N428" s="1" t="str">
        <f>IF(BaseCoalPlants!M469=0,"",BaseCoalPlants!M469)</f>
        <v/>
      </c>
      <c r="O428" s="1" t="str">
        <f>IF(BaseCoalPlants!N469=0,"",BaseCoalPlants!N469)</f>
        <v/>
      </c>
      <c r="P428" s="1" t="str">
        <f>IF(BaseCoalPlants!O469=0,"",BaseCoalPlants!O469)</f>
        <v/>
      </c>
      <c r="Q428" s="1" t="str">
        <f>IF(BaseCoalPlants!P469=0,"",BaseCoalPlants!P469)</f>
        <v/>
      </c>
      <c r="R428" s="1" t="str">
        <f>IF(BaseCoalPlants!Q469=0,"",BaseCoalPlants!Q469)</f>
        <v/>
      </c>
      <c r="S428" s="1" t="str">
        <f>IF(BaseCoalPlants!R469=0,"",BaseCoalPlants!R469)</f>
        <v/>
      </c>
      <c r="T428" s="1" t="str">
        <f>IF(BaseCoalPlants!S469=0,"",BaseCoalPlants!S469)</f>
        <v/>
      </c>
      <c r="U428" s="1" t="str">
        <f>IF(BaseCoalPlants!T469=0,"",BaseCoalPlants!T469)</f>
        <v/>
      </c>
      <c r="V428" s="1" t="str">
        <f>IF(BaseCoalPlants!U469=0,"",BaseCoalPlants!U469)</f>
        <v/>
      </c>
    </row>
    <row r="429" spans="3:22" x14ac:dyDescent="0.35">
      <c r="C429">
        <f>IF(BaseCoalPlants!B470="VDA_FLOP",IF(BaseCoalPlants!D470="ELC","*","INPUT"),BaseCoalPlants!B470)</f>
        <v>0</v>
      </c>
      <c r="D429" t="str">
        <f>IF(BaseCoalPlants!C470="","\I:",BaseCoalPlants!C470&amp;"_LE")</f>
        <v>\I:</v>
      </c>
      <c r="E429">
        <f>IF(BaseCoalPlants!D470="-","",BaseCoalPlants!D470)</f>
        <v>0</v>
      </c>
      <c r="F429">
        <f>IF(BaseCoalPlants!E470="-","",BaseCoalPlants!E470)</f>
        <v>0</v>
      </c>
      <c r="G429">
        <f>IF(BaseCoalPlants!F470="-","",BaseCoalPlants!F470)</f>
        <v>0</v>
      </c>
      <c r="H429">
        <f>IF(BaseCoalPlants!G470="-","",BaseCoalPlants!G470)</f>
        <v>0</v>
      </c>
      <c r="I429">
        <f>IF(BaseCoalPlants!H470="-","",BaseCoalPlants!H470)</f>
        <v>0</v>
      </c>
      <c r="J429">
        <f>IF(BaseCoalPlants!I470="-","",BaseCoalPlants!I470)</f>
        <v>0</v>
      </c>
      <c r="K429">
        <f>IF(BaseCoalPlants!J470="-","",BaseCoalPlants!J470)</f>
        <v>0</v>
      </c>
      <c r="L429">
        <f>IF(BaseCoalPlants!K470="-","",BaseCoalPlants!K470)</f>
        <v>0</v>
      </c>
      <c r="M429" s="1" t="str">
        <f>IF(BaseCoalPlants!L470=0,"",BaseCoalPlants!L470)</f>
        <v/>
      </c>
      <c r="N429" s="1" t="str">
        <f>IF(BaseCoalPlants!M470=0,"",BaseCoalPlants!M470)</f>
        <v/>
      </c>
      <c r="O429" s="1" t="str">
        <f>IF(BaseCoalPlants!N470=0,"",BaseCoalPlants!N470)</f>
        <v/>
      </c>
      <c r="P429" s="1" t="str">
        <f>IF(BaseCoalPlants!O470=0,"",BaseCoalPlants!O470)</f>
        <v/>
      </c>
      <c r="Q429" s="1" t="str">
        <f>IF(BaseCoalPlants!P470=0,"",BaseCoalPlants!P470)</f>
        <v/>
      </c>
      <c r="R429" s="1" t="str">
        <f>IF(BaseCoalPlants!Q470=0,"",BaseCoalPlants!Q470)</f>
        <v/>
      </c>
      <c r="S429" s="1" t="str">
        <f>IF(BaseCoalPlants!R470=0,"",BaseCoalPlants!R470)</f>
        <v/>
      </c>
      <c r="T429" s="1" t="str">
        <f>IF(BaseCoalPlants!S470=0,"",BaseCoalPlants!S470)</f>
        <v/>
      </c>
      <c r="U429" s="1" t="str">
        <f>IF(BaseCoalPlants!T470=0,"",BaseCoalPlants!T470)</f>
        <v/>
      </c>
      <c r="V429" s="1" t="str">
        <f>IF(BaseCoalPlants!U470=0,"",BaseCoalPlants!U470)</f>
        <v/>
      </c>
    </row>
    <row r="430" spans="3:22" x14ac:dyDescent="0.35">
      <c r="C430">
        <f>IF(BaseCoalPlants!B471="VDA_FLOP",IF(BaseCoalPlants!D471="ELC","*","INPUT"),BaseCoalPlants!B471)</f>
        <v>0</v>
      </c>
      <c r="D430" t="str">
        <f>IF(BaseCoalPlants!C471="","\I:",BaseCoalPlants!C471&amp;"_LE")</f>
        <v>\I:</v>
      </c>
      <c r="E430">
        <f>IF(BaseCoalPlants!D471="-","",BaseCoalPlants!D471)</f>
        <v>0</v>
      </c>
      <c r="F430">
        <f>IF(BaseCoalPlants!E471="-","",BaseCoalPlants!E471)</f>
        <v>0</v>
      </c>
      <c r="G430">
        <f>IF(BaseCoalPlants!F471="-","",BaseCoalPlants!F471)</f>
        <v>0</v>
      </c>
      <c r="H430">
        <f>IF(BaseCoalPlants!G471="-","",BaseCoalPlants!G471)</f>
        <v>0</v>
      </c>
      <c r="I430">
        <f>IF(BaseCoalPlants!H471="-","",BaseCoalPlants!H471)</f>
        <v>0</v>
      </c>
      <c r="J430">
        <f>IF(BaseCoalPlants!I471="-","",BaseCoalPlants!I471)</f>
        <v>0</v>
      </c>
      <c r="K430">
        <f>IF(BaseCoalPlants!J471="-","",BaseCoalPlants!J471)</f>
        <v>0</v>
      </c>
      <c r="L430">
        <f>IF(BaseCoalPlants!K471="-","",BaseCoalPlants!K471)</f>
        <v>0</v>
      </c>
      <c r="M430" s="1" t="str">
        <f>IF(BaseCoalPlants!L471=0,"",BaseCoalPlants!L471)</f>
        <v/>
      </c>
      <c r="N430" s="1" t="str">
        <f>IF(BaseCoalPlants!M471=0,"",BaseCoalPlants!M471)</f>
        <v/>
      </c>
      <c r="O430" s="1" t="str">
        <f>IF(BaseCoalPlants!N471=0,"",BaseCoalPlants!N471)</f>
        <v/>
      </c>
      <c r="P430" s="1" t="str">
        <f>IF(BaseCoalPlants!O471=0,"",BaseCoalPlants!O471)</f>
        <v/>
      </c>
      <c r="Q430" s="1" t="str">
        <f>IF(BaseCoalPlants!P471=0,"",BaseCoalPlants!P471)</f>
        <v/>
      </c>
      <c r="R430" s="1" t="str">
        <f>IF(BaseCoalPlants!Q471=0,"",BaseCoalPlants!Q471)</f>
        <v/>
      </c>
      <c r="S430" s="1" t="str">
        <f>IF(BaseCoalPlants!R471=0,"",BaseCoalPlants!R471)</f>
        <v/>
      </c>
      <c r="T430" s="1" t="str">
        <f>IF(BaseCoalPlants!S471=0,"",BaseCoalPlants!S471)</f>
        <v/>
      </c>
      <c r="U430" s="1" t="str">
        <f>IF(BaseCoalPlants!T471=0,"",BaseCoalPlants!T471)</f>
        <v/>
      </c>
      <c r="V430" s="1" t="str">
        <f>IF(BaseCoalPlants!U471=0,"",BaseCoalPlants!U471)</f>
        <v/>
      </c>
    </row>
    <row r="431" spans="3:22" x14ac:dyDescent="0.35">
      <c r="C431">
        <f>IF(BaseCoalPlants!B472="VDA_FLOP",IF(BaseCoalPlants!D472="ELC","*","INPUT"),BaseCoalPlants!B472)</f>
        <v>0</v>
      </c>
      <c r="D431" t="str">
        <f>IF(BaseCoalPlants!C472="","\I:",BaseCoalPlants!C472&amp;"_LE")</f>
        <v>\I:</v>
      </c>
      <c r="E431">
        <f>IF(BaseCoalPlants!D472="-","",BaseCoalPlants!D472)</f>
        <v>0</v>
      </c>
      <c r="F431">
        <f>IF(BaseCoalPlants!E472="-","",BaseCoalPlants!E472)</f>
        <v>0</v>
      </c>
      <c r="G431">
        <f>IF(BaseCoalPlants!F472="-","",BaseCoalPlants!F472)</f>
        <v>0</v>
      </c>
      <c r="H431">
        <f>IF(BaseCoalPlants!G472="-","",BaseCoalPlants!G472)</f>
        <v>0</v>
      </c>
      <c r="I431">
        <f>IF(BaseCoalPlants!H472="-","",BaseCoalPlants!H472)</f>
        <v>0</v>
      </c>
      <c r="J431">
        <f>IF(BaseCoalPlants!I472="-","",BaseCoalPlants!I472)</f>
        <v>0</v>
      </c>
      <c r="K431">
        <f>IF(BaseCoalPlants!J472="-","",BaseCoalPlants!J472)</f>
        <v>0</v>
      </c>
      <c r="L431">
        <f>IF(BaseCoalPlants!K472="-","",BaseCoalPlants!K472)</f>
        <v>0</v>
      </c>
      <c r="M431" s="1" t="str">
        <f>IF(BaseCoalPlants!L472=0,"",BaseCoalPlants!L472)</f>
        <v/>
      </c>
      <c r="N431" s="1" t="str">
        <f>IF(BaseCoalPlants!M472=0,"",BaseCoalPlants!M472)</f>
        <v/>
      </c>
      <c r="O431" s="1" t="str">
        <f>IF(BaseCoalPlants!N472=0,"",BaseCoalPlants!N472)</f>
        <v/>
      </c>
      <c r="P431" s="1" t="str">
        <f>IF(BaseCoalPlants!O472=0,"",BaseCoalPlants!O472)</f>
        <v/>
      </c>
      <c r="Q431" s="1" t="str">
        <f>IF(BaseCoalPlants!P472=0,"",BaseCoalPlants!P472)</f>
        <v/>
      </c>
      <c r="R431" s="1" t="str">
        <f>IF(BaseCoalPlants!Q472=0,"",BaseCoalPlants!Q472)</f>
        <v/>
      </c>
      <c r="S431" s="1" t="str">
        <f>IF(BaseCoalPlants!R472=0,"",BaseCoalPlants!R472)</f>
        <v/>
      </c>
      <c r="T431" s="1" t="str">
        <f>IF(BaseCoalPlants!S472=0,"",BaseCoalPlants!S472)</f>
        <v/>
      </c>
      <c r="U431" s="1" t="str">
        <f>IF(BaseCoalPlants!T472=0,"",BaseCoalPlants!T472)</f>
        <v/>
      </c>
      <c r="V431" s="1" t="str">
        <f>IF(BaseCoalPlants!U472=0,"",BaseCoalPlants!U472)</f>
        <v/>
      </c>
    </row>
    <row r="432" spans="3:22" x14ac:dyDescent="0.35">
      <c r="C432">
        <f>IF(BaseCoalPlants!B473="VDA_FLOP",IF(BaseCoalPlants!D473="ELC","*","INPUT"),BaseCoalPlants!B473)</f>
        <v>0</v>
      </c>
      <c r="D432" t="str">
        <f>IF(BaseCoalPlants!C473="","\I:",BaseCoalPlants!C473&amp;"_LE")</f>
        <v>\I:</v>
      </c>
      <c r="E432">
        <f>IF(BaseCoalPlants!D473="-","",BaseCoalPlants!D473)</f>
        <v>0</v>
      </c>
      <c r="F432">
        <f>IF(BaseCoalPlants!E473="-","",BaseCoalPlants!E473)</f>
        <v>0</v>
      </c>
      <c r="G432">
        <f>IF(BaseCoalPlants!F473="-","",BaseCoalPlants!F473)</f>
        <v>0</v>
      </c>
      <c r="H432">
        <f>IF(BaseCoalPlants!G473="-","",BaseCoalPlants!G473)</f>
        <v>0</v>
      </c>
      <c r="I432">
        <f>IF(BaseCoalPlants!H473="-","",BaseCoalPlants!H473)</f>
        <v>0</v>
      </c>
      <c r="J432">
        <f>IF(BaseCoalPlants!I473="-","",BaseCoalPlants!I473)</f>
        <v>0</v>
      </c>
      <c r="K432">
        <f>IF(BaseCoalPlants!J473="-","",BaseCoalPlants!J473)</f>
        <v>0</v>
      </c>
      <c r="L432">
        <f>IF(BaseCoalPlants!K473="-","",BaseCoalPlants!K473)</f>
        <v>0</v>
      </c>
      <c r="M432" s="1" t="str">
        <f>IF(BaseCoalPlants!L473=0,"",BaseCoalPlants!L473)</f>
        <v/>
      </c>
      <c r="N432" s="1" t="str">
        <f>IF(BaseCoalPlants!M473=0,"",BaseCoalPlants!M473)</f>
        <v/>
      </c>
      <c r="O432" s="1" t="str">
        <f>IF(BaseCoalPlants!N473=0,"",BaseCoalPlants!N473)</f>
        <v/>
      </c>
      <c r="P432" s="1" t="str">
        <f>IF(BaseCoalPlants!O473=0,"",BaseCoalPlants!O473)</f>
        <v/>
      </c>
      <c r="Q432" s="1" t="str">
        <f>IF(BaseCoalPlants!P473=0,"",BaseCoalPlants!P473)</f>
        <v/>
      </c>
      <c r="R432" s="1" t="str">
        <f>IF(BaseCoalPlants!Q473=0,"",BaseCoalPlants!Q473)</f>
        <v/>
      </c>
      <c r="S432" s="1" t="str">
        <f>IF(BaseCoalPlants!R473=0,"",BaseCoalPlants!R473)</f>
        <v/>
      </c>
      <c r="T432" s="1" t="str">
        <f>IF(BaseCoalPlants!S473=0,"",BaseCoalPlants!S473)</f>
        <v/>
      </c>
      <c r="U432" s="1" t="str">
        <f>IF(BaseCoalPlants!T473=0,"",BaseCoalPlants!T473)</f>
        <v/>
      </c>
      <c r="V432" s="1" t="str">
        <f>IF(BaseCoalPlants!U473=0,"",BaseCoalPlants!U473)</f>
        <v/>
      </c>
    </row>
    <row r="433" spans="3:22" x14ac:dyDescent="0.35">
      <c r="C433">
        <f>IF(BaseCoalPlants!B474="VDA_FLOP",IF(BaseCoalPlants!D474="ELC","*","INPUT"),BaseCoalPlants!B474)</f>
        <v>0</v>
      </c>
      <c r="D433" t="str">
        <f>IF(BaseCoalPlants!C474="","\I:",BaseCoalPlants!C474&amp;"_LE")</f>
        <v>\I:</v>
      </c>
      <c r="E433">
        <f>IF(BaseCoalPlants!D474="-","",BaseCoalPlants!D474)</f>
        <v>0</v>
      </c>
      <c r="F433">
        <f>IF(BaseCoalPlants!E474="-","",BaseCoalPlants!E474)</f>
        <v>0</v>
      </c>
      <c r="G433">
        <f>IF(BaseCoalPlants!F474="-","",BaseCoalPlants!F474)</f>
        <v>0</v>
      </c>
      <c r="H433">
        <f>IF(BaseCoalPlants!G474="-","",BaseCoalPlants!G474)</f>
        <v>0</v>
      </c>
      <c r="I433">
        <f>IF(BaseCoalPlants!H474="-","",BaseCoalPlants!H474)</f>
        <v>0</v>
      </c>
      <c r="J433">
        <f>IF(BaseCoalPlants!I474="-","",BaseCoalPlants!I474)</f>
        <v>0</v>
      </c>
      <c r="K433">
        <f>IF(BaseCoalPlants!J474="-","",BaseCoalPlants!J474)</f>
        <v>0</v>
      </c>
      <c r="L433">
        <f>IF(BaseCoalPlants!K474="-","",BaseCoalPlants!K474)</f>
        <v>0</v>
      </c>
      <c r="M433" s="1" t="str">
        <f>IF(BaseCoalPlants!L474=0,"",BaseCoalPlants!L474)</f>
        <v/>
      </c>
      <c r="N433" s="1" t="str">
        <f>IF(BaseCoalPlants!M474=0,"",BaseCoalPlants!M474)</f>
        <v/>
      </c>
      <c r="O433" s="1" t="str">
        <f>IF(BaseCoalPlants!N474=0,"",BaseCoalPlants!N474)</f>
        <v/>
      </c>
      <c r="P433" s="1" t="str">
        <f>IF(BaseCoalPlants!O474=0,"",BaseCoalPlants!O474)</f>
        <v/>
      </c>
      <c r="Q433" s="1" t="str">
        <f>IF(BaseCoalPlants!P474=0,"",BaseCoalPlants!P474)</f>
        <v/>
      </c>
      <c r="R433" s="1" t="str">
        <f>IF(BaseCoalPlants!Q474=0,"",BaseCoalPlants!Q474)</f>
        <v/>
      </c>
      <c r="S433" s="1" t="str">
        <f>IF(BaseCoalPlants!R474=0,"",BaseCoalPlants!R474)</f>
        <v/>
      </c>
      <c r="T433" s="1" t="str">
        <f>IF(BaseCoalPlants!S474=0,"",BaseCoalPlants!S474)</f>
        <v/>
      </c>
      <c r="U433" s="1" t="str">
        <f>IF(BaseCoalPlants!T474=0,"",BaseCoalPlants!T474)</f>
        <v/>
      </c>
      <c r="V433" s="1" t="str">
        <f>IF(BaseCoalPlants!U474=0,"",BaseCoalPlants!U474)</f>
        <v/>
      </c>
    </row>
    <row r="434" spans="3:22" x14ac:dyDescent="0.35">
      <c r="C434">
        <f>IF(BaseCoalPlants!B475="VDA_FLOP",IF(BaseCoalPlants!D475="ELC","*","INPUT"),BaseCoalPlants!B475)</f>
        <v>0</v>
      </c>
      <c r="D434" t="str">
        <f>IF(BaseCoalPlants!C475="","\I:",BaseCoalPlants!C475&amp;"_LE")</f>
        <v>\I:</v>
      </c>
      <c r="E434">
        <f>IF(BaseCoalPlants!D475="-","",BaseCoalPlants!D475)</f>
        <v>0</v>
      </c>
      <c r="F434">
        <f>IF(BaseCoalPlants!E475="-","",BaseCoalPlants!E475)</f>
        <v>0</v>
      </c>
      <c r="G434">
        <f>IF(BaseCoalPlants!F475="-","",BaseCoalPlants!F475)</f>
        <v>0</v>
      </c>
      <c r="H434">
        <f>IF(BaseCoalPlants!G475="-","",BaseCoalPlants!G475)</f>
        <v>0</v>
      </c>
      <c r="I434">
        <f>IF(BaseCoalPlants!H475="-","",BaseCoalPlants!H475)</f>
        <v>0</v>
      </c>
      <c r="J434">
        <f>IF(BaseCoalPlants!I475="-","",BaseCoalPlants!I475)</f>
        <v>0</v>
      </c>
      <c r="K434">
        <f>IF(BaseCoalPlants!J475="-","",BaseCoalPlants!J475)</f>
        <v>0</v>
      </c>
      <c r="L434">
        <f>IF(BaseCoalPlants!K475="-","",BaseCoalPlants!K475)</f>
        <v>0</v>
      </c>
      <c r="M434" s="1" t="str">
        <f>IF(BaseCoalPlants!L475=0,"",BaseCoalPlants!L475)</f>
        <v/>
      </c>
      <c r="N434" s="1" t="str">
        <f>IF(BaseCoalPlants!M475=0,"",BaseCoalPlants!M475)</f>
        <v/>
      </c>
      <c r="O434" s="1" t="str">
        <f>IF(BaseCoalPlants!N475=0,"",BaseCoalPlants!N475)</f>
        <v/>
      </c>
      <c r="P434" s="1" t="str">
        <f>IF(BaseCoalPlants!O475=0,"",BaseCoalPlants!O475)</f>
        <v/>
      </c>
      <c r="Q434" s="1" t="str">
        <f>IF(BaseCoalPlants!P475=0,"",BaseCoalPlants!P475)</f>
        <v/>
      </c>
      <c r="R434" s="1" t="str">
        <f>IF(BaseCoalPlants!Q475=0,"",BaseCoalPlants!Q475)</f>
        <v/>
      </c>
      <c r="S434" s="1" t="str">
        <f>IF(BaseCoalPlants!R475=0,"",BaseCoalPlants!R475)</f>
        <v/>
      </c>
      <c r="T434" s="1" t="str">
        <f>IF(BaseCoalPlants!S475=0,"",BaseCoalPlants!S475)</f>
        <v/>
      </c>
      <c r="U434" s="1" t="str">
        <f>IF(BaseCoalPlants!T475=0,"",BaseCoalPlants!T475)</f>
        <v/>
      </c>
      <c r="V434" s="1" t="str">
        <f>IF(BaseCoalPlants!U475=0,"",BaseCoalPlants!U475)</f>
        <v/>
      </c>
    </row>
    <row r="435" spans="3:22" x14ac:dyDescent="0.35">
      <c r="C435">
        <f>IF(BaseCoalPlants!B476="VDA_FLOP",IF(BaseCoalPlants!D476="ELC","*","INPUT"),BaseCoalPlants!B476)</f>
        <v>0</v>
      </c>
      <c r="D435" t="str">
        <f>IF(BaseCoalPlants!C476="","\I:",BaseCoalPlants!C476&amp;"_LE")</f>
        <v>\I:</v>
      </c>
      <c r="E435">
        <f>IF(BaseCoalPlants!D476="-","",BaseCoalPlants!D476)</f>
        <v>0</v>
      </c>
      <c r="F435">
        <f>IF(BaseCoalPlants!E476="-","",BaseCoalPlants!E476)</f>
        <v>0</v>
      </c>
      <c r="G435">
        <f>IF(BaseCoalPlants!F476="-","",BaseCoalPlants!F476)</f>
        <v>0</v>
      </c>
      <c r="H435">
        <f>IF(BaseCoalPlants!G476="-","",BaseCoalPlants!G476)</f>
        <v>0</v>
      </c>
      <c r="I435">
        <f>IF(BaseCoalPlants!H476="-","",BaseCoalPlants!H476)</f>
        <v>0</v>
      </c>
      <c r="J435">
        <f>IF(BaseCoalPlants!I476="-","",BaseCoalPlants!I476)</f>
        <v>0</v>
      </c>
      <c r="K435">
        <f>IF(BaseCoalPlants!J476="-","",BaseCoalPlants!J476)</f>
        <v>0</v>
      </c>
      <c r="L435">
        <f>IF(BaseCoalPlants!K476="-","",BaseCoalPlants!K476)</f>
        <v>0</v>
      </c>
      <c r="M435" s="1" t="str">
        <f>IF(BaseCoalPlants!L476=0,"",BaseCoalPlants!L476)</f>
        <v/>
      </c>
      <c r="N435" s="1" t="str">
        <f>IF(BaseCoalPlants!M476=0,"",BaseCoalPlants!M476)</f>
        <v/>
      </c>
      <c r="O435" s="1" t="str">
        <f>IF(BaseCoalPlants!N476=0,"",BaseCoalPlants!N476)</f>
        <v/>
      </c>
      <c r="P435" s="1" t="str">
        <f>IF(BaseCoalPlants!O476=0,"",BaseCoalPlants!O476)</f>
        <v/>
      </c>
      <c r="Q435" s="1" t="str">
        <f>IF(BaseCoalPlants!P476=0,"",BaseCoalPlants!P476)</f>
        <v/>
      </c>
      <c r="R435" s="1" t="str">
        <f>IF(BaseCoalPlants!Q476=0,"",BaseCoalPlants!Q476)</f>
        <v/>
      </c>
      <c r="S435" s="1" t="str">
        <f>IF(BaseCoalPlants!R476=0,"",BaseCoalPlants!R476)</f>
        <v/>
      </c>
      <c r="T435" s="1" t="str">
        <f>IF(BaseCoalPlants!S476=0,"",BaseCoalPlants!S476)</f>
        <v/>
      </c>
      <c r="U435" s="1" t="str">
        <f>IF(BaseCoalPlants!T476=0,"",BaseCoalPlants!T476)</f>
        <v/>
      </c>
      <c r="V435" s="1" t="str">
        <f>IF(BaseCoalPlants!U476=0,"",BaseCoalPlants!U476)</f>
        <v/>
      </c>
    </row>
    <row r="436" spans="3:22" x14ac:dyDescent="0.35">
      <c r="C436">
        <f>IF(BaseCoalPlants!B477="VDA_FLOP",IF(BaseCoalPlants!D477="ELC","*","INPUT"),BaseCoalPlants!B477)</f>
        <v>0</v>
      </c>
      <c r="D436" t="str">
        <f>IF(BaseCoalPlants!C477="","\I:",BaseCoalPlants!C477&amp;"_LE")</f>
        <v>\I:</v>
      </c>
      <c r="E436">
        <f>IF(BaseCoalPlants!D477="-","",BaseCoalPlants!D477)</f>
        <v>0</v>
      </c>
      <c r="F436">
        <f>IF(BaseCoalPlants!E477="-","",BaseCoalPlants!E477)</f>
        <v>0</v>
      </c>
      <c r="G436">
        <f>IF(BaseCoalPlants!F477="-","",BaseCoalPlants!F477)</f>
        <v>0</v>
      </c>
      <c r="H436">
        <f>IF(BaseCoalPlants!G477="-","",BaseCoalPlants!G477)</f>
        <v>0</v>
      </c>
      <c r="I436">
        <f>IF(BaseCoalPlants!H477="-","",BaseCoalPlants!H477)</f>
        <v>0</v>
      </c>
      <c r="J436">
        <f>IF(BaseCoalPlants!I477="-","",BaseCoalPlants!I477)</f>
        <v>0</v>
      </c>
      <c r="K436">
        <f>IF(BaseCoalPlants!J477="-","",BaseCoalPlants!J477)</f>
        <v>0</v>
      </c>
      <c r="L436">
        <f>IF(BaseCoalPlants!K477="-","",BaseCoalPlants!K477)</f>
        <v>0</v>
      </c>
      <c r="M436" s="1" t="str">
        <f>IF(BaseCoalPlants!L477=0,"",BaseCoalPlants!L477)</f>
        <v/>
      </c>
      <c r="N436" s="1" t="str">
        <f>IF(BaseCoalPlants!M477=0,"",BaseCoalPlants!M477)</f>
        <v/>
      </c>
      <c r="O436" s="1" t="str">
        <f>IF(BaseCoalPlants!N477=0,"",BaseCoalPlants!N477)</f>
        <v/>
      </c>
      <c r="P436" s="1" t="str">
        <f>IF(BaseCoalPlants!O477=0,"",BaseCoalPlants!O477)</f>
        <v/>
      </c>
      <c r="Q436" s="1" t="str">
        <f>IF(BaseCoalPlants!P477=0,"",BaseCoalPlants!P477)</f>
        <v/>
      </c>
      <c r="R436" s="1" t="str">
        <f>IF(BaseCoalPlants!Q477=0,"",BaseCoalPlants!Q477)</f>
        <v/>
      </c>
      <c r="S436" s="1" t="str">
        <f>IF(BaseCoalPlants!R477=0,"",BaseCoalPlants!R477)</f>
        <v/>
      </c>
      <c r="T436" s="1" t="str">
        <f>IF(BaseCoalPlants!S477=0,"",BaseCoalPlants!S477)</f>
        <v/>
      </c>
      <c r="U436" s="1" t="str">
        <f>IF(BaseCoalPlants!T477=0,"",BaseCoalPlants!T477)</f>
        <v/>
      </c>
      <c r="V436" s="1" t="str">
        <f>IF(BaseCoalPlants!U477=0,"",BaseCoalPlants!U477)</f>
        <v/>
      </c>
    </row>
    <row r="437" spans="3:22" x14ac:dyDescent="0.35">
      <c r="C437">
        <f>IF(BaseCoalPlants!B478="VDA_FLOP",IF(BaseCoalPlants!D478="ELC","*","INPUT"),BaseCoalPlants!B478)</f>
        <v>0</v>
      </c>
      <c r="D437" t="str">
        <f>IF(BaseCoalPlants!C478="","\I:",BaseCoalPlants!C478&amp;"_LE")</f>
        <v>\I:</v>
      </c>
      <c r="E437">
        <f>IF(BaseCoalPlants!D478="-","",BaseCoalPlants!D478)</f>
        <v>0</v>
      </c>
      <c r="F437">
        <f>IF(BaseCoalPlants!E478="-","",BaseCoalPlants!E478)</f>
        <v>0</v>
      </c>
      <c r="G437">
        <f>IF(BaseCoalPlants!F478="-","",BaseCoalPlants!F478)</f>
        <v>0</v>
      </c>
      <c r="H437">
        <f>IF(BaseCoalPlants!G478="-","",BaseCoalPlants!G478)</f>
        <v>0</v>
      </c>
      <c r="I437">
        <f>IF(BaseCoalPlants!H478="-","",BaseCoalPlants!H478)</f>
        <v>0</v>
      </c>
      <c r="J437">
        <f>IF(BaseCoalPlants!I478="-","",BaseCoalPlants!I478)</f>
        <v>0</v>
      </c>
      <c r="K437">
        <f>IF(BaseCoalPlants!J478="-","",BaseCoalPlants!J478)</f>
        <v>0</v>
      </c>
      <c r="L437">
        <f>IF(BaseCoalPlants!K478="-","",BaseCoalPlants!K478)</f>
        <v>0</v>
      </c>
      <c r="M437" s="1" t="str">
        <f>IF(BaseCoalPlants!L478=0,"",BaseCoalPlants!L478)</f>
        <v/>
      </c>
      <c r="N437" s="1" t="str">
        <f>IF(BaseCoalPlants!M478=0,"",BaseCoalPlants!M478)</f>
        <v/>
      </c>
      <c r="O437" s="1" t="str">
        <f>IF(BaseCoalPlants!N478=0,"",BaseCoalPlants!N478)</f>
        <v/>
      </c>
      <c r="P437" s="1" t="str">
        <f>IF(BaseCoalPlants!O478=0,"",BaseCoalPlants!O478)</f>
        <v/>
      </c>
      <c r="Q437" s="1" t="str">
        <f>IF(BaseCoalPlants!P478=0,"",BaseCoalPlants!P478)</f>
        <v/>
      </c>
      <c r="R437" s="1" t="str">
        <f>IF(BaseCoalPlants!Q478=0,"",BaseCoalPlants!Q478)</f>
        <v/>
      </c>
      <c r="S437" s="1" t="str">
        <f>IF(BaseCoalPlants!R478=0,"",BaseCoalPlants!R478)</f>
        <v/>
      </c>
      <c r="T437" s="1" t="str">
        <f>IF(BaseCoalPlants!S478=0,"",BaseCoalPlants!S478)</f>
        <v/>
      </c>
      <c r="U437" s="1" t="str">
        <f>IF(BaseCoalPlants!T478=0,"",BaseCoalPlants!T478)</f>
        <v/>
      </c>
      <c r="V437" s="1" t="str">
        <f>IF(BaseCoalPlants!U478=0,"",BaseCoalPlants!U478)</f>
        <v/>
      </c>
    </row>
    <row r="438" spans="3:22" x14ac:dyDescent="0.35">
      <c r="C438">
        <f>IF(BaseCoalPlants!B479="VDA_FLOP",IF(BaseCoalPlants!D479="ELC","*","INPUT"),BaseCoalPlants!B479)</f>
        <v>0</v>
      </c>
      <c r="D438" t="str">
        <f>IF(BaseCoalPlants!C479="","\I:",BaseCoalPlants!C479&amp;"_LE")</f>
        <v>\I:</v>
      </c>
      <c r="E438">
        <f>IF(BaseCoalPlants!D479="-","",BaseCoalPlants!D479)</f>
        <v>0</v>
      </c>
      <c r="F438">
        <f>IF(BaseCoalPlants!E479="-","",BaseCoalPlants!E479)</f>
        <v>0</v>
      </c>
      <c r="G438">
        <f>IF(BaseCoalPlants!F479="-","",BaseCoalPlants!F479)</f>
        <v>0</v>
      </c>
      <c r="H438">
        <f>IF(BaseCoalPlants!G479="-","",BaseCoalPlants!G479)</f>
        <v>0</v>
      </c>
      <c r="I438">
        <f>IF(BaseCoalPlants!H479="-","",BaseCoalPlants!H479)</f>
        <v>0</v>
      </c>
      <c r="J438">
        <f>IF(BaseCoalPlants!I479="-","",BaseCoalPlants!I479)</f>
        <v>0</v>
      </c>
      <c r="K438">
        <f>IF(BaseCoalPlants!J479="-","",BaseCoalPlants!J479)</f>
        <v>0</v>
      </c>
      <c r="L438">
        <f>IF(BaseCoalPlants!K479="-","",BaseCoalPlants!K479)</f>
        <v>0</v>
      </c>
      <c r="M438" s="1" t="str">
        <f>IF(BaseCoalPlants!L479=0,"",BaseCoalPlants!L479)</f>
        <v/>
      </c>
      <c r="N438" s="1" t="str">
        <f>IF(BaseCoalPlants!M479=0,"",BaseCoalPlants!M479)</f>
        <v/>
      </c>
      <c r="O438" s="1" t="str">
        <f>IF(BaseCoalPlants!N479=0,"",BaseCoalPlants!N479)</f>
        <v/>
      </c>
      <c r="P438" s="1" t="str">
        <f>IF(BaseCoalPlants!O479=0,"",BaseCoalPlants!O479)</f>
        <v/>
      </c>
      <c r="Q438" s="1" t="str">
        <f>IF(BaseCoalPlants!P479=0,"",BaseCoalPlants!P479)</f>
        <v/>
      </c>
      <c r="R438" s="1" t="str">
        <f>IF(BaseCoalPlants!Q479=0,"",BaseCoalPlants!Q479)</f>
        <v/>
      </c>
      <c r="S438" s="1" t="str">
        <f>IF(BaseCoalPlants!R479=0,"",BaseCoalPlants!R479)</f>
        <v/>
      </c>
      <c r="T438" s="1" t="str">
        <f>IF(BaseCoalPlants!S479=0,"",BaseCoalPlants!S479)</f>
        <v/>
      </c>
      <c r="U438" s="1" t="str">
        <f>IF(BaseCoalPlants!T479=0,"",BaseCoalPlants!T479)</f>
        <v/>
      </c>
      <c r="V438" s="1" t="str">
        <f>IF(BaseCoalPlants!U479=0,"",BaseCoalPlants!U479)</f>
        <v/>
      </c>
    </row>
    <row r="439" spans="3:22" x14ac:dyDescent="0.35">
      <c r="C439">
        <f>IF(BaseCoalPlants!B480="VDA_FLOP",IF(BaseCoalPlants!D480="ELC","*","INPUT"),BaseCoalPlants!B480)</f>
        <v>0</v>
      </c>
      <c r="D439" t="str">
        <f>IF(BaseCoalPlants!C480="","\I:",BaseCoalPlants!C480&amp;"_LE")</f>
        <v>\I:</v>
      </c>
      <c r="E439">
        <f>IF(BaseCoalPlants!D480="-","",BaseCoalPlants!D480)</f>
        <v>0</v>
      </c>
      <c r="F439">
        <f>IF(BaseCoalPlants!E480="-","",BaseCoalPlants!E480)</f>
        <v>0</v>
      </c>
      <c r="G439">
        <f>IF(BaseCoalPlants!F480="-","",BaseCoalPlants!F480)</f>
        <v>0</v>
      </c>
      <c r="H439">
        <f>IF(BaseCoalPlants!G480="-","",BaseCoalPlants!G480)</f>
        <v>0</v>
      </c>
      <c r="I439">
        <f>IF(BaseCoalPlants!H480="-","",BaseCoalPlants!H480)</f>
        <v>0</v>
      </c>
      <c r="J439">
        <f>IF(BaseCoalPlants!I480="-","",BaseCoalPlants!I480)</f>
        <v>0</v>
      </c>
      <c r="K439">
        <f>IF(BaseCoalPlants!J480="-","",BaseCoalPlants!J480)</f>
        <v>0</v>
      </c>
      <c r="L439">
        <f>IF(BaseCoalPlants!K480="-","",BaseCoalPlants!K480)</f>
        <v>0</v>
      </c>
      <c r="M439" s="1" t="str">
        <f>IF(BaseCoalPlants!L480=0,"",BaseCoalPlants!L480)</f>
        <v/>
      </c>
      <c r="N439" s="1" t="str">
        <f>IF(BaseCoalPlants!M480=0,"",BaseCoalPlants!M480)</f>
        <v/>
      </c>
      <c r="O439" s="1" t="str">
        <f>IF(BaseCoalPlants!N480=0,"",BaseCoalPlants!N480)</f>
        <v/>
      </c>
      <c r="P439" s="1" t="str">
        <f>IF(BaseCoalPlants!O480=0,"",BaseCoalPlants!O480)</f>
        <v/>
      </c>
      <c r="Q439" s="1" t="str">
        <f>IF(BaseCoalPlants!P480=0,"",BaseCoalPlants!P480)</f>
        <v/>
      </c>
      <c r="R439" s="1" t="str">
        <f>IF(BaseCoalPlants!Q480=0,"",BaseCoalPlants!Q480)</f>
        <v/>
      </c>
      <c r="S439" s="1" t="str">
        <f>IF(BaseCoalPlants!R480=0,"",BaseCoalPlants!R480)</f>
        <v/>
      </c>
      <c r="T439" s="1" t="str">
        <f>IF(BaseCoalPlants!S480=0,"",BaseCoalPlants!S480)</f>
        <v/>
      </c>
      <c r="U439" s="1" t="str">
        <f>IF(BaseCoalPlants!T480=0,"",BaseCoalPlants!T480)</f>
        <v/>
      </c>
      <c r="V439" s="1" t="str">
        <f>IF(BaseCoalPlants!U480=0,"",BaseCoalPlants!U480)</f>
        <v/>
      </c>
    </row>
    <row r="440" spans="3:22" x14ac:dyDescent="0.35">
      <c r="C440">
        <f>IF(BaseCoalPlants!B481="VDA_FLOP",IF(BaseCoalPlants!D481="ELC","*","INPUT"),BaseCoalPlants!B481)</f>
        <v>0</v>
      </c>
      <c r="D440" t="str">
        <f>IF(BaseCoalPlants!C481="","\I:",BaseCoalPlants!C481&amp;"_LE")</f>
        <v>\I:</v>
      </c>
      <c r="E440">
        <f>IF(BaseCoalPlants!D481="-","",BaseCoalPlants!D481)</f>
        <v>0</v>
      </c>
      <c r="F440">
        <f>IF(BaseCoalPlants!E481="-","",BaseCoalPlants!E481)</f>
        <v>0</v>
      </c>
      <c r="G440">
        <f>IF(BaseCoalPlants!F481="-","",BaseCoalPlants!F481)</f>
        <v>0</v>
      </c>
      <c r="H440">
        <f>IF(BaseCoalPlants!G481="-","",BaseCoalPlants!G481)</f>
        <v>0</v>
      </c>
      <c r="I440">
        <f>IF(BaseCoalPlants!H481="-","",BaseCoalPlants!H481)</f>
        <v>0</v>
      </c>
      <c r="J440">
        <f>IF(BaseCoalPlants!I481="-","",BaseCoalPlants!I481)</f>
        <v>0</v>
      </c>
      <c r="K440">
        <f>IF(BaseCoalPlants!J481="-","",BaseCoalPlants!J481)</f>
        <v>0</v>
      </c>
      <c r="L440">
        <f>IF(BaseCoalPlants!K481="-","",BaseCoalPlants!K481)</f>
        <v>0</v>
      </c>
      <c r="M440" s="1" t="str">
        <f>IF(BaseCoalPlants!L481=0,"",BaseCoalPlants!L481)</f>
        <v/>
      </c>
      <c r="N440" s="1" t="str">
        <f>IF(BaseCoalPlants!M481=0,"",BaseCoalPlants!M481)</f>
        <v/>
      </c>
      <c r="O440" s="1" t="str">
        <f>IF(BaseCoalPlants!N481=0,"",BaseCoalPlants!N481)</f>
        <v/>
      </c>
      <c r="P440" s="1" t="str">
        <f>IF(BaseCoalPlants!O481=0,"",BaseCoalPlants!O481)</f>
        <v/>
      </c>
      <c r="Q440" s="1" t="str">
        <f>IF(BaseCoalPlants!P481=0,"",BaseCoalPlants!P481)</f>
        <v/>
      </c>
      <c r="R440" s="1" t="str">
        <f>IF(BaseCoalPlants!Q481=0,"",BaseCoalPlants!Q481)</f>
        <v/>
      </c>
      <c r="S440" s="1" t="str">
        <f>IF(BaseCoalPlants!R481=0,"",BaseCoalPlants!R481)</f>
        <v/>
      </c>
      <c r="T440" s="1" t="str">
        <f>IF(BaseCoalPlants!S481=0,"",BaseCoalPlants!S481)</f>
        <v/>
      </c>
      <c r="U440" s="1" t="str">
        <f>IF(BaseCoalPlants!T481=0,"",BaseCoalPlants!T481)</f>
        <v/>
      </c>
      <c r="V440" s="1" t="str">
        <f>IF(BaseCoalPlants!U481=0,"",BaseCoalPlants!U481)</f>
        <v/>
      </c>
    </row>
    <row r="441" spans="3:22" x14ac:dyDescent="0.35">
      <c r="C441">
        <f>IF(BaseCoalPlants!B482="VDA_FLOP",IF(BaseCoalPlants!D482="ELC","*","INPUT"),BaseCoalPlants!B482)</f>
        <v>0</v>
      </c>
      <c r="D441" t="str">
        <f>IF(BaseCoalPlants!C482="","\I:",BaseCoalPlants!C482&amp;"_LE")</f>
        <v>\I:</v>
      </c>
      <c r="E441">
        <f>IF(BaseCoalPlants!D482="-","",BaseCoalPlants!D482)</f>
        <v>0</v>
      </c>
      <c r="F441">
        <f>IF(BaseCoalPlants!E482="-","",BaseCoalPlants!E482)</f>
        <v>0</v>
      </c>
      <c r="G441">
        <f>IF(BaseCoalPlants!F482="-","",BaseCoalPlants!F482)</f>
        <v>0</v>
      </c>
      <c r="H441">
        <f>IF(BaseCoalPlants!G482="-","",BaseCoalPlants!G482)</f>
        <v>0</v>
      </c>
      <c r="I441">
        <f>IF(BaseCoalPlants!H482="-","",BaseCoalPlants!H482)</f>
        <v>0</v>
      </c>
      <c r="J441">
        <f>IF(BaseCoalPlants!I482="-","",BaseCoalPlants!I482)</f>
        <v>0</v>
      </c>
      <c r="K441">
        <f>IF(BaseCoalPlants!J482="-","",BaseCoalPlants!J482)</f>
        <v>0</v>
      </c>
      <c r="L441">
        <f>IF(BaseCoalPlants!K482="-","",BaseCoalPlants!K482)</f>
        <v>0</v>
      </c>
      <c r="M441" s="1" t="str">
        <f>IF(BaseCoalPlants!L482=0,"",BaseCoalPlants!L482)</f>
        <v/>
      </c>
      <c r="N441" s="1" t="str">
        <f>IF(BaseCoalPlants!M482=0,"",BaseCoalPlants!M482)</f>
        <v/>
      </c>
      <c r="O441" s="1" t="str">
        <f>IF(BaseCoalPlants!N482=0,"",BaseCoalPlants!N482)</f>
        <v/>
      </c>
      <c r="P441" s="1" t="str">
        <f>IF(BaseCoalPlants!O482=0,"",BaseCoalPlants!O482)</f>
        <v/>
      </c>
      <c r="Q441" s="1" t="str">
        <f>IF(BaseCoalPlants!P482=0,"",BaseCoalPlants!P482)</f>
        <v/>
      </c>
      <c r="R441" s="1" t="str">
        <f>IF(BaseCoalPlants!Q482=0,"",BaseCoalPlants!Q482)</f>
        <v/>
      </c>
      <c r="S441" s="1" t="str">
        <f>IF(BaseCoalPlants!R482=0,"",BaseCoalPlants!R482)</f>
        <v/>
      </c>
      <c r="T441" s="1" t="str">
        <f>IF(BaseCoalPlants!S482=0,"",BaseCoalPlants!S482)</f>
        <v/>
      </c>
      <c r="U441" s="1" t="str">
        <f>IF(BaseCoalPlants!T482=0,"",BaseCoalPlants!T482)</f>
        <v/>
      </c>
      <c r="V441" s="1" t="str">
        <f>IF(BaseCoalPlants!U482=0,"",BaseCoalPlants!U482)</f>
        <v/>
      </c>
    </row>
    <row r="442" spans="3:22" x14ac:dyDescent="0.35">
      <c r="C442">
        <f>IF(BaseCoalPlants!B483="VDA_FLOP",IF(BaseCoalPlants!D483="ELC","*","INPUT"),BaseCoalPlants!B483)</f>
        <v>0</v>
      </c>
      <c r="D442" t="str">
        <f>IF(BaseCoalPlants!C483="","\I:",BaseCoalPlants!C483&amp;"_LE")</f>
        <v>\I:</v>
      </c>
      <c r="E442">
        <f>IF(BaseCoalPlants!D483="-","",BaseCoalPlants!D483)</f>
        <v>0</v>
      </c>
      <c r="F442">
        <f>IF(BaseCoalPlants!E483="-","",BaseCoalPlants!E483)</f>
        <v>0</v>
      </c>
      <c r="G442">
        <f>IF(BaseCoalPlants!F483="-","",BaseCoalPlants!F483)</f>
        <v>0</v>
      </c>
      <c r="H442">
        <f>IF(BaseCoalPlants!G483="-","",BaseCoalPlants!G483)</f>
        <v>0</v>
      </c>
      <c r="I442">
        <f>IF(BaseCoalPlants!H483="-","",BaseCoalPlants!H483)</f>
        <v>0</v>
      </c>
      <c r="J442">
        <f>IF(BaseCoalPlants!I483="-","",BaseCoalPlants!I483)</f>
        <v>0</v>
      </c>
      <c r="K442">
        <f>IF(BaseCoalPlants!J483="-","",BaseCoalPlants!J483)</f>
        <v>0</v>
      </c>
      <c r="L442">
        <f>IF(BaseCoalPlants!K483="-","",BaseCoalPlants!K483)</f>
        <v>0</v>
      </c>
      <c r="M442" s="1" t="str">
        <f>IF(BaseCoalPlants!L483=0,"",BaseCoalPlants!L483)</f>
        <v/>
      </c>
      <c r="N442" s="1" t="str">
        <f>IF(BaseCoalPlants!M483=0,"",BaseCoalPlants!M483)</f>
        <v/>
      </c>
      <c r="O442" s="1" t="str">
        <f>IF(BaseCoalPlants!N483=0,"",BaseCoalPlants!N483)</f>
        <v/>
      </c>
      <c r="P442" s="1" t="str">
        <f>IF(BaseCoalPlants!O483=0,"",BaseCoalPlants!O483)</f>
        <v/>
      </c>
      <c r="Q442" s="1" t="str">
        <f>IF(BaseCoalPlants!P483=0,"",BaseCoalPlants!P483)</f>
        <v/>
      </c>
      <c r="R442" s="1" t="str">
        <f>IF(BaseCoalPlants!Q483=0,"",BaseCoalPlants!Q483)</f>
        <v/>
      </c>
      <c r="S442" s="1" t="str">
        <f>IF(BaseCoalPlants!R483=0,"",BaseCoalPlants!R483)</f>
        <v/>
      </c>
      <c r="T442" s="1" t="str">
        <f>IF(BaseCoalPlants!S483=0,"",BaseCoalPlants!S483)</f>
        <v/>
      </c>
      <c r="U442" s="1" t="str">
        <f>IF(BaseCoalPlants!T483=0,"",BaseCoalPlants!T483)</f>
        <v/>
      </c>
      <c r="V442" s="1" t="str">
        <f>IF(BaseCoalPlants!U483=0,"",BaseCoalPlants!U483)</f>
        <v/>
      </c>
    </row>
    <row r="443" spans="3:22" x14ac:dyDescent="0.35">
      <c r="C443">
        <f>IF(BaseCoalPlants!B484="VDA_FLOP",IF(BaseCoalPlants!D484="ELC","*","INPUT"),BaseCoalPlants!B484)</f>
        <v>0</v>
      </c>
      <c r="D443" t="str">
        <f>IF(BaseCoalPlants!C484="","\I:",BaseCoalPlants!C484&amp;"_LE")</f>
        <v>\I:</v>
      </c>
      <c r="E443">
        <f>IF(BaseCoalPlants!D484="-","",BaseCoalPlants!D484)</f>
        <v>0</v>
      </c>
      <c r="F443">
        <f>IF(BaseCoalPlants!E484="-","",BaseCoalPlants!E484)</f>
        <v>0</v>
      </c>
      <c r="G443">
        <f>IF(BaseCoalPlants!F484="-","",BaseCoalPlants!F484)</f>
        <v>0</v>
      </c>
      <c r="H443">
        <f>IF(BaseCoalPlants!G484="-","",BaseCoalPlants!G484)</f>
        <v>0</v>
      </c>
      <c r="I443">
        <f>IF(BaseCoalPlants!H484="-","",BaseCoalPlants!H484)</f>
        <v>0</v>
      </c>
      <c r="J443">
        <f>IF(BaseCoalPlants!I484="-","",BaseCoalPlants!I484)</f>
        <v>0</v>
      </c>
      <c r="K443">
        <f>IF(BaseCoalPlants!J484="-","",BaseCoalPlants!J484)</f>
        <v>0</v>
      </c>
      <c r="L443">
        <f>IF(BaseCoalPlants!K484="-","",BaseCoalPlants!K484)</f>
        <v>0</v>
      </c>
      <c r="M443" s="1" t="str">
        <f>IF(BaseCoalPlants!L484=0,"",BaseCoalPlants!L484)</f>
        <v/>
      </c>
      <c r="N443" s="1" t="str">
        <f>IF(BaseCoalPlants!M484=0,"",BaseCoalPlants!M484)</f>
        <v/>
      </c>
      <c r="O443" s="1" t="str">
        <f>IF(BaseCoalPlants!N484=0,"",BaseCoalPlants!N484)</f>
        <v/>
      </c>
      <c r="P443" s="1" t="str">
        <f>IF(BaseCoalPlants!O484=0,"",BaseCoalPlants!O484)</f>
        <v/>
      </c>
      <c r="Q443" s="1" t="str">
        <f>IF(BaseCoalPlants!P484=0,"",BaseCoalPlants!P484)</f>
        <v/>
      </c>
      <c r="R443" s="1" t="str">
        <f>IF(BaseCoalPlants!Q484=0,"",BaseCoalPlants!Q484)</f>
        <v/>
      </c>
      <c r="S443" s="1" t="str">
        <f>IF(BaseCoalPlants!R484=0,"",BaseCoalPlants!R484)</f>
        <v/>
      </c>
      <c r="T443" s="1" t="str">
        <f>IF(BaseCoalPlants!S484=0,"",BaseCoalPlants!S484)</f>
        <v/>
      </c>
      <c r="U443" s="1" t="str">
        <f>IF(BaseCoalPlants!T484=0,"",BaseCoalPlants!T484)</f>
        <v/>
      </c>
      <c r="V443" s="1" t="str">
        <f>IF(BaseCoalPlants!U484=0,"",BaseCoalPlants!U484)</f>
        <v/>
      </c>
    </row>
    <row r="444" spans="3:22" x14ac:dyDescent="0.35">
      <c r="C444">
        <f>IF(BaseCoalPlants!B485="VDA_FLOP",IF(BaseCoalPlants!D485="ELC","*","INPUT"),BaseCoalPlants!B485)</f>
        <v>0</v>
      </c>
      <c r="D444" t="str">
        <f>IF(BaseCoalPlants!C485="","\I:",BaseCoalPlants!C485&amp;"_LE")</f>
        <v>\I:</v>
      </c>
      <c r="E444">
        <f>IF(BaseCoalPlants!D485="-","",BaseCoalPlants!D485)</f>
        <v>0</v>
      </c>
      <c r="F444">
        <f>IF(BaseCoalPlants!E485="-","",BaseCoalPlants!E485)</f>
        <v>0</v>
      </c>
      <c r="G444">
        <f>IF(BaseCoalPlants!F485="-","",BaseCoalPlants!F485)</f>
        <v>0</v>
      </c>
      <c r="H444">
        <f>IF(BaseCoalPlants!G485="-","",BaseCoalPlants!G485)</f>
        <v>0</v>
      </c>
      <c r="I444">
        <f>IF(BaseCoalPlants!H485="-","",BaseCoalPlants!H485)</f>
        <v>0</v>
      </c>
      <c r="J444">
        <f>IF(BaseCoalPlants!I485="-","",BaseCoalPlants!I485)</f>
        <v>0</v>
      </c>
      <c r="K444">
        <f>IF(BaseCoalPlants!J485="-","",BaseCoalPlants!J485)</f>
        <v>0</v>
      </c>
      <c r="L444">
        <f>IF(BaseCoalPlants!K485="-","",BaseCoalPlants!K485)</f>
        <v>0</v>
      </c>
      <c r="M444" s="1" t="str">
        <f>IF(BaseCoalPlants!L485=0,"",BaseCoalPlants!L485)</f>
        <v/>
      </c>
      <c r="N444" s="1" t="str">
        <f>IF(BaseCoalPlants!M485=0,"",BaseCoalPlants!M485)</f>
        <v/>
      </c>
      <c r="O444" s="1" t="str">
        <f>IF(BaseCoalPlants!N485=0,"",BaseCoalPlants!N485)</f>
        <v/>
      </c>
      <c r="P444" s="1" t="str">
        <f>IF(BaseCoalPlants!O485=0,"",BaseCoalPlants!O485)</f>
        <v/>
      </c>
      <c r="Q444" s="1" t="str">
        <f>IF(BaseCoalPlants!P485=0,"",BaseCoalPlants!P485)</f>
        <v/>
      </c>
      <c r="R444" s="1" t="str">
        <f>IF(BaseCoalPlants!Q485=0,"",BaseCoalPlants!Q485)</f>
        <v/>
      </c>
      <c r="S444" s="1" t="str">
        <f>IF(BaseCoalPlants!R485=0,"",BaseCoalPlants!R485)</f>
        <v/>
      </c>
      <c r="T444" s="1" t="str">
        <f>IF(BaseCoalPlants!S485=0,"",BaseCoalPlants!S485)</f>
        <v/>
      </c>
      <c r="U444" s="1" t="str">
        <f>IF(BaseCoalPlants!T485=0,"",BaseCoalPlants!T485)</f>
        <v/>
      </c>
      <c r="V444" s="1" t="str">
        <f>IF(BaseCoalPlants!U485=0,"",BaseCoalPlants!U485)</f>
        <v/>
      </c>
    </row>
    <row r="445" spans="3:22" x14ac:dyDescent="0.35">
      <c r="C445">
        <f>IF(BaseCoalPlants!B486="VDA_FLOP",IF(BaseCoalPlants!D486="ELC","*","INPUT"),BaseCoalPlants!B486)</f>
        <v>0</v>
      </c>
      <c r="D445" t="str">
        <f>IF(BaseCoalPlants!C486="","\I:",BaseCoalPlants!C486&amp;"_LE")</f>
        <v>\I:</v>
      </c>
      <c r="E445">
        <f>IF(BaseCoalPlants!D486="-","",BaseCoalPlants!D486)</f>
        <v>0</v>
      </c>
      <c r="F445">
        <f>IF(BaseCoalPlants!E486="-","",BaseCoalPlants!E486)</f>
        <v>0</v>
      </c>
      <c r="G445">
        <f>IF(BaseCoalPlants!F486="-","",BaseCoalPlants!F486)</f>
        <v>0</v>
      </c>
      <c r="H445">
        <f>IF(BaseCoalPlants!G486="-","",BaseCoalPlants!G486)</f>
        <v>0</v>
      </c>
      <c r="I445">
        <f>IF(BaseCoalPlants!H486="-","",BaseCoalPlants!H486)</f>
        <v>0</v>
      </c>
      <c r="J445">
        <f>IF(BaseCoalPlants!I486="-","",BaseCoalPlants!I486)</f>
        <v>0</v>
      </c>
      <c r="K445">
        <f>IF(BaseCoalPlants!J486="-","",BaseCoalPlants!J486)</f>
        <v>0</v>
      </c>
      <c r="L445">
        <f>IF(BaseCoalPlants!K486="-","",BaseCoalPlants!K486)</f>
        <v>0</v>
      </c>
      <c r="M445" s="1" t="str">
        <f>IF(BaseCoalPlants!L486=0,"",BaseCoalPlants!L486)</f>
        <v/>
      </c>
      <c r="N445" s="1" t="str">
        <f>IF(BaseCoalPlants!M486=0,"",BaseCoalPlants!M486)</f>
        <v/>
      </c>
      <c r="O445" s="1" t="str">
        <f>IF(BaseCoalPlants!N486=0,"",BaseCoalPlants!N486)</f>
        <v/>
      </c>
      <c r="P445" s="1" t="str">
        <f>IF(BaseCoalPlants!O486=0,"",BaseCoalPlants!O486)</f>
        <v/>
      </c>
      <c r="Q445" s="1" t="str">
        <f>IF(BaseCoalPlants!P486=0,"",BaseCoalPlants!P486)</f>
        <v/>
      </c>
      <c r="R445" s="1" t="str">
        <f>IF(BaseCoalPlants!Q486=0,"",BaseCoalPlants!Q486)</f>
        <v/>
      </c>
      <c r="S445" s="1" t="str">
        <f>IF(BaseCoalPlants!R486=0,"",BaseCoalPlants!R486)</f>
        <v/>
      </c>
      <c r="T445" s="1" t="str">
        <f>IF(BaseCoalPlants!S486=0,"",BaseCoalPlants!S486)</f>
        <v/>
      </c>
      <c r="U445" s="1" t="str">
        <f>IF(BaseCoalPlants!T486=0,"",BaseCoalPlants!T486)</f>
        <v/>
      </c>
      <c r="V445" s="1" t="str">
        <f>IF(BaseCoalPlants!U486=0,"",BaseCoalPlants!U486)</f>
        <v/>
      </c>
    </row>
    <row r="446" spans="3:22" x14ac:dyDescent="0.35">
      <c r="C446">
        <f>IF(BaseCoalPlants!B487="VDA_FLOP",IF(BaseCoalPlants!D487="ELC","*","INPUT"),BaseCoalPlants!B487)</f>
        <v>0</v>
      </c>
      <c r="D446" t="str">
        <f>IF(BaseCoalPlants!C487="","\I:",BaseCoalPlants!C487&amp;"_LE")</f>
        <v>\I:</v>
      </c>
      <c r="E446">
        <f>IF(BaseCoalPlants!D487="-","",BaseCoalPlants!D487)</f>
        <v>0</v>
      </c>
      <c r="F446">
        <f>IF(BaseCoalPlants!E487="-","",BaseCoalPlants!E487)</f>
        <v>0</v>
      </c>
      <c r="G446">
        <f>IF(BaseCoalPlants!F487="-","",BaseCoalPlants!F487)</f>
        <v>0</v>
      </c>
      <c r="H446">
        <f>IF(BaseCoalPlants!G487="-","",BaseCoalPlants!G487)</f>
        <v>0</v>
      </c>
      <c r="I446">
        <f>IF(BaseCoalPlants!H487="-","",BaseCoalPlants!H487)</f>
        <v>0</v>
      </c>
      <c r="J446">
        <f>IF(BaseCoalPlants!I487="-","",BaseCoalPlants!I487)</f>
        <v>0</v>
      </c>
      <c r="K446">
        <f>IF(BaseCoalPlants!J487="-","",BaseCoalPlants!J487)</f>
        <v>0</v>
      </c>
      <c r="L446">
        <f>IF(BaseCoalPlants!K487="-","",BaseCoalPlants!K487)</f>
        <v>0</v>
      </c>
      <c r="M446" s="1" t="str">
        <f>IF(BaseCoalPlants!L487=0,"",BaseCoalPlants!L487)</f>
        <v/>
      </c>
      <c r="N446" s="1" t="str">
        <f>IF(BaseCoalPlants!M487=0,"",BaseCoalPlants!M487)</f>
        <v/>
      </c>
      <c r="O446" s="1" t="str">
        <f>IF(BaseCoalPlants!N487=0,"",BaseCoalPlants!N487)</f>
        <v/>
      </c>
      <c r="P446" s="1" t="str">
        <f>IF(BaseCoalPlants!O487=0,"",BaseCoalPlants!O487)</f>
        <v/>
      </c>
      <c r="Q446" s="1" t="str">
        <f>IF(BaseCoalPlants!P487=0,"",BaseCoalPlants!P487)</f>
        <v/>
      </c>
      <c r="R446" s="1" t="str">
        <f>IF(BaseCoalPlants!Q487=0,"",BaseCoalPlants!Q487)</f>
        <v/>
      </c>
      <c r="S446" s="1" t="str">
        <f>IF(BaseCoalPlants!R487=0,"",BaseCoalPlants!R487)</f>
        <v/>
      </c>
      <c r="T446" s="1" t="str">
        <f>IF(BaseCoalPlants!S487=0,"",BaseCoalPlants!S487)</f>
        <v/>
      </c>
      <c r="U446" s="1" t="str">
        <f>IF(BaseCoalPlants!T487=0,"",BaseCoalPlants!T487)</f>
        <v/>
      </c>
      <c r="V446" s="1" t="str">
        <f>IF(BaseCoalPlants!U487=0,"",BaseCoalPlants!U487)</f>
        <v/>
      </c>
    </row>
    <row r="447" spans="3:22" x14ac:dyDescent="0.35">
      <c r="C447">
        <f>IF(BaseCoalPlants!B488="VDA_FLOP",IF(BaseCoalPlants!D488="ELC","*","INPUT"),BaseCoalPlants!B488)</f>
        <v>0</v>
      </c>
      <c r="D447" t="str">
        <f>IF(BaseCoalPlants!C488="","\I:",BaseCoalPlants!C488&amp;"_LE")</f>
        <v>\I:</v>
      </c>
      <c r="E447">
        <f>IF(BaseCoalPlants!D488="-","",BaseCoalPlants!D488)</f>
        <v>0</v>
      </c>
      <c r="F447">
        <f>IF(BaseCoalPlants!E488="-","",BaseCoalPlants!E488)</f>
        <v>0</v>
      </c>
      <c r="G447">
        <f>IF(BaseCoalPlants!F488="-","",BaseCoalPlants!F488)</f>
        <v>0</v>
      </c>
      <c r="H447">
        <f>IF(BaseCoalPlants!G488="-","",BaseCoalPlants!G488)</f>
        <v>0</v>
      </c>
      <c r="I447">
        <f>IF(BaseCoalPlants!H488="-","",BaseCoalPlants!H488)</f>
        <v>0</v>
      </c>
      <c r="J447">
        <f>IF(BaseCoalPlants!I488="-","",BaseCoalPlants!I488)</f>
        <v>0</v>
      </c>
      <c r="K447">
        <f>IF(BaseCoalPlants!J488="-","",BaseCoalPlants!J488)</f>
        <v>0</v>
      </c>
      <c r="L447">
        <f>IF(BaseCoalPlants!K488="-","",BaseCoalPlants!K488)</f>
        <v>0</v>
      </c>
      <c r="M447" s="1" t="str">
        <f>IF(BaseCoalPlants!L488=0,"",BaseCoalPlants!L488)</f>
        <v/>
      </c>
      <c r="N447" s="1" t="str">
        <f>IF(BaseCoalPlants!M488=0,"",BaseCoalPlants!M488)</f>
        <v/>
      </c>
      <c r="O447" s="1" t="str">
        <f>IF(BaseCoalPlants!N488=0,"",BaseCoalPlants!N488)</f>
        <v/>
      </c>
      <c r="P447" s="1" t="str">
        <f>IF(BaseCoalPlants!O488=0,"",BaseCoalPlants!O488)</f>
        <v/>
      </c>
      <c r="Q447" s="1" t="str">
        <f>IF(BaseCoalPlants!P488=0,"",BaseCoalPlants!P488)</f>
        <v/>
      </c>
      <c r="R447" s="1" t="str">
        <f>IF(BaseCoalPlants!Q488=0,"",BaseCoalPlants!Q488)</f>
        <v/>
      </c>
      <c r="S447" s="1" t="str">
        <f>IF(BaseCoalPlants!R488=0,"",BaseCoalPlants!R488)</f>
        <v/>
      </c>
      <c r="T447" s="1" t="str">
        <f>IF(BaseCoalPlants!S488=0,"",BaseCoalPlants!S488)</f>
        <v/>
      </c>
      <c r="U447" s="1" t="str">
        <f>IF(BaseCoalPlants!T488=0,"",BaseCoalPlants!T488)</f>
        <v/>
      </c>
      <c r="V447" s="1" t="str">
        <f>IF(BaseCoalPlants!U488=0,"",BaseCoalPlants!U488)</f>
        <v/>
      </c>
    </row>
    <row r="448" spans="3:22" x14ac:dyDescent="0.35">
      <c r="C448">
        <f>IF(BaseCoalPlants!B489="VDA_FLOP",IF(BaseCoalPlants!D489="ELC","*","INPUT"),BaseCoalPlants!B489)</f>
        <v>0</v>
      </c>
      <c r="D448" t="str">
        <f>IF(BaseCoalPlants!C489="","\I:",BaseCoalPlants!C489&amp;"_LE")</f>
        <v>\I:</v>
      </c>
      <c r="E448">
        <f>IF(BaseCoalPlants!D489="-","",BaseCoalPlants!D489)</f>
        <v>0</v>
      </c>
      <c r="F448">
        <f>IF(BaseCoalPlants!E489="-","",BaseCoalPlants!E489)</f>
        <v>0</v>
      </c>
      <c r="G448">
        <f>IF(BaseCoalPlants!F489="-","",BaseCoalPlants!F489)</f>
        <v>0</v>
      </c>
      <c r="H448">
        <f>IF(BaseCoalPlants!G489="-","",BaseCoalPlants!G489)</f>
        <v>0</v>
      </c>
      <c r="I448">
        <f>IF(BaseCoalPlants!H489="-","",BaseCoalPlants!H489)</f>
        <v>0</v>
      </c>
      <c r="J448">
        <f>IF(BaseCoalPlants!I489="-","",BaseCoalPlants!I489)</f>
        <v>0</v>
      </c>
      <c r="K448">
        <f>IF(BaseCoalPlants!J489="-","",BaseCoalPlants!J489)</f>
        <v>0</v>
      </c>
      <c r="L448">
        <f>IF(BaseCoalPlants!K489="-","",BaseCoalPlants!K489)</f>
        <v>0</v>
      </c>
      <c r="M448" s="1" t="str">
        <f>IF(BaseCoalPlants!L489=0,"",BaseCoalPlants!L489)</f>
        <v/>
      </c>
      <c r="N448" s="1" t="str">
        <f>IF(BaseCoalPlants!M489=0,"",BaseCoalPlants!M489)</f>
        <v/>
      </c>
      <c r="O448" s="1" t="str">
        <f>IF(BaseCoalPlants!N489=0,"",BaseCoalPlants!N489)</f>
        <v/>
      </c>
      <c r="P448" s="1" t="str">
        <f>IF(BaseCoalPlants!O489=0,"",BaseCoalPlants!O489)</f>
        <v/>
      </c>
      <c r="Q448" s="1" t="str">
        <f>IF(BaseCoalPlants!P489=0,"",BaseCoalPlants!P489)</f>
        <v/>
      </c>
      <c r="R448" s="1" t="str">
        <f>IF(BaseCoalPlants!Q489=0,"",BaseCoalPlants!Q489)</f>
        <v/>
      </c>
      <c r="S448" s="1" t="str">
        <f>IF(BaseCoalPlants!R489=0,"",BaseCoalPlants!R489)</f>
        <v/>
      </c>
      <c r="T448" s="1" t="str">
        <f>IF(BaseCoalPlants!S489=0,"",BaseCoalPlants!S489)</f>
        <v/>
      </c>
      <c r="U448" s="1" t="str">
        <f>IF(BaseCoalPlants!T489=0,"",BaseCoalPlants!T489)</f>
        <v/>
      </c>
      <c r="V448" s="1" t="str">
        <f>IF(BaseCoalPlants!U489=0,"",BaseCoalPlants!U489)</f>
        <v/>
      </c>
    </row>
    <row r="449" spans="3:22" x14ac:dyDescent="0.35">
      <c r="C449">
        <f>IF(BaseCoalPlants!B490="VDA_FLOP",IF(BaseCoalPlants!D490="ELC","*","INPUT"),BaseCoalPlants!B490)</f>
        <v>0</v>
      </c>
      <c r="D449" t="str">
        <f>IF(BaseCoalPlants!C490="","\I:",BaseCoalPlants!C490&amp;"_LE")</f>
        <v>\I:</v>
      </c>
      <c r="E449">
        <f>IF(BaseCoalPlants!D490="-","",BaseCoalPlants!D490)</f>
        <v>0</v>
      </c>
      <c r="F449">
        <f>IF(BaseCoalPlants!E490="-","",BaseCoalPlants!E490)</f>
        <v>0</v>
      </c>
      <c r="G449">
        <f>IF(BaseCoalPlants!F490="-","",BaseCoalPlants!F490)</f>
        <v>0</v>
      </c>
      <c r="H449">
        <f>IF(BaseCoalPlants!G490="-","",BaseCoalPlants!G490)</f>
        <v>0</v>
      </c>
      <c r="I449">
        <f>IF(BaseCoalPlants!H490="-","",BaseCoalPlants!H490)</f>
        <v>0</v>
      </c>
      <c r="J449">
        <f>IF(BaseCoalPlants!I490="-","",BaseCoalPlants!I490)</f>
        <v>0</v>
      </c>
      <c r="K449">
        <f>IF(BaseCoalPlants!J490="-","",BaseCoalPlants!J490)</f>
        <v>0</v>
      </c>
      <c r="L449">
        <f>IF(BaseCoalPlants!K490="-","",BaseCoalPlants!K490)</f>
        <v>0</v>
      </c>
      <c r="M449" s="1" t="str">
        <f>IF(BaseCoalPlants!L490=0,"",BaseCoalPlants!L490)</f>
        <v/>
      </c>
      <c r="N449" s="1" t="str">
        <f>IF(BaseCoalPlants!M490=0,"",BaseCoalPlants!M490)</f>
        <v/>
      </c>
      <c r="O449" s="1" t="str">
        <f>IF(BaseCoalPlants!N490=0,"",BaseCoalPlants!N490)</f>
        <v/>
      </c>
      <c r="P449" s="1" t="str">
        <f>IF(BaseCoalPlants!O490=0,"",BaseCoalPlants!O490)</f>
        <v/>
      </c>
      <c r="Q449" s="1" t="str">
        <f>IF(BaseCoalPlants!P490=0,"",BaseCoalPlants!P490)</f>
        <v/>
      </c>
      <c r="R449" s="1" t="str">
        <f>IF(BaseCoalPlants!Q490=0,"",BaseCoalPlants!Q490)</f>
        <v/>
      </c>
      <c r="S449" s="1" t="str">
        <f>IF(BaseCoalPlants!R490=0,"",BaseCoalPlants!R490)</f>
        <v/>
      </c>
      <c r="T449" s="1" t="str">
        <f>IF(BaseCoalPlants!S490=0,"",BaseCoalPlants!S490)</f>
        <v/>
      </c>
      <c r="U449" s="1" t="str">
        <f>IF(BaseCoalPlants!T490=0,"",BaseCoalPlants!T490)</f>
        <v/>
      </c>
      <c r="V449" s="1" t="str">
        <f>IF(BaseCoalPlants!U490=0,"",BaseCoalPlants!U490)</f>
        <v/>
      </c>
    </row>
    <row r="450" spans="3:22" x14ac:dyDescent="0.35">
      <c r="C450">
        <f>IF(BaseCoalPlants!B491="VDA_FLOP",IF(BaseCoalPlants!D491="ELC","*","INPUT"),BaseCoalPlants!B491)</f>
        <v>0</v>
      </c>
      <c r="D450" t="str">
        <f>IF(BaseCoalPlants!C491="","\I:",BaseCoalPlants!C491&amp;"_LE")</f>
        <v>\I:</v>
      </c>
      <c r="E450">
        <f>IF(BaseCoalPlants!D491="-","",BaseCoalPlants!D491)</f>
        <v>0</v>
      </c>
      <c r="F450">
        <f>IF(BaseCoalPlants!E491="-","",BaseCoalPlants!E491)</f>
        <v>0</v>
      </c>
      <c r="G450">
        <f>IF(BaseCoalPlants!F491="-","",BaseCoalPlants!F491)</f>
        <v>0</v>
      </c>
      <c r="H450">
        <f>IF(BaseCoalPlants!G491="-","",BaseCoalPlants!G491)</f>
        <v>0</v>
      </c>
      <c r="I450">
        <f>IF(BaseCoalPlants!H491="-","",BaseCoalPlants!H491)</f>
        <v>0</v>
      </c>
      <c r="J450">
        <f>IF(BaseCoalPlants!I491="-","",BaseCoalPlants!I491)</f>
        <v>0</v>
      </c>
      <c r="K450">
        <f>IF(BaseCoalPlants!J491="-","",BaseCoalPlants!J491)</f>
        <v>0</v>
      </c>
      <c r="L450">
        <f>IF(BaseCoalPlants!K491="-","",BaseCoalPlants!K491)</f>
        <v>0</v>
      </c>
      <c r="M450" s="1" t="str">
        <f>IF(BaseCoalPlants!L491=0,"",BaseCoalPlants!L491)</f>
        <v/>
      </c>
      <c r="N450" s="1" t="str">
        <f>IF(BaseCoalPlants!M491=0,"",BaseCoalPlants!M491)</f>
        <v/>
      </c>
      <c r="O450" s="1" t="str">
        <f>IF(BaseCoalPlants!N491=0,"",BaseCoalPlants!N491)</f>
        <v/>
      </c>
      <c r="P450" s="1" t="str">
        <f>IF(BaseCoalPlants!O491=0,"",BaseCoalPlants!O491)</f>
        <v/>
      </c>
      <c r="Q450" s="1" t="str">
        <f>IF(BaseCoalPlants!P491=0,"",BaseCoalPlants!P491)</f>
        <v/>
      </c>
      <c r="R450" s="1" t="str">
        <f>IF(BaseCoalPlants!Q491=0,"",BaseCoalPlants!Q491)</f>
        <v/>
      </c>
      <c r="S450" s="1" t="str">
        <f>IF(BaseCoalPlants!R491=0,"",BaseCoalPlants!R491)</f>
        <v/>
      </c>
      <c r="T450" s="1" t="str">
        <f>IF(BaseCoalPlants!S491=0,"",BaseCoalPlants!S491)</f>
        <v/>
      </c>
      <c r="U450" s="1" t="str">
        <f>IF(BaseCoalPlants!T491=0,"",BaseCoalPlants!T491)</f>
        <v/>
      </c>
      <c r="V450" s="1" t="str">
        <f>IF(BaseCoalPlants!U491=0,"",BaseCoalPlants!U491)</f>
        <v/>
      </c>
    </row>
    <row r="451" spans="3:22" x14ac:dyDescent="0.35">
      <c r="C451">
        <f>IF(BaseCoalPlants!B492="VDA_FLOP",IF(BaseCoalPlants!D492="ELC","*","INPUT"),BaseCoalPlants!B492)</f>
        <v>0</v>
      </c>
      <c r="D451" t="str">
        <f>IF(BaseCoalPlants!C492="","\I:",BaseCoalPlants!C492&amp;"_LE")</f>
        <v>\I:</v>
      </c>
      <c r="E451">
        <f>IF(BaseCoalPlants!D492="-","",BaseCoalPlants!D492)</f>
        <v>0</v>
      </c>
      <c r="F451">
        <f>IF(BaseCoalPlants!E492="-","",BaseCoalPlants!E492)</f>
        <v>0</v>
      </c>
      <c r="G451">
        <f>IF(BaseCoalPlants!F492="-","",BaseCoalPlants!F492)</f>
        <v>0</v>
      </c>
      <c r="H451">
        <f>IF(BaseCoalPlants!G492="-","",BaseCoalPlants!G492)</f>
        <v>0</v>
      </c>
      <c r="I451">
        <f>IF(BaseCoalPlants!H492="-","",BaseCoalPlants!H492)</f>
        <v>0</v>
      </c>
      <c r="J451">
        <f>IF(BaseCoalPlants!I492="-","",BaseCoalPlants!I492)</f>
        <v>0</v>
      </c>
      <c r="K451">
        <f>IF(BaseCoalPlants!J492="-","",BaseCoalPlants!J492)</f>
        <v>0</v>
      </c>
      <c r="L451">
        <f>IF(BaseCoalPlants!K492="-","",BaseCoalPlants!K492)</f>
        <v>0</v>
      </c>
      <c r="M451" s="1" t="str">
        <f>IF(BaseCoalPlants!L492=0,"",BaseCoalPlants!L492)</f>
        <v/>
      </c>
      <c r="N451" s="1" t="str">
        <f>IF(BaseCoalPlants!M492=0,"",BaseCoalPlants!M492)</f>
        <v/>
      </c>
      <c r="O451" s="1" t="str">
        <f>IF(BaseCoalPlants!N492=0,"",BaseCoalPlants!N492)</f>
        <v/>
      </c>
      <c r="P451" s="1" t="str">
        <f>IF(BaseCoalPlants!O492=0,"",BaseCoalPlants!O492)</f>
        <v/>
      </c>
      <c r="Q451" s="1" t="str">
        <f>IF(BaseCoalPlants!P492=0,"",BaseCoalPlants!P492)</f>
        <v/>
      </c>
      <c r="R451" s="1" t="str">
        <f>IF(BaseCoalPlants!Q492=0,"",BaseCoalPlants!Q492)</f>
        <v/>
      </c>
      <c r="S451" s="1" t="str">
        <f>IF(BaseCoalPlants!R492=0,"",BaseCoalPlants!R492)</f>
        <v/>
      </c>
      <c r="T451" s="1" t="str">
        <f>IF(BaseCoalPlants!S492=0,"",BaseCoalPlants!S492)</f>
        <v/>
      </c>
      <c r="U451" s="1" t="str">
        <f>IF(BaseCoalPlants!T492=0,"",BaseCoalPlants!T492)</f>
        <v/>
      </c>
      <c r="V451" s="1" t="str">
        <f>IF(BaseCoalPlants!U492=0,"",BaseCoalPlants!U492)</f>
        <v/>
      </c>
    </row>
    <row r="452" spans="3:22" x14ac:dyDescent="0.35">
      <c r="C452">
        <f>IF(BaseCoalPlants!B493="VDA_FLOP",IF(BaseCoalPlants!D493="ELC","*","INPUT"),BaseCoalPlants!B493)</f>
        <v>0</v>
      </c>
      <c r="D452" t="str">
        <f>IF(BaseCoalPlants!C493="","\I:",BaseCoalPlants!C493&amp;"_LE")</f>
        <v>\I:</v>
      </c>
      <c r="E452">
        <f>IF(BaseCoalPlants!D493="-","",BaseCoalPlants!D493)</f>
        <v>0</v>
      </c>
      <c r="F452">
        <f>IF(BaseCoalPlants!E493="-","",BaseCoalPlants!E493)</f>
        <v>0</v>
      </c>
      <c r="G452">
        <f>IF(BaseCoalPlants!F493="-","",BaseCoalPlants!F493)</f>
        <v>0</v>
      </c>
      <c r="H452">
        <f>IF(BaseCoalPlants!G493="-","",BaseCoalPlants!G493)</f>
        <v>0</v>
      </c>
      <c r="I452">
        <f>IF(BaseCoalPlants!H493="-","",BaseCoalPlants!H493)</f>
        <v>0</v>
      </c>
      <c r="J452">
        <f>IF(BaseCoalPlants!I493="-","",BaseCoalPlants!I493)</f>
        <v>0</v>
      </c>
      <c r="K452">
        <f>IF(BaseCoalPlants!J493="-","",BaseCoalPlants!J493)</f>
        <v>0</v>
      </c>
      <c r="L452">
        <f>IF(BaseCoalPlants!K493="-","",BaseCoalPlants!K493)</f>
        <v>0</v>
      </c>
      <c r="M452" s="1" t="str">
        <f>IF(BaseCoalPlants!L493=0,"",BaseCoalPlants!L493)</f>
        <v/>
      </c>
      <c r="N452" s="1" t="str">
        <f>IF(BaseCoalPlants!M493=0,"",BaseCoalPlants!M493)</f>
        <v/>
      </c>
      <c r="O452" s="1" t="str">
        <f>IF(BaseCoalPlants!N493=0,"",BaseCoalPlants!N493)</f>
        <v/>
      </c>
      <c r="P452" s="1" t="str">
        <f>IF(BaseCoalPlants!O493=0,"",BaseCoalPlants!O493)</f>
        <v/>
      </c>
      <c r="Q452" s="1" t="str">
        <f>IF(BaseCoalPlants!P493=0,"",BaseCoalPlants!P493)</f>
        <v/>
      </c>
      <c r="R452" s="1" t="str">
        <f>IF(BaseCoalPlants!Q493=0,"",BaseCoalPlants!Q493)</f>
        <v/>
      </c>
      <c r="S452" s="1" t="str">
        <f>IF(BaseCoalPlants!R493=0,"",BaseCoalPlants!R493)</f>
        <v/>
      </c>
      <c r="T452" s="1" t="str">
        <f>IF(BaseCoalPlants!S493=0,"",BaseCoalPlants!S493)</f>
        <v/>
      </c>
      <c r="U452" s="1" t="str">
        <f>IF(BaseCoalPlants!T493=0,"",BaseCoalPlants!T493)</f>
        <v/>
      </c>
      <c r="V452" s="1" t="str">
        <f>IF(BaseCoalPlants!U493=0,"",BaseCoalPlants!U493)</f>
        <v/>
      </c>
    </row>
    <row r="453" spans="3:22" x14ac:dyDescent="0.35">
      <c r="C453">
        <f>IF(BaseCoalPlants!B494="VDA_FLOP",IF(BaseCoalPlants!D494="ELC","*","INPUT"),BaseCoalPlants!B494)</f>
        <v>0</v>
      </c>
      <c r="D453" t="str">
        <f>IF(BaseCoalPlants!C494="","\I:",BaseCoalPlants!C494&amp;"_LE")</f>
        <v>\I:</v>
      </c>
      <c r="E453">
        <f>IF(BaseCoalPlants!D494="-","",BaseCoalPlants!D494)</f>
        <v>0</v>
      </c>
      <c r="F453">
        <f>IF(BaseCoalPlants!E494="-","",BaseCoalPlants!E494)</f>
        <v>0</v>
      </c>
      <c r="G453">
        <f>IF(BaseCoalPlants!F494="-","",BaseCoalPlants!F494)</f>
        <v>0</v>
      </c>
      <c r="H453">
        <f>IF(BaseCoalPlants!G494="-","",BaseCoalPlants!G494)</f>
        <v>0</v>
      </c>
      <c r="I453">
        <f>IF(BaseCoalPlants!H494="-","",BaseCoalPlants!H494)</f>
        <v>0</v>
      </c>
      <c r="J453">
        <f>IF(BaseCoalPlants!I494="-","",BaseCoalPlants!I494)</f>
        <v>0</v>
      </c>
      <c r="K453">
        <f>IF(BaseCoalPlants!J494="-","",BaseCoalPlants!J494)</f>
        <v>0</v>
      </c>
      <c r="L453">
        <f>IF(BaseCoalPlants!K494="-","",BaseCoalPlants!K494)</f>
        <v>0</v>
      </c>
      <c r="M453" s="1" t="str">
        <f>IF(BaseCoalPlants!L494=0,"",BaseCoalPlants!L494)</f>
        <v/>
      </c>
      <c r="N453" s="1" t="str">
        <f>IF(BaseCoalPlants!M494=0,"",BaseCoalPlants!M494)</f>
        <v/>
      </c>
      <c r="O453" s="1" t="str">
        <f>IF(BaseCoalPlants!N494=0,"",BaseCoalPlants!N494)</f>
        <v/>
      </c>
      <c r="P453" s="1" t="str">
        <f>IF(BaseCoalPlants!O494=0,"",BaseCoalPlants!O494)</f>
        <v/>
      </c>
      <c r="Q453" s="1" t="str">
        <f>IF(BaseCoalPlants!P494=0,"",BaseCoalPlants!P494)</f>
        <v/>
      </c>
      <c r="R453" s="1" t="str">
        <f>IF(BaseCoalPlants!Q494=0,"",BaseCoalPlants!Q494)</f>
        <v/>
      </c>
      <c r="S453" s="1" t="str">
        <f>IF(BaseCoalPlants!R494=0,"",BaseCoalPlants!R494)</f>
        <v/>
      </c>
      <c r="T453" s="1" t="str">
        <f>IF(BaseCoalPlants!S494=0,"",BaseCoalPlants!S494)</f>
        <v/>
      </c>
      <c r="U453" s="1" t="str">
        <f>IF(BaseCoalPlants!T494=0,"",BaseCoalPlants!T494)</f>
        <v/>
      </c>
      <c r="V453" s="1" t="str">
        <f>IF(BaseCoalPlants!U494=0,"",BaseCoalPlants!U494)</f>
        <v/>
      </c>
    </row>
    <row r="454" spans="3:22" x14ac:dyDescent="0.35">
      <c r="C454">
        <f>IF(BaseCoalPlants!B495="VDA_FLOP",IF(BaseCoalPlants!D495="ELC","*","INPUT"),BaseCoalPlants!B495)</f>
        <v>0</v>
      </c>
      <c r="D454" t="str">
        <f>IF(BaseCoalPlants!C495="","\I:",BaseCoalPlants!C495&amp;"_LE")</f>
        <v>\I:</v>
      </c>
      <c r="E454">
        <f>IF(BaseCoalPlants!D495="-","",BaseCoalPlants!D495)</f>
        <v>0</v>
      </c>
      <c r="F454">
        <f>IF(BaseCoalPlants!E495="-","",BaseCoalPlants!E495)</f>
        <v>0</v>
      </c>
      <c r="G454">
        <f>IF(BaseCoalPlants!F495="-","",BaseCoalPlants!F495)</f>
        <v>0</v>
      </c>
      <c r="H454">
        <f>IF(BaseCoalPlants!G495="-","",BaseCoalPlants!G495)</f>
        <v>0</v>
      </c>
      <c r="I454">
        <f>IF(BaseCoalPlants!H495="-","",BaseCoalPlants!H495)</f>
        <v>0</v>
      </c>
      <c r="J454">
        <f>IF(BaseCoalPlants!I495="-","",BaseCoalPlants!I495)</f>
        <v>0</v>
      </c>
      <c r="K454">
        <f>IF(BaseCoalPlants!J495="-","",BaseCoalPlants!J495)</f>
        <v>0</v>
      </c>
      <c r="L454">
        <f>IF(BaseCoalPlants!K495="-","",BaseCoalPlants!K495)</f>
        <v>0</v>
      </c>
      <c r="M454" s="1" t="str">
        <f>IF(BaseCoalPlants!L495=0,"",BaseCoalPlants!L495)</f>
        <v/>
      </c>
      <c r="N454" s="1" t="str">
        <f>IF(BaseCoalPlants!M495=0,"",BaseCoalPlants!M495)</f>
        <v/>
      </c>
      <c r="O454" s="1" t="str">
        <f>IF(BaseCoalPlants!N495=0,"",BaseCoalPlants!N495)</f>
        <v/>
      </c>
      <c r="P454" s="1" t="str">
        <f>IF(BaseCoalPlants!O495=0,"",BaseCoalPlants!O495)</f>
        <v/>
      </c>
      <c r="Q454" s="1" t="str">
        <f>IF(BaseCoalPlants!P495=0,"",BaseCoalPlants!P495)</f>
        <v/>
      </c>
      <c r="R454" s="1" t="str">
        <f>IF(BaseCoalPlants!Q495=0,"",BaseCoalPlants!Q495)</f>
        <v/>
      </c>
      <c r="S454" s="1" t="str">
        <f>IF(BaseCoalPlants!R495=0,"",BaseCoalPlants!R495)</f>
        <v/>
      </c>
      <c r="T454" s="1" t="str">
        <f>IF(BaseCoalPlants!S495=0,"",BaseCoalPlants!S495)</f>
        <v/>
      </c>
      <c r="U454" s="1" t="str">
        <f>IF(BaseCoalPlants!T495=0,"",BaseCoalPlants!T495)</f>
        <v/>
      </c>
      <c r="V454" s="1" t="str">
        <f>IF(BaseCoalPlants!U495=0,"",BaseCoalPlants!U495)</f>
        <v/>
      </c>
    </row>
    <row r="455" spans="3:22" x14ac:dyDescent="0.35">
      <c r="C455">
        <f>IF(BaseCoalPlants!B496="VDA_FLOP",IF(BaseCoalPlants!D496="ELC","*","INPUT"),BaseCoalPlants!B496)</f>
        <v>0</v>
      </c>
      <c r="D455" t="str">
        <f>IF(BaseCoalPlants!C496="","\I:",BaseCoalPlants!C496&amp;"_LE")</f>
        <v>\I:</v>
      </c>
      <c r="E455">
        <f>IF(BaseCoalPlants!D496="-","",BaseCoalPlants!D496)</f>
        <v>0</v>
      </c>
      <c r="F455">
        <f>IF(BaseCoalPlants!E496="-","",BaseCoalPlants!E496)</f>
        <v>0</v>
      </c>
      <c r="G455">
        <f>IF(BaseCoalPlants!F496="-","",BaseCoalPlants!F496)</f>
        <v>0</v>
      </c>
      <c r="H455">
        <f>IF(BaseCoalPlants!G496="-","",BaseCoalPlants!G496)</f>
        <v>0</v>
      </c>
      <c r="I455">
        <f>IF(BaseCoalPlants!H496="-","",BaseCoalPlants!H496)</f>
        <v>0</v>
      </c>
      <c r="J455">
        <f>IF(BaseCoalPlants!I496="-","",BaseCoalPlants!I496)</f>
        <v>0</v>
      </c>
      <c r="K455">
        <f>IF(BaseCoalPlants!J496="-","",BaseCoalPlants!J496)</f>
        <v>0</v>
      </c>
      <c r="L455">
        <f>IF(BaseCoalPlants!K496="-","",BaseCoalPlants!K496)</f>
        <v>0</v>
      </c>
      <c r="M455" s="1" t="str">
        <f>IF(BaseCoalPlants!L496=0,"",BaseCoalPlants!L496)</f>
        <v/>
      </c>
      <c r="N455" s="1" t="str">
        <f>IF(BaseCoalPlants!M496=0,"",BaseCoalPlants!M496)</f>
        <v/>
      </c>
      <c r="O455" s="1" t="str">
        <f>IF(BaseCoalPlants!N496=0,"",BaseCoalPlants!N496)</f>
        <v/>
      </c>
      <c r="P455" s="1" t="str">
        <f>IF(BaseCoalPlants!O496=0,"",BaseCoalPlants!O496)</f>
        <v/>
      </c>
      <c r="Q455" s="1" t="str">
        <f>IF(BaseCoalPlants!P496=0,"",BaseCoalPlants!P496)</f>
        <v/>
      </c>
      <c r="R455" s="1" t="str">
        <f>IF(BaseCoalPlants!Q496=0,"",BaseCoalPlants!Q496)</f>
        <v/>
      </c>
      <c r="S455" s="1" t="str">
        <f>IF(BaseCoalPlants!R496=0,"",BaseCoalPlants!R496)</f>
        <v/>
      </c>
      <c r="T455" s="1" t="str">
        <f>IF(BaseCoalPlants!S496=0,"",BaseCoalPlants!S496)</f>
        <v/>
      </c>
      <c r="U455" s="1" t="str">
        <f>IF(BaseCoalPlants!T496=0,"",BaseCoalPlants!T496)</f>
        <v/>
      </c>
      <c r="V455" s="1" t="str">
        <f>IF(BaseCoalPlants!U496=0,"",BaseCoalPlants!U496)</f>
        <v/>
      </c>
    </row>
    <row r="456" spans="3:22" x14ac:dyDescent="0.35">
      <c r="C456">
        <f>IF(BaseCoalPlants!B497="VDA_FLOP",IF(BaseCoalPlants!D497="ELC","*","INPUT"),BaseCoalPlants!B497)</f>
        <v>0</v>
      </c>
      <c r="D456" t="str">
        <f>IF(BaseCoalPlants!C497="","\I:",BaseCoalPlants!C497&amp;"_LE")</f>
        <v>\I:</v>
      </c>
      <c r="E456">
        <f>IF(BaseCoalPlants!D497="-","",BaseCoalPlants!D497)</f>
        <v>0</v>
      </c>
      <c r="F456">
        <f>IF(BaseCoalPlants!E497="-","",BaseCoalPlants!E497)</f>
        <v>0</v>
      </c>
      <c r="G456">
        <f>IF(BaseCoalPlants!F497="-","",BaseCoalPlants!F497)</f>
        <v>0</v>
      </c>
      <c r="H456">
        <f>IF(BaseCoalPlants!G497="-","",BaseCoalPlants!G497)</f>
        <v>0</v>
      </c>
      <c r="I456">
        <f>IF(BaseCoalPlants!H497="-","",BaseCoalPlants!H497)</f>
        <v>0</v>
      </c>
      <c r="J456">
        <f>IF(BaseCoalPlants!I497="-","",BaseCoalPlants!I497)</f>
        <v>0</v>
      </c>
      <c r="K456">
        <f>IF(BaseCoalPlants!J497="-","",BaseCoalPlants!J497)</f>
        <v>0</v>
      </c>
      <c r="L456">
        <f>IF(BaseCoalPlants!K497="-","",BaseCoalPlants!K497)</f>
        <v>0</v>
      </c>
      <c r="M456" s="1" t="str">
        <f>IF(BaseCoalPlants!L497=0,"",BaseCoalPlants!L497)</f>
        <v/>
      </c>
      <c r="N456" s="1" t="str">
        <f>IF(BaseCoalPlants!M497=0,"",BaseCoalPlants!M497)</f>
        <v/>
      </c>
      <c r="O456" s="1" t="str">
        <f>IF(BaseCoalPlants!N497=0,"",BaseCoalPlants!N497)</f>
        <v/>
      </c>
      <c r="P456" s="1" t="str">
        <f>IF(BaseCoalPlants!O497=0,"",BaseCoalPlants!O497)</f>
        <v/>
      </c>
      <c r="Q456" s="1" t="str">
        <f>IF(BaseCoalPlants!P497=0,"",BaseCoalPlants!P497)</f>
        <v/>
      </c>
      <c r="R456" s="1" t="str">
        <f>IF(BaseCoalPlants!Q497=0,"",BaseCoalPlants!Q497)</f>
        <v/>
      </c>
      <c r="S456" s="1" t="str">
        <f>IF(BaseCoalPlants!R497=0,"",BaseCoalPlants!R497)</f>
        <v/>
      </c>
      <c r="T456" s="1" t="str">
        <f>IF(BaseCoalPlants!S497=0,"",BaseCoalPlants!S497)</f>
        <v/>
      </c>
      <c r="U456" s="1" t="str">
        <f>IF(BaseCoalPlants!T497=0,"",BaseCoalPlants!T497)</f>
        <v/>
      </c>
      <c r="V456" s="1" t="str">
        <f>IF(BaseCoalPlants!U497=0,"",BaseCoalPlants!U497)</f>
        <v/>
      </c>
    </row>
    <row r="457" spans="3:22" x14ac:dyDescent="0.35">
      <c r="C457">
        <f>IF(BaseCoalPlants!B498="VDA_FLOP",IF(BaseCoalPlants!D498="ELC","*","INPUT"),BaseCoalPlants!B498)</f>
        <v>0</v>
      </c>
      <c r="D457" t="str">
        <f>IF(BaseCoalPlants!C498="","\I:",BaseCoalPlants!C498&amp;"_LE")</f>
        <v>\I:</v>
      </c>
      <c r="E457">
        <f>IF(BaseCoalPlants!D498="-","",BaseCoalPlants!D498)</f>
        <v>0</v>
      </c>
      <c r="F457">
        <f>IF(BaseCoalPlants!E498="-","",BaseCoalPlants!E498)</f>
        <v>0</v>
      </c>
      <c r="G457">
        <f>IF(BaseCoalPlants!F498="-","",BaseCoalPlants!F498)</f>
        <v>0</v>
      </c>
      <c r="H457">
        <f>IF(BaseCoalPlants!G498="-","",BaseCoalPlants!G498)</f>
        <v>0</v>
      </c>
      <c r="I457">
        <f>IF(BaseCoalPlants!H498="-","",BaseCoalPlants!H498)</f>
        <v>0</v>
      </c>
      <c r="J457">
        <f>IF(BaseCoalPlants!I498="-","",BaseCoalPlants!I498)</f>
        <v>0</v>
      </c>
      <c r="K457">
        <f>IF(BaseCoalPlants!J498="-","",BaseCoalPlants!J498)</f>
        <v>0</v>
      </c>
      <c r="L457">
        <f>IF(BaseCoalPlants!K498="-","",BaseCoalPlants!K498)</f>
        <v>0</v>
      </c>
      <c r="M457" s="1" t="str">
        <f>IF(BaseCoalPlants!L498=0,"",BaseCoalPlants!L498)</f>
        <v/>
      </c>
      <c r="N457" s="1" t="str">
        <f>IF(BaseCoalPlants!M498=0,"",BaseCoalPlants!M498)</f>
        <v/>
      </c>
      <c r="O457" s="1" t="str">
        <f>IF(BaseCoalPlants!N498=0,"",BaseCoalPlants!N498)</f>
        <v/>
      </c>
      <c r="P457" s="1" t="str">
        <f>IF(BaseCoalPlants!O498=0,"",BaseCoalPlants!O498)</f>
        <v/>
      </c>
      <c r="Q457" s="1" t="str">
        <f>IF(BaseCoalPlants!P498=0,"",BaseCoalPlants!P498)</f>
        <v/>
      </c>
      <c r="R457" s="1" t="str">
        <f>IF(BaseCoalPlants!Q498=0,"",BaseCoalPlants!Q498)</f>
        <v/>
      </c>
      <c r="S457" s="1" t="str">
        <f>IF(BaseCoalPlants!R498=0,"",BaseCoalPlants!R498)</f>
        <v/>
      </c>
      <c r="T457" s="1" t="str">
        <f>IF(BaseCoalPlants!S498=0,"",BaseCoalPlants!S498)</f>
        <v/>
      </c>
      <c r="U457" s="1" t="str">
        <f>IF(BaseCoalPlants!T498=0,"",BaseCoalPlants!T498)</f>
        <v/>
      </c>
      <c r="V457" s="1" t="str">
        <f>IF(BaseCoalPlants!U498=0,"",BaseCoalPlants!U498)</f>
        <v/>
      </c>
    </row>
    <row r="458" spans="3:22" x14ac:dyDescent="0.35">
      <c r="C458">
        <f>IF(BaseCoalPlants!B499="VDA_FLOP",IF(BaseCoalPlants!D499="ELC","*","INPUT"),BaseCoalPlants!B499)</f>
        <v>0</v>
      </c>
      <c r="D458" t="str">
        <f>IF(BaseCoalPlants!C499="","\I:",BaseCoalPlants!C499&amp;"_LE")</f>
        <v>\I:</v>
      </c>
      <c r="E458">
        <f>IF(BaseCoalPlants!D499="-","",BaseCoalPlants!D499)</f>
        <v>0</v>
      </c>
      <c r="F458">
        <f>IF(BaseCoalPlants!E499="-","",BaseCoalPlants!E499)</f>
        <v>0</v>
      </c>
      <c r="G458">
        <f>IF(BaseCoalPlants!F499="-","",BaseCoalPlants!F499)</f>
        <v>0</v>
      </c>
      <c r="H458">
        <f>IF(BaseCoalPlants!G499="-","",BaseCoalPlants!G499)</f>
        <v>0</v>
      </c>
      <c r="I458">
        <f>IF(BaseCoalPlants!H499="-","",BaseCoalPlants!H499)</f>
        <v>0</v>
      </c>
      <c r="J458">
        <f>IF(BaseCoalPlants!I499="-","",BaseCoalPlants!I499)</f>
        <v>0</v>
      </c>
      <c r="K458">
        <f>IF(BaseCoalPlants!J499="-","",BaseCoalPlants!J499)</f>
        <v>0</v>
      </c>
      <c r="L458">
        <f>IF(BaseCoalPlants!K499="-","",BaseCoalPlants!K499)</f>
        <v>0</v>
      </c>
      <c r="M458" s="1" t="str">
        <f>IF(BaseCoalPlants!L499=0,"",BaseCoalPlants!L499)</f>
        <v/>
      </c>
      <c r="N458" s="1" t="str">
        <f>IF(BaseCoalPlants!M499=0,"",BaseCoalPlants!M499)</f>
        <v/>
      </c>
      <c r="O458" s="1" t="str">
        <f>IF(BaseCoalPlants!N499=0,"",BaseCoalPlants!N499)</f>
        <v/>
      </c>
      <c r="P458" s="1" t="str">
        <f>IF(BaseCoalPlants!O499=0,"",BaseCoalPlants!O499)</f>
        <v/>
      </c>
      <c r="Q458" s="1" t="str">
        <f>IF(BaseCoalPlants!P499=0,"",BaseCoalPlants!P499)</f>
        <v/>
      </c>
      <c r="R458" s="1" t="str">
        <f>IF(BaseCoalPlants!Q499=0,"",BaseCoalPlants!Q499)</f>
        <v/>
      </c>
      <c r="S458" s="1" t="str">
        <f>IF(BaseCoalPlants!R499=0,"",BaseCoalPlants!R499)</f>
        <v/>
      </c>
      <c r="T458" s="1" t="str">
        <f>IF(BaseCoalPlants!S499=0,"",BaseCoalPlants!S499)</f>
        <v/>
      </c>
      <c r="U458" s="1" t="str">
        <f>IF(BaseCoalPlants!T499=0,"",BaseCoalPlants!T499)</f>
        <v/>
      </c>
      <c r="V458" s="1" t="str">
        <f>IF(BaseCoalPlants!U499=0,"",BaseCoalPlants!U499)</f>
        <v/>
      </c>
    </row>
    <row r="459" spans="3:22" x14ac:dyDescent="0.35">
      <c r="C459">
        <f>IF(BaseCoalPlants!B500="VDA_FLOP",IF(BaseCoalPlants!D500="ELC","*","INPUT"),BaseCoalPlants!B500)</f>
        <v>0</v>
      </c>
      <c r="D459" t="str">
        <f>IF(BaseCoalPlants!C500="","\I:",BaseCoalPlants!C500&amp;"_LE")</f>
        <v>\I:</v>
      </c>
      <c r="E459">
        <f>IF(BaseCoalPlants!D500="-","",BaseCoalPlants!D500)</f>
        <v>0</v>
      </c>
      <c r="F459">
        <f>IF(BaseCoalPlants!E500="-","",BaseCoalPlants!E500)</f>
        <v>0</v>
      </c>
      <c r="G459">
        <f>IF(BaseCoalPlants!F500="-","",BaseCoalPlants!F500)</f>
        <v>0</v>
      </c>
      <c r="H459">
        <f>IF(BaseCoalPlants!G500="-","",BaseCoalPlants!G500)</f>
        <v>0</v>
      </c>
      <c r="I459">
        <f>IF(BaseCoalPlants!H500="-","",BaseCoalPlants!H500)</f>
        <v>0</v>
      </c>
      <c r="J459">
        <f>IF(BaseCoalPlants!I500="-","",BaseCoalPlants!I500)</f>
        <v>0</v>
      </c>
      <c r="K459">
        <f>IF(BaseCoalPlants!J500="-","",BaseCoalPlants!J500)</f>
        <v>0</v>
      </c>
      <c r="L459">
        <f>IF(BaseCoalPlants!K500="-","",BaseCoalPlants!K500)</f>
        <v>0</v>
      </c>
      <c r="M459" s="1" t="str">
        <f>IF(BaseCoalPlants!L500=0,"",BaseCoalPlants!L500)</f>
        <v/>
      </c>
      <c r="N459" s="1" t="str">
        <f>IF(BaseCoalPlants!M500=0,"",BaseCoalPlants!M500)</f>
        <v/>
      </c>
      <c r="O459" s="1" t="str">
        <f>IF(BaseCoalPlants!N500=0,"",BaseCoalPlants!N500)</f>
        <v/>
      </c>
      <c r="P459" s="1" t="str">
        <f>IF(BaseCoalPlants!O500=0,"",BaseCoalPlants!O500)</f>
        <v/>
      </c>
      <c r="Q459" s="1" t="str">
        <f>IF(BaseCoalPlants!P500=0,"",BaseCoalPlants!P500)</f>
        <v/>
      </c>
      <c r="R459" s="1" t="str">
        <f>IF(BaseCoalPlants!Q500=0,"",BaseCoalPlants!Q500)</f>
        <v/>
      </c>
      <c r="S459" s="1" t="str">
        <f>IF(BaseCoalPlants!R500=0,"",BaseCoalPlants!R500)</f>
        <v/>
      </c>
      <c r="T459" s="1" t="str">
        <f>IF(BaseCoalPlants!S500=0,"",BaseCoalPlants!S500)</f>
        <v/>
      </c>
      <c r="U459" s="1" t="str">
        <f>IF(BaseCoalPlants!T500=0,"",BaseCoalPlants!T500)</f>
        <v/>
      </c>
      <c r="V459" s="1" t="str">
        <f>IF(BaseCoalPlants!U500=0,"",BaseCoalPlants!U500)</f>
        <v/>
      </c>
    </row>
    <row r="460" spans="3:22" x14ac:dyDescent="0.35">
      <c r="C460">
        <f>IF(BaseCoalPlants!B501="VDA_FLOP",IF(BaseCoalPlants!D501="ELC","*","INPUT"),BaseCoalPlants!B501)</f>
        <v>0</v>
      </c>
      <c r="D460" t="str">
        <f>IF(BaseCoalPlants!C501="","\I:",BaseCoalPlants!C501&amp;"_LE")</f>
        <v>\I:</v>
      </c>
      <c r="E460">
        <f>IF(BaseCoalPlants!D501="-","",BaseCoalPlants!D501)</f>
        <v>0</v>
      </c>
      <c r="F460">
        <f>IF(BaseCoalPlants!E501="-","",BaseCoalPlants!E501)</f>
        <v>0</v>
      </c>
      <c r="G460">
        <f>IF(BaseCoalPlants!F501="-","",BaseCoalPlants!F501)</f>
        <v>0</v>
      </c>
      <c r="H460">
        <f>IF(BaseCoalPlants!G501="-","",BaseCoalPlants!G501)</f>
        <v>0</v>
      </c>
      <c r="I460">
        <f>IF(BaseCoalPlants!H501="-","",BaseCoalPlants!H501)</f>
        <v>0</v>
      </c>
      <c r="J460">
        <f>IF(BaseCoalPlants!I501="-","",BaseCoalPlants!I501)</f>
        <v>0</v>
      </c>
      <c r="K460">
        <f>IF(BaseCoalPlants!J501="-","",BaseCoalPlants!J501)</f>
        <v>0</v>
      </c>
      <c r="L460">
        <f>IF(BaseCoalPlants!K501="-","",BaseCoalPlants!K501)</f>
        <v>0</v>
      </c>
      <c r="M460" s="1" t="str">
        <f>IF(BaseCoalPlants!L501=0,"",BaseCoalPlants!L501)</f>
        <v/>
      </c>
      <c r="N460" s="1" t="str">
        <f>IF(BaseCoalPlants!M501=0,"",BaseCoalPlants!M501)</f>
        <v/>
      </c>
      <c r="O460" s="1" t="str">
        <f>IF(BaseCoalPlants!N501=0,"",BaseCoalPlants!N501)</f>
        <v/>
      </c>
      <c r="P460" s="1" t="str">
        <f>IF(BaseCoalPlants!O501=0,"",BaseCoalPlants!O501)</f>
        <v/>
      </c>
      <c r="Q460" s="1" t="str">
        <f>IF(BaseCoalPlants!P501=0,"",BaseCoalPlants!P501)</f>
        <v/>
      </c>
      <c r="R460" s="1" t="str">
        <f>IF(BaseCoalPlants!Q501=0,"",BaseCoalPlants!Q501)</f>
        <v/>
      </c>
      <c r="S460" s="1" t="str">
        <f>IF(BaseCoalPlants!R501=0,"",BaseCoalPlants!R501)</f>
        <v/>
      </c>
      <c r="T460" s="1" t="str">
        <f>IF(BaseCoalPlants!S501=0,"",BaseCoalPlants!S501)</f>
        <v/>
      </c>
      <c r="U460" s="1" t="str">
        <f>IF(BaseCoalPlants!T501=0,"",BaseCoalPlants!T501)</f>
        <v/>
      </c>
      <c r="V460" s="1" t="str">
        <f>IF(BaseCoalPlants!U501=0,"",BaseCoalPlants!U501)</f>
        <v/>
      </c>
    </row>
    <row r="461" spans="3:22" x14ac:dyDescent="0.35">
      <c r="C461">
        <f>IF(BaseCoalPlants!B502="VDA_FLOP",IF(BaseCoalPlants!D502="ELC","*","INPUT"),BaseCoalPlants!B502)</f>
        <v>0</v>
      </c>
      <c r="D461" t="str">
        <f>IF(BaseCoalPlants!C502="","\I:",BaseCoalPlants!C502&amp;"_LE")</f>
        <v>\I:</v>
      </c>
      <c r="E461">
        <f>IF(BaseCoalPlants!D502="-","",BaseCoalPlants!D502)</f>
        <v>0</v>
      </c>
      <c r="F461">
        <f>IF(BaseCoalPlants!E502="-","",BaseCoalPlants!E502)</f>
        <v>0</v>
      </c>
      <c r="G461">
        <f>IF(BaseCoalPlants!F502="-","",BaseCoalPlants!F502)</f>
        <v>0</v>
      </c>
      <c r="H461">
        <f>IF(BaseCoalPlants!G502="-","",BaseCoalPlants!G502)</f>
        <v>0</v>
      </c>
      <c r="I461">
        <f>IF(BaseCoalPlants!H502="-","",BaseCoalPlants!H502)</f>
        <v>0</v>
      </c>
      <c r="J461">
        <f>IF(BaseCoalPlants!I502="-","",BaseCoalPlants!I502)</f>
        <v>0</v>
      </c>
      <c r="K461">
        <f>IF(BaseCoalPlants!J502="-","",BaseCoalPlants!J502)</f>
        <v>0</v>
      </c>
      <c r="L461">
        <f>IF(BaseCoalPlants!K502="-","",BaseCoalPlants!K502)</f>
        <v>0</v>
      </c>
      <c r="M461" s="1" t="str">
        <f>IF(BaseCoalPlants!L502=0,"",BaseCoalPlants!L502)</f>
        <v/>
      </c>
      <c r="N461" s="1" t="str">
        <f>IF(BaseCoalPlants!M502=0,"",BaseCoalPlants!M502)</f>
        <v/>
      </c>
      <c r="O461" s="1" t="str">
        <f>IF(BaseCoalPlants!N502=0,"",BaseCoalPlants!N502)</f>
        <v/>
      </c>
      <c r="P461" s="1" t="str">
        <f>IF(BaseCoalPlants!O502=0,"",BaseCoalPlants!O502)</f>
        <v/>
      </c>
      <c r="Q461" s="1" t="str">
        <f>IF(BaseCoalPlants!P502=0,"",BaseCoalPlants!P502)</f>
        <v/>
      </c>
      <c r="R461" s="1" t="str">
        <f>IF(BaseCoalPlants!Q502=0,"",BaseCoalPlants!Q502)</f>
        <v/>
      </c>
      <c r="S461" s="1" t="str">
        <f>IF(BaseCoalPlants!R502=0,"",BaseCoalPlants!R502)</f>
        <v/>
      </c>
      <c r="T461" s="1" t="str">
        <f>IF(BaseCoalPlants!S502=0,"",BaseCoalPlants!S502)</f>
        <v/>
      </c>
      <c r="U461" s="1" t="str">
        <f>IF(BaseCoalPlants!T502=0,"",BaseCoalPlants!T502)</f>
        <v/>
      </c>
      <c r="V461" s="1" t="str">
        <f>IF(BaseCoalPlants!U502=0,"",BaseCoalPlants!U502)</f>
        <v/>
      </c>
    </row>
    <row r="462" spans="3:22" x14ac:dyDescent="0.35">
      <c r="C462">
        <f>IF(BaseCoalPlants!B503="VDA_FLOP",IF(BaseCoalPlants!D503="ELC","*","INPUT"),BaseCoalPlants!B503)</f>
        <v>0</v>
      </c>
      <c r="D462" t="str">
        <f>IF(BaseCoalPlants!C503="","\I:",BaseCoalPlants!C503&amp;"_LE")</f>
        <v>\I:</v>
      </c>
      <c r="E462">
        <f>IF(BaseCoalPlants!D503="-","",BaseCoalPlants!D503)</f>
        <v>0</v>
      </c>
      <c r="F462">
        <f>IF(BaseCoalPlants!E503="-","",BaseCoalPlants!E503)</f>
        <v>0</v>
      </c>
      <c r="G462">
        <f>IF(BaseCoalPlants!F503="-","",BaseCoalPlants!F503)</f>
        <v>0</v>
      </c>
      <c r="H462">
        <f>IF(BaseCoalPlants!G503="-","",BaseCoalPlants!G503)</f>
        <v>0</v>
      </c>
      <c r="I462">
        <f>IF(BaseCoalPlants!H503="-","",BaseCoalPlants!H503)</f>
        <v>0</v>
      </c>
      <c r="J462">
        <f>IF(BaseCoalPlants!I503="-","",BaseCoalPlants!I503)</f>
        <v>0</v>
      </c>
      <c r="K462">
        <f>IF(BaseCoalPlants!J503="-","",BaseCoalPlants!J503)</f>
        <v>0</v>
      </c>
      <c r="L462">
        <f>IF(BaseCoalPlants!K503="-","",BaseCoalPlants!K503)</f>
        <v>0</v>
      </c>
      <c r="M462" s="1" t="str">
        <f>IF(BaseCoalPlants!L503=0,"",BaseCoalPlants!L503)</f>
        <v/>
      </c>
      <c r="N462" s="1" t="str">
        <f>IF(BaseCoalPlants!M503=0,"",BaseCoalPlants!M503)</f>
        <v/>
      </c>
      <c r="O462" s="1" t="str">
        <f>IF(BaseCoalPlants!N503=0,"",BaseCoalPlants!N503)</f>
        <v/>
      </c>
      <c r="P462" s="1" t="str">
        <f>IF(BaseCoalPlants!O503=0,"",BaseCoalPlants!O503)</f>
        <v/>
      </c>
      <c r="Q462" s="1" t="str">
        <f>IF(BaseCoalPlants!P503=0,"",BaseCoalPlants!P503)</f>
        <v/>
      </c>
      <c r="R462" s="1" t="str">
        <f>IF(BaseCoalPlants!Q503=0,"",BaseCoalPlants!Q503)</f>
        <v/>
      </c>
      <c r="S462" s="1" t="str">
        <f>IF(BaseCoalPlants!R503=0,"",BaseCoalPlants!R503)</f>
        <v/>
      </c>
      <c r="T462" s="1" t="str">
        <f>IF(BaseCoalPlants!S503=0,"",BaseCoalPlants!S503)</f>
        <v/>
      </c>
      <c r="U462" s="1" t="str">
        <f>IF(BaseCoalPlants!T503=0,"",BaseCoalPlants!T503)</f>
        <v/>
      </c>
      <c r="V462" s="1" t="str">
        <f>IF(BaseCoalPlants!U503=0,"",BaseCoalPlants!U503)</f>
        <v/>
      </c>
    </row>
    <row r="463" spans="3:22" x14ac:dyDescent="0.35">
      <c r="C463">
        <f>IF(BaseCoalPlants!B504="VDA_FLOP",IF(BaseCoalPlants!D504="ELC","*","INPUT"),BaseCoalPlants!B504)</f>
        <v>0</v>
      </c>
      <c r="D463" t="str">
        <f>IF(BaseCoalPlants!C504="","\I:",BaseCoalPlants!C504&amp;"_LE")</f>
        <v>\I:</v>
      </c>
      <c r="E463">
        <f>IF(BaseCoalPlants!D504="-","",BaseCoalPlants!D504)</f>
        <v>0</v>
      </c>
      <c r="F463">
        <f>IF(BaseCoalPlants!E504="-","",BaseCoalPlants!E504)</f>
        <v>0</v>
      </c>
      <c r="G463">
        <f>IF(BaseCoalPlants!F504="-","",BaseCoalPlants!F504)</f>
        <v>0</v>
      </c>
      <c r="H463">
        <f>IF(BaseCoalPlants!G504="-","",BaseCoalPlants!G504)</f>
        <v>0</v>
      </c>
      <c r="I463">
        <f>IF(BaseCoalPlants!H504="-","",BaseCoalPlants!H504)</f>
        <v>0</v>
      </c>
      <c r="J463">
        <f>IF(BaseCoalPlants!I504="-","",BaseCoalPlants!I504)</f>
        <v>0</v>
      </c>
      <c r="K463">
        <f>IF(BaseCoalPlants!J504="-","",BaseCoalPlants!J504)</f>
        <v>0</v>
      </c>
      <c r="L463">
        <f>IF(BaseCoalPlants!K504="-","",BaseCoalPlants!K504)</f>
        <v>0</v>
      </c>
      <c r="M463" s="1" t="str">
        <f>IF(BaseCoalPlants!L504=0,"",BaseCoalPlants!L504)</f>
        <v/>
      </c>
      <c r="N463" s="1" t="str">
        <f>IF(BaseCoalPlants!M504=0,"",BaseCoalPlants!M504)</f>
        <v/>
      </c>
      <c r="O463" s="1" t="str">
        <f>IF(BaseCoalPlants!N504=0,"",BaseCoalPlants!N504)</f>
        <v/>
      </c>
      <c r="P463" s="1" t="str">
        <f>IF(BaseCoalPlants!O504=0,"",BaseCoalPlants!O504)</f>
        <v/>
      </c>
      <c r="Q463" s="1" t="str">
        <f>IF(BaseCoalPlants!P504=0,"",BaseCoalPlants!P504)</f>
        <v/>
      </c>
      <c r="R463" s="1" t="str">
        <f>IF(BaseCoalPlants!Q504=0,"",BaseCoalPlants!Q504)</f>
        <v/>
      </c>
      <c r="S463" s="1" t="str">
        <f>IF(BaseCoalPlants!R504=0,"",BaseCoalPlants!R504)</f>
        <v/>
      </c>
      <c r="T463" s="1" t="str">
        <f>IF(BaseCoalPlants!S504=0,"",BaseCoalPlants!S504)</f>
        <v/>
      </c>
      <c r="U463" s="1" t="str">
        <f>IF(BaseCoalPlants!T504=0,"",BaseCoalPlants!T504)</f>
        <v/>
      </c>
      <c r="V463" s="1" t="str">
        <f>IF(BaseCoalPlants!U504=0,"",BaseCoalPlants!U504)</f>
        <v/>
      </c>
    </row>
    <row r="464" spans="3:22" x14ac:dyDescent="0.35">
      <c r="C464">
        <f>IF(BaseCoalPlants!B505="VDA_FLOP",IF(BaseCoalPlants!D505="ELC","*","INPUT"),BaseCoalPlants!B505)</f>
        <v>0</v>
      </c>
      <c r="D464" t="str">
        <f>IF(BaseCoalPlants!C505="","\I:",BaseCoalPlants!C505&amp;"_LE")</f>
        <v>\I:</v>
      </c>
      <c r="E464">
        <f>IF(BaseCoalPlants!D505="-","",BaseCoalPlants!D505)</f>
        <v>0</v>
      </c>
      <c r="F464">
        <f>IF(BaseCoalPlants!E505="-","",BaseCoalPlants!E505)</f>
        <v>0</v>
      </c>
      <c r="G464">
        <f>IF(BaseCoalPlants!F505="-","",BaseCoalPlants!F505)</f>
        <v>0</v>
      </c>
      <c r="H464">
        <f>IF(BaseCoalPlants!G505="-","",BaseCoalPlants!G505)</f>
        <v>0</v>
      </c>
      <c r="I464">
        <f>IF(BaseCoalPlants!H505="-","",BaseCoalPlants!H505)</f>
        <v>0</v>
      </c>
      <c r="J464">
        <f>IF(BaseCoalPlants!I505="-","",BaseCoalPlants!I505)</f>
        <v>0</v>
      </c>
      <c r="K464">
        <f>IF(BaseCoalPlants!J505="-","",BaseCoalPlants!J505)</f>
        <v>0</v>
      </c>
      <c r="L464">
        <f>IF(BaseCoalPlants!K505="-","",BaseCoalPlants!K505)</f>
        <v>0</v>
      </c>
      <c r="M464" s="1" t="str">
        <f>IF(BaseCoalPlants!L505=0,"",BaseCoalPlants!L505)</f>
        <v/>
      </c>
      <c r="N464" s="1" t="str">
        <f>IF(BaseCoalPlants!M505=0,"",BaseCoalPlants!M505)</f>
        <v/>
      </c>
      <c r="O464" s="1" t="str">
        <f>IF(BaseCoalPlants!N505=0,"",BaseCoalPlants!N505)</f>
        <v/>
      </c>
      <c r="P464" s="1" t="str">
        <f>IF(BaseCoalPlants!O505=0,"",BaseCoalPlants!O505)</f>
        <v/>
      </c>
      <c r="Q464" s="1" t="str">
        <f>IF(BaseCoalPlants!P505=0,"",BaseCoalPlants!P505)</f>
        <v/>
      </c>
      <c r="R464" s="1" t="str">
        <f>IF(BaseCoalPlants!Q505=0,"",BaseCoalPlants!Q505)</f>
        <v/>
      </c>
      <c r="S464" s="1" t="str">
        <f>IF(BaseCoalPlants!R505=0,"",BaseCoalPlants!R505)</f>
        <v/>
      </c>
      <c r="T464" s="1" t="str">
        <f>IF(BaseCoalPlants!S505=0,"",BaseCoalPlants!S505)</f>
        <v/>
      </c>
      <c r="U464" s="1" t="str">
        <f>IF(BaseCoalPlants!T505=0,"",BaseCoalPlants!T505)</f>
        <v/>
      </c>
      <c r="V464" s="1" t="str">
        <f>IF(BaseCoalPlants!U505=0,"",BaseCoalPlants!U505)</f>
        <v/>
      </c>
    </row>
    <row r="465" spans="3:22" x14ac:dyDescent="0.35">
      <c r="C465">
        <f>IF(BaseCoalPlants!B506="VDA_FLOP",IF(BaseCoalPlants!D506="ELC","*","INPUT"),BaseCoalPlants!B506)</f>
        <v>0</v>
      </c>
      <c r="D465" t="str">
        <f>IF(BaseCoalPlants!C506="","\I:",BaseCoalPlants!C506&amp;"_LE")</f>
        <v>\I:</v>
      </c>
      <c r="E465">
        <f>IF(BaseCoalPlants!D506="-","",BaseCoalPlants!D506)</f>
        <v>0</v>
      </c>
      <c r="F465">
        <f>IF(BaseCoalPlants!E506="-","",BaseCoalPlants!E506)</f>
        <v>0</v>
      </c>
      <c r="G465">
        <f>IF(BaseCoalPlants!F506="-","",BaseCoalPlants!F506)</f>
        <v>0</v>
      </c>
      <c r="H465">
        <f>IF(BaseCoalPlants!G506="-","",BaseCoalPlants!G506)</f>
        <v>0</v>
      </c>
      <c r="I465">
        <f>IF(BaseCoalPlants!H506="-","",BaseCoalPlants!H506)</f>
        <v>0</v>
      </c>
      <c r="J465">
        <f>IF(BaseCoalPlants!I506="-","",BaseCoalPlants!I506)</f>
        <v>0</v>
      </c>
      <c r="K465">
        <f>IF(BaseCoalPlants!J506="-","",BaseCoalPlants!J506)</f>
        <v>0</v>
      </c>
      <c r="L465">
        <f>IF(BaseCoalPlants!K506="-","",BaseCoalPlants!K506)</f>
        <v>0</v>
      </c>
      <c r="M465" s="1" t="str">
        <f>IF(BaseCoalPlants!L506=0,"",BaseCoalPlants!L506)</f>
        <v/>
      </c>
      <c r="N465" s="1" t="str">
        <f>IF(BaseCoalPlants!M506=0,"",BaseCoalPlants!M506)</f>
        <v/>
      </c>
      <c r="O465" s="1" t="str">
        <f>IF(BaseCoalPlants!N506=0,"",BaseCoalPlants!N506)</f>
        <v/>
      </c>
      <c r="P465" s="1" t="str">
        <f>IF(BaseCoalPlants!O506=0,"",BaseCoalPlants!O506)</f>
        <v/>
      </c>
      <c r="Q465" s="1" t="str">
        <f>IF(BaseCoalPlants!P506=0,"",BaseCoalPlants!P506)</f>
        <v/>
      </c>
      <c r="R465" s="1" t="str">
        <f>IF(BaseCoalPlants!Q506=0,"",BaseCoalPlants!Q506)</f>
        <v/>
      </c>
      <c r="S465" s="1" t="str">
        <f>IF(BaseCoalPlants!R506=0,"",BaseCoalPlants!R506)</f>
        <v/>
      </c>
      <c r="T465" s="1" t="str">
        <f>IF(BaseCoalPlants!S506=0,"",BaseCoalPlants!S506)</f>
        <v/>
      </c>
      <c r="U465" s="1" t="str">
        <f>IF(BaseCoalPlants!T506=0,"",BaseCoalPlants!T506)</f>
        <v/>
      </c>
      <c r="V465" s="1" t="str">
        <f>IF(BaseCoalPlants!U506=0,"",BaseCoalPlants!U506)</f>
        <v/>
      </c>
    </row>
    <row r="466" spans="3:22" x14ac:dyDescent="0.35">
      <c r="C466">
        <f>IF(BaseCoalPlants!B507="VDA_FLOP",IF(BaseCoalPlants!D507="ELC","*","INPUT"),BaseCoalPlants!B507)</f>
        <v>0</v>
      </c>
      <c r="D466" t="str">
        <f>IF(BaseCoalPlants!C507="","\I:",BaseCoalPlants!C507&amp;"_LE")</f>
        <v>\I:</v>
      </c>
      <c r="E466">
        <f>IF(BaseCoalPlants!D507="-","",BaseCoalPlants!D507)</f>
        <v>0</v>
      </c>
      <c r="F466">
        <f>IF(BaseCoalPlants!E507="-","",BaseCoalPlants!E507)</f>
        <v>0</v>
      </c>
      <c r="G466">
        <f>IF(BaseCoalPlants!F507="-","",BaseCoalPlants!F507)</f>
        <v>0</v>
      </c>
      <c r="H466">
        <f>IF(BaseCoalPlants!G507="-","",BaseCoalPlants!G507)</f>
        <v>0</v>
      </c>
      <c r="I466">
        <f>IF(BaseCoalPlants!H507="-","",BaseCoalPlants!H507)</f>
        <v>0</v>
      </c>
      <c r="J466">
        <f>IF(BaseCoalPlants!I507="-","",BaseCoalPlants!I507)</f>
        <v>0</v>
      </c>
      <c r="K466">
        <f>IF(BaseCoalPlants!J507="-","",BaseCoalPlants!J507)</f>
        <v>0</v>
      </c>
      <c r="L466">
        <f>IF(BaseCoalPlants!K507="-","",BaseCoalPlants!K507)</f>
        <v>0</v>
      </c>
      <c r="M466" s="1" t="str">
        <f>IF(BaseCoalPlants!L507=0,"",BaseCoalPlants!L507)</f>
        <v/>
      </c>
      <c r="N466" s="1" t="str">
        <f>IF(BaseCoalPlants!M507=0,"",BaseCoalPlants!M507)</f>
        <v/>
      </c>
      <c r="O466" s="1" t="str">
        <f>IF(BaseCoalPlants!N507=0,"",BaseCoalPlants!N507)</f>
        <v/>
      </c>
      <c r="P466" s="1" t="str">
        <f>IF(BaseCoalPlants!O507=0,"",BaseCoalPlants!O507)</f>
        <v/>
      </c>
      <c r="Q466" s="1" t="str">
        <f>IF(BaseCoalPlants!P507=0,"",BaseCoalPlants!P507)</f>
        <v/>
      </c>
      <c r="R466" s="1" t="str">
        <f>IF(BaseCoalPlants!Q507=0,"",BaseCoalPlants!Q507)</f>
        <v/>
      </c>
      <c r="S466" s="1" t="str">
        <f>IF(BaseCoalPlants!R507=0,"",BaseCoalPlants!R507)</f>
        <v/>
      </c>
      <c r="T466" s="1" t="str">
        <f>IF(BaseCoalPlants!S507=0,"",BaseCoalPlants!S507)</f>
        <v/>
      </c>
      <c r="U466" s="1" t="str">
        <f>IF(BaseCoalPlants!T507=0,"",BaseCoalPlants!T507)</f>
        <v/>
      </c>
      <c r="V466" s="1" t="str">
        <f>IF(BaseCoalPlants!U507=0,"",BaseCoalPlants!U507)</f>
        <v/>
      </c>
    </row>
    <row r="467" spans="3:22" x14ac:dyDescent="0.35">
      <c r="C467">
        <f>IF(BaseCoalPlants!B508="VDA_FLOP",IF(BaseCoalPlants!D508="ELC","*","INPUT"),BaseCoalPlants!B508)</f>
        <v>0</v>
      </c>
      <c r="D467" t="str">
        <f>IF(BaseCoalPlants!C508="","\I:",BaseCoalPlants!C508&amp;"_LE")</f>
        <v>\I:</v>
      </c>
      <c r="E467">
        <f>IF(BaseCoalPlants!D508="-","",BaseCoalPlants!D508)</f>
        <v>0</v>
      </c>
      <c r="F467">
        <f>IF(BaseCoalPlants!E508="-","",BaseCoalPlants!E508)</f>
        <v>0</v>
      </c>
      <c r="G467">
        <f>IF(BaseCoalPlants!F508="-","",BaseCoalPlants!F508)</f>
        <v>0</v>
      </c>
      <c r="H467">
        <f>IF(BaseCoalPlants!G508="-","",BaseCoalPlants!G508)</f>
        <v>0</v>
      </c>
      <c r="I467">
        <f>IF(BaseCoalPlants!H508="-","",BaseCoalPlants!H508)</f>
        <v>0</v>
      </c>
      <c r="J467">
        <f>IF(BaseCoalPlants!I508="-","",BaseCoalPlants!I508)</f>
        <v>0</v>
      </c>
      <c r="K467">
        <f>IF(BaseCoalPlants!J508="-","",BaseCoalPlants!J508)</f>
        <v>0</v>
      </c>
      <c r="L467">
        <f>IF(BaseCoalPlants!K508="-","",BaseCoalPlants!K508)</f>
        <v>0</v>
      </c>
      <c r="M467" s="1" t="str">
        <f>IF(BaseCoalPlants!L508=0,"",BaseCoalPlants!L508)</f>
        <v/>
      </c>
      <c r="N467" s="1" t="str">
        <f>IF(BaseCoalPlants!M508=0,"",BaseCoalPlants!M508)</f>
        <v/>
      </c>
      <c r="O467" s="1" t="str">
        <f>IF(BaseCoalPlants!N508=0,"",BaseCoalPlants!N508)</f>
        <v/>
      </c>
      <c r="P467" s="1" t="str">
        <f>IF(BaseCoalPlants!O508=0,"",BaseCoalPlants!O508)</f>
        <v/>
      </c>
      <c r="Q467" s="1" t="str">
        <f>IF(BaseCoalPlants!P508=0,"",BaseCoalPlants!P508)</f>
        <v/>
      </c>
      <c r="R467" s="1" t="str">
        <f>IF(BaseCoalPlants!Q508=0,"",BaseCoalPlants!Q508)</f>
        <v/>
      </c>
      <c r="S467" s="1" t="str">
        <f>IF(BaseCoalPlants!R508=0,"",BaseCoalPlants!R508)</f>
        <v/>
      </c>
      <c r="T467" s="1" t="str">
        <f>IF(BaseCoalPlants!S508=0,"",BaseCoalPlants!S508)</f>
        <v/>
      </c>
      <c r="U467" s="1" t="str">
        <f>IF(BaseCoalPlants!T508=0,"",BaseCoalPlants!T508)</f>
        <v/>
      </c>
      <c r="V467" s="1" t="str">
        <f>IF(BaseCoalPlants!U508=0,"",BaseCoalPlants!U508)</f>
        <v/>
      </c>
    </row>
    <row r="468" spans="3:22" x14ac:dyDescent="0.35">
      <c r="C468">
        <f>IF(BaseCoalPlants!B509="VDA_FLOP",IF(BaseCoalPlants!D509="ELC","*","INPUT"),BaseCoalPlants!B509)</f>
        <v>0</v>
      </c>
      <c r="D468" t="str">
        <f>IF(BaseCoalPlants!C509="","\I:",BaseCoalPlants!C509&amp;"_LE")</f>
        <v>\I:</v>
      </c>
      <c r="E468">
        <f>IF(BaseCoalPlants!D509="-","",BaseCoalPlants!D509)</f>
        <v>0</v>
      </c>
      <c r="F468">
        <f>IF(BaseCoalPlants!E509="-","",BaseCoalPlants!E509)</f>
        <v>0</v>
      </c>
      <c r="G468">
        <f>IF(BaseCoalPlants!F509="-","",BaseCoalPlants!F509)</f>
        <v>0</v>
      </c>
      <c r="H468">
        <f>IF(BaseCoalPlants!G509="-","",BaseCoalPlants!G509)</f>
        <v>0</v>
      </c>
      <c r="I468">
        <f>IF(BaseCoalPlants!H509="-","",BaseCoalPlants!H509)</f>
        <v>0</v>
      </c>
      <c r="J468">
        <f>IF(BaseCoalPlants!I509="-","",BaseCoalPlants!I509)</f>
        <v>0</v>
      </c>
      <c r="K468">
        <f>IF(BaseCoalPlants!J509="-","",BaseCoalPlants!J509)</f>
        <v>0</v>
      </c>
      <c r="L468">
        <f>IF(BaseCoalPlants!K509="-","",BaseCoalPlants!K509)</f>
        <v>0</v>
      </c>
      <c r="M468" s="1" t="str">
        <f>IF(BaseCoalPlants!L509=0,"",BaseCoalPlants!L509)</f>
        <v/>
      </c>
      <c r="N468" s="1" t="str">
        <f>IF(BaseCoalPlants!M509=0,"",BaseCoalPlants!M509)</f>
        <v/>
      </c>
      <c r="O468" s="1" t="str">
        <f>IF(BaseCoalPlants!N509=0,"",BaseCoalPlants!N509)</f>
        <v/>
      </c>
      <c r="P468" s="1" t="str">
        <f>IF(BaseCoalPlants!O509=0,"",BaseCoalPlants!O509)</f>
        <v/>
      </c>
      <c r="Q468" s="1" t="str">
        <f>IF(BaseCoalPlants!P509=0,"",BaseCoalPlants!P509)</f>
        <v/>
      </c>
      <c r="R468" s="1" t="str">
        <f>IF(BaseCoalPlants!Q509=0,"",BaseCoalPlants!Q509)</f>
        <v/>
      </c>
      <c r="S468" s="1" t="str">
        <f>IF(BaseCoalPlants!R509=0,"",BaseCoalPlants!R509)</f>
        <v/>
      </c>
      <c r="T468" s="1" t="str">
        <f>IF(BaseCoalPlants!S509=0,"",BaseCoalPlants!S509)</f>
        <v/>
      </c>
      <c r="U468" s="1" t="str">
        <f>IF(BaseCoalPlants!T509=0,"",BaseCoalPlants!T509)</f>
        <v/>
      </c>
      <c r="V468" s="1" t="str">
        <f>IF(BaseCoalPlants!U509=0,"",BaseCoalPlants!U509)</f>
        <v/>
      </c>
    </row>
    <row r="469" spans="3:22" x14ac:dyDescent="0.35">
      <c r="C469">
        <f>IF(BaseCoalPlants!B510="VDA_FLOP",IF(BaseCoalPlants!D510="ELC","*","INPUT"),BaseCoalPlants!B510)</f>
        <v>0</v>
      </c>
      <c r="D469" t="str">
        <f>IF(BaseCoalPlants!C510="","\I:",BaseCoalPlants!C510&amp;"_LE")</f>
        <v>\I:</v>
      </c>
      <c r="E469">
        <f>IF(BaseCoalPlants!D510="-","",BaseCoalPlants!D510)</f>
        <v>0</v>
      </c>
      <c r="F469">
        <f>IF(BaseCoalPlants!E510="-","",BaseCoalPlants!E510)</f>
        <v>0</v>
      </c>
      <c r="G469">
        <f>IF(BaseCoalPlants!F510="-","",BaseCoalPlants!F510)</f>
        <v>0</v>
      </c>
      <c r="H469">
        <f>IF(BaseCoalPlants!G510="-","",BaseCoalPlants!G510)</f>
        <v>0</v>
      </c>
      <c r="I469">
        <f>IF(BaseCoalPlants!H510="-","",BaseCoalPlants!H510)</f>
        <v>0</v>
      </c>
      <c r="J469">
        <f>IF(BaseCoalPlants!I510="-","",BaseCoalPlants!I510)</f>
        <v>0</v>
      </c>
      <c r="K469">
        <f>IF(BaseCoalPlants!J510="-","",BaseCoalPlants!J510)</f>
        <v>0</v>
      </c>
      <c r="L469">
        <f>IF(BaseCoalPlants!K510="-","",BaseCoalPlants!K510)</f>
        <v>0</v>
      </c>
      <c r="M469" s="1" t="str">
        <f>IF(BaseCoalPlants!L510=0,"",BaseCoalPlants!L510)</f>
        <v/>
      </c>
      <c r="N469" s="1" t="str">
        <f>IF(BaseCoalPlants!M510=0,"",BaseCoalPlants!M510)</f>
        <v/>
      </c>
      <c r="O469" s="1" t="str">
        <f>IF(BaseCoalPlants!N510=0,"",BaseCoalPlants!N510)</f>
        <v/>
      </c>
      <c r="P469" s="1" t="str">
        <f>IF(BaseCoalPlants!O510=0,"",BaseCoalPlants!O510)</f>
        <v/>
      </c>
      <c r="Q469" s="1" t="str">
        <f>IF(BaseCoalPlants!P510=0,"",BaseCoalPlants!P510)</f>
        <v/>
      </c>
      <c r="R469" s="1" t="str">
        <f>IF(BaseCoalPlants!Q510=0,"",BaseCoalPlants!Q510)</f>
        <v/>
      </c>
      <c r="S469" s="1" t="str">
        <f>IF(BaseCoalPlants!R510=0,"",BaseCoalPlants!R510)</f>
        <v/>
      </c>
      <c r="T469" s="1" t="str">
        <f>IF(BaseCoalPlants!S510=0,"",BaseCoalPlants!S510)</f>
        <v/>
      </c>
      <c r="U469" s="1" t="str">
        <f>IF(BaseCoalPlants!T510=0,"",BaseCoalPlants!T510)</f>
        <v/>
      </c>
      <c r="V469" s="1" t="str">
        <f>IF(BaseCoalPlants!U510=0,"",BaseCoalPlants!U510)</f>
        <v/>
      </c>
    </row>
    <row r="470" spans="3:22" x14ac:dyDescent="0.35">
      <c r="C470">
        <f>IF(BaseCoalPlants!B511="VDA_FLOP",IF(BaseCoalPlants!D511="ELC","*","INPUT"),BaseCoalPlants!B511)</f>
        <v>0</v>
      </c>
      <c r="D470" t="str">
        <f>IF(BaseCoalPlants!C511="","\I:",BaseCoalPlants!C511&amp;"_LE")</f>
        <v>\I:</v>
      </c>
      <c r="E470">
        <f>IF(BaseCoalPlants!D511="-","",BaseCoalPlants!D511)</f>
        <v>0</v>
      </c>
      <c r="F470">
        <f>IF(BaseCoalPlants!E511="-","",BaseCoalPlants!E511)</f>
        <v>0</v>
      </c>
      <c r="G470">
        <f>IF(BaseCoalPlants!F511="-","",BaseCoalPlants!F511)</f>
        <v>0</v>
      </c>
      <c r="H470">
        <f>IF(BaseCoalPlants!G511="-","",BaseCoalPlants!G511)</f>
        <v>0</v>
      </c>
      <c r="I470">
        <f>IF(BaseCoalPlants!H511="-","",BaseCoalPlants!H511)</f>
        <v>0</v>
      </c>
      <c r="J470">
        <f>IF(BaseCoalPlants!I511="-","",BaseCoalPlants!I511)</f>
        <v>0</v>
      </c>
      <c r="K470">
        <f>IF(BaseCoalPlants!J511="-","",BaseCoalPlants!J511)</f>
        <v>0</v>
      </c>
      <c r="L470">
        <f>IF(BaseCoalPlants!K511="-","",BaseCoalPlants!K511)</f>
        <v>0</v>
      </c>
      <c r="M470" s="1" t="str">
        <f>IF(BaseCoalPlants!L511=0,"",BaseCoalPlants!L511)</f>
        <v/>
      </c>
      <c r="N470" s="1" t="str">
        <f>IF(BaseCoalPlants!M511=0,"",BaseCoalPlants!M511)</f>
        <v/>
      </c>
      <c r="O470" s="1" t="str">
        <f>IF(BaseCoalPlants!N511=0,"",BaseCoalPlants!N511)</f>
        <v/>
      </c>
      <c r="P470" s="1" t="str">
        <f>IF(BaseCoalPlants!O511=0,"",BaseCoalPlants!O511)</f>
        <v/>
      </c>
      <c r="Q470" s="1" t="str">
        <f>IF(BaseCoalPlants!P511=0,"",BaseCoalPlants!P511)</f>
        <v/>
      </c>
      <c r="R470" s="1" t="str">
        <f>IF(BaseCoalPlants!Q511=0,"",BaseCoalPlants!Q511)</f>
        <v/>
      </c>
      <c r="S470" s="1" t="str">
        <f>IF(BaseCoalPlants!R511=0,"",BaseCoalPlants!R511)</f>
        <v/>
      </c>
      <c r="T470" s="1" t="str">
        <f>IF(BaseCoalPlants!S511=0,"",BaseCoalPlants!S511)</f>
        <v/>
      </c>
      <c r="U470" s="1" t="str">
        <f>IF(BaseCoalPlants!T511=0,"",BaseCoalPlants!T511)</f>
        <v/>
      </c>
      <c r="V470" s="1" t="str">
        <f>IF(BaseCoalPlants!U511=0,"",BaseCoalPlants!U511)</f>
        <v/>
      </c>
    </row>
    <row r="471" spans="3:22" x14ac:dyDescent="0.35">
      <c r="C471">
        <f>IF(BaseCoalPlants!B512="VDA_FLOP",IF(BaseCoalPlants!D512="ELC","*","INPUT"),BaseCoalPlants!B512)</f>
        <v>0</v>
      </c>
      <c r="D471" t="str">
        <f>IF(BaseCoalPlants!C512="","\I:",BaseCoalPlants!C512&amp;"_LE")</f>
        <v>\I:</v>
      </c>
      <c r="E471">
        <f>IF(BaseCoalPlants!D512="-","",BaseCoalPlants!D512)</f>
        <v>0</v>
      </c>
      <c r="F471">
        <f>IF(BaseCoalPlants!E512="-","",BaseCoalPlants!E512)</f>
        <v>0</v>
      </c>
      <c r="G471">
        <f>IF(BaseCoalPlants!F512="-","",BaseCoalPlants!F512)</f>
        <v>0</v>
      </c>
      <c r="H471">
        <f>IF(BaseCoalPlants!G512="-","",BaseCoalPlants!G512)</f>
        <v>0</v>
      </c>
      <c r="I471">
        <f>IF(BaseCoalPlants!H512="-","",BaseCoalPlants!H512)</f>
        <v>0</v>
      </c>
      <c r="J471">
        <f>IF(BaseCoalPlants!I512="-","",BaseCoalPlants!I512)</f>
        <v>0</v>
      </c>
      <c r="K471">
        <f>IF(BaseCoalPlants!J512="-","",BaseCoalPlants!J512)</f>
        <v>0</v>
      </c>
      <c r="L471">
        <f>IF(BaseCoalPlants!K512="-","",BaseCoalPlants!K512)</f>
        <v>0</v>
      </c>
      <c r="M471" s="1" t="str">
        <f>IF(BaseCoalPlants!L512=0,"",BaseCoalPlants!L512)</f>
        <v/>
      </c>
      <c r="N471" s="1" t="str">
        <f>IF(BaseCoalPlants!M512=0,"",BaseCoalPlants!M512)</f>
        <v/>
      </c>
      <c r="O471" s="1" t="str">
        <f>IF(BaseCoalPlants!N512=0,"",BaseCoalPlants!N512)</f>
        <v/>
      </c>
      <c r="P471" s="1" t="str">
        <f>IF(BaseCoalPlants!O512=0,"",BaseCoalPlants!O512)</f>
        <v/>
      </c>
      <c r="Q471" s="1" t="str">
        <f>IF(BaseCoalPlants!P512=0,"",BaseCoalPlants!P512)</f>
        <v/>
      </c>
      <c r="R471" s="1" t="str">
        <f>IF(BaseCoalPlants!Q512=0,"",BaseCoalPlants!Q512)</f>
        <v/>
      </c>
      <c r="S471" s="1" t="str">
        <f>IF(BaseCoalPlants!R512=0,"",BaseCoalPlants!R512)</f>
        <v/>
      </c>
      <c r="T471" s="1" t="str">
        <f>IF(BaseCoalPlants!S512=0,"",BaseCoalPlants!S512)</f>
        <v/>
      </c>
      <c r="U471" s="1" t="str">
        <f>IF(BaseCoalPlants!T512=0,"",BaseCoalPlants!T512)</f>
        <v/>
      </c>
      <c r="V471" s="1" t="str">
        <f>IF(BaseCoalPlants!U512=0,"",BaseCoalPlants!U512)</f>
        <v/>
      </c>
    </row>
    <row r="472" spans="3:22" x14ac:dyDescent="0.35">
      <c r="C472">
        <f>IF(BaseCoalPlants!B513="VDA_FLOP",IF(BaseCoalPlants!D513="ELC","*","INPUT"),BaseCoalPlants!B513)</f>
        <v>0</v>
      </c>
      <c r="D472" t="str">
        <f>IF(BaseCoalPlants!C513="","\I:",BaseCoalPlants!C513&amp;"_LE")</f>
        <v>\I:</v>
      </c>
      <c r="E472">
        <f>IF(BaseCoalPlants!D513="-","",BaseCoalPlants!D513)</f>
        <v>0</v>
      </c>
      <c r="F472">
        <f>IF(BaseCoalPlants!E513="-","",BaseCoalPlants!E513)</f>
        <v>0</v>
      </c>
      <c r="G472">
        <f>IF(BaseCoalPlants!F513="-","",BaseCoalPlants!F513)</f>
        <v>0</v>
      </c>
      <c r="H472">
        <f>IF(BaseCoalPlants!G513="-","",BaseCoalPlants!G513)</f>
        <v>0</v>
      </c>
      <c r="I472">
        <f>IF(BaseCoalPlants!H513="-","",BaseCoalPlants!H513)</f>
        <v>0</v>
      </c>
      <c r="J472">
        <f>IF(BaseCoalPlants!I513="-","",BaseCoalPlants!I513)</f>
        <v>0</v>
      </c>
      <c r="K472">
        <f>IF(BaseCoalPlants!J513="-","",BaseCoalPlants!J513)</f>
        <v>0</v>
      </c>
      <c r="L472">
        <f>IF(BaseCoalPlants!K513="-","",BaseCoalPlants!K513)</f>
        <v>0</v>
      </c>
      <c r="M472" s="1" t="str">
        <f>IF(BaseCoalPlants!L513=0,"",BaseCoalPlants!L513)</f>
        <v/>
      </c>
      <c r="N472" s="1" t="str">
        <f>IF(BaseCoalPlants!M513=0,"",BaseCoalPlants!M513)</f>
        <v/>
      </c>
      <c r="O472" s="1" t="str">
        <f>IF(BaseCoalPlants!N513=0,"",BaseCoalPlants!N513)</f>
        <v/>
      </c>
      <c r="P472" s="1" t="str">
        <f>IF(BaseCoalPlants!O513=0,"",BaseCoalPlants!O513)</f>
        <v/>
      </c>
      <c r="Q472" s="1" t="str">
        <f>IF(BaseCoalPlants!P513=0,"",BaseCoalPlants!P513)</f>
        <v/>
      </c>
      <c r="R472" s="1" t="str">
        <f>IF(BaseCoalPlants!Q513=0,"",BaseCoalPlants!Q513)</f>
        <v/>
      </c>
      <c r="S472" s="1" t="str">
        <f>IF(BaseCoalPlants!R513=0,"",BaseCoalPlants!R513)</f>
        <v/>
      </c>
      <c r="T472" s="1" t="str">
        <f>IF(BaseCoalPlants!S513=0,"",BaseCoalPlants!S513)</f>
        <v/>
      </c>
      <c r="U472" s="1" t="str">
        <f>IF(BaseCoalPlants!T513=0,"",BaseCoalPlants!T513)</f>
        <v/>
      </c>
      <c r="V472" s="1" t="str">
        <f>IF(BaseCoalPlants!U513=0,"",BaseCoalPlants!U513)</f>
        <v/>
      </c>
    </row>
    <row r="473" spans="3:22" x14ac:dyDescent="0.35">
      <c r="C473">
        <f>IF(BaseCoalPlants!B514="VDA_FLOP",IF(BaseCoalPlants!D514="ELC","*","INPUT"),BaseCoalPlants!B514)</f>
        <v>0</v>
      </c>
      <c r="D473" t="str">
        <f>IF(BaseCoalPlants!C514="","\I:",BaseCoalPlants!C514&amp;"_LE")</f>
        <v>\I:</v>
      </c>
      <c r="E473">
        <f>IF(BaseCoalPlants!D514="-","",BaseCoalPlants!D514)</f>
        <v>0</v>
      </c>
      <c r="F473">
        <f>IF(BaseCoalPlants!E514="-","",BaseCoalPlants!E514)</f>
        <v>0</v>
      </c>
      <c r="G473">
        <f>IF(BaseCoalPlants!F514="-","",BaseCoalPlants!F514)</f>
        <v>0</v>
      </c>
      <c r="H473">
        <f>IF(BaseCoalPlants!G514="-","",BaseCoalPlants!G514)</f>
        <v>0</v>
      </c>
      <c r="I473">
        <f>IF(BaseCoalPlants!H514="-","",BaseCoalPlants!H514)</f>
        <v>0</v>
      </c>
      <c r="J473">
        <f>IF(BaseCoalPlants!I514="-","",BaseCoalPlants!I514)</f>
        <v>0</v>
      </c>
      <c r="K473">
        <f>IF(BaseCoalPlants!J514="-","",BaseCoalPlants!J514)</f>
        <v>0</v>
      </c>
      <c r="L473">
        <f>IF(BaseCoalPlants!K514="-","",BaseCoalPlants!K514)</f>
        <v>0</v>
      </c>
      <c r="M473" s="1" t="str">
        <f>IF(BaseCoalPlants!L514=0,"",BaseCoalPlants!L514)</f>
        <v/>
      </c>
      <c r="N473" s="1" t="str">
        <f>IF(BaseCoalPlants!M514=0,"",BaseCoalPlants!M514)</f>
        <v/>
      </c>
      <c r="O473" s="1" t="str">
        <f>IF(BaseCoalPlants!N514=0,"",BaseCoalPlants!N514)</f>
        <v/>
      </c>
      <c r="P473" s="1" t="str">
        <f>IF(BaseCoalPlants!O514=0,"",BaseCoalPlants!O514)</f>
        <v/>
      </c>
      <c r="Q473" s="1" t="str">
        <f>IF(BaseCoalPlants!P514=0,"",BaseCoalPlants!P514)</f>
        <v/>
      </c>
      <c r="R473" s="1" t="str">
        <f>IF(BaseCoalPlants!Q514=0,"",BaseCoalPlants!Q514)</f>
        <v/>
      </c>
      <c r="S473" s="1" t="str">
        <f>IF(BaseCoalPlants!R514=0,"",BaseCoalPlants!R514)</f>
        <v/>
      </c>
      <c r="T473" s="1" t="str">
        <f>IF(BaseCoalPlants!S514=0,"",BaseCoalPlants!S514)</f>
        <v/>
      </c>
      <c r="U473" s="1" t="str">
        <f>IF(BaseCoalPlants!T514=0,"",BaseCoalPlants!T514)</f>
        <v/>
      </c>
      <c r="V473" s="1" t="str">
        <f>IF(BaseCoalPlants!U514=0,"",BaseCoalPlants!U514)</f>
        <v/>
      </c>
    </row>
    <row r="474" spans="3:22" x14ac:dyDescent="0.35">
      <c r="C474">
        <f>IF(BaseCoalPlants!B515="VDA_FLOP",IF(BaseCoalPlants!D515="ELC","*","INPUT"),BaseCoalPlants!B515)</f>
        <v>0</v>
      </c>
      <c r="D474" t="str">
        <f>IF(BaseCoalPlants!C515="","\I:",BaseCoalPlants!C515&amp;"_LE")</f>
        <v>\I:</v>
      </c>
      <c r="E474">
        <f>IF(BaseCoalPlants!D515="-","",BaseCoalPlants!D515)</f>
        <v>0</v>
      </c>
      <c r="F474">
        <f>IF(BaseCoalPlants!E515="-","",BaseCoalPlants!E515)</f>
        <v>0</v>
      </c>
      <c r="G474">
        <f>IF(BaseCoalPlants!F515="-","",BaseCoalPlants!F515)</f>
        <v>0</v>
      </c>
      <c r="H474">
        <f>IF(BaseCoalPlants!G515="-","",BaseCoalPlants!G515)</f>
        <v>0</v>
      </c>
      <c r="I474">
        <f>IF(BaseCoalPlants!H515="-","",BaseCoalPlants!H515)</f>
        <v>0</v>
      </c>
      <c r="J474">
        <f>IF(BaseCoalPlants!I515="-","",BaseCoalPlants!I515)</f>
        <v>0</v>
      </c>
      <c r="K474">
        <f>IF(BaseCoalPlants!J515="-","",BaseCoalPlants!J515)</f>
        <v>0</v>
      </c>
      <c r="L474">
        <f>IF(BaseCoalPlants!K515="-","",BaseCoalPlants!K515)</f>
        <v>0</v>
      </c>
      <c r="M474" s="1" t="str">
        <f>IF(BaseCoalPlants!L515=0,"",BaseCoalPlants!L515)</f>
        <v/>
      </c>
      <c r="N474" s="1" t="str">
        <f>IF(BaseCoalPlants!M515=0,"",BaseCoalPlants!M515)</f>
        <v/>
      </c>
      <c r="O474" s="1" t="str">
        <f>IF(BaseCoalPlants!N515=0,"",BaseCoalPlants!N515)</f>
        <v/>
      </c>
      <c r="P474" s="1" t="str">
        <f>IF(BaseCoalPlants!O515=0,"",BaseCoalPlants!O515)</f>
        <v/>
      </c>
      <c r="Q474" s="1" t="str">
        <f>IF(BaseCoalPlants!P515=0,"",BaseCoalPlants!P515)</f>
        <v/>
      </c>
      <c r="R474" s="1" t="str">
        <f>IF(BaseCoalPlants!Q515=0,"",BaseCoalPlants!Q515)</f>
        <v/>
      </c>
      <c r="S474" s="1" t="str">
        <f>IF(BaseCoalPlants!R515=0,"",BaseCoalPlants!R515)</f>
        <v/>
      </c>
      <c r="T474" s="1" t="str">
        <f>IF(BaseCoalPlants!S515=0,"",BaseCoalPlants!S515)</f>
        <v/>
      </c>
      <c r="U474" s="1" t="str">
        <f>IF(BaseCoalPlants!T515=0,"",BaseCoalPlants!T515)</f>
        <v/>
      </c>
      <c r="V474" s="1" t="str">
        <f>IF(BaseCoalPlants!U515=0,"",BaseCoalPlants!U515)</f>
        <v/>
      </c>
    </row>
    <row r="475" spans="3:22" x14ac:dyDescent="0.35">
      <c r="C475">
        <f>IF(BaseCoalPlants!B516="VDA_FLOP",IF(BaseCoalPlants!D516="ELC","*","INPUT"),BaseCoalPlants!B516)</f>
        <v>0</v>
      </c>
      <c r="D475" t="str">
        <f>IF(BaseCoalPlants!C516="","\I:",BaseCoalPlants!C516&amp;"_LE")</f>
        <v>\I:</v>
      </c>
      <c r="E475">
        <f>IF(BaseCoalPlants!D516="-","",BaseCoalPlants!D516)</f>
        <v>0</v>
      </c>
      <c r="F475">
        <f>IF(BaseCoalPlants!E516="-","",BaseCoalPlants!E516)</f>
        <v>0</v>
      </c>
      <c r="G475">
        <f>IF(BaseCoalPlants!F516="-","",BaseCoalPlants!F516)</f>
        <v>0</v>
      </c>
      <c r="H475">
        <f>IF(BaseCoalPlants!G516="-","",BaseCoalPlants!G516)</f>
        <v>0</v>
      </c>
      <c r="I475">
        <f>IF(BaseCoalPlants!H516="-","",BaseCoalPlants!H516)</f>
        <v>0</v>
      </c>
      <c r="J475">
        <f>IF(BaseCoalPlants!I516="-","",BaseCoalPlants!I516)</f>
        <v>0</v>
      </c>
      <c r="K475">
        <f>IF(BaseCoalPlants!J516="-","",BaseCoalPlants!J516)</f>
        <v>0</v>
      </c>
      <c r="L475">
        <f>IF(BaseCoalPlants!K516="-","",BaseCoalPlants!K516)</f>
        <v>0</v>
      </c>
      <c r="M475" s="1" t="str">
        <f>IF(BaseCoalPlants!L516=0,"",BaseCoalPlants!L516)</f>
        <v/>
      </c>
      <c r="N475" s="1" t="str">
        <f>IF(BaseCoalPlants!M516=0,"",BaseCoalPlants!M516)</f>
        <v/>
      </c>
      <c r="O475" s="1" t="str">
        <f>IF(BaseCoalPlants!N516=0,"",BaseCoalPlants!N516)</f>
        <v/>
      </c>
      <c r="P475" s="1" t="str">
        <f>IF(BaseCoalPlants!O516=0,"",BaseCoalPlants!O516)</f>
        <v/>
      </c>
      <c r="Q475" s="1" t="str">
        <f>IF(BaseCoalPlants!P516=0,"",BaseCoalPlants!P516)</f>
        <v/>
      </c>
      <c r="R475" s="1" t="str">
        <f>IF(BaseCoalPlants!Q516=0,"",BaseCoalPlants!Q516)</f>
        <v/>
      </c>
      <c r="S475" s="1" t="str">
        <f>IF(BaseCoalPlants!R516=0,"",BaseCoalPlants!R516)</f>
        <v/>
      </c>
      <c r="T475" s="1" t="str">
        <f>IF(BaseCoalPlants!S516=0,"",BaseCoalPlants!S516)</f>
        <v/>
      </c>
      <c r="U475" s="1" t="str">
        <f>IF(BaseCoalPlants!T516=0,"",BaseCoalPlants!T516)</f>
        <v/>
      </c>
      <c r="V475" s="1" t="str">
        <f>IF(BaseCoalPlants!U516=0,"",BaseCoalPlants!U516)</f>
        <v/>
      </c>
    </row>
    <row r="476" spans="3:22" x14ac:dyDescent="0.35">
      <c r="C476">
        <f>IF(BaseCoalPlants!B517="VDA_FLOP",IF(BaseCoalPlants!D517="ELC","*","INPUT"),BaseCoalPlants!B517)</f>
        <v>0</v>
      </c>
      <c r="D476" t="str">
        <f>IF(BaseCoalPlants!C517="","\I:",BaseCoalPlants!C517&amp;"_LE")</f>
        <v>\I:</v>
      </c>
      <c r="E476">
        <f>IF(BaseCoalPlants!D517="-","",BaseCoalPlants!D517)</f>
        <v>0</v>
      </c>
      <c r="F476">
        <f>IF(BaseCoalPlants!E517="-","",BaseCoalPlants!E517)</f>
        <v>0</v>
      </c>
      <c r="G476">
        <f>IF(BaseCoalPlants!F517="-","",BaseCoalPlants!F517)</f>
        <v>0</v>
      </c>
      <c r="H476">
        <f>IF(BaseCoalPlants!G517="-","",BaseCoalPlants!G517)</f>
        <v>0</v>
      </c>
      <c r="I476">
        <f>IF(BaseCoalPlants!H517="-","",BaseCoalPlants!H517)</f>
        <v>0</v>
      </c>
      <c r="J476">
        <f>IF(BaseCoalPlants!I517="-","",BaseCoalPlants!I517)</f>
        <v>0</v>
      </c>
      <c r="K476">
        <f>IF(BaseCoalPlants!J517="-","",BaseCoalPlants!J517)</f>
        <v>0</v>
      </c>
      <c r="L476">
        <f>IF(BaseCoalPlants!K517="-","",BaseCoalPlants!K517)</f>
        <v>0</v>
      </c>
      <c r="M476" s="1" t="str">
        <f>IF(BaseCoalPlants!L517=0,"",BaseCoalPlants!L517)</f>
        <v/>
      </c>
      <c r="N476" s="1" t="str">
        <f>IF(BaseCoalPlants!M517=0,"",BaseCoalPlants!M517)</f>
        <v/>
      </c>
      <c r="O476" s="1" t="str">
        <f>IF(BaseCoalPlants!N517=0,"",BaseCoalPlants!N517)</f>
        <v/>
      </c>
      <c r="P476" s="1" t="str">
        <f>IF(BaseCoalPlants!O517=0,"",BaseCoalPlants!O517)</f>
        <v/>
      </c>
      <c r="Q476" s="1" t="str">
        <f>IF(BaseCoalPlants!P517=0,"",BaseCoalPlants!P517)</f>
        <v/>
      </c>
      <c r="R476" s="1" t="str">
        <f>IF(BaseCoalPlants!Q517=0,"",BaseCoalPlants!Q517)</f>
        <v/>
      </c>
      <c r="S476" s="1" t="str">
        <f>IF(BaseCoalPlants!R517=0,"",BaseCoalPlants!R517)</f>
        <v/>
      </c>
      <c r="T476" s="1" t="str">
        <f>IF(BaseCoalPlants!S517=0,"",BaseCoalPlants!S517)</f>
        <v/>
      </c>
      <c r="U476" s="1" t="str">
        <f>IF(BaseCoalPlants!T517=0,"",BaseCoalPlants!T517)</f>
        <v/>
      </c>
      <c r="V476" s="1" t="str">
        <f>IF(BaseCoalPlants!U517=0,"",BaseCoalPlants!U517)</f>
        <v/>
      </c>
    </row>
    <row r="477" spans="3:22" x14ac:dyDescent="0.35">
      <c r="C477">
        <f>IF(BaseCoalPlants!B518="VDA_FLOP",IF(BaseCoalPlants!D518="ELC","*","INPUT"),BaseCoalPlants!B518)</f>
        <v>0</v>
      </c>
      <c r="D477" t="str">
        <f>IF(BaseCoalPlants!C518="","\I:",BaseCoalPlants!C518&amp;"_LE")</f>
        <v>\I:</v>
      </c>
      <c r="E477">
        <f>IF(BaseCoalPlants!D518="-","",BaseCoalPlants!D518)</f>
        <v>0</v>
      </c>
      <c r="F477">
        <f>IF(BaseCoalPlants!E518="-","",BaseCoalPlants!E518)</f>
        <v>0</v>
      </c>
      <c r="G477">
        <f>IF(BaseCoalPlants!F518="-","",BaseCoalPlants!F518)</f>
        <v>0</v>
      </c>
      <c r="H477">
        <f>IF(BaseCoalPlants!G518="-","",BaseCoalPlants!G518)</f>
        <v>0</v>
      </c>
      <c r="I477">
        <f>IF(BaseCoalPlants!H518="-","",BaseCoalPlants!H518)</f>
        <v>0</v>
      </c>
      <c r="J477">
        <f>IF(BaseCoalPlants!I518="-","",BaseCoalPlants!I518)</f>
        <v>0</v>
      </c>
      <c r="K477">
        <f>IF(BaseCoalPlants!J518="-","",BaseCoalPlants!J518)</f>
        <v>0</v>
      </c>
      <c r="L477">
        <f>IF(BaseCoalPlants!K518="-","",BaseCoalPlants!K518)</f>
        <v>0</v>
      </c>
      <c r="M477" s="1" t="str">
        <f>IF(BaseCoalPlants!L518=0,"",BaseCoalPlants!L518)</f>
        <v/>
      </c>
      <c r="N477" s="1" t="str">
        <f>IF(BaseCoalPlants!M518=0,"",BaseCoalPlants!M518)</f>
        <v/>
      </c>
      <c r="O477" s="1" t="str">
        <f>IF(BaseCoalPlants!N518=0,"",BaseCoalPlants!N518)</f>
        <v/>
      </c>
      <c r="P477" s="1" t="str">
        <f>IF(BaseCoalPlants!O518=0,"",BaseCoalPlants!O518)</f>
        <v/>
      </c>
      <c r="Q477" s="1" t="str">
        <f>IF(BaseCoalPlants!P518=0,"",BaseCoalPlants!P518)</f>
        <v/>
      </c>
      <c r="R477" s="1" t="str">
        <f>IF(BaseCoalPlants!Q518=0,"",BaseCoalPlants!Q518)</f>
        <v/>
      </c>
      <c r="S477" s="1" t="str">
        <f>IF(BaseCoalPlants!R518=0,"",BaseCoalPlants!R518)</f>
        <v/>
      </c>
      <c r="T477" s="1" t="str">
        <f>IF(BaseCoalPlants!S518=0,"",BaseCoalPlants!S518)</f>
        <v/>
      </c>
      <c r="U477" s="1" t="str">
        <f>IF(BaseCoalPlants!T518=0,"",BaseCoalPlants!T518)</f>
        <v/>
      </c>
      <c r="V477" s="1" t="str">
        <f>IF(BaseCoalPlants!U518=0,"",BaseCoalPlants!U518)</f>
        <v/>
      </c>
    </row>
    <row r="478" spans="3:22" x14ac:dyDescent="0.35">
      <c r="C478">
        <f>IF(BaseCoalPlants!B519="VDA_FLOP",IF(BaseCoalPlants!D519="ELC","*","INPUT"),BaseCoalPlants!B519)</f>
        <v>0</v>
      </c>
      <c r="D478" t="str">
        <f>IF(BaseCoalPlants!C519="","\I:",BaseCoalPlants!C519&amp;"_LE")</f>
        <v>\I:</v>
      </c>
      <c r="E478">
        <f>IF(BaseCoalPlants!D519="-","",BaseCoalPlants!D519)</f>
        <v>0</v>
      </c>
      <c r="F478">
        <f>IF(BaseCoalPlants!E519="-","",BaseCoalPlants!E519)</f>
        <v>0</v>
      </c>
      <c r="G478">
        <f>IF(BaseCoalPlants!F519="-","",BaseCoalPlants!F519)</f>
        <v>0</v>
      </c>
      <c r="H478">
        <f>IF(BaseCoalPlants!G519="-","",BaseCoalPlants!G519)</f>
        <v>0</v>
      </c>
      <c r="I478">
        <f>IF(BaseCoalPlants!H519="-","",BaseCoalPlants!H519)</f>
        <v>0</v>
      </c>
      <c r="J478">
        <f>IF(BaseCoalPlants!I519="-","",BaseCoalPlants!I519)</f>
        <v>0</v>
      </c>
      <c r="K478">
        <f>IF(BaseCoalPlants!J519="-","",BaseCoalPlants!J519)</f>
        <v>0</v>
      </c>
      <c r="L478">
        <f>IF(BaseCoalPlants!K519="-","",BaseCoalPlants!K519)</f>
        <v>0</v>
      </c>
      <c r="M478" s="1" t="str">
        <f>IF(BaseCoalPlants!L519=0,"",BaseCoalPlants!L519)</f>
        <v/>
      </c>
      <c r="N478" s="1" t="str">
        <f>IF(BaseCoalPlants!M519=0,"",BaseCoalPlants!M519)</f>
        <v/>
      </c>
      <c r="O478" s="1" t="str">
        <f>IF(BaseCoalPlants!N519=0,"",BaseCoalPlants!N519)</f>
        <v/>
      </c>
      <c r="P478" s="1" t="str">
        <f>IF(BaseCoalPlants!O519=0,"",BaseCoalPlants!O519)</f>
        <v/>
      </c>
      <c r="Q478" s="1" t="str">
        <f>IF(BaseCoalPlants!P519=0,"",BaseCoalPlants!P519)</f>
        <v/>
      </c>
      <c r="R478" s="1" t="str">
        <f>IF(BaseCoalPlants!Q519=0,"",BaseCoalPlants!Q519)</f>
        <v/>
      </c>
      <c r="S478" s="1" t="str">
        <f>IF(BaseCoalPlants!R519=0,"",BaseCoalPlants!R519)</f>
        <v/>
      </c>
      <c r="T478" s="1" t="str">
        <f>IF(BaseCoalPlants!S519=0,"",BaseCoalPlants!S519)</f>
        <v/>
      </c>
      <c r="U478" s="1" t="str">
        <f>IF(BaseCoalPlants!T519=0,"",BaseCoalPlants!T519)</f>
        <v/>
      </c>
      <c r="V478" s="1" t="str">
        <f>IF(BaseCoalPlants!U519=0,"",BaseCoalPlants!U519)</f>
        <v/>
      </c>
    </row>
    <row r="479" spans="3:22" x14ac:dyDescent="0.35">
      <c r="C479">
        <f>IF(BaseCoalPlants!B520="VDA_FLOP",IF(BaseCoalPlants!D520="ELC","*","INPUT"),BaseCoalPlants!B520)</f>
        <v>0</v>
      </c>
      <c r="D479" t="str">
        <f>IF(BaseCoalPlants!C520="","\I:",BaseCoalPlants!C520&amp;"_LE")</f>
        <v>\I:</v>
      </c>
      <c r="E479">
        <f>IF(BaseCoalPlants!D520="-","",BaseCoalPlants!D520)</f>
        <v>0</v>
      </c>
      <c r="F479">
        <f>IF(BaseCoalPlants!E520="-","",BaseCoalPlants!E520)</f>
        <v>0</v>
      </c>
      <c r="G479">
        <f>IF(BaseCoalPlants!F520="-","",BaseCoalPlants!F520)</f>
        <v>0</v>
      </c>
      <c r="H479">
        <f>IF(BaseCoalPlants!G520="-","",BaseCoalPlants!G520)</f>
        <v>0</v>
      </c>
      <c r="I479">
        <f>IF(BaseCoalPlants!H520="-","",BaseCoalPlants!H520)</f>
        <v>0</v>
      </c>
      <c r="J479">
        <f>IF(BaseCoalPlants!I520="-","",BaseCoalPlants!I520)</f>
        <v>0</v>
      </c>
      <c r="K479">
        <f>IF(BaseCoalPlants!J520="-","",BaseCoalPlants!J520)</f>
        <v>0</v>
      </c>
      <c r="L479">
        <f>IF(BaseCoalPlants!K520="-","",BaseCoalPlants!K520)</f>
        <v>0</v>
      </c>
      <c r="M479" s="1" t="str">
        <f>IF(BaseCoalPlants!L520=0,"",BaseCoalPlants!L520)</f>
        <v/>
      </c>
      <c r="N479" s="1" t="str">
        <f>IF(BaseCoalPlants!M520=0,"",BaseCoalPlants!M520)</f>
        <v/>
      </c>
      <c r="O479" s="1" t="str">
        <f>IF(BaseCoalPlants!N520=0,"",BaseCoalPlants!N520)</f>
        <v/>
      </c>
      <c r="P479" s="1" t="str">
        <f>IF(BaseCoalPlants!O520=0,"",BaseCoalPlants!O520)</f>
        <v/>
      </c>
      <c r="Q479" s="1" t="str">
        <f>IF(BaseCoalPlants!P520=0,"",BaseCoalPlants!P520)</f>
        <v/>
      </c>
      <c r="R479" s="1" t="str">
        <f>IF(BaseCoalPlants!Q520=0,"",BaseCoalPlants!Q520)</f>
        <v/>
      </c>
      <c r="S479" s="1" t="str">
        <f>IF(BaseCoalPlants!R520=0,"",BaseCoalPlants!R520)</f>
        <v/>
      </c>
      <c r="T479" s="1" t="str">
        <f>IF(BaseCoalPlants!S520=0,"",BaseCoalPlants!S520)</f>
        <v/>
      </c>
      <c r="U479" s="1" t="str">
        <f>IF(BaseCoalPlants!T520=0,"",BaseCoalPlants!T520)</f>
        <v/>
      </c>
      <c r="V479" s="1" t="str">
        <f>IF(BaseCoalPlants!U520=0,"",BaseCoalPlants!U520)</f>
        <v/>
      </c>
    </row>
    <row r="480" spans="3:22" x14ac:dyDescent="0.35">
      <c r="C480">
        <f>IF(BaseCoalPlants!B521="VDA_FLOP",IF(BaseCoalPlants!D521="ELC","*","INPUT"),BaseCoalPlants!B521)</f>
        <v>0</v>
      </c>
      <c r="D480" t="str">
        <f>IF(BaseCoalPlants!C521="","\I:",BaseCoalPlants!C521&amp;"_LE")</f>
        <v>\I:</v>
      </c>
      <c r="E480">
        <f>IF(BaseCoalPlants!D521="-","",BaseCoalPlants!D521)</f>
        <v>0</v>
      </c>
      <c r="F480">
        <f>IF(BaseCoalPlants!E521="-","",BaseCoalPlants!E521)</f>
        <v>0</v>
      </c>
      <c r="G480">
        <f>IF(BaseCoalPlants!F521="-","",BaseCoalPlants!F521)</f>
        <v>0</v>
      </c>
      <c r="H480">
        <f>IF(BaseCoalPlants!G521="-","",BaseCoalPlants!G521)</f>
        <v>0</v>
      </c>
      <c r="I480">
        <f>IF(BaseCoalPlants!H521="-","",BaseCoalPlants!H521)</f>
        <v>0</v>
      </c>
      <c r="J480">
        <f>IF(BaseCoalPlants!I521="-","",BaseCoalPlants!I521)</f>
        <v>0</v>
      </c>
      <c r="K480">
        <f>IF(BaseCoalPlants!J521="-","",BaseCoalPlants!J521)</f>
        <v>0</v>
      </c>
      <c r="L480">
        <f>IF(BaseCoalPlants!K521="-","",BaseCoalPlants!K521)</f>
        <v>0</v>
      </c>
      <c r="M480" s="1" t="str">
        <f>IF(BaseCoalPlants!L521=0,"",BaseCoalPlants!L521)</f>
        <v/>
      </c>
      <c r="N480" s="1" t="str">
        <f>IF(BaseCoalPlants!M521=0,"",BaseCoalPlants!M521)</f>
        <v/>
      </c>
      <c r="O480" s="1" t="str">
        <f>IF(BaseCoalPlants!N521=0,"",BaseCoalPlants!N521)</f>
        <v/>
      </c>
      <c r="P480" s="1" t="str">
        <f>IF(BaseCoalPlants!O521=0,"",BaseCoalPlants!O521)</f>
        <v/>
      </c>
      <c r="Q480" s="1" t="str">
        <f>IF(BaseCoalPlants!P521=0,"",BaseCoalPlants!P521)</f>
        <v/>
      </c>
      <c r="R480" s="1" t="str">
        <f>IF(BaseCoalPlants!Q521=0,"",BaseCoalPlants!Q521)</f>
        <v/>
      </c>
      <c r="S480" s="1" t="str">
        <f>IF(BaseCoalPlants!R521=0,"",BaseCoalPlants!R521)</f>
        <v/>
      </c>
      <c r="T480" s="1" t="str">
        <f>IF(BaseCoalPlants!S521=0,"",BaseCoalPlants!S521)</f>
        <v/>
      </c>
      <c r="U480" s="1" t="str">
        <f>IF(BaseCoalPlants!T521=0,"",BaseCoalPlants!T521)</f>
        <v/>
      </c>
      <c r="V480" s="1" t="str">
        <f>IF(BaseCoalPlants!U521=0,"",BaseCoalPlants!U521)</f>
        <v/>
      </c>
    </row>
    <row r="481" spans="3:22" x14ac:dyDescent="0.35">
      <c r="C481">
        <f>IF(BaseCoalPlants!B522="VDA_FLOP",IF(BaseCoalPlants!D522="ELC","*","INPUT"),BaseCoalPlants!B522)</f>
        <v>0</v>
      </c>
      <c r="D481" t="str">
        <f>IF(BaseCoalPlants!C522="","\I:",BaseCoalPlants!C522&amp;"_LE")</f>
        <v>\I:</v>
      </c>
      <c r="E481">
        <f>IF(BaseCoalPlants!D522="-","",BaseCoalPlants!D522)</f>
        <v>0</v>
      </c>
      <c r="F481">
        <f>IF(BaseCoalPlants!E522="-","",BaseCoalPlants!E522)</f>
        <v>0</v>
      </c>
      <c r="G481">
        <f>IF(BaseCoalPlants!F522="-","",BaseCoalPlants!F522)</f>
        <v>0</v>
      </c>
      <c r="H481">
        <f>IF(BaseCoalPlants!G522="-","",BaseCoalPlants!G522)</f>
        <v>0</v>
      </c>
      <c r="I481">
        <f>IF(BaseCoalPlants!H522="-","",BaseCoalPlants!H522)</f>
        <v>0</v>
      </c>
      <c r="J481">
        <f>IF(BaseCoalPlants!I522="-","",BaseCoalPlants!I522)</f>
        <v>0</v>
      </c>
      <c r="K481">
        <f>IF(BaseCoalPlants!J522="-","",BaseCoalPlants!J522)</f>
        <v>0</v>
      </c>
      <c r="L481">
        <f>IF(BaseCoalPlants!K522="-","",BaseCoalPlants!K522)</f>
        <v>0</v>
      </c>
      <c r="M481" s="1" t="str">
        <f>IF(BaseCoalPlants!L522=0,"",BaseCoalPlants!L522)</f>
        <v/>
      </c>
      <c r="N481" s="1" t="str">
        <f>IF(BaseCoalPlants!M522=0,"",BaseCoalPlants!M522)</f>
        <v/>
      </c>
      <c r="O481" s="1" t="str">
        <f>IF(BaseCoalPlants!N522=0,"",BaseCoalPlants!N522)</f>
        <v/>
      </c>
      <c r="P481" s="1" t="str">
        <f>IF(BaseCoalPlants!O522=0,"",BaseCoalPlants!O522)</f>
        <v/>
      </c>
      <c r="Q481" s="1" t="str">
        <f>IF(BaseCoalPlants!P522=0,"",BaseCoalPlants!P522)</f>
        <v/>
      </c>
      <c r="R481" s="1" t="str">
        <f>IF(BaseCoalPlants!Q522=0,"",BaseCoalPlants!Q522)</f>
        <v/>
      </c>
      <c r="S481" s="1" t="str">
        <f>IF(BaseCoalPlants!R522=0,"",BaseCoalPlants!R522)</f>
        <v/>
      </c>
      <c r="T481" s="1" t="str">
        <f>IF(BaseCoalPlants!S522=0,"",BaseCoalPlants!S522)</f>
        <v/>
      </c>
      <c r="U481" s="1" t="str">
        <f>IF(BaseCoalPlants!T522=0,"",BaseCoalPlants!T522)</f>
        <v/>
      </c>
      <c r="V481" s="1" t="str">
        <f>IF(BaseCoalPlants!U522=0,"",BaseCoalPlants!U522)</f>
        <v/>
      </c>
    </row>
    <row r="482" spans="3:22" x14ac:dyDescent="0.35">
      <c r="C482">
        <f>IF(BaseCoalPlants!B523="VDA_FLOP",IF(BaseCoalPlants!D523="ELC","*","INPUT"),BaseCoalPlants!B523)</f>
        <v>0</v>
      </c>
      <c r="D482" t="str">
        <f>IF(BaseCoalPlants!C523="","\I:",BaseCoalPlants!C523&amp;"_LE")</f>
        <v>\I:</v>
      </c>
      <c r="E482">
        <f>IF(BaseCoalPlants!D523="-","",BaseCoalPlants!D523)</f>
        <v>0</v>
      </c>
      <c r="F482">
        <f>IF(BaseCoalPlants!E523="-","",BaseCoalPlants!E523)</f>
        <v>0</v>
      </c>
      <c r="G482">
        <f>IF(BaseCoalPlants!F523="-","",BaseCoalPlants!F523)</f>
        <v>0</v>
      </c>
      <c r="H482">
        <f>IF(BaseCoalPlants!G523="-","",BaseCoalPlants!G523)</f>
        <v>0</v>
      </c>
      <c r="I482">
        <f>IF(BaseCoalPlants!H523="-","",BaseCoalPlants!H523)</f>
        <v>0</v>
      </c>
      <c r="J482">
        <f>IF(BaseCoalPlants!I523="-","",BaseCoalPlants!I523)</f>
        <v>0</v>
      </c>
      <c r="K482">
        <f>IF(BaseCoalPlants!J523="-","",BaseCoalPlants!J523)</f>
        <v>0</v>
      </c>
      <c r="L482">
        <f>IF(BaseCoalPlants!K523="-","",BaseCoalPlants!K523)</f>
        <v>0</v>
      </c>
      <c r="M482" s="1" t="str">
        <f>IF(BaseCoalPlants!L523=0,"",BaseCoalPlants!L523)</f>
        <v/>
      </c>
      <c r="N482" s="1" t="str">
        <f>IF(BaseCoalPlants!M523=0,"",BaseCoalPlants!M523)</f>
        <v/>
      </c>
      <c r="O482" s="1" t="str">
        <f>IF(BaseCoalPlants!N523=0,"",BaseCoalPlants!N523)</f>
        <v/>
      </c>
      <c r="P482" s="1" t="str">
        <f>IF(BaseCoalPlants!O523=0,"",BaseCoalPlants!O523)</f>
        <v/>
      </c>
      <c r="Q482" s="1" t="str">
        <f>IF(BaseCoalPlants!P523=0,"",BaseCoalPlants!P523)</f>
        <v/>
      </c>
      <c r="R482" s="1" t="str">
        <f>IF(BaseCoalPlants!Q523=0,"",BaseCoalPlants!Q523)</f>
        <v/>
      </c>
      <c r="S482" s="1" t="str">
        <f>IF(BaseCoalPlants!R523=0,"",BaseCoalPlants!R523)</f>
        <v/>
      </c>
      <c r="T482" s="1" t="str">
        <f>IF(BaseCoalPlants!S523=0,"",BaseCoalPlants!S523)</f>
        <v/>
      </c>
      <c r="U482" s="1" t="str">
        <f>IF(BaseCoalPlants!T523=0,"",BaseCoalPlants!T523)</f>
        <v/>
      </c>
      <c r="V482" s="1" t="str">
        <f>IF(BaseCoalPlants!U523=0,"",BaseCoalPlants!U523)</f>
        <v/>
      </c>
    </row>
    <row r="483" spans="3:22" x14ac:dyDescent="0.35">
      <c r="C483">
        <f>IF(BaseCoalPlants!B524="VDA_FLOP",IF(BaseCoalPlants!D524="ELC","*","INPUT"),BaseCoalPlants!B524)</f>
        <v>0</v>
      </c>
      <c r="D483" t="str">
        <f>IF(BaseCoalPlants!C524="","\I:",BaseCoalPlants!C524&amp;"_LE")</f>
        <v>\I:</v>
      </c>
      <c r="E483">
        <f>IF(BaseCoalPlants!D524="-","",BaseCoalPlants!D524)</f>
        <v>0</v>
      </c>
      <c r="F483">
        <f>IF(BaseCoalPlants!E524="-","",BaseCoalPlants!E524)</f>
        <v>0</v>
      </c>
      <c r="G483">
        <f>IF(BaseCoalPlants!F524="-","",BaseCoalPlants!F524)</f>
        <v>0</v>
      </c>
      <c r="H483">
        <f>IF(BaseCoalPlants!G524="-","",BaseCoalPlants!G524)</f>
        <v>0</v>
      </c>
      <c r="I483">
        <f>IF(BaseCoalPlants!H524="-","",BaseCoalPlants!H524)</f>
        <v>0</v>
      </c>
      <c r="J483">
        <f>IF(BaseCoalPlants!I524="-","",BaseCoalPlants!I524)</f>
        <v>0</v>
      </c>
      <c r="K483">
        <f>IF(BaseCoalPlants!J524="-","",BaseCoalPlants!J524)</f>
        <v>0</v>
      </c>
      <c r="L483">
        <f>IF(BaseCoalPlants!K524="-","",BaseCoalPlants!K524)</f>
        <v>0</v>
      </c>
      <c r="M483" s="1" t="str">
        <f>IF(BaseCoalPlants!L524=0,"",BaseCoalPlants!L524)</f>
        <v/>
      </c>
      <c r="N483" s="1" t="str">
        <f>IF(BaseCoalPlants!M524=0,"",BaseCoalPlants!M524)</f>
        <v/>
      </c>
      <c r="O483" s="1" t="str">
        <f>IF(BaseCoalPlants!N524=0,"",BaseCoalPlants!N524)</f>
        <v/>
      </c>
      <c r="P483" s="1" t="str">
        <f>IF(BaseCoalPlants!O524=0,"",BaseCoalPlants!O524)</f>
        <v/>
      </c>
      <c r="Q483" s="1" t="str">
        <f>IF(BaseCoalPlants!P524=0,"",BaseCoalPlants!P524)</f>
        <v/>
      </c>
      <c r="R483" s="1" t="str">
        <f>IF(BaseCoalPlants!Q524=0,"",BaseCoalPlants!Q524)</f>
        <v/>
      </c>
      <c r="S483" s="1" t="str">
        <f>IF(BaseCoalPlants!R524=0,"",BaseCoalPlants!R524)</f>
        <v/>
      </c>
      <c r="T483" s="1" t="str">
        <f>IF(BaseCoalPlants!S524=0,"",BaseCoalPlants!S524)</f>
        <v/>
      </c>
      <c r="U483" s="1" t="str">
        <f>IF(BaseCoalPlants!T524=0,"",BaseCoalPlants!T524)</f>
        <v/>
      </c>
      <c r="V483" s="1" t="str">
        <f>IF(BaseCoalPlants!U524=0,"",BaseCoalPlants!U524)</f>
        <v/>
      </c>
    </row>
    <row r="484" spans="3:22" x14ac:dyDescent="0.35">
      <c r="C484">
        <f>IF(BaseCoalPlants!B525="VDA_FLOP",IF(BaseCoalPlants!D525="ELC","*","INPUT"),BaseCoalPlants!B525)</f>
        <v>0</v>
      </c>
      <c r="D484" t="str">
        <f>IF(BaseCoalPlants!C525="","\I:",BaseCoalPlants!C525&amp;"_LE")</f>
        <v>\I:</v>
      </c>
      <c r="E484">
        <f>IF(BaseCoalPlants!D525="-","",BaseCoalPlants!D525)</f>
        <v>0</v>
      </c>
      <c r="F484">
        <f>IF(BaseCoalPlants!E525="-","",BaseCoalPlants!E525)</f>
        <v>0</v>
      </c>
      <c r="G484">
        <f>IF(BaseCoalPlants!F525="-","",BaseCoalPlants!F525)</f>
        <v>0</v>
      </c>
      <c r="H484">
        <f>IF(BaseCoalPlants!G525="-","",BaseCoalPlants!G525)</f>
        <v>0</v>
      </c>
      <c r="I484">
        <f>IF(BaseCoalPlants!H525="-","",BaseCoalPlants!H525)</f>
        <v>0</v>
      </c>
      <c r="J484">
        <f>IF(BaseCoalPlants!I525="-","",BaseCoalPlants!I525)</f>
        <v>0</v>
      </c>
      <c r="K484">
        <f>IF(BaseCoalPlants!J525="-","",BaseCoalPlants!J525)</f>
        <v>0</v>
      </c>
      <c r="L484">
        <f>IF(BaseCoalPlants!K525="-","",BaseCoalPlants!K525)</f>
        <v>0</v>
      </c>
      <c r="M484" s="1" t="str">
        <f>IF(BaseCoalPlants!L525=0,"",BaseCoalPlants!L525)</f>
        <v/>
      </c>
      <c r="N484" s="1" t="str">
        <f>IF(BaseCoalPlants!M525=0,"",BaseCoalPlants!M525)</f>
        <v/>
      </c>
      <c r="O484" s="1" t="str">
        <f>IF(BaseCoalPlants!N525=0,"",BaseCoalPlants!N525)</f>
        <v/>
      </c>
      <c r="P484" s="1" t="str">
        <f>IF(BaseCoalPlants!O525=0,"",BaseCoalPlants!O525)</f>
        <v/>
      </c>
      <c r="Q484" s="1" t="str">
        <f>IF(BaseCoalPlants!P525=0,"",BaseCoalPlants!P525)</f>
        <v/>
      </c>
      <c r="R484" s="1" t="str">
        <f>IF(BaseCoalPlants!Q525=0,"",BaseCoalPlants!Q525)</f>
        <v/>
      </c>
      <c r="S484" s="1" t="str">
        <f>IF(BaseCoalPlants!R525=0,"",BaseCoalPlants!R525)</f>
        <v/>
      </c>
      <c r="T484" s="1" t="str">
        <f>IF(BaseCoalPlants!S525=0,"",BaseCoalPlants!S525)</f>
        <v/>
      </c>
      <c r="U484" s="1" t="str">
        <f>IF(BaseCoalPlants!T525=0,"",BaseCoalPlants!T525)</f>
        <v/>
      </c>
      <c r="V484" s="1" t="str">
        <f>IF(BaseCoalPlants!U525=0,"",BaseCoalPlants!U525)</f>
        <v/>
      </c>
    </row>
    <row r="485" spans="3:22" x14ac:dyDescent="0.35">
      <c r="C485">
        <f>IF(BaseCoalPlants!B526="VDA_FLOP",IF(BaseCoalPlants!D526="ELC","*","INPUT"),BaseCoalPlants!B526)</f>
        <v>0</v>
      </c>
      <c r="D485" t="str">
        <f>IF(BaseCoalPlants!C526="","\I:",BaseCoalPlants!C526&amp;"_LE")</f>
        <v>\I:</v>
      </c>
      <c r="E485">
        <f>IF(BaseCoalPlants!D526="-","",BaseCoalPlants!D526)</f>
        <v>0</v>
      </c>
      <c r="F485">
        <f>IF(BaseCoalPlants!E526="-","",BaseCoalPlants!E526)</f>
        <v>0</v>
      </c>
      <c r="G485">
        <f>IF(BaseCoalPlants!F526="-","",BaseCoalPlants!F526)</f>
        <v>0</v>
      </c>
      <c r="H485">
        <f>IF(BaseCoalPlants!G526="-","",BaseCoalPlants!G526)</f>
        <v>0</v>
      </c>
      <c r="I485">
        <f>IF(BaseCoalPlants!H526="-","",BaseCoalPlants!H526)</f>
        <v>0</v>
      </c>
      <c r="J485">
        <f>IF(BaseCoalPlants!I526="-","",BaseCoalPlants!I526)</f>
        <v>0</v>
      </c>
      <c r="K485">
        <f>IF(BaseCoalPlants!J526="-","",BaseCoalPlants!J526)</f>
        <v>0</v>
      </c>
      <c r="L485">
        <f>IF(BaseCoalPlants!K526="-","",BaseCoalPlants!K526)</f>
        <v>0</v>
      </c>
      <c r="M485" s="1" t="str">
        <f>IF(BaseCoalPlants!L526=0,"",BaseCoalPlants!L526)</f>
        <v/>
      </c>
      <c r="N485" s="1" t="str">
        <f>IF(BaseCoalPlants!M526=0,"",BaseCoalPlants!M526)</f>
        <v/>
      </c>
      <c r="O485" s="1" t="str">
        <f>IF(BaseCoalPlants!N526=0,"",BaseCoalPlants!N526)</f>
        <v/>
      </c>
      <c r="P485" s="1" t="str">
        <f>IF(BaseCoalPlants!O526=0,"",BaseCoalPlants!O526)</f>
        <v/>
      </c>
      <c r="Q485" s="1" t="str">
        <f>IF(BaseCoalPlants!P526=0,"",BaseCoalPlants!P526)</f>
        <v/>
      </c>
      <c r="R485" s="1" t="str">
        <f>IF(BaseCoalPlants!Q526=0,"",BaseCoalPlants!Q526)</f>
        <v/>
      </c>
      <c r="S485" s="1" t="str">
        <f>IF(BaseCoalPlants!R526=0,"",BaseCoalPlants!R526)</f>
        <v/>
      </c>
      <c r="T485" s="1" t="str">
        <f>IF(BaseCoalPlants!S526=0,"",BaseCoalPlants!S526)</f>
        <v/>
      </c>
      <c r="U485" s="1" t="str">
        <f>IF(BaseCoalPlants!T526=0,"",BaseCoalPlants!T526)</f>
        <v/>
      </c>
      <c r="V485" s="1" t="str">
        <f>IF(BaseCoalPlants!U526=0,"",BaseCoalPlants!U526)</f>
        <v/>
      </c>
    </row>
    <row r="486" spans="3:22" x14ac:dyDescent="0.35">
      <c r="C486">
        <f>IF(BaseCoalPlants!B527="VDA_FLOP",IF(BaseCoalPlants!D527="ELC","*","INPUT"),BaseCoalPlants!B527)</f>
        <v>0</v>
      </c>
      <c r="D486" t="str">
        <f>IF(BaseCoalPlants!C527="","\I:",BaseCoalPlants!C527&amp;"_LE")</f>
        <v>\I:</v>
      </c>
      <c r="E486">
        <f>IF(BaseCoalPlants!D527="-","",BaseCoalPlants!D527)</f>
        <v>0</v>
      </c>
      <c r="F486">
        <f>IF(BaseCoalPlants!E527="-","",BaseCoalPlants!E527)</f>
        <v>0</v>
      </c>
      <c r="G486">
        <f>IF(BaseCoalPlants!F527="-","",BaseCoalPlants!F527)</f>
        <v>0</v>
      </c>
      <c r="H486">
        <f>IF(BaseCoalPlants!G527="-","",BaseCoalPlants!G527)</f>
        <v>0</v>
      </c>
      <c r="I486">
        <f>IF(BaseCoalPlants!H527="-","",BaseCoalPlants!H527)</f>
        <v>0</v>
      </c>
      <c r="J486">
        <f>IF(BaseCoalPlants!I527="-","",BaseCoalPlants!I527)</f>
        <v>0</v>
      </c>
      <c r="K486">
        <f>IF(BaseCoalPlants!J527="-","",BaseCoalPlants!J527)</f>
        <v>0</v>
      </c>
      <c r="L486">
        <f>IF(BaseCoalPlants!K527="-","",BaseCoalPlants!K527)</f>
        <v>0</v>
      </c>
      <c r="M486" s="1" t="str">
        <f>IF(BaseCoalPlants!L527=0,"",BaseCoalPlants!L527)</f>
        <v/>
      </c>
      <c r="N486" s="1" t="str">
        <f>IF(BaseCoalPlants!M527=0,"",BaseCoalPlants!M527)</f>
        <v/>
      </c>
      <c r="O486" s="1" t="str">
        <f>IF(BaseCoalPlants!N527=0,"",BaseCoalPlants!N527)</f>
        <v/>
      </c>
      <c r="P486" s="1" t="str">
        <f>IF(BaseCoalPlants!O527=0,"",BaseCoalPlants!O527)</f>
        <v/>
      </c>
      <c r="Q486" s="1" t="str">
        <f>IF(BaseCoalPlants!P527=0,"",BaseCoalPlants!P527)</f>
        <v/>
      </c>
      <c r="R486" s="1" t="str">
        <f>IF(BaseCoalPlants!Q527=0,"",BaseCoalPlants!Q527)</f>
        <v/>
      </c>
      <c r="S486" s="1" t="str">
        <f>IF(BaseCoalPlants!R527=0,"",BaseCoalPlants!R527)</f>
        <v/>
      </c>
      <c r="T486" s="1" t="str">
        <f>IF(BaseCoalPlants!S527=0,"",BaseCoalPlants!S527)</f>
        <v/>
      </c>
      <c r="U486" s="1" t="str">
        <f>IF(BaseCoalPlants!T527=0,"",BaseCoalPlants!T527)</f>
        <v/>
      </c>
      <c r="V486" s="1" t="str">
        <f>IF(BaseCoalPlants!U527=0,"",BaseCoalPlants!U527)</f>
        <v/>
      </c>
    </row>
    <row r="487" spans="3:22" x14ac:dyDescent="0.35">
      <c r="C487">
        <f>IF(BaseCoalPlants!B528="VDA_FLOP",IF(BaseCoalPlants!D528="ELC","*","INPUT"),BaseCoalPlants!B528)</f>
        <v>0</v>
      </c>
      <c r="D487" t="str">
        <f>IF(BaseCoalPlants!C528="","\I:",BaseCoalPlants!C528&amp;"_LE")</f>
        <v>\I:</v>
      </c>
      <c r="E487">
        <f>IF(BaseCoalPlants!D528="-","",BaseCoalPlants!D528)</f>
        <v>0</v>
      </c>
      <c r="F487">
        <f>IF(BaseCoalPlants!E528="-","",BaseCoalPlants!E528)</f>
        <v>0</v>
      </c>
      <c r="G487">
        <f>IF(BaseCoalPlants!F528="-","",BaseCoalPlants!F528)</f>
        <v>0</v>
      </c>
      <c r="H487">
        <f>IF(BaseCoalPlants!G528="-","",BaseCoalPlants!G528)</f>
        <v>0</v>
      </c>
      <c r="I487">
        <f>IF(BaseCoalPlants!H528="-","",BaseCoalPlants!H528)</f>
        <v>0</v>
      </c>
      <c r="J487">
        <f>IF(BaseCoalPlants!I528="-","",BaseCoalPlants!I528)</f>
        <v>0</v>
      </c>
      <c r="K487">
        <f>IF(BaseCoalPlants!J528="-","",BaseCoalPlants!J528)</f>
        <v>0</v>
      </c>
      <c r="L487">
        <f>IF(BaseCoalPlants!K528="-","",BaseCoalPlants!K528)</f>
        <v>0</v>
      </c>
      <c r="M487" s="1" t="str">
        <f>IF(BaseCoalPlants!L528=0,"",BaseCoalPlants!L528)</f>
        <v/>
      </c>
      <c r="N487" s="1" t="str">
        <f>IF(BaseCoalPlants!M528=0,"",BaseCoalPlants!M528)</f>
        <v/>
      </c>
      <c r="O487" s="1" t="str">
        <f>IF(BaseCoalPlants!N528=0,"",BaseCoalPlants!N528)</f>
        <v/>
      </c>
      <c r="P487" s="1" t="str">
        <f>IF(BaseCoalPlants!O528=0,"",BaseCoalPlants!O528)</f>
        <v/>
      </c>
      <c r="Q487" s="1" t="str">
        <f>IF(BaseCoalPlants!P528=0,"",BaseCoalPlants!P528)</f>
        <v/>
      </c>
      <c r="R487" s="1" t="str">
        <f>IF(BaseCoalPlants!Q528=0,"",BaseCoalPlants!Q528)</f>
        <v/>
      </c>
      <c r="S487" s="1" t="str">
        <f>IF(BaseCoalPlants!R528=0,"",BaseCoalPlants!R528)</f>
        <v/>
      </c>
      <c r="T487" s="1" t="str">
        <f>IF(BaseCoalPlants!S528=0,"",BaseCoalPlants!S528)</f>
        <v/>
      </c>
      <c r="U487" s="1" t="str">
        <f>IF(BaseCoalPlants!T528=0,"",BaseCoalPlants!T528)</f>
        <v/>
      </c>
      <c r="V487" s="1" t="str">
        <f>IF(BaseCoalPlants!U528=0,"",BaseCoalPlants!U528)</f>
        <v/>
      </c>
    </row>
    <row r="488" spans="3:22" x14ac:dyDescent="0.35">
      <c r="C488">
        <f>IF(BaseCoalPlants!B529="VDA_FLOP",IF(BaseCoalPlants!D529="ELC","*","INPUT"),BaseCoalPlants!B529)</f>
        <v>0</v>
      </c>
      <c r="D488" t="str">
        <f>IF(BaseCoalPlants!C529="","\I:",BaseCoalPlants!C529&amp;"_LE")</f>
        <v>\I:</v>
      </c>
      <c r="E488">
        <f>IF(BaseCoalPlants!D529="-","",BaseCoalPlants!D529)</f>
        <v>0</v>
      </c>
      <c r="F488">
        <f>IF(BaseCoalPlants!E529="-","",BaseCoalPlants!E529)</f>
        <v>0</v>
      </c>
      <c r="G488">
        <f>IF(BaseCoalPlants!F529="-","",BaseCoalPlants!F529)</f>
        <v>0</v>
      </c>
      <c r="H488">
        <f>IF(BaseCoalPlants!G529="-","",BaseCoalPlants!G529)</f>
        <v>0</v>
      </c>
      <c r="I488">
        <f>IF(BaseCoalPlants!H529="-","",BaseCoalPlants!H529)</f>
        <v>0</v>
      </c>
      <c r="J488">
        <f>IF(BaseCoalPlants!I529="-","",BaseCoalPlants!I529)</f>
        <v>0</v>
      </c>
      <c r="K488">
        <f>IF(BaseCoalPlants!J529="-","",BaseCoalPlants!J529)</f>
        <v>0</v>
      </c>
      <c r="L488">
        <f>IF(BaseCoalPlants!K529="-","",BaseCoalPlants!K529)</f>
        <v>0</v>
      </c>
      <c r="M488" s="1" t="str">
        <f>IF(BaseCoalPlants!L529=0,"",BaseCoalPlants!L529)</f>
        <v/>
      </c>
      <c r="N488" s="1" t="str">
        <f>IF(BaseCoalPlants!M529=0,"",BaseCoalPlants!M529)</f>
        <v/>
      </c>
      <c r="O488" s="1" t="str">
        <f>IF(BaseCoalPlants!N529=0,"",BaseCoalPlants!N529)</f>
        <v/>
      </c>
      <c r="P488" s="1" t="str">
        <f>IF(BaseCoalPlants!O529=0,"",BaseCoalPlants!O529)</f>
        <v/>
      </c>
      <c r="Q488" s="1" t="str">
        <f>IF(BaseCoalPlants!P529=0,"",BaseCoalPlants!P529)</f>
        <v/>
      </c>
      <c r="R488" s="1" t="str">
        <f>IF(BaseCoalPlants!Q529=0,"",BaseCoalPlants!Q529)</f>
        <v/>
      </c>
      <c r="S488" s="1" t="str">
        <f>IF(BaseCoalPlants!R529=0,"",BaseCoalPlants!R529)</f>
        <v/>
      </c>
      <c r="T488" s="1" t="str">
        <f>IF(BaseCoalPlants!S529=0,"",BaseCoalPlants!S529)</f>
        <v/>
      </c>
      <c r="U488" s="1" t="str">
        <f>IF(BaseCoalPlants!T529=0,"",BaseCoalPlants!T529)</f>
        <v/>
      </c>
      <c r="V488" s="1" t="str">
        <f>IF(BaseCoalPlants!U529=0,"",BaseCoalPlants!U529)</f>
        <v/>
      </c>
    </row>
    <row r="489" spans="3:22" x14ac:dyDescent="0.35">
      <c r="C489">
        <f>IF(BaseCoalPlants!B530="VDA_FLOP",IF(BaseCoalPlants!D530="ELC","*","INPUT"),BaseCoalPlants!B530)</f>
        <v>0</v>
      </c>
      <c r="D489" t="str">
        <f>IF(BaseCoalPlants!C530="","\I:",BaseCoalPlants!C530&amp;"_LE")</f>
        <v>\I:</v>
      </c>
      <c r="E489">
        <f>IF(BaseCoalPlants!D530="-","",BaseCoalPlants!D530)</f>
        <v>0</v>
      </c>
      <c r="F489">
        <f>IF(BaseCoalPlants!E530="-","",BaseCoalPlants!E530)</f>
        <v>0</v>
      </c>
      <c r="G489">
        <f>IF(BaseCoalPlants!F530="-","",BaseCoalPlants!F530)</f>
        <v>0</v>
      </c>
      <c r="H489">
        <f>IF(BaseCoalPlants!G530="-","",BaseCoalPlants!G530)</f>
        <v>0</v>
      </c>
      <c r="I489">
        <f>IF(BaseCoalPlants!H530="-","",BaseCoalPlants!H530)</f>
        <v>0</v>
      </c>
      <c r="J489">
        <f>IF(BaseCoalPlants!I530="-","",BaseCoalPlants!I530)</f>
        <v>0</v>
      </c>
      <c r="K489">
        <f>IF(BaseCoalPlants!J530="-","",BaseCoalPlants!J530)</f>
        <v>0</v>
      </c>
      <c r="L489">
        <f>IF(BaseCoalPlants!K530="-","",BaseCoalPlants!K530)</f>
        <v>0</v>
      </c>
      <c r="M489" s="1" t="str">
        <f>IF(BaseCoalPlants!L530=0,"",BaseCoalPlants!L530)</f>
        <v/>
      </c>
      <c r="N489" s="1" t="str">
        <f>IF(BaseCoalPlants!M530=0,"",BaseCoalPlants!M530)</f>
        <v/>
      </c>
      <c r="O489" s="1" t="str">
        <f>IF(BaseCoalPlants!N530=0,"",BaseCoalPlants!N530)</f>
        <v/>
      </c>
      <c r="P489" s="1" t="str">
        <f>IF(BaseCoalPlants!O530=0,"",BaseCoalPlants!O530)</f>
        <v/>
      </c>
      <c r="Q489" s="1" t="str">
        <f>IF(BaseCoalPlants!P530=0,"",BaseCoalPlants!P530)</f>
        <v/>
      </c>
      <c r="R489" s="1" t="str">
        <f>IF(BaseCoalPlants!Q530=0,"",BaseCoalPlants!Q530)</f>
        <v/>
      </c>
      <c r="S489" s="1" t="str">
        <f>IF(BaseCoalPlants!R530=0,"",BaseCoalPlants!R530)</f>
        <v/>
      </c>
      <c r="T489" s="1" t="str">
        <f>IF(BaseCoalPlants!S530=0,"",BaseCoalPlants!S530)</f>
        <v/>
      </c>
      <c r="U489" s="1" t="str">
        <f>IF(BaseCoalPlants!T530=0,"",BaseCoalPlants!T530)</f>
        <v/>
      </c>
      <c r="V489" s="1" t="str">
        <f>IF(BaseCoalPlants!U530=0,"",BaseCoalPlants!U530)</f>
        <v/>
      </c>
    </row>
    <row r="490" spans="3:22" x14ac:dyDescent="0.35">
      <c r="C490">
        <f>IF(BaseCoalPlants!B531="VDA_FLOP",IF(BaseCoalPlants!D531="ELC","*","INPUT"),BaseCoalPlants!B531)</f>
        <v>0</v>
      </c>
      <c r="D490" t="str">
        <f>IF(BaseCoalPlants!C531="","\I:",BaseCoalPlants!C531&amp;"_LE")</f>
        <v>\I:</v>
      </c>
      <c r="E490">
        <f>IF(BaseCoalPlants!D531="-","",BaseCoalPlants!D531)</f>
        <v>0</v>
      </c>
      <c r="F490">
        <f>IF(BaseCoalPlants!E531="-","",BaseCoalPlants!E531)</f>
        <v>0</v>
      </c>
      <c r="G490">
        <f>IF(BaseCoalPlants!F531="-","",BaseCoalPlants!F531)</f>
        <v>0</v>
      </c>
      <c r="H490">
        <f>IF(BaseCoalPlants!G531="-","",BaseCoalPlants!G531)</f>
        <v>0</v>
      </c>
      <c r="I490">
        <f>IF(BaseCoalPlants!H531="-","",BaseCoalPlants!H531)</f>
        <v>0</v>
      </c>
      <c r="J490">
        <f>IF(BaseCoalPlants!I531="-","",BaseCoalPlants!I531)</f>
        <v>0</v>
      </c>
      <c r="K490">
        <f>IF(BaseCoalPlants!J531="-","",BaseCoalPlants!J531)</f>
        <v>0</v>
      </c>
      <c r="L490">
        <f>IF(BaseCoalPlants!K531="-","",BaseCoalPlants!K531)</f>
        <v>0</v>
      </c>
      <c r="M490" s="1" t="str">
        <f>IF(BaseCoalPlants!L531=0,"",BaseCoalPlants!L531)</f>
        <v/>
      </c>
      <c r="N490" s="1" t="str">
        <f>IF(BaseCoalPlants!M531=0,"",BaseCoalPlants!M531)</f>
        <v/>
      </c>
      <c r="O490" s="1" t="str">
        <f>IF(BaseCoalPlants!N531=0,"",BaseCoalPlants!N531)</f>
        <v/>
      </c>
      <c r="P490" s="1" t="str">
        <f>IF(BaseCoalPlants!O531=0,"",BaseCoalPlants!O531)</f>
        <v/>
      </c>
      <c r="Q490" s="1" t="str">
        <f>IF(BaseCoalPlants!P531=0,"",BaseCoalPlants!P531)</f>
        <v/>
      </c>
      <c r="R490" s="1" t="str">
        <f>IF(BaseCoalPlants!Q531=0,"",BaseCoalPlants!Q531)</f>
        <v/>
      </c>
      <c r="S490" s="1" t="str">
        <f>IF(BaseCoalPlants!R531=0,"",BaseCoalPlants!R531)</f>
        <v/>
      </c>
      <c r="T490" s="1" t="str">
        <f>IF(BaseCoalPlants!S531=0,"",BaseCoalPlants!S531)</f>
        <v/>
      </c>
      <c r="U490" s="1" t="str">
        <f>IF(BaseCoalPlants!T531=0,"",BaseCoalPlants!T531)</f>
        <v/>
      </c>
      <c r="V490" s="1" t="str">
        <f>IF(BaseCoalPlants!U531=0,"",BaseCoalPlants!U531)</f>
        <v/>
      </c>
    </row>
    <row r="491" spans="3:22" x14ac:dyDescent="0.35">
      <c r="C491">
        <f>IF(BaseCoalPlants!B532="VDA_FLOP",IF(BaseCoalPlants!D532="ELC","*","INPUT"),BaseCoalPlants!B532)</f>
        <v>0</v>
      </c>
      <c r="D491" t="str">
        <f>IF(BaseCoalPlants!C532="","\I:",BaseCoalPlants!C532&amp;"_LE")</f>
        <v>\I:</v>
      </c>
      <c r="E491">
        <f>IF(BaseCoalPlants!D532="-","",BaseCoalPlants!D532)</f>
        <v>0</v>
      </c>
      <c r="F491">
        <f>IF(BaseCoalPlants!E532="-","",BaseCoalPlants!E532)</f>
        <v>0</v>
      </c>
      <c r="G491">
        <f>IF(BaseCoalPlants!F532="-","",BaseCoalPlants!F532)</f>
        <v>0</v>
      </c>
      <c r="H491">
        <f>IF(BaseCoalPlants!G532="-","",BaseCoalPlants!G532)</f>
        <v>0</v>
      </c>
      <c r="I491">
        <f>IF(BaseCoalPlants!H532="-","",BaseCoalPlants!H532)</f>
        <v>0</v>
      </c>
      <c r="J491">
        <f>IF(BaseCoalPlants!I532="-","",BaseCoalPlants!I532)</f>
        <v>0</v>
      </c>
      <c r="K491">
        <f>IF(BaseCoalPlants!J532="-","",BaseCoalPlants!J532)</f>
        <v>0</v>
      </c>
      <c r="L491">
        <f>IF(BaseCoalPlants!K532="-","",BaseCoalPlants!K532)</f>
        <v>0</v>
      </c>
      <c r="M491" s="1" t="str">
        <f>IF(BaseCoalPlants!L532=0,"",BaseCoalPlants!L532)</f>
        <v/>
      </c>
      <c r="N491" s="1" t="str">
        <f>IF(BaseCoalPlants!M532=0,"",BaseCoalPlants!M532)</f>
        <v/>
      </c>
      <c r="O491" s="1" t="str">
        <f>IF(BaseCoalPlants!N532=0,"",BaseCoalPlants!N532)</f>
        <v/>
      </c>
      <c r="P491" s="1" t="str">
        <f>IF(BaseCoalPlants!O532=0,"",BaseCoalPlants!O532)</f>
        <v/>
      </c>
      <c r="Q491" s="1" t="str">
        <f>IF(BaseCoalPlants!P532=0,"",BaseCoalPlants!P532)</f>
        <v/>
      </c>
      <c r="R491" s="1" t="str">
        <f>IF(BaseCoalPlants!Q532=0,"",BaseCoalPlants!Q532)</f>
        <v/>
      </c>
      <c r="S491" s="1" t="str">
        <f>IF(BaseCoalPlants!R532=0,"",BaseCoalPlants!R532)</f>
        <v/>
      </c>
      <c r="T491" s="1" t="str">
        <f>IF(BaseCoalPlants!S532=0,"",BaseCoalPlants!S532)</f>
        <v/>
      </c>
      <c r="U491" s="1" t="str">
        <f>IF(BaseCoalPlants!T532=0,"",BaseCoalPlants!T532)</f>
        <v/>
      </c>
      <c r="V491" s="1" t="str">
        <f>IF(BaseCoalPlants!U532=0,"",BaseCoalPlants!U532)</f>
        <v/>
      </c>
    </row>
    <row r="492" spans="3:22" x14ac:dyDescent="0.35">
      <c r="C492">
        <f>IF(BaseCoalPlants!B533="VDA_FLOP",IF(BaseCoalPlants!D533="ELC","*","INPUT"),BaseCoalPlants!B533)</f>
        <v>0</v>
      </c>
      <c r="D492" t="str">
        <f>IF(BaseCoalPlants!C533="","\I:",BaseCoalPlants!C533&amp;"_LE")</f>
        <v>\I:</v>
      </c>
      <c r="E492">
        <f>IF(BaseCoalPlants!D533="-","",BaseCoalPlants!D533)</f>
        <v>0</v>
      </c>
      <c r="F492">
        <f>IF(BaseCoalPlants!E533="-","",BaseCoalPlants!E533)</f>
        <v>0</v>
      </c>
      <c r="G492">
        <f>IF(BaseCoalPlants!F533="-","",BaseCoalPlants!F533)</f>
        <v>0</v>
      </c>
      <c r="H492">
        <f>IF(BaseCoalPlants!G533="-","",BaseCoalPlants!G533)</f>
        <v>0</v>
      </c>
      <c r="I492">
        <f>IF(BaseCoalPlants!H533="-","",BaseCoalPlants!H533)</f>
        <v>0</v>
      </c>
      <c r="J492">
        <f>IF(BaseCoalPlants!I533="-","",BaseCoalPlants!I533)</f>
        <v>0</v>
      </c>
      <c r="K492">
        <f>IF(BaseCoalPlants!J533="-","",BaseCoalPlants!J533)</f>
        <v>0</v>
      </c>
      <c r="L492">
        <f>IF(BaseCoalPlants!K533="-","",BaseCoalPlants!K533)</f>
        <v>0</v>
      </c>
      <c r="M492" s="1" t="str">
        <f>IF(BaseCoalPlants!L533=0,"",BaseCoalPlants!L533)</f>
        <v/>
      </c>
      <c r="N492" s="1" t="str">
        <f>IF(BaseCoalPlants!M533=0,"",BaseCoalPlants!M533)</f>
        <v/>
      </c>
      <c r="O492" s="1" t="str">
        <f>IF(BaseCoalPlants!N533=0,"",BaseCoalPlants!N533)</f>
        <v/>
      </c>
      <c r="P492" s="1" t="str">
        <f>IF(BaseCoalPlants!O533=0,"",BaseCoalPlants!O533)</f>
        <v/>
      </c>
      <c r="Q492" s="1" t="str">
        <f>IF(BaseCoalPlants!P533=0,"",BaseCoalPlants!P533)</f>
        <v/>
      </c>
      <c r="R492" s="1" t="str">
        <f>IF(BaseCoalPlants!Q533=0,"",BaseCoalPlants!Q533)</f>
        <v/>
      </c>
      <c r="S492" s="1" t="str">
        <f>IF(BaseCoalPlants!R533=0,"",BaseCoalPlants!R533)</f>
        <v/>
      </c>
      <c r="T492" s="1" t="str">
        <f>IF(BaseCoalPlants!S533=0,"",BaseCoalPlants!S533)</f>
        <v/>
      </c>
      <c r="U492" s="1" t="str">
        <f>IF(BaseCoalPlants!T533=0,"",BaseCoalPlants!T533)</f>
        <v/>
      </c>
      <c r="V492" s="1" t="str">
        <f>IF(BaseCoalPlants!U533=0,"",BaseCoalPlants!U533)</f>
        <v/>
      </c>
    </row>
    <row r="493" spans="3:22" x14ac:dyDescent="0.35">
      <c r="C493">
        <f>IF(BaseCoalPlants!B534="VDA_FLOP",IF(BaseCoalPlants!D534="ELC","*","INPUT"),BaseCoalPlants!B534)</f>
        <v>0</v>
      </c>
      <c r="D493" t="str">
        <f>IF(BaseCoalPlants!C534="","\I:",BaseCoalPlants!C534&amp;"_LE")</f>
        <v>\I:</v>
      </c>
      <c r="E493">
        <f>IF(BaseCoalPlants!D534="-","",BaseCoalPlants!D534)</f>
        <v>0</v>
      </c>
      <c r="F493">
        <f>IF(BaseCoalPlants!E534="-","",BaseCoalPlants!E534)</f>
        <v>0</v>
      </c>
      <c r="G493">
        <f>IF(BaseCoalPlants!F534="-","",BaseCoalPlants!F534)</f>
        <v>0</v>
      </c>
      <c r="H493">
        <f>IF(BaseCoalPlants!G534="-","",BaseCoalPlants!G534)</f>
        <v>0</v>
      </c>
      <c r="I493">
        <f>IF(BaseCoalPlants!H534="-","",BaseCoalPlants!H534)</f>
        <v>0</v>
      </c>
      <c r="J493">
        <f>IF(BaseCoalPlants!I534="-","",BaseCoalPlants!I534)</f>
        <v>0</v>
      </c>
      <c r="K493">
        <f>IF(BaseCoalPlants!J534="-","",BaseCoalPlants!J534)</f>
        <v>0</v>
      </c>
      <c r="L493">
        <f>IF(BaseCoalPlants!K534="-","",BaseCoalPlants!K534)</f>
        <v>0</v>
      </c>
      <c r="M493" s="1" t="str">
        <f>IF(BaseCoalPlants!L534=0,"",BaseCoalPlants!L534)</f>
        <v/>
      </c>
      <c r="N493" s="1" t="str">
        <f>IF(BaseCoalPlants!M534=0,"",BaseCoalPlants!M534)</f>
        <v/>
      </c>
      <c r="O493" s="1" t="str">
        <f>IF(BaseCoalPlants!N534=0,"",BaseCoalPlants!N534)</f>
        <v/>
      </c>
      <c r="P493" s="1" t="str">
        <f>IF(BaseCoalPlants!O534=0,"",BaseCoalPlants!O534)</f>
        <v/>
      </c>
      <c r="Q493" s="1" t="str">
        <f>IF(BaseCoalPlants!P534=0,"",BaseCoalPlants!P534)</f>
        <v/>
      </c>
      <c r="R493" s="1" t="str">
        <f>IF(BaseCoalPlants!Q534=0,"",BaseCoalPlants!Q534)</f>
        <v/>
      </c>
      <c r="S493" s="1" t="str">
        <f>IF(BaseCoalPlants!R534=0,"",BaseCoalPlants!R534)</f>
        <v/>
      </c>
      <c r="T493" s="1" t="str">
        <f>IF(BaseCoalPlants!S534=0,"",BaseCoalPlants!S534)</f>
        <v/>
      </c>
      <c r="U493" s="1" t="str">
        <f>IF(BaseCoalPlants!T534=0,"",BaseCoalPlants!T534)</f>
        <v/>
      </c>
      <c r="V493" s="1" t="str">
        <f>IF(BaseCoalPlants!U534=0,"",BaseCoalPlants!U534)</f>
        <v/>
      </c>
    </row>
    <row r="494" spans="3:22" x14ac:dyDescent="0.35">
      <c r="C494">
        <f>IF(BaseCoalPlants!B535="VDA_FLOP",IF(BaseCoalPlants!D535="ELC","*","INPUT"),BaseCoalPlants!B535)</f>
        <v>0</v>
      </c>
      <c r="D494" t="str">
        <f>IF(BaseCoalPlants!C535="","\I:",BaseCoalPlants!C535&amp;"_LE")</f>
        <v>\I:</v>
      </c>
      <c r="E494">
        <f>IF(BaseCoalPlants!D535="-","",BaseCoalPlants!D535)</f>
        <v>0</v>
      </c>
      <c r="F494">
        <f>IF(BaseCoalPlants!E535="-","",BaseCoalPlants!E535)</f>
        <v>0</v>
      </c>
      <c r="G494">
        <f>IF(BaseCoalPlants!F535="-","",BaseCoalPlants!F535)</f>
        <v>0</v>
      </c>
      <c r="H494">
        <f>IF(BaseCoalPlants!G535="-","",BaseCoalPlants!G535)</f>
        <v>0</v>
      </c>
      <c r="I494">
        <f>IF(BaseCoalPlants!H535="-","",BaseCoalPlants!H535)</f>
        <v>0</v>
      </c>
      <c r="J494">
        <f>IF(BaseCoalPlants!I535="-","",BaseCoalPlants!I535)</f>
        <v>0</v>
      </c>
      <c r="K494">
        <f>IF(BaseCoalPlants!J535="-","",BaseCoalPlants!J535)</f>
        <v>0</v>
      </c>
      <c r="L494">
        <f>IF(BaseCoalPlants!K535="-","",BaseCoalPlants!K535)</f>
        <v>0</v>
      </c>
      <c r="M494" s="1" t="str">
        <f>IF(BaseCoalPlants!L535=0,"",BaseCoalPlants!L535)</f>
        <v/>
      </c>
      <c r="N494" s="1" t="str">
        <f>IF(BaseCoalPlants!M535=0,"",BaseCoalPlants!M535)</f>
        <v/>
      </c>
      <c r="O494" s="1" t="str">
        <f>IF(BaseCoalPlants!N535=0,"",BaseCoalPlants!N535)</f>
        <v/>
      </c>
      <c r="P494" s="1" t="str">
        <f>IF(BaseCoalPlants!O535=0,"",BaseCoalPlants!O535)</f>
        <v/>
      </c>
      <c r="Q494" s="1" t="str">
        <f>IF(BaseCoalPlants!P535=0,"",BaseCoalPlants!P535)</f>
        <v/>
      </c>
      <c r="R494" s="1" t="str">
        <f>IF(BaseCoalPlants!Q535=0,"",BaseCoalPlants!Q535)</f>
        <v/>
      </c>
      <c r="S494" s="1" t="str">
        <f>IF(BaseCoalPlants!R535=0,"",BaseCoalPlants!R535)</f>
        <v/>
      </c>
      <c r="T494" s="1" t="str">
        <f>IF(BaseCoalPlants!S535=0,"",BaseCoalPlants!S535)</f>
        <v/>
      </c>
      <c r="U494" s="1" t="str">
        <f>IF(BaseCoalPlants!T535=0,"",BaseCoalPlants!T535)</f>
        <v/>
      </c>
      <c r="V494" s="1" t="str">
        <f>IF(BaseCoalPlants!U535=0,"",BaseCoalPlants!U535)</f>
        <v/>
      </c>
    </row>
    <row r="495" spans="3:22" x14ac:dyDescent="0.35">
      <c r="C495">
        <f>IF(BaseCoalPlants!B536="VDA_FLOP",IF(BaseCoalPlants!D536="ELC","*","INPUT"),BaseCoalPlants!B536)</f>
        <v>0</v>
      </c>
      <c r="D495" t="str">
        <f>IF(BaseCoalPlants!C536="","\I:",BaseCoalPlants!C536&amp;"_LE")</f>
        <v>\I:</v>
      </c>
      <c r="E495">
        <f>IF(BaseCoalPlants!D536="-","",BaseCoalPlants!D536)</f>
        <v>0</v>
      </c>
      <c r="F495">
        <f>IF(BaseCoalPlants!E536="-","",BaseCoalPlants!E536)</f>
        <v>0</v>
      </c>
      <c r="G495">
        <f>IF(BaseCoalPlants!F536="-","",BaseCoalPlants!F536)</f>
        <v>0</v>
      </c>
      <c r="H495">
        <f>IF(BaseCoalPlants!G536="-","",BaseCoalPlants!G536)</f>
        <v>0</v>
      </c>
      <c r="I495">
        <f>IF(BaseCoalPlants!H536="-","",BaseCoalPlants!H536)</f>
        <v>0</v>
      </c>
      <c r="J495">
        <f>IF(BaseCoalPlants!I536="-","",BaseCoalPlants!I536)</f>
        <v>0</v>
      </c>
      <c r="K495">
        <f>IF(BaseCoalPlants!J536="-","",BaseCoalPlants!J536)</f>
        <v>0</v>
      </c>
      <c r="L495">
        <f>IF(BaseCoalPlants!K536="-","",BaseCoalPlants!K536)</f>
        <v>0</v>
      </c>
      <c r="M495" s="1" t="str">
        <f>IF(BaseCoalPlants!L536=0,"",BaseCoalPlants!L536)</f>
        <v/>
      </c>
      <c r="N495" s="1" t="str">
        <f>IF(BaseCoalPlants!M536=0,"",BaseCoalPlants!M536)</f>
        <v/>
      </c>
      <c r="O495" s="1" t="str">
        <f>IF(BaseCoalPlants!N536=0,"",BaseCoalPlants!N536)</f>
        <v/>
      </c>
      <c r="P495" s="1" t="str">
        <f>IF(BaseCoalPlants!O536=0,"",BaseCoalPlants!O536)</f>
        <v/>
      </c>
      <c r="Q495" s="1" t="str">
        <f>IF(BaseCoalPlants!P536=0,"",BaseCoalPlants!P536)</f>
        <v/>
      </c>
      <c r="R495" s="1" t="str">
        <f>IF(BaseCoalPlants!Q536=0,"",BaseCoalPlants!Q536)</f>
        <v/>
      </c>
      <c r="S495" s="1" t="str">
        <f>IF(BaseCoalPlants!R536=0,"",BaseCoalPlants!R536)</f>
        <v/>
      </c>
      <c r="T495" s="1" t="str">
        <f>IF(BaseCoalPlants!S536=0,"",BaseCoalPlants!S536)</f>
        <v/>
      </c>
      <c r="U495" s="1" t="str">
        <f>IF(BaseCoalPlants!T536=0,"",BaseCoalPlants!T536)</f>
        <v/>
      </c>
      <c r="V495" s="1" t="str">
        <f>IF(BaseCoalPlants!U536=0,"",BaseCoalPlants!U536)</f>
        <v/>
      </c>
    </row>
    <row r="496" spans="3:22" x14ac:dyDescent="0.35">
      <c r="C496">
        <f>IF(BaseCoalPlants!B537="VDA_FLOP",IF(BaseCoalPlants!D537="ELC","*","INPUT"),BaseCoalPlants!B537)</f>
        <v>0</v>
      </c>
      <c r="D496" t="str">
        <f>IF(BaseCoalPlants!C537="","\I:",BaseCoalPlants!C537&amp;"_LE")</f>
        <v>\I:</v>
      </c>
      <c r="E496">
        <f>IF(BaseCoalPlants!D537="-","",BaseCoalPlants!D537)</f>
        <v>0</v>
      </c>
      <c r="F496">
        <f>IF(BaseCoalPlants!E537="-","",BaseCoalPlants!E537)</f>
        <v>0</v>
      </c>
      <c r="G496">
        <f>IF(BaseCoalPlants!F537="-","",BaseCoalPlants!F537)</f>
        <v>0</v>
      </c>
      <c r="H496">
        <f>IF(BaseCoalPlants!G537="-","",BaseCoalPlants!G537)</f>
        <v>0</v>
      </c>
      <c r="I496">
        <f>IF(BaseCoalPlants!H537="-","",BaseCoalPlants!H537)</f>
        <v>0</v>
      </c>
      <c r="J496">
        <f>IF(BaseCoalPlants!I537="-","",BaseCoalPlants!I537)</f>
        <v>0</v>
      </c>
      <c r="K496">
        <f>IF(BaseCoalPlants!J537="-","",BaseCoalPlants!J537)</f>
        <v>0</v>
      </c>
      <c r="L496">
        <f>IF(BaseCoalPlants!K537="-","",BaseCoalPlants!K537)</f>
        <v>0</v>
      </c>
      <c r="M496" s="1" t="str">
        <f>IF(BaseCoalPlants!L537=0,"",BaseCoalPlants!L537)</f>
        <v/>
      </c>
      <c r="N496" s="1" t="str">
        <f>IF(BaseCoalPlants!M537=0,"",BaseCoalPlants!M537)</f>
        <v/>
      </c>
      <c r="O496" s="1" t="str">
        <f>IF(BaseCoalPlants!N537=0,"",BaseCoalPlants!N537)</f>
        <v/>
      </c>
      <c r="P496" s="1" t="str">
        <f>IF(BaseCoalPlants!O537=0,"",BaseCoalPlants!O537)</f>
        <v/>
      </c>
      <c r="Q496" s="1" t="str">
        <f>IF(BaseCoalPlants!P537=0,"",BaseCoalPlants!P537)</f>
        <v/>
      </c>
      <c r="R496" s="1" t="str">
        <f>IF(BaseCoalPlants!Q537=0,"",BaseCoalPlants!Q537)</f>
        <v/>
      </c>
      <c r="S496" s="1" t="str">
        <f>IF(BaseCoalPlants!R537=0,"",BaseCoalPlants!R537)</f>
        <v/>
      </c>
      <c r="T496" s="1" t="str">
        <f>IF(BaseCoalPlants!S537=0,"",BaseCoalPlants!S537)</f>
        <v/>
      </c>
      <c r="U496" s="1" t="str">
        <f>IF(BaseCoalPlants!T537=0,"",BaseCoalPlants!T537)</f>
        <v/>
      </c>
      <c r="V496" s="1" t="str">
        <f>IF(BaseCoalPlants!U537=0,"",BaseCoalPlants!U537)</f>
        <v/>
      </c>
    </row>
    <row r="497" spans="3:22" x14ac:dyDescent="0.35">
      <c r="C497">
        <f>IF(BaseCoalPlants!B538="VDA_FLOP",IF(BaseCoalPlants!D538="ELC","*","INPUT"),BaseCoalPlants!B538)</f>
        <v>0</v>
      </c>
      <c r="D497" t="str">
        <f>IF(BaseCoalPlants!C538="","\I:",BaseCoalPlants!C538&amp;"_LE")</f>
        <v>\I:</v>
      </c>
      <c r="E497">
        <f>IF(BaseCoalPlants!D538="-","",BaseCoalPlants!D538)</f>
        <v>0</v>
      </c>
      <c r="F497">
        <f>IF(BaseCoalPlants!E538="-","",BaseCoalPlants!E538)</f>
        <v>0</v>
      </c>
      <c r="G497">
        <f>IF(BaseCoalPlants!F538="-","",BaseCoalPlants!F538)</f>
        <v>0</v>
      </c>
      <c r="H497">
        <f>IF(BaseCoalPlants!G538="-","",BaseCoalPlants!G538)</f>
        <v>0</v>
      </c>
      <c r="I497">
        <f>IF(BaseCoalPlants!H538="-","",BaseCoalPlants!H538)</f>
        <v>0</v>
      </c>
      <c r="J497">
        <f>IF(BaseCoalPlants!I538="-","",BaseCoalPlants!I538)</f>
        <v>0</v>
      </c>
      <c r="K497">
        <f>IF(BaseCoalPlants!J538="-","",BaseCoalPlants!J538)</f>
        <v>0</v>
      </c>
      <c r="L497">
        <f>IF(BaseCoalPlants!K538="-","",BaseCoalPlants!K538)</f>
        <v>0</v>
      </c>
      <c r="M497" s="1" t="str">
        <f>IF(BaseCoalPlants!L538=0,"",BaseCoalPlants!L538)</f>
        <v/>
      </c>
      <c r="N497" s="1" t="str">
        <f>IF(BaseCoalPlants!M538=0,"",BaseCoalPlants!M538)</f>
        <v/>
      </c>
      <c r="O497" s="1" t="str">
        <f>IF(BaseCoalPlants!N538=0,"",BaseCoalPlants!N538)</f>
        <v/>
      </c>
      <c r="P497" s="1" t="str">
        <f>IF(BaseCoalPlants!O538=0,"",BaseCoalPlants!O538)</f>
        <v/>
      </c>
      <c r="Q497" s="1" t="str">
        <f>IF(BaseCoalPlants!P538=0,"",BaseCoalPlants!P538)</f>
        <v/>
      </c>
      <c r="R497" s="1" t="str">
        <f>IF(BaseCoalPlants!Q538=0,"",BaseCoalPlants!Q538)</f>
        <v/>
      </c>
      <c r="S497" s="1" t="str">
        <f>IF(BaseCoalPlants!R538=0,"",BaseCoalPlants!R538)</f>
        <v/>
      </c>
      <c r="T497" s="1" t="str">
        <f>IF(BaseCoalPlants!S538=0,"",BaseCoalPlants!S538)</f>
        <v/>
      </c>
      <c r="U497" s="1" t="str">
        <f>IF(BaseCoalPlants!T538=0,"",BaseCoalPlants!T538)</f>
        <v/>
      </c>
      <c r="V497" s="1" t="str">
        <f>IF(BaseCoalPlants!U538=0,"",BaseCoalPlants!U538)</f>
        <v/>
      </c>
    </row>
    <row r="498" spans="3:22" x14ac:dyDescent="0.35">
      <c r="C498">
        <f>IF(BaseCoalPlants!B539="VDA_FLOP",IF(BaseCoalPlants!D539="ELC","*","INPUT"),BaseCoalPlants!B539)</f>
        <v>0</v>
      </c>
      <c r="D498" t="str">
        <f>IF(BaseCoalPlants!C539="","\I:",BaseCoalPlants!C539&amp;"_LE")</f>
        <v>\I:</v>
      </c>
      <c r="E498">
        <f>IF(BaseCoalPlants!D539="-","",BaseCoalPlants!D539)</f>
        <v>0</v>
      </c>
      <c r="F498">
        <f>IF(BaseCoalPlants!E539="-","",BaseCoalPlants!E539)</f>
        <v>0</v>
      </c>
      <c r="G498">
        <f>IF(BaseCoalPlants!F539="-","",BaseCoalPlants!F539)</f>
        <v>0</v>
      </c>
      <c r="H498">
        <f>IF(BaseCoalPlants!G539="-","",BaseCoalPlants!G539)</f>
        <v>0</v>
      </c>
      <c r="I498">
        <f>IF(BaseCoalPlants!H539="-","",BaseCoalPlants!H539)</f>
        <v>0</v>
      </c>
      <c r="J498">
        <f>IF(BaseCoalPlants!I539="-","",BaseCoalPlants!I539)</f>
        <v>0</v>
      </c>
      <c r="K498">
        <f>IF(BaseCoalPlants!J539="-","",BaseCoalPlants!J539)</f>
        <v>0</v>
      </c>
      <c r="L498">
        <f>IF(BaseCoalPlants!K539="-","",BaseCoalPlants!K539)</f>
        <v>0</v>
      </c>
      <c r="M498" s="1" t="str">
        <f>IF(BaseCoalPlants!L539=0,"",BaseCoalPlants!L539)</f>
        <v/>
      </c>
      <c r="N498" s="1" t="str">
        <f>IF(BaseCoalPlants!M539=0,"",BaseCoalPlants!M539)</f>
        <v/>
      </c>
      <c r="O498" s="1" t="str">
        <f>IF(BaseCoalPlants!N539=0,"",BaseCoalPlants!N539)</f>
        <v/>
      </c>
      <c r="P498" s="1" t="str">
        <f>IF(BaseCoalPlants!O539=0,"",BaseCoalPlants!O539)</f>
        <v/>
      </c>
      <c r="Q498" s="1" t="str">
        <f>IF(BaseCoalPlants!P539=0,"",BaseCoalPlants!P539)</f>
        <v/>
      </c>
      <c r="R498" s="1" t="str">
        <f>IF(BaseCoalPlants!Q539=0,"",BaseCoalPlants!Q539)</f>
        <v/>
      </c>
      <c r="S498" s="1" t="str">
        <f>IF(BaseCoalPlants!R539=0,"",BaseCoalPlants!R539)</f>
        <v/>
      </c>
      <c r="T498" s="1" t="str">
        <f>IF(BaseCoalPlants!S539=0,"",BaseCoalPlants!S539)</f>
        <v/>
      </c>
      <c r="U498" s="1" t="str">
        <f>IF(BaseCoalPlants!T539=0,"",BaseCoalPlants!T539)</f>
        <v/>
      </c>
      <c r="V498" s="1" t="str">
        <f>IF(BaseCoalPlants!U539=0,"",BaseCoalPlants!U539)</f>
        <v/>
      </c>
    </row>
    <row r="499" spans="3:22" x14ac:dyDescent="0.35">
      <c r="C499">
        <f>IF(BaseCoalPlants!B540="VDA_FLOP",IF(BaseCoalPlants!D540="ELC","*","INPUT"),BaseCoalPlants!B540)</f>
        <v>0</v>
      </c>
      <c r="D499" t="str">
        <f>IF(BaseCoalPlants!C540="","\I:",BaseCoalPlants!C540&amp;"_LE")</f>
        <v>\I:</v>
      </c>
      <c r="E499">
        <f>IF(BaseCoalPlants!D540="-","",BaseCoalPlants!D540)</f>
        <v>0</v>
      </c>
      <c r="F499">
        <f>IF(BaseCoalPlants!E540="-","",BaseCoalPlants!E540)</f>
        <v>0</v>
      </c>
      <c r="G499">
        <f>IF(BaseCoalPlants!F540="-","",BaseCoalPlants!F540)</f>
        <v>0</v>
      </c>
      <c r="H499">
        <f>IF(BaseCoalPlants!G540="-","",BaseCoalPlants!G540)</f>
        <v>0</v>
      </c>
      <c r="I499">
        <f>IF(BaseCoalPlants!H540="-","",BaseCoalPlants!H540)</f>
        <v>0</v>
      </c>
      <c r="J499">
        <f>IF(BaseCoalPlants!I540="-","",BaseCoalPlants!I540)</f>
        <v>0</v>
      </c>
      <c r="K499">
        <f>IF(BaseCoalPlants!J540="-","",BaseCoalPlants!J540)</f>
        <v>0</v>
      </c>
      <c r="L499">
        <f>IF(BaseCoalPlants!K540="-","",BaseCoalPlants!K540)</f>
        <v>0</v>
      </c>
      <c r="M499" s="1" t="str">
        <f>IF(BaseCoalPlants!L540=0,"",BaseCoalPlants!L540)</f>
        <v/>
      </c>
      <c r="N499" s="1" t="str">
        <f>IF(BaseCoalPlants!M540=0,"",BaseCoalPlants!M540)</f>
        <v/>
      </c>
      <c r="O499" s="1" t="str">
        <f>IF(BaseCoalPlants!N540=0,"",BaseCoalPlants!N540)</f>
        <v/>
      </c>
      <c r="P499" s="1" t="str">
        <f>IF(BaseCoalPlants!O540=0,"",BaseCoalPlants!O540)</f>
        <v/>
      </c>
      <c r="Q499" s="1" t="str">
        <f>IF(BaseCoalPlants!P540=0,"",BaseCoalPlants!P540)</f>
        <v/>
      </c>
      <c r="R499" s="1" t="str">
        <f>IF(BaseCoalPlants!Q540=0,"",BaseCoalPlants!Q540)</f>
        <v/>
      </c>
      <c r="S499" s="1" t="str">
        <f>IF(BaseCoalPlants!R540=0,"",BaseCoalPlants!R540)</f>
        <v/>
      </c>
      <c r="T499" s="1" t="str">
        <f>IF(BaseCoalPlants!S540=0,"",BaseCoalPlants!S540)</f>
        <v/>
      </c>
      <c r="U499" s="1" t="str">
        <f>IF(BaseCoalPlants!T540=0,"",BaseCoalPlants!T540)</f>
        <v/>
      </c>
      <c r="V499" s="1" t="str">
        <f>IF(BaseCoalPlants!U540=0,"",BaseCoalPlants!U540)</f>
        <v/>
      </c>
    </row>
    <row r="500" spans="3:22" x14ac:dyDescent="0.35">
      <c r="C500">
        <f>IF(BaseCoalPlants!B541="VDA_FLOP",IF(BaseCoalPlants!D541="ELC","*","INPUT"),BaseCoalPlants!B541)</f>
        <v>0</v>
      </c>
      <c r="D500" t="str">
        <f>IF(BaseCoalPlants!C541="","\I:",BaseCoalPlants!C541&amp;"_LE")</f>
        <v>\I:</v>
      </c>
      <c r="E500">
        <f>IF(BaseCoalPlants!D541="-","",BaseCoalPlants!D541)</f>
        <v>0</v>
      </c>
      <c r="F500">
        <f>IF(BaseCoalPlants!E541="-","",BaseCoalPlants!E541)</f>
        <v>0</v>
      </c>
      <c r="G500">
        <f>IF(BaseCoalPlants!F541="-","",BaseCoalPlants!F541)</f>
        <v>0</v>
      </c>
      <c r="H500">
        <f>IF(BaseCoalPlants!G541="-","",BaseCoalPlants!G541)</f>
        <v>0</v>
      </c>
      <c r="I500">
        <f>IF(BaseCoalPlants!H541="-","",BaseCoalPlants!H541)</f>
        <v>0</v>
      </c>
      <c r="J500">
        <f>IF(BaseCoalPlants!I541="-","",BaseCoalPlants!I541)</f>
        <v>0</v>
      </c>
      <c r="K500">
        <f>IF(BaseCoalPlants!J541="-","",BaseCoalPlants!J541)</f>
        <v>0</v>
      </c>
      <c r="L500">
        <f>IF(BaseCoalPlants!K541="-","",BaseCoalPlants!K541)</f>
        <v>0</v>
      </c>
      <c r="M500" s="1" t="str">
        <f>IF(BaseCoalPlants!L541=0,"",BaseCoalPlants!L541)</f>
        <v/>
      </c>
      <c r="N500" s="1" t="str">
        <f>IF(BaseCoalPlants!M541=0,"",BaseCoalPlants!M541)</f>
        <v/>
      </c>
      <c r="O500" s="1" t="str">
        <f>IF(BaseCoalPlants!N541=0,"",BaseCoalPlants!N541)</f>
        <v/>
      </c>
      <c r="P500" s="1" t="str">
        <f>IF(BaseCoalPlants!O541=0,"",BaseCoalPlants!O541)</f>
        <v/>
      </c>
      <c r="Q500" s="1" t="str">
        <f>IF(BaseCoalPlants!P541=0,"",BaseCoalPlants!P541)</f>
        <v/>
      </c>
      <c r="R500" s="1" t="str">
        <f>IF(BaseCoalPlants!Q541=0,"",BaseCoalPlants!Q541)</f>
        <v/>
      </c>
      <c r="S500" s="1" t="str">
        <f>IF(BaseCoalPlants!R541=0,"",BaseCoalPlants!R541)</f>
        <v/>
      </c>
      <c r="T500" s="1" t="str">
        <f>IF(BaseCoalPlants!S541=0,"",BaseCoalPlants!S541)</f>
        <v/>
      </c>
      <c r="U500" s="1" t="str">
        <f>IF(BaseCoalPlants!T541=0,"",BaseCoalPlants!T541)</f>
        <v/>
      </c>
      <c r="V500" s="1" t="str">
        <f>IF(BaseCoalPlants!U541=0,"",BaseCoalPlants!U541)</f>
        <v/>
      </c>
    </row>
    <row r="501" spans="3:22" x14ac:dyDescent="0.35">
      <c r="C501">
        <f>IF(BaseCoalPlants!B542="VDA_FLOP",IF(BaseCoalPlants!D542="ELC","*","INPUT"),BaseCoalPlants!B542)</f>
        <v>0</v>
      </c>
      <c r="D501" t="str">
        <f>IF(BaseCoalPlants!C542="","\I:",BaseCoalPlants!C542&amp;"_LE")</f>
        <v>\I:</v>
      </c>
      <c r="E501">
        <f>IF(BaseCoalPlants!D542="-","",BaseCoalPlants!D542)</f>
        <v>0</v>
      </c>
      <c r="F501">
        <f>IF(BaseCoalPlants!E542="-","",BaseCoalPlants!E542)</f>
        <v>0</v>
      </c>
      <c r="G501">
        <f>IF(BaseCoalPlants!F542="-","",BaseCoalPlants!F542)</f>
        <v>0</v>
      </c>
      <c r="H501">
        <f>IF(BaseCoalPlants!G542="-","",BaseCoalPlants!G542)</f>
        <v>0</v>
      </c>
      <c r="I501">
        <f>IF(BaseCoalPlants!H542="-","",BaseCoalPlants!H542)</f>
        <v>0</v>
      </c>
      <c r="J501">
        <f>IF(BaseCoalPlants!I542="-","",BaseCoalPlants!I542)</f>
        <v>0</v>
      </c>
      <c r="K501">
        <f>IF(BaseCoalPlants!J542="-","",BaseCoalPlants!J542)</f>
        <v>0</v>
      </c>
      <c r="L501">
        <f>IF(BaseCoalPlants!K542="-","",BaseCoalPlants!K542)</f>
        <v>0</v>
      </c>
      <c r="M501" s="1" t="str">
        <f>IF(BaseCoalPlants!L542=0,"",BaseCoalPlants!L542)</f>
        <v/>
      </c>
      <c r="N501" s="1" t="str">
        <f>IF(BaseCoalPlants!M542=0,"",BaseCoalPlants!M542)</f>
        <v/>
      </c>
      <c r="O501" s="1" t="str">
        <f>IF(BaseCoalPlants!N542=0,"",BaseCoalPlants!N542)</f>
        <v/>
      </c>
      <c r="P501" s="1" t="str">
        <f>IF(BaseCoalPlants!O542=0,"",BaseCoalPlants!O542)</f>
        <v/>
      </c>
      <c r="Q501" s="1" t="str">
        <f>IF(BaseCoalPlants!P542=0,"",BaseCoalPlants!P542)</f>
        <v/>
      </c>
      <c r="R501" s="1" t="str">
        <f>IF(BaseCoalPlants!Q542=0,"",BaseCoalPlants!Q542)</f>
        <v/>
      </c>
      <c r="S501" s="1" t="str">
        <f>IF(BaseCoalPlants!R542=0,"",BaseCoalPlants!R542)</f>
        <v/>
      </c>
      <c r="T501" s="1" t="str">
        <f>IF(BaseCoalPlants!S542=0,"",BaseCoalPlants!S542)</f>
        <v/>
      </c>
      <c r="U501" s="1" t="str">
        <f>IF(BaseCoalPlants!T542=0,"",BaseCoalPlants!T542)</f>
        <v/>
      </c>
      <c r="V501" s="1" t="str">
        <f>IF(BaseCoalPlants!U542=0,"",BaseCoalPlants!U542)</f>
        <v/>
      </c>
    </row>
    <row r="502" spans="3:22" x14ac:dyDescent="0.35">
      <c r="C502">
        <f>IF(BaseCoalPlants!B543="VDA_FLOP",IF(BaseCoalPlants!D543="ELC","*","INPUT"),BaseCoalPlants!B543)</f>
        <v>0</v>
      </c>
      <c r="D502" t="str">
        <f>IF(BaseCoalPlants!C543="","\I:",BaseCoalPlants!C543&amp;"_LE")</f>
        <v>\I:</v>
      </c>
      <c r="E502">
        <f>IF(BaseCoalPlants!D543="-","",BaseCoalPlants!D543)</f>
        <v>0</v>
      </c>
      <c r="F502">
        <f>IF(BaseCoalPlants!E543="-","",BaseCoalPlants!E543)</f>
        <v>0</v>
      </c>
      <c r="G502">
        <f>IF(BaseCoalPlants!F543="-","",BaseCoalPlants!F543)</f>
        <v>0</v>
      </c>
      <c r="H502">
        <f>IF(BaseCoalPlants!G543="-","",BaseCoalPlants!G543)</f>
        <v>0</v>
      </c>
      <c r="I502">
        <f>IF(BaseCoalPlants!H543="-","",BaseCoalPlants!H543)</f>
        <v>0</v>
      </c>
      <c r="J502">
        <f>IF(BaseCoalPlants!I543="-","",BaseCoalPlants!I543)</f>
        <v>0</v>
      </c>
      <c r="K502">
        <f>IF(BaseCoalPlants!J543="-","",BaseCoalPlants!J543)</f>
        <v>0</v>
      </c>
      <c r="L502">
        <f>IF(BaseCoalPlants!K543="-","",BaseCoalPlants!K543)</f>
        <v>0</v>
      </c>
      <c r="M502" s="1" t="str">
        <f>IF(BaseCoalPlants!L543=0,"",BaseCoalPlants!L543)</f>
        <v/>
      </c>
      <c r="N502" s="1" t="str">
        <f>IF(BaseCoalPlants!M543=0,"",BaseCoalPlants!M543)</f>
        <v/>
      </c>
      <c r="O502" s="1" t="str">
        <f>IF(BaseCoalPlants!N543=0,"",BaseCoalPlants!N543)</f>
        <v/>
      </c>
      <c r="P502" s="1" t="str">
        <f>IF(BaseCoalPlants!O543=0,"",BaseCoalPlants!O543)</f>
        <v/>
      </c>
      <c r="Q502" s="1" t="str">
        <f>IF(BaseCoalPlants!P543=0,"",BaseCoalPlants!P543)</f>
        <v/>
      </c>
      <c r="R502" s="1" t="str">
        <f>IF(BaseCoalPlants!Q543=0,"",BaseCoalPlants!Q543)</f>
        <v/>
      </c>
      <c r="S502" s="1" t="str">
        <f>IF(BaseCoalPlants!R543=0,"",BaseCoalPlants!R543)</f>
        <v/>
      </c>
      <c r="T502" s="1" t="str">
        <f>IF(BaseCoalPlants!S543=0,"",BaseCoalPlants!S543)</f>
        <v/>
      </c>
      <c r="U502" s="1" t="str">
        <f>IF(BaseCoalPlants!T543=0,"",BaseCoalPlants!T543)</f>
        <v/>
      </c>
      <c r="V502" s="1" t="str">
        <f>IF(BaseCoalPlants!U543=0,"",BaseCoalPlants!U543)</f>
        <v/>
      </c>
    </row>
    <row r="503" spans="3:22" x14ac:dyDescent="0.35">
      <c r="C503">
        <f>IF(BaseCoalPlants!B544="VDA_FLOP",IF(BaseCoalPlants!D544="ELC","*","INPUT"),BaseCoalPlants!B544)</f>
        <v>0</v>
      </c>
      <c r="D503" t="str">
        <f>IF(BaseCoalPlants!C544="","\I:",BaseCoalPlants!C544&amp;"_LE")</f>
        <v>\I:</v>
      </c>
      <c r="E503">
        <f>IF(BaseCoalPlants!D544="-","",BaseCoalPlants!D544)</f>
        <v>0</v>
      </c>
      <c r="F503">
        <f>IF(BaseCoalPlants!E544="-","",BaseCoalPlants!E544)</f>
        <v>0</v>
      </c>
      <c r="G503">
        <f>IF(BaseCoalPlants!F544="-","",BaseCoalPlants!F544)</f>
        <v>0</v>
      </c>
      <c r="H503">
        <f>IF(BaseCoalPlants!G544="-","",BaseCoalPlants!G544)</f>
        <v>0</v>
      </c>
      <c r="I503">
        <f>IF(BaseCoalPlants!H544="-","",BaseCoalPlants!H544)</f>
        <v>0</v>
      </c>
      <c r="J503">
        <f>IF(BaseCoalPlants!I544="-","",BaseCoalPlants!I544)</f>
        <v>0</v>
      </c>
      <c r="K503">
        <f>IF(BaseCoalPlants!J544="-","",BaseCoalPlants!J544)</f>
        <v>0</v>
      </c>
      <c r="L503">
        <f>IF(BaseCoalPlants!K544="-","",BaseCoalPlants!K544)</f>
        <v>0</v>
      </c>
      <c r="M503" s="1" t="str">
        <f>IF(BaseCoalPlants!L544=0,"",BaseCoalPlants!L544)</f>
        <v/>
      </c>
      <c r="N503" s="1" t="str">
        <f>IF(BaseCoalPlants!M544=0,"",BaseCoalPlants!M544)</f>
        <v/>
      </c>
      <c r="O503" s="1" t="str">
        <f>IF(BaseCoalPlants!N544=0,"",BaseCoalPlants!N544)</f>
        <v/>
      </c>
      <c r="P503" s="1" t="str">
        <f>IF(BaseCoalPlants!O544=0,"",BaseCoalPlants!O544)</f>
        <v/>
      </c>
      <c r="Q503" s="1" t="str">
        <f>IF(BaseCoalPlants!P544=0,"",BaseCoalPlants!P544)</f>
        <v/>
      </c>
      <c r="R503" s="1" t="str">
        <f>IF(BaseCoalPlants!Q544=0,"",BaseCoalPlants!Q544)</f>
        <v/>
      </c>
      <c r="S503" s="1" t="str">
        <f>IF(BaseCoalPlants!R544=0,"",BaseCoalPlants!R544)</f>
        <v/>
      </c>
      <c r="T503" s="1" t="str">
        <f>IF(BaseCoalPlants!S544=0,"",BaseCoalPlants!S544)</f>
        <v/>
      </c>
      <c r="U503" s="1" t="str">
        <f>IF(BaseCoalPlants!T544=0,"",BaseCoalPlants!T544)</f>
        <v/>
      </c>
      <c r="V503" s="1" t="str">
        <f>IF(BaseCoalPlants!U544=0,"",BaseCoalPlants!U544)</f>
        <v/>
      </c>
    </row>
    <row r="504" spans="3:22" x14ac:dyDescent="0.35">
      <c r="C504">
        <f>IF(BaseCoalPlants!B545="VDA_FLOP",IF(BaseCoalPlants!D545="ELC","*","INPUT"),BaseCoalPlants!B545)</f>
        <v>0</v>
      </c>
      <c r="D504" t="str">
        <f>IF(BaseCoalPlants!C545="","\I:",BaseCoalPlants!C545&amp;"_LE")</f>
        <v>\I:</v>
      </c>
      <c r="E504">
        <f>IF(BaseCoalPlants!D545="-","",BaseCoalPlants!D545)</f>
        <v>0</v>
      </c>
      <c r="F504">
        <f>IF(BaseCoalPlants!E545="-","",BaseCoalPlants!E545)</f>
        <v>0</v>
      </c>
      <c r="G504">
        <f>IF(BaseCoalPlants!F545="-","",BaseCoalPlants!F545)</f>
        <v>0</v>
      </c>
      <c r="H504">
        <f>IF(BaseCoalPlants!G545="-","",BaseCoalPlants!G545)</f>
        <v>0</v>
      </c>
      <c r="I504">
        <f>IF(BaseCoalPlants!H545="-","",BaseCoalPlants!H545)</f>
        <v>0</v>
      </c>
      <c r="J504">
        <f>IF(BaseCoalPlants!I545="-","",BaseCoalPlants!I545)</f>
        <v>0</v>
      </c>
      <c r="K504">
        <f>IF(BaseCoalPlants!J545="-","",BaseCoalPlants!J545)</f>
        <v>0</v>
      </c>
      <c r="L504">
        <f>IF(BaseCoalPlants!K545="-","",BaseCoalPlants!K545)</f>
        <v>0</v>
      </c>
      <c r="M504" s="1" t="str">
        <f>IF(BaseCoalPlants!L545=0,"",BaseCoalPlants!L545)</f>
        <v/>
      </c>
      <c r="N504" s="1" t="str">
        <f>IF(BaseCoalPlants!M545=0,"",BaseCoalPlants!M545)</f>
        <v/>
      </c>
      <c r="O504" s="1" t="str">
        <f>IF(BaseCoalPlants!N545=0,"",BaseCoalPlants!N545)</f>
        <v/>
      </c>
      <c r="P504" s="1" t="str">
        <f>IF(BaseCoalPlants!O545=0,"",BaseCoalPlants!O545)</f>
        <v/>
      </c>
      <c r="Q504" s="1" t="str">
        <f>IF(BaseCoalPlants!P545=0,"",BaseCoalPlants!P545)</f>
        <v/>
      </c>
      <c r="R504" s="1" t="str">
        <f>IF(BaseCoalPlants!Q545=0,"",BaseCoalPlants!Q545)</f>
        <v/>
      </c>
      <c r="S504" s="1" t="str">
        <f>IF(BaseCoalPlants!R545=0,"",BaseCoalPlants!R545)</f>
        <v/>
      </c>
      <c r="T504" s="1" t="str">
        <f>IF(BaseCoalPlants!S545=0,"",BaseCoalPlants!S545)</f>
        <v/>
      </c>
      <c r="U504" s="1" t="str">
        <f>IF(BaseCoalPlants!T545=0,"",BaseCoalPlants!T545)</f>
        <v/>
      </c>
      <c r="V504" s="1" t="str">
        <f>IF(BaseCoalPlants!U545=0,"",BaseCoalPlants!U545)</f>
        <v/>
      </c>
    </row>
    <row r="505" spans="3:22" x14ac:dyDescent="0.35">
      <c r="C505">
        <f>IF(BaseCoalPlants!B546="VDA_FLOP",IF(BaseCoalPlants!D546="ELC","*","INPUT"),BaseCoalPlants!B546)</f>
        <v>0</v>
      </c>
      <c r="D505" t="str">
        <f>IF(BaseCoalPlants!C546="","\I:",BaseCoalPlants!C546&amp;"_LE")</f>
        <v>\I:</v>
      </c>
      <c r="E505">
        <f>IF(BaseCoalPlants!D546="-","",BaseCoalPlants!D546)</f>
        <v>0</v>
      </c>
      <c r="F505">
        <f>IF(BaseCoalPlants!E546="-","",BaseCoalPlants!E546)</f>
        <v>0</v>
      </c>
      <c r="G505">
        <f>IF(BaseCoalPlants!F546="-","",BaseCoalPlants!F546)</f>
        <v>0</v>
      </c>
      <c r="H505">
        <f>IF(BaseCoalPlants!G546="-","",BaseCoalPlants!G546)</f>
        <v>0</v>
      </c>
      <c r="I505">
        <f>IF(BaseCoalPlants!H546="-","",BaseCoalPlants!H546)</f>
        <v>0</v>
      </c>
      <c r="J505">
        <f>IF(BaseCoalPlants!I546="-","",BaseCoalPlants!I546)</f>
        <v>0</v>
      </c>
      <c r="K505">
        <f>IF(BaseCoalPlants!J546="-","",BaseCoalPlants!J546)</f>
        <v>0</v>
      </c>
      <c r="L505">
        <f>IF(BaseCoalPlants!K546="-","",BaseCoalPlants!K546)</f>
        <v>0</v>
      </c>
      <c r="M505" s="1" t="str">
        <f>IF(BaseCoalPlants!L546=0,"",BaseCoalPlants!L546)</f>
        <v/>
      </c>
      <c r="N505" s="1" t="str">
        <f>IF(BaseCoalPlants!M546=0,"",BaseCoalPlants!M546)</f>
        <v/>
      </c>
      <c r="O505" s="1" t="str">
        <f>IF(BaseCoalPlants!N546=0,"",BaseCoalPlants!N546)</f>
        <v/>
      </c>
      <c r="P505" s="1" t="str">
        <f>IF(BaseCoalPlants!O546=0,"",BaseCoalPlants!O546)</f>
        <v/>
      </c>
      <c r="Q505" s="1" t="str">
        <f>IF(BaseCoalPlants!P546=0,"",BaseCoalPlants!P546)</f>
        <v/>
      </c>
      <c r="R505" s="1" t="str">
        <f>IF(BaseCoalPlants!Q546=0,"",BaseCoalPlants!Q546)</f>
        <v/>
      </c>
      <c r="S505" s="1" t="str">
        <f>IF(BaseCoalPlants!R546=0,"",BaseCoalPlants!R546)</f>
        <v/>
      </c>
      <c r="T505" s="1" t="str">
        <f>IF(BaseCoalPlants!S546=0,"",BaseCoalPlants!S546)</f>
        <v/>
      </c>
      <c r="U505" s="1" t="str">
        <f>IF(BaseCoalPlants!T546=0,"",BaseCoalPlants!T546)</f>
        <v/>
      </c>
      <c r="V505" s="1" t="str">
        <f>IF(BaseCoalPlants!U546=0,"",BaseCoalPlants!U546)</f>
        <v/>
      </c>
    </row>
    <row r="506" spans="3:22" x14ac:dyDescent="0.35">
      <c r="C506">
        <f>IF(BaseCoalPlants!B547="VDA_FLOP",IF(BaseCoalPlants!D547="ELC","*","INPUT"),BaseCoalPlants!B547)</f>
        <v>0</v>
      </c>
      <c r="D506" t="str">
        <f>IF(BaseCoalPlants!C547="","\I:",BaseCoalPlants!C547&amp;"_LE")</f>
        <v>\I:</v>
      </c>
      <c r="E506">
        <f>IF(BaseCoalPlants!D547="-","",BaseCoalPlants!D547)</f>
        <v>0</v>
      </c>
      <c r="F506">
        <f>IF(BaseCoalPlants!E547="-","",BaseCoalPlants!E547)</f>
        <v>0</v>
      </c>
      <c r="G506">
        <f>IF(BaseCoalPlants!F547="-","",BaseCoalPlants!F547)</f>
        <v>0</v>
      </c>
      <c r="H506">
        <f>IF(BaseCoalPlants!G547="-","",BaseCoalPlants!G547)</f>
        <v>0</v>
      </c>
      <c r="I506">
        <f>IF(BaseCoalPlants!H547="-","",BaseCoalPlants!H547)</f>
        <v>0</v>
      </c>
      <c r="J506">
        <f>IF(BaseCoalPlants!I547="-","",BaseCoalPlants!I547)</f>
        <v>0</v>
      </c>
      <c r="K506">
        <f>IF(BaseCoalPlants!J547="-","",BaseCoalPlants!J547)</f>
        <v>0</v>
      </c>
      <c r="L506">
        <f>IF(BaseCoalPlants!K547="-","",BaseCoalPlants!K547)</f>
        <v>0</v>
      </c>
      <c r="M506" s="1" t="str">
        <f>IF(BaseCoalPlants!L547=0,"",BaseCoalPlants!L547)</f>
        <v/>
      </c>
      <c r="N506" s="1" t="str">
        <f>IF(BaseCoalPlants!M547=0,"",BaseCoalPlants!M547)</f>
        <v/>
      </c>
      <c r="O506" s="1" t="str">
        <f>IF(BaseCoalPlants!N547=0,"",BaseCoalPlants!N547)</f>
        <v/>
      </c>
      <c r="P506" s="1" t="str">
        <f>IF(BaseCoalPlants!O547=0,"",BaseCoalPlants!O547)</f>
        <v/>
      </c>
      <c r="Q506" s="1" t="str">
        <f>IF(BaseCoalPlants!P547=0,"",BaseCoalPlants!P547)</f>
        <v/>
      </c>
      <c r="R506" s="1" t="str">
        <f>IF(BaseCoalPlants!Q547=0,"",BaseCoalPlants!Q547)</f>
        <v/>
      </c>
      <c r="S506" s="1" t="str">
        <f>IF(BaseCoalPlants!R547=0,"",BaseCoalPlants!R547)</f>
        <v/>
      </c>
      <c r="T506" s="1" t="str">
        <f>IF(BaseCoalPlants!S547=0,"",BaseCoalPlants!S547)</f>
        <v/>
      </c>
      <c r="U506" s="1" t="str">
        <f>IF(BaseCoalPlants!T547=0,"",BaseCoalPlants!T547)</f>
        <v/>
      </c>
      <c r="V506" s="1" t="str">
        <f>IF(BaseCoalPlants!U547=0,"",BaseCoalPlants!U547)</f>
        <v/>
      </c>
    </row>
    <row r="507" spans="3:22" x14ac:dyDescent="0.35">
      <c r="C507">
        <f>IF(BaseCoalPlants!B548="VDA_FLOP",IF(BaseCoalPlants!D548="ELC","*","INPUT"),BaseCoalPlants!B548)</f>
        <v>0</v>
      </c>
      <c r="D507" t="str">
        <f>IF(BaseCoalPlants!C548="","\I:",BaseCoalPlants!C548&amp;"_LE")</f>
        <v>\I:</v>
      </c>
      <c r="E507">
        <f>IF(BaseCoalPlants!D548="-","",BaseCoalPlants!D548)</f>
        <v>0</v>
      </c>
      <c r="F507">
        <f>IF(BaseCoalPlants!E548="-","",BaseCoalPlants!E548)</f>
        <v>0</v>
      </c>
      <c r="G507">
        <f>IF(BaseCoalPlants!F548="-","",BaseCoalPlants!F548)</f>
        <v>0</v>
      </c>
      <c r="H507">
        <f>IF(BaseCoalPlants!G548="-","",BaseCoalPlants!G548)</f>
        <v>0</v>
      </c>
      <c r="I507">
        <f>IF(BaseCoalPlants!H548="-","",BaseCoalPlants!H548)</f>
        <v>0</v>
      </c>
      <c r="J507">
        <f>IF(BaseCoalPlants!I548="-","",BaseCoalPlants!I548)</f>
        <v>0</v>
      </c>
      <c r="K507">
        <f>IF(BaseCoalPlants!J548="-","",BaseCoalPlants!J548)</f>
        <v>0</v>
      </c>
      <c r="L507">
        <f>IF(BaseCoalPlants!K548="-","",BaseCoalPlants!K548)</f>
        <v>0</v>
      </c>
      <c r="M507" s="1" t="str">
        <f>IF(BaseCoalPlants!L548=0,"",BaseCoalPlants!L548)</f>
        <v/>
      </c>
      <c r="N507" s="1" t="str">
        <f>IF(BaseCoalPlants!M548=0,"",BaseCoalPlants!M548)</f>
        <v/>
      </c>
      <c r="O507" s="1" t="str">
        <f>IF(BaseCoalPlants!N548=0,"",BaseCoalPlants!N548)</f>
        <v/>
      </c>
      <c r="P507" s="1" t="str">
        <f>IF(BaseCoalPlants!O548=0,"",BaseCoalPlants!O548)</f>
        <v/>
      </c>
      <c r="Q507" s="1" t="str">
        <f>IF(BaseCoalPlants!P548=0,"",BaseCoalPlants!P548)</f>
        <v/>
      </c>
      <c r="R507" s="1" t="str">
        <f>IF(BaseCoalPlants!Q548=0,"",BaseCoalPlants!Q548)</f>
        <v/>
      </c>
      <c r="S507" s="1" t="str">
        <f>IF(BaseCoalPlants!R548=0,"",BaseCoalPlants!R548)</f>
        <v/>
      </c>
      <c r="T507" s="1" t="str">
        <f>IF(BaseCoalPlants!S548=0,"",BaseCoalPlants!S548)</f>
        <v/>
      </c>
      <c r="U507" s="1" t="str">
        <f>IF(BaseCoalPlants!T548=0,"",BaseCoalPlants!T548)</f>
        <v/>
      </c>
      <c r="V507" s="1" t="str">
        <f>IF(BaseCoalPlants!U548=0,"",BaseCoalPlants!U548)</f>
        <v/>
      </c>
    </row>
    <row r="508" spans="3:22" x14ac:dyDescent="0.35">
      <c r="C508">
        <f>IF(BaseCoalPlants!B549="VDA_FLOP",IF(BaseCoalPlants!D549="ELC","*","INPUT"),BaseCoalPlants!B549)</f>
        <v>0</v>
      </c>
      <c r="D508" t="str">
        <f>IF(BaseCoalPlants!C549="","\I:",BaseCoalPlants!C549&amp;"_LE")</f>
        <v>\I:</v>
      </c>
      <c r="E508">
        <f>IF(BaseCoalPlants!D549="-","",BaseCoalPlants!D549)</f>
        <v>0</v>
      </c>
      <c r="F508">
        <f>IF(BaseCoalPlants!E549="-","",BaseCoalPlants!E549)</f>
        <v>0</v>
      </c>
      <c r="G508">
        <f>IF(BaseCoalPlants!F549="-","",BaseCoalPlants!F549)</f>
        <v>0</v>
      </c>
      <c r="H508">
        <f>IF(BaseCoalPlants!G549="-","",BaseCoalPlants!G549)</f>
        <v>0</v>
      </c>
      <c r="I508">
        <f>IF(BaseCoalPlants!H549="-","",BaseCoalPlants!H549)</f>
        <v>0</v>
      </c>
      <c r="J508">
        <f>IF(BaseCoalPlants!I549="-","",BaseCoalPlants!I549)</f>
        <v>0</v>
      </c>
      <c r="K508">
        <f>IF(BaseCoalPlants!J549="-","",BaseCoalPlants!J549)</f>
        <v>0</v>
      </c>
      <c r="L508">
        <f>IF(BaseCoalPlants!K549="-","",BaseCoalPlants!K549)</f>
        <v>0</v>
      </c>
      <c r="M508" s="1" t="str">
        <f>IF(BaseCoalPlants!L549=0,"",BaseCoalPlants!L549)</f>
        <v/>
      </c>
      <c r="N508" s="1" t="str">
        <f>IF(BaseCoalPlants!M549=0,"",BaseCoalPlants!M549)</f>
        <v/>
      </c>
      <c r="O508" s="1" t="str">
        <f>IF(BaseCoalPlants!N549=0,"",BaseCoalPlants!N549)</f>
        <v/>
      </c>
      <c r="P508" s="1" t="str">
        <f>IF(BaseCoalPlants!O549=0,"",BaseCoalPlants!O549)</f>
        <v/>
      </c>
      <c r="Q508" s="1" t="str">
        <f>IF(BaseCoalPlants!P549=0,"",BaseCoalPlants!P549)</f>
        <v/>
      </c>
      <c r="R508" s="1" t="str">
        <f>IF(BaseCoalPlants!Q549=0,"",BaseCoalPlants!Q549)</f>
        <v/>
      </c>
      <c r="S508" s="1" t="str">
        <f>IF(BaseCoalPlants!R549=0,"",BaseCoalPlants!R549)</f>
        <v/>
      </c>
      <c r="T508" s="1" t="str">
        <f>IF(BaseCoalPlants!S549=0,"",BaseCoalPlants!S549)</f>
        <v/>
      </c>
      <c r="U508" s="1" t="str">
        <f>IF(BaseCoalPlants!T549=0,"",BaseCoalPlants!T549)</f>
        <v/>
      </c>
      <c r="V508" s="1" t="str">
        <f>IF(BaseCoalPlants!U549=0,"",BaseCoalPlants!U549)</f>
        <v/>
      </c>
    </row>
    <row r="509" spans="3:22" x14ac:dyDescent="0.35">
      <c r="C509">
        <f>IF(BaseCoalPlants!B550="VDA_FLOP",IF(BaseCoalPlants!D550="ELC","*","INPUT"),BaseCoalPlants!B550)</f>
        <v>0</v>
      </c>
      <c r="D509" t="str">
        <f>IF(BaseCoalPlants!C550="","\I:",BaseCoalPlants!C550&amp;"_LE")</f>
        <v>\I:</v>
      </c>
      <c r="E509">
        <f>IF(BaseCoalPlants!D550="-","",BaseCoalPlants!D550)</f>
        <v>0</v>
      </c>
      <c r="F509">
        <f>IF(BaseCoalPlants!E550="-","",BaseCoalPlants!E550)</f>
        <v>0</v>
      </c>
      <c r="G509">
        <f>IF(BaseCoalPlants!F550="-","",BaseCoalPlants!F550)</f>
        <v>0</v>
      </c>
      <c r="H509">
        <f>IF(BaseCoalPlants!G550="-","",BaseCoalPlants!G550)</f>
        <v>0</v>
      </c>
      <c r="I509">
        <f>IF(BaseCoalPlants!H550="-","",BaseCoalPlants!H550)</f>
        <v>0</v>
      </c>
      <c r="J509">
        <f>IF(BaseCoalPlants!I550="-","",BaseCoalPlants!I550)</f>
        <v>0</v>
      </c>
      <c r="K509">
        <f>IF(BaseCoalPlants!J550="-","",BaseCoalPlants!J550)</f>
        <v>0</v>
      </c>
      <c r="L509">
        <f>IF(BaseCoalPlants!K550="-","",BaseCoalPlants!K550)</f>
        <v>0</v>
      </c>
      <c r="M509" s="1" t="str">
        <f>IF(BaseCoalPlants!L550=0,"",BaseCoalPlants!L550)</f>
        <v/>
      </c>
      <c r="N509" s="1" t="str">
        <f>IF(BaseCoalPlants!M550=0,"",BaseCoalPlants!M550)</f>
        <v/>
      </c>
      <c r="O509" s="1" t="str">
        <f>IF(BaseCoalPlants!N550=0,"",BaseCoalPlants!N550)</f>
        <v/>
      </c>
      <c r="P509" s="1" t="str">
        <f>IF(BaseCoalPlants!O550=0,"",BaseCoalPlants!O550)</f>
        <v/>
      </c>
      <c r="Q509" s="1" t="str">
        <f>IF(BaseCoalPlants!P550=0,"",BaseCoalPlants!P550)</f>
        <v/>
      </c>
      <c r="R509" s="1" t="str">
        <f>IF(BaseCoalPlants!Q550=0,"",BaseCoalPlants!Q550)</f>
        <v/>
      </c>
      <c r="S509" s="1" t="str">
        <f>IF(BaseCoalPlants!R550=0,"",BaseCoalPlants!R550)</f>
        <v/>
      </c>
      <c r="T509" s="1" t="str">
        <f>IF(BaseCoalPlants!S550=0,"",BaseCoalPlants!S550)</f>
        <v/>
      </c>
      <c r="U509" s="1" t="str">
        <f>IF(BaseCoalPlants!T550=0,"",BaseCoalPlants!T550)</f>
        <v/>
      </c>
      <c r="V509" s="1" t="str">
        <f>IF(BaseCoalPlants!U550=0,"",BaseCoalPlants!U550)</f>
        <v/>
      </c>
    </row>
    <row r="510" spans="3:22" x14ac:dyDescent="0.35">
      <c r="C510">
        <f>IF(BaseCoalPlants!B551="VDA_FLOP",IF(BaseCoalPlants!D551="ELC","*","INPUT"),BaseCoalPlants!B551)</f>
        <v>0</v>
      </c>
      <c r="D510" t="str">
        <f>IF(BaseCoalPlants!C551="","\I:",BaseCoalPlants!C551&amp;"_LE")</f>
        <v>\I:</v>
      </c>
      <c r="E510">
        <f>IF(BaseCoalPlants!D551="-","",BaseCoalPlants!D551)</f>
        <v>0</v>
      </c>
      <c r="F510">
        <f>IF(BaseCoalPlants!E551="-","",BaseCoalPlants!E551)</f>
        <v>0</v>
      </c>
      <c r="G510">
        <f>IF(BaseCoalPlants!F551="-","",BaseCoalPlants!F551)</f>
        <v>0</v>
      </c>
      <c r="H510">
        <f>IF(BaseCoalPlants!G551="-","",BaseCoalPlants!G551)</f>
        <v>0</v>
      </c>
      <c r="I510">
        <f>IF(BaseCoalPlants!H551="-","",BaseCoalPlants!H551)</f>
        <v>0</v>
      </c>
      <c r="J510">
        <f>IF(BaseCoalPlants!I551="-","",BaseCoalPlants!I551)</f>
        <v>0</v>
      </c>
      <c r="K510">
        <f>IF(BaseCoalPlants!J551="-","",BaseCoalPlants!J551)</f>
        <v>0</v>
      </c>
      <c r="L510">
        <f>IF(BaseCoalPlants!K551="-","",BaseCoalPlants!K551)</f>
        <v>0</v>
      </c>
      <c r="M510" s="1" t="str">
        <f>IF(BaseCoalPlants!L551=0,"",BaseCoalPlants!L551)</f>
        <v/>
      </c>
      <c r="N510" s="1" t="str">
        <f>IF(BaseCoalPlants!M551=0,"",BaseCoalPlants!M551)</f>
        <v/>
      </c>
      <c r="O510" s="1" t="str">
        <f>IF(BaseCoalPlants!N551=0,"",BaseCoalPlants!N551)</f>
        <v/>
      </c>
      <c r="P510" s="1" t="str">
        <f>IF(BaseCoalPlants!O551=0,"",BaseCoalPlants!O551)</f>
        <v/>
      </c>
      <c r="Q510" s="1" t="str">
        <f>IF(BaseCoalPlants!P551=0,"",BaseCoalPlants!P551)</f>
        <v/>
      </c>
      <c r="R510" s="1" t="str">
        <f>IF(BaseCoalPlants!Q551=0,"",BaseCoalPlants!Q551)</f>
        <v/>
      </c>
      <c r="S510" s="1" t="str">
        <f>IF(BaseCoalPlants!R551=0,"",BaseCoalPlants!R551)</f>
        <v/>
      </c>
      <c r="T510" s="1" t="str">
        <f>IF(BaseCoalPlants!S551=0,"",BaseCoalPlants!S551)</f>
        <v/>
      </c>
      <c r="U510" s="1" t="str">
        <f>IF(BaseCoalPlants!T551=0,"",BaseCoalPlants!T551)</f>
        <v/>
      </c>
      <c r="V510" s="1" t="str">
        <f>IF(BaseCoalPlants!U551=0,"",BaseCoalPlants!U551)</f>
        <v/>
      </c>
    </row>
    <row r="511" spans="3:22" x14ac:dyDescent="0.35">
      <c r="C511">
        <f>IF(BaseCoalPlants!B552="VDA_FLOP",IF(BaseCoalPlants!D552="ELC","*","INPUT"),BaseCoalPlants!B552)</f>
        <v>0</v>
      </c>
      <c r="D511" t="str">
        <f>IF(BaseCoalPlants!C552="","\I:",BaseCoalPlants!C552&amp;"_LE")</f>
        <v>\I:</v>
      </c>
      <c r="E511">
        <f>IF(BaseCoalPlants!D552="-","",BaseCoalPlants!D552)</f>
        <v>0</v>
      </c>
      <c r="F511">
        <f>IF(BaseCoalPlants!E552="-","",BaseCoalPlants!E552)</f>
        <v>0</v>
      </c>
      <c r="G511">
        <f>IF(BaseCoalPlants!F552="-","",BaseCoalPlants!F552)</f>
        <v>0</v>
      </c>
      <c r="H511">
        <f>IF(BaseCoalPlants!G552="-","",BaseCoalPlants!G552)</f>
        <v>0</v>
      </c>
      <c r="I511">
        <f>IF(BaseCoalPlants!H552="-","",BaseCoalPlants!H552)</f>
        <v>0</v>
      </c>
      <c r="J511">
        <f>IF(BaseCoalPlants!I552="-","",BaseCoalPlants!I552)</f>
        <v>0</v>
      </c>
      <c r="K511">
        <f>IF(BaseCoalPlants!J552="-","",BaseCoalPlants!J552)</f>
        <v>0</v>
      </c>
      <c r="L511">
        <f>IF(BaseCoalPlants!K552="-","",BaseCoalPlants!K552)</f>
        <v>0</v>
      </c>
      <c r="M511" s="1" t="str">
        <f>IF(BaseCoalPlants!L552=0,"",BaseCoalPlants!L552)</f>
        <v/>
      </c>
      <c r="N511" s="1" t="str">
        <f>IF(BaseCoalPlants!M552=0,"",BaseCoalPlants!M552)</f>
        <v/>
      </c>
      <c r="O511" s="1" t="str">
        <f>IF(BaseCoalPlants!N552=0,"",BaseCoalPlants!N552)</f>
        <v/>
      </c>
      <c r="P511" s="1" t="str">
        <f>IF(BaseCoalPlants!O552=0,"",BaseCoalPlants!O552)</f>
        <v/>
      </c>
      <c r="Q511" s="1" t="str">
        <f>IF(BaseCoalPlants!P552=0,"",BaseCoalPlants!P552)</f>
        <v/>
      </c>
      <c r="R511" s="1" t="str">
        <f>IF(BaseCoalPlants!Q552=0,"",BaseCoalPlants!Q552)</f>
        <v/>
      </c>
      <c r="S511" s="1" t="str">
        <f>IF(BaseCoalPlants!R552=0,"",BaseCoalPlants!R552)</f>
        <v/>
      </c>
      <c r="T511" s="1" t="str">
        <f>IF(BaseCoalPlants!S552=0,"",BaseCoalPlants!S552)</f>
        <v/>
      </c>
      <c r="U511" s="1" t="str">
        <f>IF(BaseCoalPlants!T552=0,"",BaseCoalPlants!T552)</f>
        <v/>
      </c>
      <c r="V511" s="1" t="str">
        <f>IF(BaseCoalPlants!U552=0,"",BaseCoalPlants!U552)</f>
        <v/>
      </c>
    </row>
    <row r="512" spans="3:22" x14ac:dyDescent="0.35">
      <c r="C512">
        <f>IF(BaseCoalPlants!B553="VDA_FLOP",IF(BaseCoalPlants!D553="ELC","*","INPUT"),BaseCoalPlants!B553)</f>
        <v>0</v>
      </c>
      <c r="D512" t="str">
        <f>IF(BaseCoalPlants!C553="","\I:",BaseCoalPlants!C553&amp;"_LE")</f>
        <v>\I:</v>
      </c>
      <c r="E512">
        <f>IF(BaseCoalPlants!D553="-","",BaseCoalPlants!D553)</f>
        <v>0</v>
      </c>
      <c r="F512">
        <f>IF(BaseCoalPlants!E553="-","",BaseCoalPlants!E553)</f>
        <v>0</v>
      </c>
      <c r="G512">
        <f>IF(BaseCoalPlants!F553="-","",BaseCoalPlants!F553)</f>
        <v>0</v>
      </c>
      <c r="H512">
        <f>IF(BaseCoalPlants!G553="-","",BaseCoalPlants!G553)</f>
        <v>0</v>
      </c>
      <c r="I512">
        <f>IF(BaseCoalPlants!H553="-","",BaseCoalPlants!H553)</f>
        <v>0</v>
      </c>
      <c r="J512">
        <f>IF(BaseCoalPlants!I553="-","",BaseCoalPlants!I553)</f>
        <v>0</v>
      </c>
      <c r="K512">
        <f>IF(BaseCoalPlants!J553="-","",BaseCoalPlants!J553)</f>
        <v>0</v>
      </c>
      <c r="L512">
        <f>IF(BaseCoalPlants!K553="-","",BaseCoalPlants!K553)</f>
        <v>0</v>
      </c>
      <c r="M512" s="1" t="str">
        <f>IF(BaseCoalPlants!L553=0,"",BaseCoalPlants!L553)</f>
        <v/>
      </c>
      <c r="N512" s="1" t="str">
        <f>IF(BaseCoalPlants!M553=0,"",BaseCoalPlants!M553)</f>
        <v/>
      </c>
      <c r="O512" s="1" t="str">
        <f>IF(BaseCoalPlants!N553=0,"",BaseCoalPlants!N553)</f>
        <v/>
      </c>
      <c r="P512" s="1" t="str">
        <f>IF(BaseCoalPlants!O553=0,"",BaseCoalPlants!O553)</f>
        <v/>
      </c>
      <c r="Q512" s="1" t="str">
        <f>IF(BaseCoalPlants!P553=0,"",BaseCoalPlants!P553)</f>
        <v/>
      </c>
      <c r="R512" s="1" t="str">
        <f>IF(BaseCoalPlants!Q553=0,"",BaseCoalPlants!Q553)</f>
        <v/>
      </c>
      <c r="S512" s="1" t="str">
        <f>IF(BaseCoalPlants!R553=0,"",BaseCoalPlants!R553)</f>
        <v/>
      </c>
      <c r="T512" s="1" t="str">
        <f>IF(BaseCoalPlants!S553=0,"",BaseCoalPlants!S553)</f>
        <v/>
      </c>
      <c r="U512" s="1" t="str">
        <f>IF(BaseCoalPlants!T553=0,"",BaseCoalPlants!T553)</f>
        <v/>
      </c>
      <c r="V512" s="1" t="str">
        <f>IF(BaseCoalPlants!U553=0,"",BaseCoalPlants!U553)</f>
        <v/>
      </c>
    </row>
    <row r="513" spans="3:22" x14ac:dyDescent="0.35">
      <c r="C513">
        <f>IF(BaseCoalPlants!B554="VDA_FLOP",IF(BaseCoalPlants!D554="ELC","*","INPUT"),BaseCoalPlants!B554)</f>
        <v>0</v>
      </c>
      <c r="D513" t="str">
        <f>IF(BaseCoalPlants!C554="","\I:",BaseCoalPlants!C554&amp;"_LE")</f>
        <v>\I:</v>
      </c>
      <c r="E513">
        <f>IF(BaseCoalPlants!D554="-","",BaseCoalPlants!D554)</f>
        <v>0</v>
      </c>
      <c r="F513">
        <f>IF(BaseCoalPlants!E554="-","",BaseCoalPlants!E554)</f>
        <v>0</v>
      </c>
      <c r="G513">
        <f>IF(BaseCoalPlants!F554="-","",BaseCoalPlants!F554)</f>
        <v>0</v>
      </c>
      <c r="H513">
        <f>IF(BaseCoalPlants!G554="-","",BaseCoalPlants!G554)</f>
        <v>0</v>
      </c>
      <c r="I513">
        <f>IF(BaseCoalPlants!H554="-","",BaseCoalPlants!H554)</f>
        <v>0</v>
      </c>
      <c r="J513">
        <f>IF(BaseCoalPlants!I554="-","",BaseCoalPlants!I554)</f>
        <v>0</v>
      </c>
      <c r="K513">
        <f>IF(BaseCoalPlants!J554="-","",BaseCoalPlants!J554)</f>
        <v>0</v>
      </c>
      <c r="L513">
        <f>IF(BaseCoalPlants!K554="-","",BaseCoalPlants!K554)</f>
        <v>0</v>
      </c>
      <c r="M513" s="1" t="str">
        <f>IF(BaseCoalPlants!L554=0,"",BaseCoalPlants!L554)</f>
        <v/>
      </c>
      <c r="N513" s="1" t="str">
        <f>IF(BaseCoalPlants!M554=0,"",BaseCoalPlants!M554)</f>
        <v/>
      </c>
      <c r="O513" s="1" t="str">
        <f>IF(BaseCoalPlants!N554=0,"",BaseCoalPlants!N554)</f>
        <v/>
      </c>
      <c r="P513" s="1" t="str">
        <f>IF(BaseCoalPlants!O554=0,"",BaseCoalPlants!O554)</f>
        <v/>
      </c>
      <c r="Q513" s="1" t="str">
        <f>IF(BaseCoalPlants!P554=0,"",BaseCoalPlants!P554)</f>
        <v/>
      </c>
      <c r="R513" s="1" t="str">
        <f>IF(BaseCoalPlants!Q554=0,"",BaseCoalPlants!Q554)</f>
        <v/>
      </c>
      <c r="S513" s="1" t="str">
        <f>IF(BaseCoalPlants!R554=0,"",BaseCoalPlants!R554)</f>
        <v/>
      </c>
      <c r="T513" s="1" t="str">
        <f>IF(BaseCoalPlants!S554=0,"",BaseCoalPlants!S554)</f>
        <v/>
      </c>
      <c r="U513" s="1" t="str">
        <f>IF(BaseCoalPlants!T554=0,"",BaseCoalPlants!T554)</f>
        <v/>
      </c>
      <c r="V513" s="1" t="str">
        <f>IF(BaseCoalPlants!U554=0,"",BaseCoalPlants!U554)</f>
        <v/>
      </c>
    </row>
    <row r="514" spans="3:22" x14ac:dyDescent="0.35">
      <c r="C514">
        <f>IF(BaseCoalPlants!B555="VDA_FLOP",IF(BaseCoalPlants!D555="ELC","*","INPUT"),BaseCoalPlants!B555)</f>
        <v>0</v>
      </c>
      <c r="D514" t="str">
        <f>IF(BaseCoalPlants!C555="","\I:",BaseCoalPlants!C555&amp;"_LE")</f>
        <v>\I:</v>
      </c>
      <c r="E514">
        <f>IF(BaseCoalPlants!D555="-","",BaseCoalPlants!D555)</f>
        <v>0</v>
      </c>
      <c r="F514">
        <f>IF(BaseCoalPlants!E555="-","",BaseCoalPlants!E555)</f>
        <v>0</v>
      </c>
      <c r="G514">
        <f>IF(BaseCoalPlants!F555="-","",BaseCoalPlants!F555)</f>
        <v>0</v>
      </c>
      <c r="H514">
        <f>IF(BaseCoalPlants!G555="-","",BaseCoalPlants!G555)</f>
        <v>0</v>
      </c>
      <c r="I514">
        <f>IF(BaseCoalPlants!H555="-","",BaseCoalPlants!H555)</f>
        <v>0</v>
      </c>
      <c r="J514">
        <f>IF(BaseCoalPlants!I555="-","",BaseCoalPlants!I555)</f>
        <v>0</v>
      </c>
      <c r="K514">
        <f>IF(BaseCoalPlants!J555="-","",BaseCoalPlants!J555)</f>
        <v>0</v>
      </c>
      <c r="L514">
        <f>IF(BaseCoalPlants!K555="-","",BaseCoalPlants!K555)</f>
        <v>0</v>
      </c>
      <c r="M514" s="1" t="str">
        <f>IF(BaseCoalPlants!L555=0,"",BaseCoalPlants!L555)</f>
        <v/>
      </c>
      <c r="N514" s="1" t="str">
        <f>IF(BaseCoalPlants!M555=0,"",BaseCoalPlants!M555)</f>
        <v/>
      </c>
      <c r="O514" s="1" t="str">
        <f>IF(BaseCoalPlants!N555=0,"",BaseCoalPlants!N555)</f>
        <v/>
      </c>
      <c r="P514" s="1" t="str">
        <f>IF(BaseCoalPlants!O555=0,"",BaseCoalPlants!O555)</f>
        <v/>
      </c>
      <c r="Q514" s="1" t="str">
        <f>IF(BaseCoalPlants!P555=0,"",BaseCoalPlants!P555)</f>
        <v/>
      </c>
      <c r="R514" s="1" t="str">
        <f>IF(BaseCoalPlants!Q555=0,"",BaseCoalPlants!Q555)</f>
        <v/>
      </c>
      <c r="S514" s="1" t="str">
        <f>IF(BaseCoalPlants!R555=0,"",BaseCoalPlants!R555)</f>
        <v/>
      </c>
      <c r="T514" s="1" t="str">
        <f>IF(BaseCoalPlants!S555=0,"",BaseCoalPlants!S555)</f>
        <v/>
      </c>
      <c r="U514" s="1" t="str">
        <f>IF(BaseCoalPlants!T555=0,"",BaseCoalPlants!T555)</f>
        <v/>
      </c>
      <c r="V514" s="1" t="str">
        <f>IF(BaseCoalPlants!U555=0,"",BaseCoalPlants!U555)</f>
        <v/>
      </c>
    </row>
    <row r="515" spans="3:22" x14ac:dyDescent="0.35">
      <c r="C515">
        <f>IF(BaseCoalPlants!B556="VDA_FLOP",IF(BaseCoalPlants!D556="ELC","*","INPUT"),BaseCoalPlants!B556)</f>
        <v>0</v>
      </c>
      <c r="D515" t="str">
        <f>IF(BaseCoalPlants!C556="","\I:",BaseCoalPlants!C556&amp;"_LE")</f>
        <v>\I:</v>
      </c>
      <c r="E515">
        <f>IF(BaseCoalPlants!D556="-","",BaseCoalPlants!D556)</f>
        <v>0</v>
      </c>
      <c r="F515">
        <f>IF(BaseCoalPlants!E556="-","",BaseCoalPlants!E556)</f>
        <v>0</v>
      </c>
      <c r="G515">
        <f>IF(BaseCoalPlants!F556="-","",BaseCoalPlants!F556)</f>
        <v>0</v>
      </c>
      <c r="H515">
        <f>IF(BaseCoalPlants!G556="-","",BaseCoalPlants!G556)</f>
        <v>0</v>
      </c>
      <c r="I515">
        <f>IF(BaseCoalPlants!H556="-","",BaseCoalPlants!H556)</f>
        <v>0</v>
      </c>
      <c r="J515">
        <f>IF(BaseCoalPlants!I556="-","",BaseCoalPlants!I556)</f>
        <v>0</v>
      </c>
      <c r="K515">
        <f>IF(BaseCoalPlants!J556="-","",BaseCoalPlants!J556)</f>
        <v>0</v>
      </c>
      <c r="L515">
        <f>IF(BaseCoalPlants!K556="-","",BaseCoalPlants!K556)</f>
        <v>0</v>
      </c>
      <c r="M515" s="1" t="str">
        <f>IF(BaseCoalPlants!L556=0,"",BaseCoalPlants!L556)</f>
        <v/>
      </c>
      <c r="N515" s="1" t="str">
        <f>IF(BaseCoalPlants!M556=0,"",BaseCoalPlants!M556)</f>
        <v/>
      </c>
      <c r="O515" s="1" t="str">
        <f>IF(BaseCoalPlants!N556=0,"",BaseCoalPlants!N556)</f>
        <v/>
      </c>
      <c r="P515" s="1" t="str">
        <f>IF(BaseCoalPlants!O556=0,"",BaseCoalPlants!O556)</f>
        <v/>
      </c>
      <c r="Q515" s="1" t="str">
        <f>IF(BaseCoalPlants!P556=0,"",BaseCoalPlants!P556)</f>
        <v/>
      </c>
      <c r="R515" s="1" t="str">
        <f>IF(BaseCoalPlants!Q556=0,"",BaseCoalPlants!Q556)</f>
        <v/>
      </c>
      <c r="S515" s="1" t="str">
        <f>IF(BaseCoalPlants!R556=0,"",BaseCoalPlants!R556)</f>
        <v/>
      </c>
      <c r="T515" s="1" t="str">
        <f>IF(BaseCoalPlants!S556=0,"",BaseCoalPlants!S556)</f>
        <v/>
      </c>
      <c r="U515" s="1" t="str">
        <f>IF(BaseCoalPlants!T556=0,"",BaseCoalPlants!T556)</f>
        <v/>
      </c>
      <c r="V515" s="1" t="str">
        <f>IF(BaseCoalPlants!U556=0,"",BaseCoalPlants!U556)</f>
        <v/>
      </c>
    </row>
    <row r="516" spans="3:22" x14ac:dyDescent="0.35">
      <c r="C516">
        <f>IF(BaseCoalPlants!B557="VDA_FLOP",IF(BaseCoalPlants!D557="ELC","*","INPUT"),BaseCoalPlants!B557)</f>
        <v>0</v>
      </c>
      <c r="D516" t="str">
        <f>IF(BaseCoalPlants!C557="","\I:",BaseCoalPlants!C557&amp;"_LE")</f>
        <v>\I:</v>
      </c>
      <c r="E516">
        <f>IF(BaseCoalPlants!D557="-","",BaseCoalPlants!D557)</f>
        <v>0</v>
      </c>
      <c r="F516">
        <f>IF(BaseCoalPlants!E557="-","",BaseCoalPlants!E557)</f>
        <v>0</v>
      </c>
      <c r="G516">
        <f>IF(BaseCoalPlants!F557="-","",BaseCoalPlants!F557)</f>
        <v>0</v>
      </c>
      <c r="H516">
        <f>IF(BaseCoalPlants!G557="-","",BaseCoalPlants!G557)</f>
        <v>0</v>
      </c>
      <c r="I516">
        <f>IF(BaseCoalPlants!H557="-","",BaseCoalPlants!H557)</f>
        <v>0</v>
      </c>
      <c r="J516">
        <f>IF(BaseCoalPlants!I557="-","",BaseCoalPlants!I557)</f>
        <v>0</v>
      </c>
      <c r="K516">
        <f>IF(BaseCoalPlants!J557="-","",BaseCoalPlants!J557)</f>
        <v>0</v>
      </c>
      <c r="L516">
        <f>IF(BaseCoalPlants!K557="-","",BaseCoalPlants!K557)</f>
        <v>0</v>
      </c>
      <c r="M516" s="1" t="str">
        <f>IF(BaseCoalPlants!L557=0,"",BaseCoalPlants!L557)</f>
        <v/>
      </c>
      <c r="N516" s="1" t="str">
        <f>IF(BaseCoalPlants!M557=0,"",BaseCoalPlants!M557)</f>
        <v/>
      </c>
      <c r="O516" s="1" t="str">
        <f>IF(BaseCoalPlants!N557=0,"",BaseCoalPlants!N557)</f>
        <v/>
      </c>
      <c r="P516" s="1" t="str">
        <f>IF(BaseCoalPlants!O557=0,"",BaseCoalPlants!O557)</f>
        <v/>
      </c>
      <c r="Q516" s="1" t="str">
        <f>IF(BaseCoalPlants!P557=0,"",BaseCoalPlants!P557)</f>
        <v/>
      </c>
      <c r="R516" s="1" t="str">
        <f>IF(BaseCoalPlants!Q557=0,"",BaseCoalPlants!Q557)</f>
        <v/>
      </c>
      <c r="S516" s="1" t="str">
        <f>IF(BaseCoalPlants!R557=0,"",BaseCoalPlants!R557)</f>
        <v/>
      </c>
      <c r="T516" s="1" t="str">
        <f>IF(BaseCoalPlants!S557=0,"",BaseCoalPlants!S557)</f>
        <v/>
      </c>
      <c r="U516" s="1" t="str">
        <f>IF(BaseCoalPlants!T557=0,"",BaseCoalPlants!T557)</f>
        <v/>
      </c>
      <c r="V516" s="1" t="str">
        <f>IF(BaseCoalPlants!U557=0,"",BaseCoalPlants!U557)</f>
        <v/>
      </c>
    </row>
    <row r="517" spans="3:22" x14ac:dyDescent="0.35">
      <c r="C517">
        <f>IF(BaseCoalPlants!B558="VDA_FLOP",IF(BaseCoalPlants!D558="ELC","*","INPUT"),BaseCoalPlants!B558)</f>
        <v>0</v>
      </c>
      <c r="D517" t="str">
        <f>IF(BaseCoalPlants!C558="","\I:",BaseCoalPlants!C558&amp;"_LE")</f>
        <v>\I:</v>
      </c>
      <c r="E517">
        <f>IF(BaseCoalPlants!D558="-","",BaseCoalPlants!D558)</f>
        <v>0</v>
      </c>
      <c r="F517">
        <f>IF(BaseCoalPlants!E558="-","",BaseCoalPlants!E558)</f>
        <v>0</v>
      </c>
      <c r="G517">
        <f>IF(BaseCoalPlants!F558="-","",BaseCoalPlants!F558)</f>
        <v>0</v>
      </c>
      <c r="H517">
        <f>IF(BaseCoalPlants!G558="-","",BaseCoalPlants!G558)</f>
        <v>0</v>
      </c>
      <c r="I517">
        <f>IF(BaseCoalPlants!H558="-","",BaseCoalPlants!H558)</f>
        <v>0</v>
      </c>
      <c r="J517">
        <f>IF(BaseCoalPlants!I558="-","",BaseCoalPlants!I558)</f>
        <v>0</v>
      </c>
      <c r="K517">
        <f>IF(BaseCoalPlants!J558="-","",BaseCoalPlants!J558)</f>
        <v>0</v>
      </c>
      <c r="L517">
        <f>IF(BaseCoalPlants!K558="-","",BaseCoalPlants!K558)</f>
        <v>0</v>
      </c>
      <c r="M517" s="1" t="str">
        <f>IF(BaseCoalPlants!L558=0,"",BaseCoalPlants!L558)</f>
        <v/>
      </c>
      <c r="N517" s="1" t="str">
        <f>IF(BaseCoalPlants!M558=0,"",BaseCoalPlants!M558)</f>
        <v/>
      </c>
      <c r="O517" s="1" t="str">
        <f>IF(BaseCoalPlants!N558=0,"",BaseCoalPlants!N558)</f>
        <v/>
      </c>
      <c r="P517" s="1" t="str">
        <f>IF(BaseCoalPlants!O558=0,"",BaseCoalPlants!O558)</f>
        <v/>
      </c>
      <c r="Q517" s="1" t="str">
        <f>IF(BaseCoalPlants!P558=0,"",BaseCoalPlants!P558)</f>
        <v/>
      </c>
      <c r="R517" s="1" t="str">
        <f>IF(BaseCoalPlants!Q558=0,"",BaseCoalPlants!Q558)</f>
        <v/>
      </c>
      <c r="S517" s="1" t="str">
        <f>IF(BaseCoalPlants!R558=0,"",BaseCoalPlants!R558)</f>
        <v/>
      </c>
      <c r="T517" s="1" t="str">
        <f>IF(BaseCoalPlants!S558=0,"",BaseCoalPlants!S558)</f>
        <v/>
      </c>
      <c r="U517" s="1" t="str">
        <f>IF(BaseCoalPlants!T558=0,"",BaseCoalPlants!T558)</f>
        <v/>
      </c>
      <c r="V517" s="1" t="str">
        <f>IF(BaseCoalPlants!U558=0,"",BaseCoalPlants!U558)</f>
        <v/>
      </c>
    </row>
    <row r="518" spans="3:22" x14ac:dyDescent="0.35">
      <c r="C518">
        <f>IF(BaseCoalPlants!B559="VDA_FLOP",IF(BaseCoalPlants!D559="ELC","*","INPUT"),BaseCoalPlants!B559)</f>
        <v>0</v>
      </c>
      <c r="D518" t="str">
        <f>IF(BaseCoalPlants!C559="","\I:",BaseCoalPlants!C559&amp;"_LE")</f>
        <v>\I:</v>
      </c>
      <c r="E518">
        <f>IF(BaseCoalPlants!D559="-","",BaseCoalPlants!D559)</f>
        <v>0</v>
      </c>
      <c r="F518">
        <f>IF(BaseCoalPlants!E559="-","",BaseCoalPlants!E559)</f>
        <v>0</v>
      </c>
      <c r="G518">
        <f>IF(BaseCoalPlants!F559="-","",BaseCoalPlants!F559)</f>
        <v>0</v>
      </c>
      <c r="H518">
        <f>IF(BaseCoalPlants!G559="-","",BaseCoalPlants!G559)</f>
        <v>0</v>
      </c>
      <c r="I518">
        <f>IF(BaseCoalPlants!H559="-","",BaseCoalPlants!H559)</f>
        <v>0</v>
      </c>
      <c r="J518">
        <f>IF(BaseCoalPlants!I559="-","",BaseCoalPlants!I559)</f>
        <v>0</v>
      </c>
      <c r="K518">
        <f>IF(BaseCoalPlants!J559="-","",BaseCoalPlants!J559)</f>
        <v>0</v>
      </c>
      <c r="L518">
        <f>IF(BaseCoalPlants!K559="-","",BaseCoalPlants!K559)</f>
        <v>0</v>
      </c>
      <c r="M518" s="1" t="str">
        <f>IF(BaseCoalPlants!L559=0,"",BaseCoalPlants!L559)</f>
        <v/>
      </c>
      <c r="N518" s="1" t="str">
        <f>IF(BaseCoalPlants!M559=0,"",BaseCoalPlants!M559)</f>
        <v/>
      </c>
      <c r="O518" s="1" t="str">
        <f>IF(BaseCoalPlants!N559=0,"",BaseCoalPlants!N559)</f>
        <v/>
      </c>
      <c r="P518" s="1" t="str">
        <f>IF(BaseCoalPlants!O559=0,"",BaseCoalPlants!O559)</f>
        <v/>
      </c>
      <c r="Q518" s="1" t="str">
        <f>IF(BaseCoalPlants!P559=0,"",BaseCoalPlants!P559)</f>
        <v/>
      </c>
      <c r="R518" s="1" t="str">
        <f>IF(BaseCoalPlants!Q559=0,"",BaseCoalPlants!Q559)</f>
        <v/>
      </c>
      <c r="S518" s="1" t="str">
        <f>IF(BaseCoalPlants!R559=0,"",BaseCoalPlants!R559)</f>
        <v/>
      </c>
      <c r="T518" s="1" t="str">
        <f>IF(BaseCoalPlants!S559=0,"",BaseCoalPlants!S559)</f>
        <v/>
      </c>
      <c r="U518" s="1" t="str">
        <f>IF(BaseCoalPlants!T559=0,"",BaseCoalPlants!T559)</f>
        <v/>
      </c>
      <c r="V518" s="1" t="str">
        <f>IF(BaseCoalPlants!U559=0,"",BaseCoalPlants!U559)</f>
        <v/>
      </c>
    </row>
    <row r="519" spans="3:22" x14ac:dyDescent="0.35">
      <c r="C519">
        <f>IF(BaseCoalPlants!B560="VDA_FLOP",IF(BaseCoalPlants!D560="ELC","*","INPUT"),BaseCoalPlants!B560)</f>
        <v>0</v>
      </c>
      <c r="D519" t="str">
        <f>IF(BaseCoalPlants!C560="","\I:",BaseCoalPlants!C560&amp;"_LE")</f>
        <v>\I:</v>
      </c>
      <c r="E519">
        <f>IF(BaseCoalPlants!D560="-","",BaseCoalPlants!D560)</f>
        <v>0</v>
      </c>
      <c r="F519">
        <f>IF(BaseCoalPlants!E560="-","",BaseCoalPlants!E560)</f>
        <v>0</v>
      </c>
      <c r="G519">
        <f>IF(BaseCoalPlants!F560="-","",BaseCoalPlants!F560)</f>
        <v>0</v>
      </c>
      <c r="H519">
        <f>IF(BaseCoalPlants!G560="-","",BaseCoalPlants!G560)</f>
        <v>0</v>
      </c>
      <c r="I519">
        <f>IF(BaseCoalPlants!H560="-","",BaseCoalPlants!H560)</f>
        <v>0</v>
      </c>
      <c r="J519">
        <f>IF(BaseCoalPlants!I560="-","",BaseCoalPlants!I560)</f>
        <v>0</v>
      </c>
      <c r="K519">
        <f>IF(BaseCoalPlants!J560="-","",BaseCoalPlants!J560)</f>
        <v>0</v>
      </c>
      <c r="L519">
        <f>IF(BaseCoalPlants!K560="-","",BaseCoalPlants!K560)</f>
        <v>0</v>
      </c>
      <c r="M519" s="1" t="str">
        <f>IF(BaseCoalPlants!L560=0,"",BaseCoalPlants!L560)</f>
        <v/>
      </c>
      <c r="N519" s="1" t="str">
        <f>IF(BaseCoalPlants!M560=0,"",BaseCoalPlants!M560)</f>
        <v/>
      </c>
      <c r="O519" s="1" t="str">
        <f>IF(BaseCoalPlants!N560=0,"",BaseCoalPlants!N560)</f>
        <v/>
      </c>
      <c r="P519" s="1" t="str">
        <f>IF(BaseCoalPlants!O560=0,"",BaseCoalPlants!O560)</f>
        <v/>
      </c>
      <c r="Q519" s="1" t="str">
        <f>IF(BaseCoalPlants!P560=0,"",BaseCoalPlants!P560)</f>
        <v/>
      </c>
      <c r="R519" s="1" t="str">
        <f>IF(BaseCoalPlants!Q560=0,"",BaseCoalPlants!Q560)</f>
        <v/>
      </c>
      <c r="S519" s="1" t="str">
        <f>IF(BaseCoalPlants!R560=0,"",BaseCoalPlants!R560)</f>
        <v/>
      </c>
      <c r="T519" s="1" t="str">
        <f>IF(BaseCoalPlants!S560=0,"",BaseCoalPlants!S560)</f>
        <v/>
      </c>
      <c r="U519" s="1" t="str">
        <f>IF(BaseCoalPlants!T560=0,"",BaseCoalPlants!T560)</f>
        <v/>
      </c>
      <c r="V519" s="1" t="str">
        <f>IF(BaseCoalPlants!U560=0,"",BaseCoalPlants!U560)</f>
        <v/>
      </c>
    </row>
    <row r="520" spans="3:22" x14ac:dyDescent="0.35">
      <c r="C520">
        <f>IF(BaseCoalPlants!B561="VDA_FLOP",IF(BaseCoalPlants!D561="ELC","*","INPUT"),BaseCoalPlants!B561)</f>
        <v>0</v>
      </c>
      <c r="D520" t="str">
        <f>IF(BaseCoalPlants!C561="","\I:",BaseCoalPlants!C561&amp;"_LE")</f>
        <v>\I:</v>
      </c>
      <c r="E520">
        <f>IF(BaseCoalPlants!D561="-","",BaseCoalPlants!D561)</f>
        <v>0</v>
      </c>
      <c r="F520">
        <f>IF(BaseCoalPlants!E561="-","",BaseCoalPlants!E561)</f>
        <v>0</v>
      </c>
      <c r="G520">
        <f>IF(BaseCoalPlants!F561="-","",BaseCoalPlants!F561)</f>
        <v>0</v>
      </c>
      <c r="H520">
        <f>IF(BaseCoalPlants!G561="-","",BaseCoalPlants!G561)</f>
        <v>0</v>
      </c>
      <c r="I520">
        <f>IF(BaseCoalPlants!H561="-","",BaseCoalPlants!H561)</f>
        <v>0</v>
      </c>
      <c r="J520">
        <f>IF(BaseCoalPlants!I561="-","",BaseCoalPlants!I561)</f>
        <v>0</v>
      </c>
      <c r="K520">
        <f>IF(BaseCoalPlants!J561="-","",BaseCoalPlants!J561)</f>
        <v>0</v>
      </c>
      <c r="L520">
        <f>IF(BaseCoalPlants!K561="-","",BaseCoalPlants!K561)</f>
        <v>0</v>
      </c>
      <c r="M520" s="1" t="str">
        <f>IF(BaseCoalPlants!L561=0,"",BaseCoalPlants!L561)</f>
        <v/>
      </c>
      <c r="N520" s="1" t="str">
        <f>IF(BaseCoalPlants!M561=0,"",BaseCoalPlants!M561)</f>
        <v/>
      </c>
      <c r="O520" s="1" t="str">
        <f>IF(BaseCoalPlants!N561=0,"",BaseCoalPlants!N561)</f>
        <v/>
      </c>
      <c r="P520" s="1" t="str">
        <f>IF(BaseCoalPlants!O561=0,"",BaseCoalPlants!O561)</f>
        <v/>
      </c>
      <c r="Q520" s="1" t="str">
        <f>IF(BaseCoalPlants!P561=0,"",BaseCoalPlants!P561)</f>
        <v/>
      </c>
      <c r="R520" s="1" t="str">
        <f>IF(BaseCoalPlants!Q561=0,"",BaseCoalPlants!Q561)</f>
        <v/>
      </c>
      <c r="S520" s="1" t="str">
        <f>IF(BaseCoalPlants!R561=0,"",BaseCoalPlants!R561)</f>
        <v/>
      </c>
      <c r="T520" s="1" t="str">
        <f>IF(BaseCoalPlants!S561=0,"",BaseCoalPlants!S561)</f>
        <v/>
      </c>
      <c r="U520" s="1" t="str">
        <f>IF(BaseCoalPlants!T561=0,"",BaseCoalPlants!T561)</f>
        <v/>
      </c>
      <c r="V520" s="1" t="str">
        <f>IF(BaseCoalPlants!U561=0,"",BaseCoalPlants!U561)</f>
        <v/>
      </c>
    </row>
    <row r="521" spans="3:22" x14ac:dyDescent="0.35">
      <c r="C521">
        <f>IF(BaseCoalPlants!B562="VDA_FLOP",IF(BaseCoalPlants!D562="ELC","*","INPUT"),BaseCoalPlants!B562)</f>
        <v>0</v>
      </c>
      <c r="D521" t="str">
        <f>IF(BaseCoalPlants!C562="","\I:",BaseCoalPlants!C562&amp;"_LE")</f>
        <v>\I:</v>
      </c>
      <c r="E521">
        <f>IF(BaseCoalPlants!D562="-","",BaseCoalPlants!D562)</f>
        <v>0</v>
      </c>
      <c r="F521">
        <f>IF(BaseCoalPlants!E562="-","",BaseCoalPlants!E562)</f>
        <v>0</v>
      </c>
      <c r="G521">
        <f>IF(BaseCoalPlants!F562="-","",BaseCoalPlants!F562)</f>
        <v>0</v>
      </c>
      <c r="H521">
        <f>IF(BaseCoalPlants!G562="-","",BaseCoalPlants!G562)</f>
        <v>0</v>
      </c>
      <c r="I521">
        <f>IF(BaseCoalPlants!H562="-","",BaseCoalPlants!H562)</f>
        <v>0</v>
      </c>
      <c r="J521">
        <f>IF(BaseCoalPlants!I562="-","",BaseCoalPlants!I562)</f>
        <v>0</v>
      </c>
      <c r="K521">
        <f>IF(BaseCoalPlants!J562="-","",BaseCoalPlants!J562)</f>
        <v>0</v>
      </c>
      <c r="L521">
        <f>IF(BaseCoalPlants!K562="-","",BaseCoalPlants!K562)</f>
        <v>0</v>
      </c>
      <c r="M521" s="1" t="str">
        <f>IF(BaseCoalPlants!L562=0,"",BaseCoalPlants!L562)</f>
        <v/>
      </c>
      <c r="N521" s="1" t="str">
        <f>IF(BaseCoalPlants!M562=0,"",BaseCoalPlants!M562)</f>
        <v/>
      </c>
      <c r="O521" s="1" t="str">
        <f>IF(BaseCoalPlants!N562=0,"",BaseCoalPlants!N562)</f>
        <v/>
      </c>
      <c r="P521" s="1" t="str">
        <f>IF(BaseCoalPlants!O562=0,"",BaseCoalPlants!O562)</f>
        <v/>
      </c>
      <c r="Q521" s="1" t="str">
        <f>IF(BaseCoalPlants!P562=0,"",BaseCoalPlants!P562)</f>
        <v/>
      </c>
      <c r="R521" s="1" t="str">
        <f>IF(BaseCoalPlants!Q562=0,"",BaseCoalPlants!Q562)</f>
        <v/>
      </c>
      <c r="S521" s="1" t="str">
        <f>IF(BaseCoalPlants!R562=0,"",BaseCoalPlants!R562)</f>
        <v/>
      </c>
      <c r="T521" s="1" t="str">
        <f>IF(BaseCoalPlants!S562=0,"",BaseCoalPlants!S562)</f>
        <v/>
      </c>
      <c r="U521" s="1" t="str">
        <f>IF(BaseCoalPlants!T562=0,"",BaseCoalPlants!T562)</f>
        <v/>
      </c>
      <c r="V521" s="1" t="str">
        <f>IF(BaseCoalPlants!U562=0,"",BaseCoalPlants!U562)</f>
        <v/>
      </c>
    </row>
    <row r="522" spans="3:22" x14ac:dyDescent="0.35">
      <c r="C522">
        <f>IF(BaseCoalPlants!B563="VDA_FLOP",IF(BaseCoalPlants!D563="ELC","*","INPUT"),BaseCoalPlants!B563)</f>
        <v>0</v>
      </c>
      <c r="D522" t="str">
        <f>IF(BaseCoalPlants!C563="","\I:",BaseCoalPlants!C563&amp;"_LE")</f>
        <v>\I:</v>
      </c>
      <c r="E522">
        <f>IF(BaseCoalPlants!D563="-","",BaseCoalPlants!D563)</f>
        <v>0</v>
      </c>
      <c r="F522">
        <f>IF(BaseCoalPlants!E563="-","",BaseCoalPlants!E563)</f>
        <v>0</v>
      </c>
      <c r="G522">
        <f>IF(BaseCoalPlants!F563="-","",BaseCoalPlants!F563)</f>
        <v>0</v>
      </c>
      <c r="H522">
        <f>IF(BaseCoalPlants!G563="-","",BaseCoalPlants!G563)</f>
        <v>0</v>
      </c>
      <c r="I522">
        <f>IF(BaseCoalPlants!H563="-","",BaseCoalPlants!H563)</f>
        <v>0</v>
      </c>
      <c r="J522">
        <f>IF(BaseCoalPlants!I563="-","",BaseCoalPlants!I563)</f>
        <v>0</v>
      </c>
      <c r="K522">
        <f>IF(BaseCoalPlants!J563="-","",BaseCoalPlants!J563)</f>
        <v>0</v>
      </c>
      <c r="L522">
        <f>IF(BaseCoalPlants!K563="-","",BaseCoalPlants!K563)</f>
        <v>0</v>
      </c>
      <c r="M522" s="1" t="str">
        <f>IF(BaseCoalPlants!L563=0,"",BaseCoalPlants!L563)</f>
        <v/>
      </c>
      <c r="N522" s="1" t="str">
        <f>IF(BaseCoalPlants!M563=0,"",BaseCoalPlants!M563)</f>
        <v/>
      </c>
      <c r="O522" s="1" t="str">
        <f>IF(BaseCoalPlants!N563=0,"",BaseCoalPlants!N563)</f>
        <v/>
      </c>
      <c r="P522" s="1" t="str">
        <f>IF(BaseCoalPlants!O563=0,"",BaseCoalPlants!O563)</f>
        <v/>
      </c>
      <c r="Q522" s="1" t="str">
        <f>IF(BaseCoalPlants!P563=0,"",BaseCoalPlants!P563)</f>
        <v/>
      </c>
      <c r="R522" s="1" t="str">
        <f>IF(BaseCoalPlants!Q563=0,"",BaseCoalPlants!Q563)</f>
        <v/>
      </c>
      <c r="S522" s="1" t="str">
        <f>IF(BaseCoalPlants!R563=0,"",BaseCoalPlants!R563)</f>
        <v/>
      </c>
      <c r="T522" s="1" t="str">
        <f>IF(BaseCoalPlants!S563=0,"",BaseCoalPlants!S563)</f>
        <v/>
      </c>
      <c r="U522" s="1" t="str">
        <f>IF(BaseCoalPlants!T563=0,"",BaseCoalPlants!T563)</f>
        <v/>
      </c>
      <c r="V522" s="1" t="str">
        <f>IF(BaseCoalPlants!U563=0,"",BaseCoalPlants!U563)</f>
        <v/>
      </c>
    </row>
    <row r="523" spans="3:22" x14ac:dyDescent="0.35">
      <c r="C523">
        <f>IF(BaseCoalPlants!B564="VDA_FLOP",IF(BaseCoalPlants!D564="ELC","*","INPUT"),BaseCoalPlants!B564)</f>
        <v>0</v>
      </c>
      <c r="D523" t="str">
        <f>IF(BaseCoalPlants!C564="","\I:",BaseCoalPlants!C564&amp;"_LE")</f>
        <v>\I:</v>
      </c>
      <c r="E523">
        <f>IF(BaseCoalPlants!D564="-","",BaseCoalPlants!D564)</f>
        <v>0</v>
      </c>
      <c r="F523">
        <f>IF(BaseCoalPlants!E564="-","",BaseCoalPlants!E564)</f>
        <v>0</v>
      </c>
      <c r="G523">
        <f>IF(BaseCoalPlants!F564="-","",BaseCoalPlants!F564)</f>
        <v>0</v>
      </c>
      <c r="H523">
        <f>IF(BaseCoalPlants!G564="-","",BaseCoalPlants!G564)</f>
        <v>0</v>
      </c>
      <c r="I523">
        <f>IF(BaseCoalPlants!H564="-","",BaseCoalPlants!H564)</f>
        <v>0</v>
      </c>
      <c r="J523">
        <f>IF(BaseCoalPlants!I564="-","",BaseCoalPlants!I564)</f>
        <v>0</v>
      </c>
      <c r="K523">
        <f>IF(BaseCoalPlants!J564="-","",BaseCoalPlants!J564)</f>
        <v>0</v>
      </c>
      <c r="L523">
        <f>IF(BaseCoalPlants!K564="-","",BaseCoalPlants!K564)</f>
        <v>0</v>
      </c>
      <c r="M523" s="1" t="str">
        <f>IF(BaseCoalPlants!L564=0,"",BaseCoalPlants!L564)</f>
        <v/>
      </c>
      <c r="N523" s="1" t="str">
        <f>IF(BaseCoalPlants!M564=0,"",BaseCoalPlants!M564)</f>
        <v/>
      </c>
      <c r="O523" s="1" t="str">
        <f>IF(BaseCoalPlants!N564=0,"",BaseCoalPlants!N564)</f>
        <v/>
      </c>
      <c r="P523" s="1" t="str">
        <f>IF(BaseCoalPlants!O564=0,"",BaseCoalPlants!O564)</f>
        <v/>
      </c>
      <c r="Q523" s="1" t="str">
        <f>IF(BaseCoalPlants!P564=0,"",BaseCoalPlants!P564)</f>
        <v/>
      </c>
      <c r="R523" s="1" t="str">
        <f>IF(BaseCoalPlants!Q564=0,"",BaseCoalPlants!Q564)</f>
        <v/>
      </c>
      <c r="S523" s="1" t="str">
        <f>IF(BaseCoalPlants!R564=0,"",BaseCoalPlants!R564)</f>
        <v/>
      </c>
      <c r="T523" s="1" t="str">
        <f>IF(BaseCoalPlants!S564=0,"",BaseCoalPlants!S564)</f>
        <v/>
      </c>
      <c r="U523" s="1" t="str">
        <f>IF(BaseCoalPlants!T564=0,"",BaseCoalPlants!T564)</f>
        <v/>
      </c>
      <c r="V523" s="1" t="str">
        <f>IF(BaseCoalPlants!U564=0,"",BaseCoalPlants!U564)</f>
        <v/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0019-50E8-44D2-A683-50A0C94FF362}">
  <dimension ref="C3:L1102"/>
  <sheetViews>
    <sheetView workbookViewId="0">
      <selection activeCell="A12" sqref="A12:XFD12"/>
    </sheetView>
  </sheetViews>
  <sheetFormatPr defaultRowHeight="14.5" x14ac:dyDescent="0.35"/>
  <cols>
    <col min="3" max="3" width="16.1796875" bestFit="1" customWidth="1"/>
    <col min="4" max="12" width="5" bestFit="1" customWidth="1"/>
  </cols>
  <sheetData>
    <row r="3" spans="3:12" x14ac:dyDescent="0.35">
      <c r="C3" t="s">
        <v>41</v>
      </c>
    </row>
    <row r="4" spans="3:12" x14ac:dyDescent="0.35">
      <c r="C4" t="s">
        <v>38</v>
      </c>
      <c r="D4" t="s">
        <v>23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3:12" x14ac:dyDescent="0.35">
      <c r="C5" t="s">
        <v>59</v>
      </c>
      <c r="D5" s="2">
        <f>SUMIFS('LifeExtn techs'!N$4:N$457,'LifeExtn techs'!$C$4:$C$457,"EFF",'LifeExtn techs'!$D$4:$D$457,'Tech availbility'!$C5)</f>
        <v>1.9968502394990189</v>
      </c>
      <c r="E5" s="2">
        <f>SUMIFS('LifeExtn techs'!O$4:O$457,'LifeExtn techs'!$C$4:$C$457,"EFF",'LifeExtn techs'!$D$4:$D$457,'Tech availbility'!$C5)</f>
        <v>5.8676090721975216</v>
      </c>
      <c r="F5" s="2">
        <f>SUMIFS('LifeExtn techs'!P$4:P$457,'LifeExtn techs'!$C$4:$C$457,"EFF",'LifeExtn techs'!$D$4:$D$457,'Tech availbility'!$C5)</f>
        <v>8.7341477896119599</v>
      </c>
      <c r="G5" s="2">
        <f>SUMIFS('LifeExtn techs'!Q$4:Q$457,'LifeExtn techs'!$C$4:$C$457,"EFF",'LifeExtn techs'!$D$4:$D$457,'Tech availbility'!$C5)</f>
        <v>0</v>
      </c>
      <c r="H5" s="2">
        <f>SUMIFS('LifeExtn techs'!R$4:R$457,'LifeExtn techs'!$C$4:$C$457,"EFF",'LifeExtn techs'!$D$4:$D$457,'Tech availbility'!$C5)</f>
        <v>10.360824755041966</v>
      </c>
      <c r="I5" s="2">
        <f>SUMIFS('LifeExtn techs'!S$4:S$457,'LifeExtn techs'!$C$4:$C$457,"EFF",'LifeExtn techs'!$D$4:$D$457,'Tech availbility'!$C5)</f>
        <v>8.5752952492324059</v>
      </c>
      <c r="J5" s="2">
        <f>SUMIFS('LifeExtn techs'!T$4:T$457,'LifeExtn techs'!$C$4:$C$457,"EFF",'LifeExtn techs'!$D$4:$D$457,'Tech availbility'!$C5)</f>
        <v>0</v>
      </c>
      <c r="K5" s="2">
        <f>SUMIFS('LifeExtn techs'!U$4:U$457,'LifeExtn techs'!$C$4:$C$457,"EFF",'LifeExtn techs'!$D$4:$D$457,'Tech availbility'!$C5)</f>
        <v>0</v>
      </c>
      <c r="L5" s="2">
        <f>SUMIFS('LifeExtn techs'!V$4:V$457,'LifeExtn techs'!$C$4:$C$457,"EFF",'LifeExtn techs'!$D$4:$D$457,'Tech availbility'!$C5)</f>
        <v>0</v>
      </c>
    </row>
    <row r="6" spans="3:12" x14ac:dyDescent="0.35">
      <c r="C6" t="s">
        <v>60</v>
      </c>
      <c r="D6" s="2">
        <f>SUMIFS('LifeExtn techs'!N$4:N$457,'LifeExtn techs'!$C$4:$C$457,"EFF",'LifeExtn techs'!$D$4:$D$457,'Tech availbility'!$C6)</f>
        <v>0</v>
      </c>
      <c r="E6" s="2">
        <f>SUMIFS('LifeExtn techs'!O$4:O$457,'LifeExtn techs'!$C$4:$C$457,"EFF",'LifeExtn techs'!$D$4:$D$457,'Tech availbility'!$C6)</f>
        <v>4.5977258791709437</v>
      </c>
      <c r="F6" s="2">
        <f>SUMIFS('LifeExtn techs'!P$4:P$457,'LifeExtn techs'!$C$4:$C$457,"EFF",'LifeExtn techs'!$D$4:$D$457,'Tech availbility'!$C6)</f>
        <v>3.506011653377676</v>
      </c>
      <c r="G6" s="2">
        <f>SUMIFS('LifeExtn techs'!Q$4:Q$457,'LifeExtn techs'!$C$4:$C$457,"EFF",'LifeExtn techs'!$D$4:$D$457,'Tech availbility'!$C6)</f>
        <v>0</v>
      </c>
      <c r="H6" s="2">
        <f>SUMIFS('LifeExtn techs'!R$4:R$457,'LifeExtn techs'!$C$4:$C$457,"EFF",'LifeExtn techs'!$D$4:$D$457,'Tech availbility'!$C6)</f>
        <v>11.063069541816631</v>
      </c>
      <c r="I6" s="2">
        <f>SUMIFS('LifeExtn techs'!S$4:S$457,'LifeExtn techs'!$C$4:$C$457,"EFF",'LifeExtn techs'!$D$4:$D$457,'Tech availbility'!$C6)</f>
        <v>4.4968499935389152</v>
      </c>
      <c r="J6" s="2">
        <f>SUMIFS('LifeExtn techs'!T$4:T$457,'LifeExtn techs'!$C$4:$C$457,"EFF",'LifeExtn techs'!$D$4:$D$457,'Tech availbility'!$C6)</f>
        <v>0.52260800775679583</v>
      </c>
      <c r="K6" s="2">
        <f>SUMIFS('LifeExtn techs'!U$4:U$457,'LifeExtn techs'!$C$4:$C$457,"EFF",'LifeExtn techs'!$D$4:$D$457,'Tech availbility'!$C6)</f>
        <v>5.630229535785948</v>
      </c>
      <c r="L6" s="2">
        <f>SUMIFS('LifeExtn techs'!V$4:V$457,'LifeExtn techs'!$C$4:$C$457,"EFF",'LifeExtn techs'!$D$4:$D$457,'Tech availbility'!$C6)</f>
        <v>0.29995690723251162</v>
      </c>
    </row>
    <row r="7" spans="3:12" x14ac:dyDescent="0.35">
      <c r="C7" t="s">
        <v>61</v>
      </c>
      <c r="D7" s="2">
        <f>SUMIFS('LifeExtn techs'!N$4:N$457,'LifeExtn techs'!$C$4:$C$457,"EFF",'LifeExtn techs'!$D$4:$D$457,'Tech availbility'!$C7)</f>
        <v>1.1707948068171041</v>
      </c>
      <c r="E7" s="2">
        <f>SUMIFS('LifeExtn techs'!O$4:O$457,'LifeExtn techs'!$C$4:$C$457,"EFF",'LifeExtn techs'!$D$4:$D$457,'Tech availbility'!$C7)</f>
        <v>3.2836575710179057</v>
      </c>
      <c r="F7" s="2">
        <f>SUMIFS('LifeExtn techs'!P$4:P$457,'LifeExtn techs'!$C$4:$C$457,"EFF",'LifeExtn techs'!$D$4:$D$457,'Tech availbility'!$C7)</f>
        <v>7.2735052147560353</v>
      </c>
      <c r="G7" s="2">
        <f>SUMIFS('LifeExtn techs'!Q$4:Q$457,'LifeExtn techs'!$C$4:$C$457,"EFF",'LifeExtn techs'!$D$4:$D$457,'Tech availbility'!$C7)</f>
        <v>2.6347561049434129</v>
      </c>
      <c r="H7" s="2">
        <f>SUMIFS('LifeExtn techs'!R$4:R$457,'LifeExtn techs'!$C$4:$C$457,"EFF",'LifeExtn techs'!$D$4:$D$457,'Tech availbility'!$C7)</f>
        <v>4.6163957829042266</v>
      </c>
      <c r="I7" s="2">
        <f>SUMIFS('LifeExtn techs'!S$4:S$457,'LifeExtn techs'!$C$4:$C$457,"EFF",'LifeExtn techs'!$D$4:$D$457,'Tech availbility'!$C7)</f>
        <v>2.4725268905784645</v>
      </c>
      <c r="J7" s="2">
        <f>SUMIFS('LifeExtn techs'!T$4:T$457,'LifeExtn techs'!$C$4:$C$457,"EFF",'LifeExtn techs'!$D$4:$D$457,'Tech availbility'!$C7)</f>
        <v>0</v>
      </c>
      <c r="K7" s="2">
        <f>SUMIFS('LifeExtn techs'!U$4:U$457,'LifeExtn techs'!$C$4:$C$457,"EFF",'LifeExtn techs'!$D$4:$D$457,'Tech availbility'!$C7)</f>
        <v>0.28394117915283457</v>
      </c>
      <c r="L7" s="2">
        <f>SUMIFS('LifeExtn techs'!V$4:V$457,'LifeExtn techs'!$C$4:$C$457,"EFF",'LifeExtn techs'!$D$4:$D$457,'Tech availbility'!$C7)</f>
        <v>0</v>
      </c>
    </row>
    <row r="8" spans="3:12" x14ac:dyDescent="0.35">
      <c r="C8" t="s">
        <v>62</v>
      </c>
      <c r="D8" s="2">
        <f>SUMIFS('LifeExtn techs'!N$4:N$457,'LifeExtn techs'!$C$4:$C$457,"EFF",'LifeExtn techs'!$D$4:$D$457,'Tech availbility'!$C8)</f>
        <v>0.30631136997977088</v>
      </c>
      <c r="E8" s="2">
        <f>SUMIFS('LifeExtn techs'!O$4:O$457,'LifeExtn techs'!$C$4:$C$457,"EFF",'LifeExtn techs'!$D$4:$D$457,'Tech availbility'!$C8)</f>
        <v>4.0974698157128735</v>
      </c>
      <c r="F8" s="2">
        <f>SUMIFS('LifeExtn techs'!P$4:P$457,'LifeExtn techs'!$C$4:$C$457,"EFF",'LifeExtn techs'!$D$4:$D$457,'Tech availbility'!$C8)</f>
        <v>2.9466613419415406</v>
      </c>
      <c r="G8" s="2">
        <f>SUMIFS('LifeExtn techs'!Q$4:Q$457,'LifeExtn techs'!$C$4:$C$457,"EFF",'LifeExtn techs'!$D$4:$D$457,'Tech availbility'!$C8)</f>
        <v>2.3499651209930827</v>
      </c>
      <c r="H8" s="2">
        <f>SUMIFS('LifeExtn techs'!R$4:R$457,'LifeExtn techs'!$C$4:$C$457,"EFF",'LifeExtn techs'!$D$4:$D$457,'Tech availbility'!$C8)</f>
        <v>3.8566244335401576</v>
      </c>
      <c r="I8" s="2">
        <f>SUMIFS('LifeExtn techs'!S$4:S$457,'LifeExtn techs'!$C$4:$C$457,"EFF",'LifeExtn techs'!$D$4:$D$457,'Tech availbility'!$C8)</f>
        <v>1.1516800709430133</v>
      </c>
      <c r="J8" s="2">
        <f>SUMIFS('LifeExtn techs'!T$4:T$457,'LifeExtn techs'!$C$4:$C$457,"EFF",'LifeExtn techs'!$D$4:$D$457,'Tech availbility'!$C8)</f>
        <v>0.63206105501073118</v>
      </c>
      <c r="K8" s="2">
        <f>SUMIFS('LifeExtn techs'!U$4:U$457,'LifeExtn techs'!$C$4:$C$457,"EFF",'LifeExtn techs'!$D$4:$D$457,'Tech availbility'!$C8)</f>
        <v>2.6966123184468578</v>
      </c>
      <c r="L8" s="2">
        <f>SUMIFS('LifeExtn techs'!V$4:V$457,'LifeExtn techs'!$C$4:$C$457,"EFF",'LifeExtn techs'!$D$4:$D$457,'Tech availbility'!$C8)</f>
        <v>1.747528370020055</v>
      </c>
    </row>
    <row r="9" spans="3:12" x14ac:dyDescent="0.35">
      <c r="C9" t="s">
        <v>63</v>
      </c>
      <c r="D9" s="2">
        <f>SUMIFS('LifeExtn techs'!N$4:N$457,'LifeExtn techs'!$C$4:$C$457,"EFF",'LifeExtn techs'!$D$4:$D$457,'Tech availbility'!$C9)</f>
        <v>0</v>
      </c>
      <c r="E9" s="2">
        <f>SUMIFS('LifeExtn techs'!O$4:O$457,'LifeExtn techs'!$C$4:$C$457,"EFF",'LifeExtn techs'!$D$4:$D$457,'Tech availbility'!$C9)</f>
        <v>0</v>
      </c>
      <c r="F9" s="2">
        <f>SUMIFS('LifeExtn techs'!P$4:P$457,'LifeExtn techs'!$C$4:$C$457,"EFF",'LifeExtn techs'!$D$4:$D$457,'Tech availbility'!$C9)</f>
        <v>0</v>
      </c>
      <c r="G9" s="2">
        <f>SUMIFS('LifeExtn techs'!Q$4:Q$457,'LifeExtn techs'!$C$4:$C$457,"EFF",'LifeExtn techs'!$D$4:$D$457,'Tech availbility'!$C9)</f>
        <v>1.1990323727571379</v>
      </c>
      <c r="H9" s="2">
        <f>SUMIFS('LifeExtn techs'!R$4:R$457,'LifeExtn techs'!$C$4:$C$457,"EFF",'LifeExtn techs'!$D$4:$D$457,'Tech availbility'!$C9)</f>
        <v>0</v>
      </c>
      <c r="I9" s="2">
        <f>SUMIFS('LifeExtn techs'!S$4:S$457,'LifeExtn techs'!$C$4:$C$457,"EFF",'LifeExtn techs'!$D$4:$D$457,'Tech availbility'!$C9)</f>
        <v>0</v>
      </c>
      <c r="J9" s="2">
        <f>SUMIFS('LifeExtn techs'!T$4:T$457,'LifeExtn techs'!$C$4:$C$457,"EFF",'LifeExtn techs'!$D$4:$D$457,'Tech availbility'!$C9)</f>
        <v>1.4782160056321911</v>
      </c>
      <c r="K9" s="2">
        <f>SUMIFS('LifeExtn techs'!U$4:U$457,'LifeExtn techs'!$C$4:$C$457,"EFF",'LifeExtn techs'!$D$4:$D$457,'Tech availbility'!$C9)</f>
        <v>0</v>
      </c>
      <c r="L9" s="2">
        <f>SUMIFS('LifeExtn techs'!V$4:V$457,'LifeExtn techs'!$C$4:$C$457,"EFF",'LifeExtn techs'!$D$4:$D$457,'Tech availbility'!$C9)</f>
        <v>0</v>
      </c>
    </row>
    <row r="10" spans="3:12" x14ac:dyDescent="0.35">
      <c r="C10" t="s">
        <v>64</v>
      </c>
      <c r="D10" s="2">
        <f>SUMIFS('LifeExtn techs'!N$4:N$457,'LifeExtn techs'!$C$4:$C$457,"EFF",'LifeExtn techs'!$D$4:$D$457,'Tech availbility'!$C10)</f>
        <v>0</v>
      </c>
      <c r="E10" s="2">
        <f>SUMIFS('LifeExtn techs'!O$4:O$457,'LifeExtn techs'!$C$4:$C$457,"EFF",'LifeExtn techs'!$D$4:$D$457,'Tech availbility'!$C10)</f>
        <v>0</v>
      </c>
      <c r="F10" s="2">
        <f>SUMIFS('LifeExtn techs'!P$4:P$457,'LifeExtn techs'!$C$4:$C$457,"EFF",'LifeExtn techs'!$D$4:$D$457,'Tech availbility'!$C10)</f>
        <v>0</v>
      </c>
      <c r="G10" s="2">
        <f>SUMIFS('LifeExtn techs'!Q$4:Q$457,'LifeExtn techs'!$C$4:$C$457,"EFF",'LifeExtn techs'!$D$4:$D$457,'Tech availbility'!$C10)</f>
        <v>1.1756350518041288</v>
      </c>
      <c r="H10" s="2">
        <f>SUMIFS('LifeExtn techs'!R$4:R$457,'LifeExtn techs'!$C$4:$C$457,"EFF",'LifeExtn techs'!$D$4:$D$457,'Tech availbility'!$C10)</f>
        <v>0</v>
      </c>
      <c r="I10" s="2">
        <f>SUMIFS('LifeExtn techs'!S$4:S$457,'LifeExtn techs'!$C$4:$C$457,"EFF",'LifeExtn techs'!$D$4:$D$457,'Tech availbility'!$C10)</f>
        <v>0.32707784303273757</v>
      </c>
      <c r="J10" s="2">
        <f>SUMIFS('LifeExtn techs'!T$4:T$457,'LifeExtn techs'!$C$4:$C$457,"EFF",'LifeExtn techs'!$D$4:$D$457,'Tech availbility'!$C10)</f>
        <v>1.862000852730024</v>
      </c>
      <c r="K10" s="2">
        <f>SUMIFS('LifeExtn techs'!U$4:U$457,'LifeExtn techs'!$C$4:$C$457,"EFF",'LifeExtn techs'!$D$4:$D$457,'Tech availbility'!$C10)</f>
        <v>0.86899028265102718</v>
      </c>
      <c r="L10" s="2">
        <f>SUMIFS('LifeExtn techs'!V$4:V$457,'LifeExtn techs'!$C$4:$C$457,"EFF",'LifeExtn techs'!$D$4:$D$457,'Tech availbility'!$C10)</f>
        <v>0</v>
      </c>
    </row>
    <row r="11" spans="3:12" x14ac:dyDescent="0.35">
      <c r="C11" t="s">
        <v>65</v>
      </c>
      <c r="D11" s="2">
        <f>SUMIFS('LifeExtn techs'!N$4:N$457,'LifeExtn techs'!$C$4:$C$457,"EFF",'LifeExtn techs'!$D$4:$D$457,'Tech availbility'!$C11)</f>
        <v>0</v>
      </c>
      <c r="E11" s="2">
        <f>SUMIFS('LifeExtn techs'!O$4:O$457,'LifeExtn techs'!$C$4:$C$457,"EFF",'LifeExtn techs'!$D$4:$D$457,'Tech availbility'!$C11)</f>
        <v>0</v>
      </c>
      <c r="F11" s="2">
        <f>SUMIFS('LifeExtn techs'!P$4:P$457,'LifeExtn techs'!$C$4:$C$457,"EFF",'LifeExtn techs'!$D$4:$D$457,'Tech availbility'!$C11)</f>
        <v>0</v>
      </c>
      <c r="G11" s="2">
        <f>SUMIFS('LifeExtn techs'!Q$4:Q$457,'LifeExtn techs'!$C$4:$C$457,"EFF",'LifeExtn techs'!$D$4:$D$457,'Tech availbility'!$C11)</f>
        <v>0.56103422013336757</v>
      </c>
      <c r="H11" s="2">
        <f>SUMIFS('LifeExtn techs'!R$4:R$457,'LifeExtn techs'!$C$4:$C$457,"EFF",'LifeExtn techs'!$D$4:$D$457,'Tech availbility'!$C11)</f>
        <v>0</v>
      </c>
      <c r="I11" s="2">
        <f>SUMIFS('LifeExtn techs'!S$4:S$457,'LifeExtn techs'!$C$4:$C$457,"EFF",'LifeExtn techs'!$D$4:$D$457,'Tech availbility'!$C11)</f>
        <v>0</v>
      </c>
      <c r="J11" s="2">
        <f>SUMIFS('LifeExtn techs'!T$4:T$457,'LifeExtn techs'!$C$4:$C$457,"EFF",'LifeExtn techs'!$D$4:$D$457,'Tech availbility'!$C11)</f>
        <v>0</v>
      </c>
      <c r="K11" s="2">
        <f>SUMIFS('LifeExtn techs'!U$4:U$457,'LifeExtn techs'!$C$4:$C$457,"EFF",'LifeExtn techs'!$D$4:$D$457,'Tech availbility'!$C11)</f>
        <v>0.23760276955728285</v>
      </c>
      <c r="L11" s="2">
        <f>SUMIFS('LifeExtn techs'!V$4:V$457,'LifeExtn techs'!$C$4:$C$457,"EFF",'LifeExtn techs'!$D$4:$D$457,'Tech availbility'!$C11)</f>
        <v>0</v>
      </c>
    </row>
    <row r="12" spans="3:12" x14ac:dyDescent="0.35">
      <c r="C12" t="s">
        <v>66</v>
      </c>
      <c r="D12" s="2">
        <f>SUMIFS('LifeExtn techs'!N$4:N$457,'LifeExtn techs'!$C$4:$C$457,"EFF",'LifeExtn techs'!$D$4:$D$457,'Tech availbility'!$C12)</f>
        <v>0</v>
      </c>
      <c r="E12" s="2">
        <f>SUMIFS('LifeExtn techs'!O$4:O$457,'LifeExtn techs'!$C$4:$C$457,"EFF",'LifeExtn techs'!$D$4:$D$457,'Tech availbility'!$C12)</f>
        <v>0</v>
      </c>
      <c r="F12" s="2">
        <f>SUMIFS('LifeExtn techs'!P$4:P$457,'LifeExtn techs'!$C$4:$C$457,"EFF",'LifeExtn techs'!$D$4:$D$457,'Tech availbility'!$C12)</f>
        <v>0</v>
      </c>
      <c r="G12" s="2">
        <f>SUMIFS('LifeExtn techs'!Q$4:Q$457,'LifeExtn techs'!$C$4:$C$457,"EFF",'LifeExtn techs'!$D$4:$D$457,'Tech availbility'!$C12)</f>
        <v>0</v>
      </c>
      <c r="H12" s="2">
        <f>SUMIFS('LifeExtn techs'!R$4:R$457,'LifeExtn techs'!$C$4:$C$457,"EFF",'LifeExtn techs'!$D$4:$D$457,'Tech availbility'!$C12)</f>
        <v>0</v>
      </c>
      <c r="I12" s="2">
        <f>SUMIFS('LifeExtn techs'!S$4:S$457,'LifeExtn techs'!$C$4:$C$457,"EFF",'LifeExtn techs'!$D$4:$D$457,'Tech availbility'!$C12)</f>
        <v>0</v>
      </c>
      <c r="J12" s="2">
        <f>SUMIFS('LifeExtn techs'!T$4:T$457,'LifeExtn techs'!$C$4:$C$457,"EFF",'LifeExtn techs'!$D$4:$D$457,'Tech availbility'!$C12)</f>
        <v>0</v>
      </c>
      <c r="K12" s="2">
        <f>SUMIFS('LifeExtn techs'!U$4:U$457,'LifeExtn techs'!$C$4:$C$457,"EFF",'LifeExtn techs'!$D$4:$D$457,'Tech availbility'!$C12)</f>
        <v>0</v>
      </c>
      <c r="L12" s="2">
        <f>SUMIFS('LifeExtn techs'!V$4:V$457,'LifeExtn techs'!$C$4:$C$457,"EFF",'LifeExtn techs'!$D$4:$D$457,'Tech availbility'!$C12)</f>
        <v>0</v>
      </c>
    </row>
    <row r="13" spans="3:12" x14ac:dyDescent="0.35">
      <c r="C13" t="s">
        <v>67</v>
      </c>
      <c r="D13" s="2">
        <f>SUMIFS('LifeExtn techs'!N$4:N$457,'LifeExtn techs'!$C$4:$C$457,"EFF",'LifeExtn techs'!$D$4:$D$457,'Tech availbility'!$C13)</f>
        <v>0.32382655040393954</v>
      </c>
      <c r="E13" s="2">
        <f>SUMIFS('LifeExtn techs'!O$4:O$457,'LifeExtn techs'!$C$4:$C$457,"EFF",'LifeExtn techs'!$D$4:$D$457,'Tech availbility'!$C13)</f>
        <v>1.2788807455479263</v>
      </c>
      <c r="F13" s="2">
        <f>SUMIFS('LifeExtn techs'!P$4:P$457,'LifeExtn techs'!$C$4:$C$457,"EFF",'LifeExtn techs'!$D$4:$D$457,'Tech availbility'!$C13)</f>
        <v>7.9033905931549766</v>
      </c>
      <c r="G13" s="2">
        <f>SUMIFS('LifeExtn techs'!Q$4:Q$457,'LifeExtn techs'!$C$4:$C$457,"EFF",'LifeExtn techs'!$D$4:$D$457,'Tech availbility'!$C13)</f>
        <v>8.2705754058499412</v>
      </c>
      <c r="H13" s="2">
        <f>SUMIFS('LifeExtn techs'!R$4:R$457,'LifeExtn techs'!$C$4:$C$457,"EFF",'LifeExtn techs'!$D$4:$D$457,'Tech availbility'!$C13)</f>
        <v>0</v>
      </c>
      <c r="I13" s="2">
        <f>SUMIFS('LifeExtn techs'!S$4:S$457,'LifeExtn techs'!$C$4:$C$457,"EFF",'LifeExtn techs'!$D$4:$D$457,'Tech availbility'!$C13)</f>
        <v>2.1483703891048904</v>
      </c>
      <c r="J13" s="2">
        <f>SUMIFS('LifeExtn techs'!T$4:T$457,'LifeExtn techs'!$C$4:$C$457,"EFF",'LifeExtn techs'!$D$4:$D$457,'Tech availbility'!$C13)</f>
        <v>2.1645668604309716</v>
      </c>
      <c r="K13" s="2">
        <f>SUMIFS('LifeExtn techs'!U$4:U$457,'LifeExtn techs'!$C$4:$C$457,"EFF",'LifeExtn techs'!$D$4:$D$457,'Tech availbility'!$C13)</f>
        <v>1.4660343349861986</v>
      </c>
      <c r="L13" s="2">
        <f>SUMIFS('LifeExtn techs'!V$4:V$457,'LifeExtn techs'!$C$4:$C$457,"EFF",'LifeExtn techs'!$D$4:$D$457,'Tech availbility'!$C13)</f>
        <v>0</v>
      </c>
    </row>
    <row r="14" spans="3:12" x14ac:dyDescent="0.35">
      <c r="C14" t="s">
        <v>68</v>
      </c>
      <c r="D14" s="2">
        <f>SUMIFS('LifeExtn techs'!N$4:N$457,'LifeExtn techs'!$C$4:$C$457,"EFF",'LifeExtn techs'!$D$4:$D$457,'Tech availbility'!$C14)</f>
        <v>0</v>
      </c>
      <c r="E14" s="2">
        <f>SUMIFS('LifeExtn techs'!O$4:O$457,'LifeExtn techs'!$C$4:$C$457,"EFF",'LifeExtn techs'!$D$4:$D$457,'Tech availbility'!$C14)</f>
        <v>0</v>
      </c>
      <c r="F14" s="2">
        <f>SUMIFS('LifeExtn techs'!P$4:P$457,'LifeExtn techs'!$C$4:$C$457,"EFF",'LifeExtn techs'!$D$4:$D$457,'Tech availbility'!$C14)</f>
        <v>4.3297407533262042</v>
      </c>
      <c r="G14" s="2">
        <f>SUMIFS('LifeExtn techs'!Q$4:Q$457,'LifeExtn techs'!$C$4:$C$457,"EFF",'LifeExtn techs'!$D$4:$D$457,'Tech availbility'!$C14)</f>
        <v>4.4724925854751616</v>
      </c>
      <c r="H14" s="2">
        <f>SUMIFS('LifeExtn techs'!R$4:R$457,'LifeExtn techs'!$C$4:$C$457,"EFF",'LifeExtn techs'!$D$4:$D$457,'Tech availbility'!$C14)</f>
        <v>1.2603662381167651</v>
      </c>
      <c r="I14" s="2">
        <f>SUMIFS('LifeExtn techs'!S$4:S$457,'LifeExtn techs'!$C$4:$C$457,"EFF",'LifeExtn techs'!$D$4:$D$457,'Tech availbility'!$C14)</f>
        <v>1.2849865160418865</v>
      </c>
      <c r="J14" s="2">
        <f>SUMIFS('LifeExtn techs'!T$4:T$457,'LifeExtn techs'!$C$4:$C$457,"EFF",'LifeExtn techs'!$D$4:$D$457,'Tech availbility'!$C14)</f>
        <v>3.4276423445493269</v>
      </c>
      <c r="K14" s="2">
        <f>SUMIFS('LifeExtn techs'!U$4:U$457,'LifeExtn techs'!$C$4:$C$457,"EFF",'LifeExtn techs'!$D$4:$D$457,'Tech availbility'!$C14)</f>
        <v>6.9036929214721949</v>
      </c>
      <c r="L14" s="2">
        <f>SUMIFS('LifeExtn techs'!V$4:V$457,'LifeExtn techs'!$C$4:$C$457,"EFF",'LifeExtn techs'!$D$4:$D$457,'Tech availbility'!$C14)</f>
        <v>0.87902540795157702</v>
      </c>
    </row>
    <row r="15" spans="3:12" x14ac:dyDescent="0.35">
      <c r="C15" t="s">
        <v>69</v>
      </c>
      <c r="D15" s="2">
        <f>SUMIFS('LifeExtn techs'!N$4:N$457,'LifeExtn techs'!$C$4:$C$457,"EFF",'LifeExtn techs'!$D$4:$D$457,'Tech availbility'!$C15)</f>
        <v>0</v>
      </c>
      <c r="E15" s="2">
        <f>SUMIFS('LifeExtn techs'!O$4:O$457,'LifeExtn techs'!$C$4:$C$457,"EFF",'LifeExtn techs'!$D$4:$D$457,'Tech availbility'!$C15)</f>
        <v>0.61459603287549402</v>
      </c>
      <c r="F15" s="2">
        <f>SUMIFS('LifeExtn techs'!P$4:P$457,'LifeExtn techs'!$C$4:$C$457,"EFF",'LifeExtn techs'!$D$4:$D$457,'Tech availbility'!$C15)</f>
        <v>3.5150675747869307</v>
      </c>
      <c r="G15" s="2">
        <f>SUMIFS('LifeExtn techs'!Q$4:Q$457,'LifeExtn techs'!$C$4:$C$457,"EFF",'LifeExtn techs'!$D$4:$D$457,'Tech availbility'!$C15)</f>
        <v>5.7128250253091721</v>
      </c>
      <c r="H15" s="2">
        <f>SUMIFS('LifeExtn techs'!R$4:R$457,'LifeExtn techs'!$C$4:$C$457,"EFF",'LifeExtn techs'!$D$4:$D$457,'Tech availbility'!$C15)</f>
        <v>0</v>
      </c>
      <c r="I15" s="2">
        <f>SUMIFS('LifeExtn techs'!S$4:S$457,'LifeExtn techs'!$C$4:$C$457,"EFF",'LifeExtn techs'!$D$4:$D$457,'Tech availbility'!$C15)</f>
        <v>0</v>
      </c>
      <c r="J15" s="2">
        <f>SUMIFS('LifeExtn techs'!T$4:T$457,'LifeExtn techs'!$C$4:$C$457,"EFF",'LifeExtn techs'!$D$4:$D$457,'Tech availbility'!$C15)</f>
        <v>0</v>
      </c>
      <c r="K15" s="2">
        <f>SUMIFS('LifeExtn techs'!U$4:U$457,'LifeExtn techs'!$C$4:$C$457,"EFF",'LifeExtn techs'!$D$4:$D$457,'Tech availbility'!$C15)</f>
        <v>0</v>
      </c>
      <c r="L15" s="2">
        <f>SUMIFS('LifeExtn techs'!V$4:V$457,'LifeExtn techs'!$C$4:$C$457,"EFF",'LifeExtn techs'!$D$4:$D$457,'Tech availbility'!$C15)</f>
        <v>0</v>
      </c>
    </row>
    <row r="16" spans="3:12" x14ac:dyDescent="0.35">
      <c r="C16" t="s">
        <v>70</v>
      </c>
      <c r="D16" s="2">
        <f>SUMIFS('LifeExtn techs'!N$4:N$457,'LifeExtn techs'!$C$4:$C$457,"EFF",'LifeExtn techs'!$D$4:$D$457,'Tech availbility'!$C16)</f>
        <v>0</v>
      </c>
      <c r="E16" s="2">
        <f>SUMIFS('LifeExtn techs'!O$4:O$457,'LifeExtn techs'!$C$4:$C$457,"EFF",'LifeExtn techs'!$D$4:$D$457,'Tech availbility'!$C16)</f>
        <v>0</v>
      </c>
      <c r="F16" s="2">
        <f>SUMIFS('LifeExtn techs'!P$4:P$457,'LifeExtn techs'!$C$4:$C$457,"EFF",'LifeExtn techs'!$D$4:$D$457,'Tech availbility'!$C16)</f>
        <v>0</v>
      </c>
      <c r="G16" s="2">
        <f>SUMIFS('LifeExtn techs'!Q$4:Q$457,'LifeExtn techs'!$C$4:$C$457,"EFF",'LifeExtn techs'!$D$4:$D$457,'Tech availbility'!$C16)</f>
        <v>3.2936623607023989</v>
      </c>
      <c r="H16" s="2">
        <f>SUMIFS('LifeExtn techs'!R$4:R$457,'LifeExtn techs'!$C$4:$C$457,"EFF",'LifeExtn techs'!$D$4:$D$457,'Tech availbility'!$C16)</f>
        <v>0</v>
      </c>
      <c r="I16" s="2">
        <f>SUMIFS('LifeExtn techs'!S$4:S$457,'LifeExtn techs'!$C$4:$C$457,"EFF",'LifeExtn techs'!$D$4:$D$457,'Tech availbility'!$C16)</f>
        <v>0</v>
      </c>
      <c r="J16" s="2">
        <f>SUMIFS('LifeExtn techs'!T$4:T$457,'LifeExtn techs'!$C$4:$C$457,"EFF",'LifeExtn techs'!$D$4:$D$457,'Tech availbility'!$C16)</f>
        <v>0</v>
      </c>
      <c r="K16" s="2">
        <f>SUMIFS('LifeExtn techs'!U$4:U$457,'LifeExtn techs'!$C$4:$C$457,"EFF",'LifeExtn techs'!$D$4:$D$457,'Tech availbility'!$C16)</f>
        <v>1.8108309893638981</v>
      </c>
      <c r="L16" s="2">
        <f>SUMIFS('LifeExtn techs'!V$4:V$457,'LifeExtn techs'!$C$4:$C$457,"EFF",'LifeExtn techs'!$D$4:$D$457,'Tech availbility'!$C16)</f>
        <v>0</v>
      </c>
    </row>
    <row r="17" spans="4:12" x14ac:dyDescent="0.3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3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3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3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3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35">
      <c r="D22" s="2"/>
      <c r="E22" s="2"/>
      <c r="F22" s="2"/>
      <c r="G22" s="2"/>
      <c r="H22" s="2"/>
      <c r="I22" s="2"/>
      <c r="J22" s="2"/>
      <c r="K22" s="2"/>
      <c r="L22" s="2"/>
    </row>
    <row r="23" spans="4:12" x14ac:dyDescent="0.35">
      <c r="D23" s="2"/>
      <c r="E23" s="2"/>
      <c r="F23" s="2"/>
      <c r="G23" s="2"/>
      <c r="H23" s="2"/>
      <c r="I23" s="2"/>
      <c r="J23" s="2"/>
      <c r="K23" s="2"/>
      <c r="L23" s="2"/>
    </row>
    <row r="24" spans="4:12" x14ac:dyDescent="0.35">
      <c r="D24" s="2"/>
      <c r="E24" s="2"/>
      <c r="F24" s="2"/>
      <c r="G24" s="2"/>
      <c r="H24" s="2"/>
      <c r="I24" s="2"/>
      <c r="J24" s="2"/>
      <c r="K24" s="2"/>
      <c r="L24" s="2"/>
    </row>
    <row r="25" spans="4:12" x14ac:dyDescent="0.35">
      <c r="D25" s="2"/>
      <c r="E25" s="2"/>
      <c r="F25" s="2"/>
      <c r="G25" s="2"/>
      <c r="H25" s="2"/>
      <c r="I25" s="2"/>
      <c r="J25" s="2"/>
      <c r="K25" s="2"/>
      <c r="L25" s="2"/>
    </row>
    <row r="26" spans="4:12" x14ac:dyDescent="0.35">
      <c r="D26" s="2"/>
      <c r="E26" s="2"/>
      <c r="F26" s="2"/>
      <c r="G26" s="2"/>
      <c r="H26" s="2"/>
      <c r="I26" s="2"/>
      <c r="J26" s="2"/>
      <c r="K26" s="2"/>
      <c r="L26" s="2"/>
    </row>
    <row r="27" spans="4:12" x14ac:dyDescent="0.35">
      <c r="D27" s="2"/>
      <c r="E27" s="2"/>
      <c r="F27" s="2"/>
      <c r="G27" s="2"/>
      <c r="H27" s="2"/>
      <c r="I27" s="2"/>
      <c r="J27" s="2"/>
      <c r="K27" s="2"/>
      <c r="L27" s="2"/>
    </row>
    <row r="28" spans="4:12" x14ac:dyDescent="0.35">
      <c r="D28" s="2"/>
      <c r="E28" s="2"/>
      <c r="F28" s="2"/>
      <c r="G28" s="2"/>
      <c r="H28" s="2"/>
      <c r="I28" s="2"/>
      <c r="J28" s="2"/>
      <c r="K28" s="2"/>
      <c r="L28" s="2"/>
    </row>
    <row r="29" spans="4:12" x14ac:dyDescent="0.35">
      <c r="D29" s="2"/>
      <c r="E29" s="2"/>
      <c r="F29" s="2"/>
      <c r="G29" s="2"/>
      <c r="H29" s="2"/>
      <c r="I29" s="2"/>
      <c r="J29" s="2"/>
      <c r="K29" s="2"/>
      <c r="L29" s="2"/>
    </row>
    <row r="30" spans="4:12" x14ac:dyDescent="0.35">
      <c r="D30" s="2"/>
      <c r="E30" s="2"/>
      <c r="F30" s="2"/>
      <c r="G30" s="2"/>
      <c r="H30" s="2"/>
      <c r="I30" s="2"/>
      <c r="J30" s="2"/>
      <c r="K30" s="2"/>
      <c r="L30" s="2"/>
    </row>
    <row r="31" spans="4:12" x14ac:dyDescent="0.35">
      <c r="D31" s="2"/>
      <c r="E31" s="2"/>
      <c r="F31" s="2"/>
      <c r="G31" s="2"/>
      <c r="H31" s="2"/>
      <c r="I31" s="2"/>
      <c r="J31" s="2"/>
      <c r="K31" s="2"/>
      <c r="L31" s="2"/>
    </row>
    <row r="32" spans="4:12" x14ac:dyDescent="0.35">
      <c r="D32" s="2"/>
      <c r="E32" s="2"/>
      <c r="F32" s="2"/>
      <c r="G32" s="2"/>
      <c r="H32" s="2"/>
      <c r="I32" s="2"/>
      <c r="J32" s="2"/>
      <c r="K32" s="2"/>
      <c r="L32" s="2"/>
    </row>
    <row r="33" spans="4:12" x14ac:dyDescent="0.35">
      <c r="D33" s="2"/>
      <c r="E33" s="2"/>
      <c r="F33" s="2"/>
      <c r="G33" s="2"/>
      <c r="H33" s="2"/>
      <c r="I33" s="2"/>
      <c r="J33" s="2"/>
      <c r="K33" s="2"/>
      <c r="L33" s="2"/>
    </row>
    <row r="34" spans="4:12" x14ac:dyDescent="0.35">
      <c r="D34" s="2"/>
      <c r="E34" s="2"/>
      <c r="F34" s="2"/>
      <c r="G34" s="2"/>
      <c r="H34" s="2"/>
      <c r="I34" s="2"/>
      <c r="J34" s="2"/>
      <c r="K34" s="2"/>
      <c r="L34" s="2"/>
    </row>
    <row r="35" spans="4:12" x14ac:dyDescent="0.35">
      <c r="D35" s="2"/>
      <c r="E35" s="2"/>
      <c r="F35" s="2"/>
      <c r="G35" s="2"/>
      <c r="H35" s="2"/>
      <c r="I35" s="2"/>
      <c r="J35" s="2"/>
      <c r="K35" s="2"/>
      <c r="L35" s="2"/>
    </row>
    <row r="36" spans="4:12" x14ac:dyDescent="0.35">
      <c r="D36" s="2"/>
      <c r="E36" s="2"/>
      <c r="F36" s="2"/>
      <c r="G36" s="2"/>
      <c r="H36" s="2"/>
      <c r="I36" s="2"/>
      <c r="J36" s="2"/>
      <c r="K36" s="2"/>
      <c r="L36" s="2"/>
    </row>
    <row r="37" spans="4:12" x14ac:dyDescent="0.35">
      <c r="D37" s="2"/>
      <c r="E37" s="2"/>
      <c r="F37" s="2"/>
      <c r="G37" s="2"/>
      <c r="H37" s="2"/>
      <c r="I37" s="2"/>
      <c r="J37" s="2"/>
      <c r="K37" s="2"/>
      <c r="L37" s="2"/>
    </row>
    <row r="38" spans="4:12" x14ac:dyDescent="0.35">
      <c r="D38" s="2"/>
      <c r="E38" s="2"/>
      <c r="F38" s="2"/>
      <c r="G38" s="2"/>
      <c r="H38" s="2"/>
      <c r="I38" s="2"/>
      <c r="J38" s="2"/>
      <c r="K38" s="2"/>
      <c r="L38" s="2"/>
    </row>
    <row r="39" spans="4:12" x14ac:dyDescent="0.35">
      <c r="D39" s="2"/>
      <c r="E39" s="2"/>
      <c r="F39" s="2"/>
      <c r="G39" s="2"/>
      <c r="H39" s="2"/>
      <c r="I39" s="2"/>
      <c r="J39" s="2"/>
      <c r="K39" s="2"/>
      <c r="L39" s="2"/>
    </row>
    <row r="40" spans="4:12" x14ac:dyDescent="0.35">
      <c r="D40" s="2"/>
      <c r="E40" s="2"/>
      <c r="F40" s="2"/>
      <c r="G40" s="2"/>
      <c r="H40" s="2"/>
      <c r="I40" s="2"/>
      <c r="J40" s="2"/>
      <c r="K40" s="2"/>
      <c r="L40" s="2"/>
    </row>
    <row r="41" spans="4:12" x14ac:dyDescent="0.35">
      <c r="D41" s="2"/>
      <c r="E41" s="2"/>
      <c r="F41" s="2"/>
      <c r="G41" s="2"/>
      <c r="H41" s="2"/>
      <c r="I41" s="2"/>
      <c r="J41" s="2"/>
      <c r="K41" s="2"/>
      <c r="L41" s="2"/>
    </row>
    <row r="42" spans="4:12" x14ac:dyDescent="0.35">
      <c r="D42" s="2"/>
      <c r="E42" s="2"/>
      <c r="F42" s="2"/>
      <c r="G42" s="2"/>
      <c r="H42" s="2"/>
      <c r="I42" s="2"/>
      <c r="J42" s="2"/>
      <c r="K42" s="2"/>
      <c r="L42" s="2"/>
    </row>
    <row r="43" spans="4:12" x14ac:dyDescent="0.35">
      <c r="D43" s="2"/>
      <c r="E43" s="2"/>
      <c r="F43" s="2"/>
      <c r="G43" s="2"/>
      <c r="H43" s="2"/>
      <c r="I43" s="2"/>
      <c r="J43" s="2"/>
      <c r="K43" s="2"/>
      <c r="L43" s="2"/>
    </row>
    <row r="44" spans="4:12" x14ac:dyDescent="0.35">
      <c r="D44" s="2"/>
      <c r="E44" s="2"/>
      <c r="F44" s="2"/>
      <c r="G44" s="2"/>
      <c r="H44" s="2"/>
      <c r="I44" s="2"/>
      <c r="J44" s="2"/>
      <c r="K44" s="2"/>
      <c r="L44" s="2"/>
    </row>
    <row r="45" spans="4:12" x14ac:dyDescent="0.35">
      <c r="D45" s="2"/>
      <c r="E45" s="2"/>
      <c r="F45" s="2"/>
      <c r="G45" s="2"/>
      <c r="H45" s="2"/>
      <c r="I45" s="2"/>
      <c r="J45" s="2"/>
      <c r="K45" s="2"/>
      <c r="L45" s="2"/>
    </row>
    <row r="46" spans="4:12" x14ac:dyDescent="0.35">
      <c r="D46" s="2"/>
      <c r="E46" s="2"/>
      <c r="F46" s="2"/>
      <c r="G46" s="2"/>
      <c r="H46" s="2"/>
      <c r="I46" s="2"/>
      <c r="J46" s="2"/>
      <c r="K46" s="2"/>
      <c r="L46" s="2"/>
    </row>
    <row r="47" spans="4:12" x14ac:dyDescent="0.35">
      <c r="D47" s="2"/>
      <c r="E47" s="2"/>
      <c r="F47" s="2"/>
      <c r="G47" s="2"/>
      <c r="H47" s="2"/>
      <c r="I47" s="2"/>
      <c r="J47" s="2"/>
      <c r="K47" s="2"/>
      <c r="L47" s="2"/>
    </row>
    <row r="48" spans="4:12" x14ac:dyDescent="0.35">
      <c r="D48" s="2"/>
      <c r="E48" s="2"/>
      <c r="F48" s="2"/>
      <c r="G48" s="2"/>
      <c r="H48" s="2"/>
      <c r="I48" s="2"/>
      <c r="J48" s="2"/>
      <c r="K48" s="2"/>
      <c r="L48" s="2"/>
    </row>
    <row r="49" spans="4:12" x14ac:dyDescent="0.35">
      <c r="D49" s="2"/>
      <c r="E49" s="2"/>
      <c r="F49" s="2"/>
      <c r="G49" s="2"/>
      <c r="H49" s="2"/>
      <c r="I49" s="2"/>
      <c r="J49" s="2"/>
      <c r="K49" s="2"/>
      <c r="L49" s="2"/>
    </row>
    <row r="50" spans="4:12" x14ac:dyDescent="0.35">
      <c r="D50" s="2"/>
      <c r="E50" s="2"/>
      <c r="F50" s="2"/>
      <c r="G50" s="2"/>
      <c r="H50" s="2"/>
      <c r="I50" s="2"/>
      <c r="J50" s="2"/>
      <c r="K50" s="2"/>
      <c r="L50" s="2"/>
    </row>
    <row r="51" spans="4:12" x14ac:dyDescent="0.35">
      <c r="D51" s="2"/>
      <c r="E51" s="2"/>
      <c r="F51" s="2"/>
      <c r="G51" s="2"/>
      <c r="H51" s="2"/>
      <c r="I51" s="2"/>
      <c r="J51" s="2"/>
      <c r="K51" s="2"/>
      <c r="L51" s="2"/>
    </row>
    <row r="52" spans="4:12" x14ac:dyDescent="0.35">
      <c r="D52" s="2"/>
      <c r="E52" s="2"/>
      <c r="F52" s="2"/>
      <c r="G52" s="2"/>
      <c r="H52" s="2"/>
      <c r="I52" s="2"/>
      <c r="J52" s="2"/>
      <c r="K52" s="2"/>
      <c r="L52" s="2"/>
    </row>
    <row r="53" spans="4:12" x14ac:dyDescent="0.35">
      <c r="D53" s="2"/>
      <c r="E53" s="2"/>
      <c r="F53" s="2"/>
      <c r="G53" s="2"/>
      <c r="H53" s="2"/>
      <c r="I53" s="2"/>
      <c r="J53" s="2"/>
      <c r="K53" s="2"/>
      <c r="L53" s="2"/>
    </row>
    <row r="54" spans="4:12" x14ac:dyDescent="0.35">
      <c r="D54" s="2"/>
      <c r="E54" s="2"/>
      <c r="F54" s="2"/>
      <c r="G54" s="2"/>
      <c r="H54" s="2"/>
      <c r="I54" s="2"/>
      <c r="J54" s="2"/>
      <c r="K54" s="2"/>
      <c r="L54" s="2"/>
    </row>
    <row r="55" spans="4:12" x14ac:dyDescent="0.35">
      <c r="D55" s="2"/>
      <c r="E55" s="2"/>
      <c r="F55" s="2"/>
      <c r="G55" s="2"/>
      <c r="H55" s="2"/>
      <c r="I55" s="2"/>
      <c r="J55" s="2"/>
      <c r="K55" s="2"/>
      <c r="L55" s="2"/>
    </row>
    <row r="56" spans="4:12" x14ac:dyDescent="0.35">
      <c r="D56" s="2"/>
      <c r="E56" s="2"/>
      <c r="F56" s="2"/>
      <c r="G56" s="2"/>
      <c r="H56" s="2"/>
      <c r="I56" s="2"/>
      <c r="J56" s="2"/>
      <c r="K56" s="2"/>
      <c r="L56" s="2"/>
    </row>
    <row r="57" spans="4:12" x14ac:dyDescent="0.35">
      <c r="D57" s="2"/>
      <c r="E57" s="2"/>
      <c r="F57" s="2"/>
      <c r="G57" s="2"/>
      <c r="H57" s="2"/>
      <c r="I57" s="2"/>
      <c r="J57" s="2"/>
      <c r="K57" s="2"/>
      <c r="L57" s="2"/>
    </row>
    <row r="58" spans="4:12" x14ac:dyDescent="0.35">
      <c r="D58" s="2"/>
      <c r="E58" s="2"/>
      <c r="F58" s="2"/>
      <c r="G58" s="2"/>
      <c r="H58" s="2"/>
      <c r="I58" s="2"/>
      <c r="J58" s="2"/>
      <c r="K58" s="2"/>
      <c r="L58" s="2"/>
    </row>
    <row r="59" spans="4:12" x14ac:dyDescent="0.35">
      <c r="D59" s="2"/>
      <c r="E59" s="2"/>
      <c r="F59" s="2"/>
      <c r="G59" s="2"/>
      <c r="H59" s="2"/>
      <c r="I59" s="2"/>
      <c r="J59" s="2"/>
      <c r="K59" s="2"/>
      <c r="L59" s="2"/>
    </row>
    <row r="60" spans="4:12" x14ac:dyDescent="0.35">
      <c r="D60" s="2"/>
      <c r="E60" s="2"/>
      <c r="F60" s="2"/>
      <c r="G60" s="2"/>
      <c r="H60" s="2"/>
      <c r="I60" s="2"/>
      <c r="J60" s="2"/>
      <c r="K60" s="2"/>
      <c r="L60" s="2"/>
    </row>
    <row r="61" spans="4:12" x14ac:dyDescent="0.35">
      <c r="D61" s="2"/>
      <c r="E61" s="2"/>
      <c r="F61" s="2"/>
      <c r="G61" s="2"/>
      <c r="H61" s="2"/>
      <c r="I61" s="2"/>
      <c r="J61" s="2"/>
      <c r="K61" s="2"/>
      <c r="L61" s="2"/>
    </row>
    <row r="62" spans="4:12" x14ac:dyDescent="0.35">
      <c r="D62" s="2"/>
      <c r="E62" s="2"/>
      <c r="F62" s="2"/>
      <c r="G62" s="2"/>
      <c r="H62" s="2"/>
      <c r="I62" s="2"/>
      <c r="J62" s="2"/>
      <c r="K62" s="2"/>
      <c r="L62" s="2"/>
    </row>
    <row r="63" spans="4:12" x14ac:dyDescent="0.35">
      <c r="D63" s="2"/>
      <c r="E63" s="2"/>
      <c r="F63" s="2"/>
      <c r="G63" s="2"/>
      <c r="H63" s="2"/>
      <c r="I63" s="2"/>
      <c r="J63" s="2"/>
      <c r="K63" s="2"/>
      <c r="L63" s="2"/>
    </row>
    <row r="64" spans="4:12" x14ac:dyDescent="0.35">
      <c r="D64" s="2"/>
      <c r="E64" s="2"/>
      <c r="F64" s="2"/>
      <c r="G64" s="2"/>
      <c r="H64" s="2"/>
      <c r="I64" s="2"/>
      <c r="J64" s="2"/>
      <c r="K64" s="2"/>
      <c r="L64" s="2"/>
    </row>
    <row r="65" spans="4:12" x14ac:dyDescent="0.35">
      <c r="D65" s="2"/>
      <c r="E65" s="2"/>
      <c r="F65" s="2"/>
      <c r="G65" s="2"/>
      <c r="H65" s="2"/>
      <c r="I65" s="2"/>
      <c r="J65" s="2"/>
      <c r="K65" s="2"/>
      <c r="L65" s="2"/>
    </row>
    <row r="66" spans="4:12" x14ac:dyDescent="0.35">
      <c r="D66" s="2"/>
      <c r="E66" s="2"/>
      <c r="F66" s="2"/>
      <c r="G66" s="2"/>
      <c r="H66" s="2"/>
      <c r="I66" s="2"/>
      <c r="J66" s="2"/>
      <c r="K66" s="2"/>
      <c r="L66" s="2"/>
    </row>
    <row r="67" spans="4:12" x14ac:dyDescent="0.35">
      <c r="D67" s="2"/>
      <c r="E67" s="2"/>
      <c r="F67" s="2"/>
      <c r="G67" s="2"/>
      <c r="H67" s="2"/>
      <c r="I67" s="2"/>
      <c r="J67" s="2"/>
      <c r="K67" s="2"/>
      <c r="L67" s="2"/>
    </row>
    <row r="68" spans="4:12" x14ac:dyDescent="0.35">
      <c r="D68" s="2"/>
      <c r="E68" s="2"/>
      <c r="F68" s="2"/>
      <c r="G68" s="2"/>
      <c r="H68" s="2"/>
      <c r="I68" s="2"/>
      <c r="J68" s="2"/>
      <c r="K68" s="2"/>
      <c r="L68" s="2"/>
    </row>
    <row r="69" spans="4:12" x14ac:dyDescent="0.35">
      <c r="D69" s="2"/>
      <c r="E69" s="2"/>
      <c r="F69" s="2"/>
      <c r="G69" s="2"/>
      <c r="H69" s="2"/>
      <c r="I69" s="2"/>
      <c r="J69" s="2"/>
      <c r="K69" s="2"/>
      <c r="L69" s="2"/>
    </row>
    <row r="70" spans="4:12" x14ac:dyDescent="0.35">
      <c r="D70" s="2"/>
      <c r="E70" s="2"/>
      <c r="F70" s="2"/>
      <c r="G70" s="2"/>
      <c r="H70" s="2"/>
      <c r="I70" s="2"/>
      <c r="J70" s="2"/>
      <c r="K70" s="2"/>
      <c r="L70" s="2"/>
    </row>
    <row r="71" spans="4:12" x14ac:dyDescent="0.35">
      <c r="D71" s="2"/>
      <c r="E71" s="2"/>
      <c r="F71" s="2"/>
      <c r="G71" s="2"/>
      <c r="H71" s="2"/>
      <c r="I71" s="2"/>
      <c r="J71" s="2"/>
      <c r="K71" s="2"/>
      <c r="L71" s="2"/>
    </row>
    <row r="72" spans="4:12" x14ac:dyDescent="0.35">
      <c r="D72" s="2"/>
      <c r="E72" s="2"/>
      <c r="F72" s="2"/>
      <c r="G72" s="2"/>
      <c r="H72" s="2"/>
      <c r="I72" s="2"/>
      <c r="J72" s="2"/>
      <c r="K72" s="2"/>
      <c r="L72" s="2"/>
    </row>
    <row r="73" spans="4:12" x14ac:dyDescent="0.35">
      <c r="D73" s="2"/>
      <c r="E73" s="2"/>
      <c r="F73" s="2"/>
      <c r="G73" s="2"/>
      <c r="H73" s="2"/>
      <c r="I73" s="2"/>
      <c r="J73" s="2"/>
      <c r="K73" s="2"/>
      <c r="L73" s="2"/>
    </row>
    <row r="74" spans="4:12" x14ac:dyDescent="0.35">
      <c r="D74" s="2"/>
      <c r="E74" s="2"/>
      <c r="F74" s="2"/>
      <c r="G74" s="2"/>
      <c r="H74" s="2"/>
      <c r="I74" s="2"/>
      <c r="J74" s="2"/>
      <c r="K74" s="2"/>
      <c r="L74" s="2"/>
    </row>
    <row r="75" spans="4:12" x14ac:dyDescent="0.35">
      <c r="D75" s="2"/>
      <c r="E75" s="2"/>
      <c r="F75" s="2"/>
      <c r="G75" s="2"/>
      <c r="H75" s="2"/>
      <c r="I75" s="2"/>
      <c r="J75" s="2"/>
      <c r="K75" s="2"/>
      <c r="L75" s="2"/>
    </row>
    <row r="76" spans="4:12" x14ac:dyDescent="0.35">
      <c r="D76" s="2"/>
      <c r="E76" s="2"/>
      <c r="F76" s="2"/>
      <c r="G76" s="2"/>
      <c r="H76" s="2"/>
      <c r="I76" s="2"/>
      <c r="J76" s="2"/>
      <c r="K76" s="2"/>
      <c r="L76" s="2"/>
    </row>
    <row r="77" spans="4:12" x14ac:dyDescent="0.35">
      <c r="D77" s="2"/>
      <c r="E77" s="2"/>
      <c r="F77" s="2"/>
      <c r="G77" s="2"/>
      <c r="H77" s="2"/>
      <c r="I77" s="2"/>
      <c r="J77" s="2"/>
      <c r="K77" s="2"/>
      <c r="L77" s="2"/>
    </row>
    <row r="78" spans="4:12" x14ac:dyDescent="0.35">
      <c r="D78" s="2"/>
      <c r="E78" s="2"/>
      <c r="F78" s="2"/>
      <c r="G78" s="2"/>
      <c r="H78" s="2"/>
      <c r="I78" s="2"/>
      <c r="J78" s="2"/>
      <c r="K78" s="2"/>
      <c r="L78" s="2"/>
    </row>
    <row r="79" spans="4:12" x14ac:dyDescent="0.35">
      <c r="D79" s="2"/>
      <c r="E79" s="2"/>
      <c r="F79" s="2"/>
      <c r="G79" s="2"/>
      <c r="H79" s="2"/>
      <c r="I79" s="2"/>
      <c r="J79" s="2"/>
      <c r="K79" s="2"/>
      <c r="L79" s="2"/>
    </row>
    <row r="80" spans="4:12" x14ac:dyDescent="0.35">
      <c r="D80" s="2"/>
      <c r="E80" s="2"/>
      <c r="F80" s="2"/>
      <c r="G80" s="2"/>
      <c r="H80" s="2"/>
      <c r="I80" s="2"/>
      <c r="J80" s="2"/>
      <c r="K80" s="2"/>
      <c r="L80" s="2"/>
    </row>
    <row r="81" spans="4:12" x14ac:dyDescent="0.35">
      <c r="D81" s="2"/>
      <c r="E81" s="2"/>
      <c r="F81" s="2"/>
      <c r="G81" s="2"/>
      <c r="H81" s="2"/>
      <c r="I81" s="2"/>
      <c r="J81" s="2"/>
      <c r="K81" s="2"/>
      <c r="L81" s="2"/>
    </row>
    <row r="82" spans="4:12" x14ac:dyDescent="0.35">
      <c r="D82" s="2"/>
      <c r="E82" s="2"/>
      <c r="F82" s="2"/>
      <c r="G82" s="2"/>
      <c r="H82" s="2"/>
      <c r="I82" s="2"/>
      <c r="J82" s="2"/>
      <c r="K82" s="2"/>
      <c r="L82" s="2"/>
    </row>
    <row r="83" spans="4:12" x14ac:dyDescent="0.35">
      <c r="D83" s="2"/>
      <c r="E83" s="2"/>
      <c r="F83" s="2"/>
      <c r="G83" s="2"/>
      <c r="H83" s="2"/>
      <c r="I83" s="2"/>
      <c r="J83" s="2"/>
      <c r="K83" s="2"/>
      <c r="L83" s="2"/>
    </row>
    <row r="84" spans="4:12" x14ac:dyDescent="0.35">
      <c r="D84" s="2"/>
      <c r="E84" s="2"/>
      <c r="F84" s="2"/>
      <c r="G84" s="2"/>
      <c r="H84" s="2"/>
      <c r="I84" s="2"/>
      <c r="J84" s="2"/>
      <c r="K84" s="2"/>
      <c r="L84" s="2"/>
    </row>
    <row r="85" spans="4:12" x14ac:dyDescent="0.35">
      <c r="D85" s="2"/>
      <c r="E85" s="2"/>
      <c r="F85" s="2"/>
      <c r="G85" s="2"/>
      <c r="H85" s="2"/>
      <c r="I85" s="2"/>
      <c r="J85" s="2"/>
      <c r="K85" s="2"/>
      <c r="L85" s="2"/>
    </row>
    <row r="86" spans="4:12" x14ac:dyDescent="0.35">
      <c r="D86" s="2"/>
      <c r="E86" s="2"/>
      <c r="F86" s="2"/>
      <c r="G86" s="2"/>
      <c r="H86" s="2"/>
      <c r="I86" s="2"/>
      <c r="J86" s="2"/>
      <c r="K86" s="2"/>
      <c r="L86" s="2"/>
    </row>
    <row r="87" spans="4:12" x14ac:dyDescent="0.35">
      <c r="D87" s="2"/>
      <c r="E87" s="2"/>
      <c r="F87" s="2"/>
      <c r="G87" s="2"/>
      <c r="H87" s="2"/>
      <c r="I87" s="2"/>
      <c r="J87" s="2"/>
      <c r="K87" s="2"/>
      <c r="L87" s="2"/>
    </row>
    <row r="88" spans="4:12" x14ac:dyDescent="0.35">
      <c r="D88" s="2"/>
      <c r="E88" s="2"/>
      <c r="F88" s="2"/>
      <c r="G88" s="2"/>
      <c r="H88" s="2"/>
      <c r="I88" s="2"/>
      <c r="J88" s="2"/>
      <c r="K88" s="2"/>
      <c r="L88" s="2"/>
    </row>
    <row r="89" spans="4:12" x14ac:dyDescent="0.35">
      <c r="D89" s="2"/>
      <c r="E89" s="2"/>
      <c r="F89" s="2"/>
      <c r="G89" s="2"/>
      <c r="H89" s="2"/>
      <c r="I89" s="2"/>
      <c r="J89" s="2"/>
      <c r="K89" s="2"/>
      <c r="L89" s="2"/>
    </row>
    <row r="90" spans="4:12" x14ac:dyDescent="0.35">
      <c r="D90" s="2"/>
      <c r="E90" s="2"/>
      <c r="F90" s="2"/>
      <c r="G90" s="2"/>
      <c r="H90" s="2"/>
      <c r="I90" s="2"/>
      <c r="J90" s="2"/>
      <c r="K90" s="2"/>
      <c r="L90" s="2"/>
    </row>
    <row r="91" spans="4:12" x14ac:dyDescent="0.35">
      <c r="D91" s="2"/>
      <c r="E91" s="2"/>
      <c r="F91" s="2"/>
      <c r="G91" s="2"/>
      <c r="H91" s="2"/>
      <c r="I91" s="2"/>
      <c r="J91" s="2"/>
      <c r="K91" s="2"/>
      <c r="L91" s="2"/>
    </row>
    <row r="92" spans="4:12" x14ac:dyDescent="0.35">
      <c r="D92" s="2"/>
      <c r="E92" s="2"/>
      <c r="F92" s="2"/>
      <c r="G92" s="2"/>
      <c r="H92" s="2"/>
      <c r="I92" s="2"/>
      <c r="J92" s="2"/>
      <c r="K92" s="2"/>
      <c r="L92" s="2"/>
    </row>
    <row r="93" spans="4:12" x14ac:dyDescent="0.35">
      <c r="D93" s="2"/>
      <c r="E93" s="2"/>
      <c r="F93" s="2"/>
      <c r="G93" s="2"/>
      <c r="H93" s="2"/>
      <c r="I93" s="2"/>
      <c r="J93" s="2"/>
      <c r="K93" s="2"/>
      <c r="L93" s="2"/>
    </row>
    <row r="94" spans="4:12" x14ac:dyDescent="0.35">
      <c r="D94" s="2"/>
      <c r="E94" s="2"/>
      <c r="F94" s="2"/>
      <c r="G94" s="2"/>
      <c r="H94" s="2"/>
      <c r="I94" s="2"/>
      <c r="J94" s="2"/>
      <c r="K94" s="2"/>
      <c r="L94" s="2"/>
    </row>
    <row r="95" spans="4:12" x14ac:dyDescent="0.35">
      <c r="D95" s="2"/>
      <c r="E95" s="2"/>
      <c r="F95" s="2"/>
      <c r="G95" s="2"/>
      <c r="H95" s="2"/>
      <c r="I95" s="2"/>
      <c r="J95" s="2"/>
      <c r="K95" s="2"/>
      <c r="L95" s="2"/>
    </row>
    <row r="96" spans="4:12" x14ac:dyDescent="0.35">
      <c r="D96" s="2"/>
      <c r="E96" s="2"/>
      <c r="F96" s="2"/>
      <c r="G96" s="2"/>
      <c r="H96" s="2"/>
      <c r="I96" s="2"/>
      <c r="J96" s="2"/>
      <c r="K96" s="2"/>
      <c r="L96" s="2"/>
    </row>
    <row r="97" spans="4:12" x14ac:dyDescent="0.35">
      <c r="D97" s="2"/>
      <c r="E97" s="2"/>
      <c r="F97" s="2"/>
      <c r="G97" s="2"/>
      <c r="H97" s="2"/>
      <c r="I97" s="2"/>
      <c r="J97" s="2"/>
      <c r="K97" s="2"/>
      <c r="L97" s="2"/>
    </row>
    <row r="98" spans="4:12" x14ac:dyDescent="0.35">
      <c r="D98" s="2"/>
      <c r="E98" s="2"/>
      <c r="F98" s="2"/>
      <c r="G98" s="2"/>
      <c r="H98" s="2"/>
      <c r="I98" s="2"/>
      <c r="J98" s="2"/>
      <c r="K98" s="2"/>
      <c r="L98" s="2"/>
    </row>
    <row r="99" spans="4:12" x14ac:dyDescent="0.35">
      <c r="D99" s="2"/>
      <c r="E99" s="2"/>
      <c r="F99" s="2"/>
      <c r="G99" s="2"/>
      <c r="H99" s="2"/>
      <c r="I99" s="2"/>
      <c r="J99" s="2"/>
      <c r="K99" s="2"/>
      <c r="L99" s="2"/>
    </row>
    <row r="100" spans="4:12" x14ac:dyDescent="0.35">
      <c r="D100" s="2"/>
      <c r="E100" s="2"/>
      <c r="F100" s="2"/>
      <c r="G100" s="2"/>
      <c r="H100" s="2"/>
      <c r="I100" s="2"/>
      <c r="J100" s="2"/>
      <c r="K100" s="2"/>
      <c r="L100" s="2"/>
    </row>
    <row r="101" spans="4:12" x14ac:dyDescent="0.35">
      <c r="D101" s="2"/>
      <c r="E101" s="2"/>
      <c r="F101" s="2"/>
      <c r="G101" s="2"/>
      <c r="H101" s="2"/>
      <c r="I101" s="2"/>
      <c r="J101" s="2"/>
      <c r="K101" s="2"/>
      <c r="L101" s="2"/>
    </row>
    <row r="102" spans="4:12" x14ac:dyDescent="0.35">
      <c r="D102" s="2"/>
      <c r="E102" s="2"/>
      <c r="F102" s="2"/>
      <c r="G102" s="2"/>
      <c r="H102" s="2"/>
      <c r="I102" s="2"/>
      <c r="J102" s="2"/>
      <c r="K102" s="2"/>
      <c r="L102" s="2"/>
    </row>
    <row r="103" spans="4:12" x14ac:dyDescent="0.35">
      <c r="D103" s="2"/>
      <c r="E103" s="2"/>
      <c r="F103" s="2"/>
      <c r="G103" s="2"/>
      <c r="H103" s="2"/>
      <c r="I103" s="2"/>
      <c r="J103" s="2"/>
      <c r="K103" s="2"/>
      <c r="L103" s="2"/>
    </row>
    <row r="104" spans="4:12" x14ac:dyDescent="0.35">
      <c r="D104" s="2"/>
      <c r="E104" s="2"/>
      <c r="F104" s="2"/>
      <c r="G104" s="2"/>
      <c r="H104" s="2"/>
      <c r="I104" s="2"/>
      <c r="J104" s="2"/>
      <c r="K104" s="2"/>
      <c r="L104" s="2"/>
    </row>
    <row r="105" spans="4:12" x14ac:dyDescent="0.35">
      <c r="D105" s="2"/>
      <c r="E105" s="2"/>
      <c r="F105" s="2"/>
      <c r="G105" s="2"/>
      <c r="H105" s="2"/>
      <c r="I105" s="2"/>
      <c r="J105" s="2"/>
      <c r="K105" s="2"/>
      <c r="L105" s="2"/>
    </row>
    <row r="106" spans="4:12" x14ac:dyDescent="0.35">
      <c r="D106" s="2"/>
      <c r="E106" s="2"/>
      <c r="F106" s="2"/>
      <c r="G106" s="2"/>
      <c r="H106" s="2"/>
      <c r="I106" s="2"/>
      <c r="J106" s="2"/>
      <c r="K106" s="2"/>
      <c r="L106" s="2"/>
    </row>
    <row r="107" spans="4:12" x14ac:dyDescent="0.35">
      <c r="D107" s="2"/>
      <c r="E107" s="2"/>
      <c r="F107" s="2"/>
      <c r="G107" s="2"/>
      <c r="H107" s="2"/>
      <c r="I107" s="2"/>
      <c r="J107" s="2"/>
      <c r="K107" s="2"/>
      <c r="L107" s="2"/>
    </row>
    <row r="108" spans="4:12" x14ac:dyDescent="0.35">
      <c r="D108" s="2"/>
      <c r="E108" s="2"/>
      <c r="F108" s="2"/>
      <c r="G108" s="2"/>
      <c r="H108" s="2"/>
      <c r="I108" s="2"/>
      <c r="J108" s="2"/>
      <c r="K108" s="2"/>
      <c r="L108" s="2"/>
    </row>
    <row r="109" spans="4:12" x14ac:dyDescent="0.35">
      <c r="D109" s="2"/>
      <c r="E109" s="2"/>
      <c r="F109" s="2"/>
      <c r="G109" s="2"/>
      <c r="H109" s="2"/>
      <c r="I109" s="2"/>
      <c r="J109" s="2"/>
      <c r="K109" s="2"/>
      <c r="L109" s="2"/>
    </row>
    <row r="110" spans="4:12" x14ac:dyDescent="0.35">
      <c r="D110" s="2"/>
      <c r="E110" s="2"/>
      <c r="F110" s="2"/>
      <c r="G110" s="2"/>
      <c r="H110" s="2"/>
      <c r="I110" s="2"/>
      <c r="J110" s="2"/>
      <c r="K110" s="2"/>
      <c r="L110" s="2"/>
    </row>
    <row r="111" spans="4:12" x14ac:dyDescent="0.35">
      <c r="D111" s="2"/>
      <c r="E111" s="2"/>
      <c r="F111" s="2"/>
      <c r="G111" s="2"/>
      <c r="H111" s="2"/>
      <c r="I111" s="2"/>
      <c r="J111" s="2"/>
      <c r="K111" s="2"/>
      <c r="L111" s="2"/>
    </row>
    <row r="112" spans="4:12" x14ac:dyDescent="0.35">
      <c r="D112" s="2"/>
      <c r="E112" s="2"/>
      <c r="F112" s="2"/>
      <c r="G112" s="2"/>
      <c r="H112" s="2"/>
      <c r="I112" s="2"/>
      <c r="J112" s="2"/>
      <c r="K112" s="2"/>
      <c r="L112" s="2"/>
    </row>
    <row r="113" spans="4:12" x14ac:dyDescent="0.35">
      <c r="D113" s="2"/>
      <c r="E113" s="2"/>
      <c r="F113" s="2"/>
      <c r="G113" s="2"/>
      <c r="H113" s="2"/>
      <c r="I113" s="2"/>
      <c r="J113" s="2"/>
      <c r="K113" s="2"/>
      <c r="L113" s="2"/>
    </row>
    <row r="114" spans="4:12" x14ac:dyDescent="0.35">
      <c r="D114" s="2"/>
      <c r="E114" s="2"/>
      <c r="F114" s="2"/>
      <c r="G114" s="2"/>
      <c r="H114" s="2"/>
      <c r="I114" s="2"/>
      <c r="J114" s="2"/>
      <c r="K114" s="2"/>
      <c r="L114" s="2"/>
    </row>
    <row r="115" spans="4:12" x14ac:dyDescent="0.35">
      <c r="D115" s="2"/>
      <c r="E115" s="2"/>
      <c r="F115" s="2"/>
      <c r="G115" s="2"/>
      <c r="H115" s="2"/>
      <c r="I115" s="2"/>
      <c r="J115" s="2"/>
      <c r="K115" s="2"/>
      <c r="L115" s="2"/>
    </row>
    <row r="116" spans="4:12" x14ac:dyDescent="0.35">
      <c r="D116" s="2"/>
      <c r="E116" s="2"/>
      <c r="F116" s="2"/>
      <c r="G116" s="2"/>
      <c r="H116" s="2"/>
      <c r="I116" s="2"/>
      <c r="J116" s="2"/>
      <c r="K116" s="2"/>
      <c r="L116" s="2"/>
    </row>
    <row r="117" spans="4:12" x14ac:dyDescent="0.35">
      <c r="D117" s="2"/>
      <c r="E117" s="2"/>
      <c r="F117" s="2"/>
      <c r="G117" s="2"/>
      <c r="H117" s="2"/>
      <c r="I117" s="2"/>
      <c r="J117" s="2"/>
      <c r="K117" s="2"/>
      <c r="L117" s="2"/>
    </row>
    <row r="118" spans="4:12" x14ac:dyDescent="0.35">
      <c r="D118" s="2"/>
      <c r="E118" s="2"/>
      <c r="F118" s="2"/>
      <c r="G118" s="2"/>
      <c r="H118" s="2"/>
      <c r="I118" s="2"/>
      <c r="J118" s="2"/>
      <c r="K118" s="2"/>
      <c r="L118" s="2"/>
    </row>
    <row r="119" spans="4:12" x14ac:dyDescent="0.35">
      <c r="D119" s="2"/>
      <c r="E119" s="2"/>
      <c r="F119" s="2"/>
      <c r="G119" s="2"/>
      <c r="H119" s="2"/>
      <c r="I119" s="2"/>
      <c r="J119" s="2"/>
      <c r="K119" s="2"/>
      <c r="L119" s="2"/>
    </row>
    <row r="120" spans="4:12" x14ac:dyDescent="0.35">
      <c r="D120" s="2"/>
      <c r="E120" s="2"/>
      <c r="F120" s="2"/>
      <c r="G120" s="2"/>
      <c r="H120" s="2"/>
      <c r="I120" s="2"/>
      <c r="J120" s="2"/>
      <c r="K120" s="2"/>
      <c r="L120" s="2"/>
    </row>
    <row r="121" spans="4:12" x14ac:dyDescent="0.35">
      <c r="D121" s="2"/>
      <c r="E121" s="2"/>
      <c r="F121" s="2"/>
      <c r="G121" s="2"/>
      <c r="H121" s="2"/>
      <c r="I121" s="2"/>
      <c r="J121" s="2"/>
      <c r="K121" s="2"/>
      <c r="L121" s="2"/>
    </row>
    <row r="122" spans="4:12" x14ac:dyDescent="0.35">
      <c r="D122" s="2"/>
      <c r="E122" s="2"/>
      <c r="F122" s="2"/>
      <c r="G122" s="2"/>
      <c r="H122" s="2"/>
      <c r="I122" s="2"/>
      <c r="J122" s="2"/>
      <c r="K122" s="2"/>
      <c r="L122" s="2"/>
    </row>
    <row r="123" spans="4:12" x14ac:dyDescent="0.35">
      <c r="D123" s="2"/>
      <c r="E123" s="2"/>
      <c r="F123" s="2"/>
      <c r="G123" s="2"/>
      <c r="H123" s="2"/>
      <c r="I123" s="2"/>
      <c r="J123" s="2"/>
      <c r="K123" s="2"/>
      <c r="L123" s="2"/>
    </row>
    <row r="124" spans="4:12" x14ac:dyDescent="0.35">
      <c r="D124" s="2"/>
      <c r="E124" s="2"/>
      <c r="F124" s="2"/>
      <c r="G124" s="2"/>
      <c r="H124" s="2"/>
      <c r="I124" s="2"/>
      <c r="J124" s="2"/>
      <c r="K124" s="2"/>
      <c r="L124" s="2"/>
    </row>
    <row r="125" spans="4:12" x14ac:dyDescent="0.35">
      <c r="D125" s="2"/>
      <c r="E125" s="2"/>
      <c r="F125" s="2"/>
      <c r="G125" s="2"/>
      <c r="H125" s="2"/>
      <c r="I125" s="2"/>
      <c r="J125" s="2"/>
      <c r="K125" s="2"/>
      <c r="L125" s="2"/>
    </row>
    <row r="126" spans="4:12" x14ac:dyDescent="0.35">
      <c r="D126" s="2"/>
      <c r="E126" s="2"/>
      <c r="F126" s="2"/>
      <c r="G126" s="2"/>
      <c r="H126" s="2"/>
      <c r="I126" s="2"/>
      <c r="J126" s="2"/>
      <c r="K126" s="2"/>
      <c r="L126" s="2"/>
    </row>
    <row r="127" spans="4:12" x14ac:dyDescent="0.35">
      <c r="D127" s="2"/>
      <c r="E127" s="2"/>
      <c r="F127" s="2"/>
      <c r="G127" s="2"/>
      <c r="H127" s="2"/>
      <c r="I127" s="2"/>
      <c r="J127" s="2"/>
      <c r="K127" s="2"/>
      <c r="L127" s="2"/>
    </row>
    <row r="128" spans="4:12" x14ac:dyDescent="0.35">
      <c r="D128" s="2"/>
      <c r="E128" s="2"/>
      <c r="F128" s="2"/>
      <c r="G128" s="2"/>
      <c r="H128" s="2"/>
      <c r="I128" s="2"/>
      <c r="J128" s="2"/>
      <c r="K128" s="2"/>
      <c r="L128" s="2"/>
    </row>
    <row r="129" spans="4:12" x14ac:dyDescent="0.35">
      <c r="D129" s="2"/>
      <c r="E129" s="2"/>
      <c r="F129" s="2"/>
      <c r="G129" s="2"/>
      <c r="H129" s="2"/>
      <c r="I129" s="2"/>
      <c r="J129" s="2"/>
      <c r="K129" s="2"/>
      <c r="L129" s="2"/>
    </row>
    <row r="130" spans="4:12" x14ac:dyDescent="0.35">
      <c r="D130" s="2"/>
      <c r="E130" s="2"/>
      <c r="F130" s="2"/>
      <c r="G130" s="2"/>
      <c r="H130" s="2"/>
      <c r="I130" s="2"/>
      <c r="J130" s="2"/>
      <c r="K130" s="2"/>
      <c r="L130" s="2"/>
    </row>
    <row r="131" spans="4:12" x14ac:dyDescent="0.35">
      <c r="D131" s="2"/>
      <c r="E131" s="2"/>
      <c r="F131" s="2"/>
      <c r="G131" s="2"/>
      <c r="H131" s="2"/>
      <c r="I131" s="2"/>
      <c r="J131" s="2"/>
      <c r="K131" s="2"/>
      <c r="L131" s="2"/>
    </row>
    <row r="132" spans="4:12" x14ac:dyDescent="0.35">
      <c r="D132" s="2"/>
      <c r="E132" s="2"/>
      <c r="F132" s="2"/>
      <c r="G132" s="2"/>
      <c r="H132" s="2"/>
      <c r="I132" s="2"/>
      <c r="J132" s="2"/>
      <c r="K132" s="2"/>
      <c r="L132" s="2"/>
    </row>
    <row r="133" spans="4:12" x14ac:dyDescent="0.35">
      <c r="D133" s="2"/>
      <c r="E133" s="2"/>
      <c r="F133" s="2"/>
      <c r="G133" s="2"/>
      <c r="H133" s="2"/>
      <c r="I133" s="2"/>
      <c r="J133" s="2"/>
      <c r="K133" s="2"/>
      <c r="L133" s="2"/>
    </row>
    <row r="134" spans="4:12" x14ac:dyDescent="0.35">
      <c r="D134" s="2"/>
      <c r="E134" s="2"/>
      <c r="F134" s="2"/>
      <c r="G134" s="2"/>
      <c r="H134" s="2"/>
      <c r="I134" s="2"/>
      <c r="J134" s="2"/>
      <c r="K134" s="2"/>
      <c r="L134" s="2"/>
    </row>
    <row r="135" spans="4:12" x14ac:dyDescent="0.35">
      <c r="D135" s="2"/>
      <c r="E135" s="2"/>
      <c r="F135" s="2"/>
      <c r="G135" s="2"/>
      <c r="H135" s="2"/>
      <c r="I135" s="2"/>
      <c r="J135" s="2"/>
      <c r="K135" s="2"/>
      <c r="L135" s="2"/>
    </row>
    <row r="136" spans="4:12" x14ac:dyDescent="0.35">
      <c r="D136" s="2"/>
      <c r="E136" s="2"/>
      <c r="F136" s="2"/>
      <c r="G136" s="2"/>
      <c r="H136" s="2"/>
      <c r="I136" s="2"/>
      <c r="J136" s="2"/>
      <c r="K136" s="2"/>
      <c r="L136" s="2"/>
    </row>
    <row r="137" spans="4:12" x14ac:dyDescent="0.35">
      <c r="D137" s="2"/>
      <c r="E137" s="2"/>
      <c r="F137" s="2"/>
      <c r="G137" s="2"/>
      <c r="H137" s="2"/>
      <c r="I137" s="2"/>
      <c r="J137" s="2"/>
      <c r="K137" s="2"/>
      <c r="L137" s="2"/>
    </row>
    <row r="138" spans="4:12" x14ac:dyDescent="0.35">
      <c r="D138" s="2"/>
      <c r="E138" s="2"/>
      <c r="F138" s="2"/>
      <c r="G138" s="2"/>
      <c r="H138" s="2"/>
      <c r="I138" s="2"/>
      <c r="J138" s="2"/>
      <c r="K138" s="2"/>
      <c r="L138" s="2"/>
    </row>
    <row r="139" spans="4:12" x14ac:dyDescent="0.35">
      <c r="D139" s="2"/>
      <c r="E139" s="2"/>
      <c r="F139" s="2"/>
      <c r="G139" s="2"/>
      <c r="H139" s="2"/>
      <c r="I139" s="2"/>
      <c r="J139" s="2"/>
      <c r="K139" s="2"/>
      <c r="L139" s="2"/>
    </row>
    <row r="140" spans="4:12" x14ac:dyDescent="0.35">
      <c r="D140" s="2"/>
      <c r="E140" s="2"/>
      <c r="F140" s="2"/>
      <c r="G140" s="2"/>
      <c r="H140" s="2"/>
      <c r="I140" s="2"/>
      <c r="J140" s="2"/>
      <c r="K140" s="2"/>
      <c r="L140" s="2"/>
    </row>
    <row r="141" spans="4:12" x14ac:dyDescent="0.35">
      <c r="D141" s="2"/>
      <c r="E141" s="2"/>
      <c r="F141" s="2"/>
      <c r="G141" s="2"/>
      <c r="H141" s="2"/>
      <c r="I141" s="2"/>
      <c r="J141" s="2"/>
      <c r="K141" s="2"/>
      <c r="L141" s="2"/>
    </row>
    <row r="142" spans="4:12" x14ac:dyDescent="0.35">
      <c r="D142" s="2"/>
      <c r="E142" s="2"/>
      <c r="F142" s="2"/>
      <c r="G142" s="2"/>
      <c r="H142" s="2"/>
      <c r="I142" s="2"/>
      <c r="J142" s="2"/>
      <c r="K142" s="2"/>
      <c r="L142" s="2"/>
    </row>
    <row r="143" spans="4:12" x14ac:dyDescent="0.35">
      <c r="D143" s="2"/>
      <c r="E143" s="2"/>
      <c r="F143" s="2"/>
      <c r="G143" s="2"/>
      <c r="H143" s="2"/>
      <c r="I143" s="2"/>
      <c r="J143" s="2"/>
      <c r="K143" s="2"/>
      <c r="L143" s="2"/>
    </row>
    <row r="144" spans="4:12" x14ac:dyDescent="0.35">
      <c r="D144" s="2"/>
      <c r="E144" s="2"/>
      <c r="F144" s="2"/>
      <c r="G144" s="2"/>
      <c r="H144" s="2"/>
      <c r="I144" s="2"/>
      <c r="J144" s="2"/>
      <c r="K144" s="2"/>
      <c r="L144" s="2"/>
    </row>
    <row r="145" spans="4:12" x14ac:dyDescent="0.35">
      <c r="D145" s="2"/>
      <c r="E145" s="2"/>
      <c r="F145" s="2"/>
      <c r="G145" s="2"/>
      <c r="H145" s="2"/>
      <c r="I145" s="2"/>
      <c r="J145" s="2"/>
      <c r="K145" s="2"/>
      <c r="L145" s="2"/>
    </row>
    <row r="146" spans="4:12" x14ac:dyDescent="0.35">
      <c r="D146" s="2"/>
      <c r="E146" s="2"/>
      <c r="F146" s="2"/>
      <c r="G146" s="2"/>
      <c r="H146" s="2"/>
      <c r="I146" s="2"/>
      <c r="J146" s="2"/>
      <c r="K146" s="2"/>
      <c r="L146" s="2"/>
    </row>
    <row r="147" spans="4:12" x14ac:dyDescent="0.35">
      <c r="D147" s="2"/>
      <c r="E147" s="2"/>
      <c r="F147" s="2"/>
      <c r="G147" s="2"/>
      <c r="H147" s="2"/>
      <c r="I147" s="2"/>
      <c r="J147" s="2"/>
      <c r="K147" s="2"/>
      <c r="L147" s="2"/>
    </row>
    <row r="148" spans="4:12" x14ac:dyDescent="0.35">
      <c r="D148" s="2"/>
      <c r="E148" s="2"/>
      <c r="F148" s="2"/>
      <c r="G148" s="2"/>
      <c r="H148" s="2"/>
      <c r="I148" s="2"/>
      <c r="J148" s="2"/>
      <c r="K148" s="2"/>
      <c r="L148" s="2"/>
    </row>
    <row r="149" spans="4:12" x14ac:dyDescent="0.35">
      <c r="D149" s="2"/>
      <c r="E149" s="2"/>
      <c r="F149" s="2"/>
      <c r="G149" s="2"/>
      <c r="H149" s="2"/>
      <c r="I149" s="2"/>
      <c r="J149" s="2"/>
      <c r="K149" s="2"/>
      <c r="L149" s="2"/>
    </row>
    <row r="150" spans="4:12" x14ac:dyDescent="0.35">
      <c r="D150" s="2"/>
      <c r="E150" s="2"/>
      <c r="F150" s="2"/>
      <c r="G150" s="2"/>
      <c r="H150" s="2"/>
      <c r="I150" s="2"/>
      <c r="J150" s="2"/>
      <c r="K150" s="2"/>
      <c r="L150" s="2"/>
    </row>
    <row r="151" spans="4:12" x14ac:dyDescent="0.35">
      <c r="D151" s="2"/>
      <c r="E151" s="2"/>
      <c r="F151" s="2"/>
      <c r="G151" s="2"/>
      <c r="H151" s="2"/>
      <c r="I151" s="2"/>
      <c r="J151" s="2"/>
      <c r="K151" s="2"/>
      <c r="L151" s="2"/>
    </row>
    <row r="152" spans="4:12" x14ac:dyDescent="0.35">
      <c r="D152" s="2"/>
      <c r="E152" s="2"/>
      <c r="F152" s="2"/>
      <c r="G152" s="2"/>
      <c r="H152" s="2"/>
      <c r="I152" s="2"/>
      <c r="J152" s="2"/>
      <c r="K152" s="2"/>
      <c r="L152" s="2"/>
    </row>
    <row r="153" spans="4:12" x14ac:dyDescent="0.35">
      <c r="D153" s="2"/>
      <c r="E153" s="2"/>
      <c r="F153" s="2"/>
      <c r="G153" s="2"/>
      <c r="H153" s="2"/>
      <c r="I153" s="2"/>
      <c r="J153" s="2"/>
      <c r="K153" s="2"/>
      <c r="L153" s="2"/>
    </row>
    <row r="154" spans="4:12" x14ac:dyDescent="0.35">
      <c r="D154" s="2"/>
      <c r="E154" s="2"/>
      <c r="F154" s="2"/>
      <c r="G154" s="2"/>
      <c r="H154" s="2"/>
      <c r="I154" s="2"/>
      <c r="J154" s="2"/>
      <c r="K154" s="2"/>
      <c r="L154" s="2"/>
    </row>
    <row r="155" spans="4:12" x14ac:dyDescent="0.35">
      <c r="D155" s="2"/>
      <c r="E155" s="2"/>
      <c r="F155" s="2"/>
      <c r="G155" s="2"/>
      <c r="H155" s="2"/>
      <c r="I155" s="2"/>
      <c r="J155" s="2"/>
      <c r="K155" s="2"/>
      <c r="L155" s="2"/>
    </row>
    <row r="156" spans="4:12" x14ac:dyDescent="0.35">
      <c r="D156" s="2"/>
      <c r="E156" s="2"/>
      <c r="F156" s="2"/>
      <c r="G156" s="2"/>
      <c r="H156" s="2"/>
      <c r="I156" s="2"/>
      <c r="J156" s="2"/>
      <c r="K156" s="2"/>
      <c r="L156" s="2"/>
    </row>
    <row r="157" spans="4:12" x14ac:dyDescent="0.35">
      <c r="D157" s="2"/>
      <c r="E157" s="2"/>
      <c r="F157" s="2"/>
      <c r="G157" s="2"/>
      <c r="H157" s="2"/>
      <c r="I157" s="2"/>
      <c r="J157" s="2"/>
      <c r="K157" s="2"/>
      <c r="L157" s="2"/>
    </row>
    <row r="158" spans="4:12" x14ac:dyDescent="0.35">
      <c r="D158" s="2"/>
      <c r="E158" s="2"/>
      <c r="F158" s="2"/>
      <c r="G158" s="2"/>
      <c r="H158" s="2"/>
      <c r="I158" s="2"/>
      <c r="J158" s="2"/>
      <c r="K158" s="2"/>
      <c r="L158" s="2"/>
    </row>
    <row r="159" spans="4:12" x14ac:dyDescent="0.35">
      <c r="D159" s="2"/>
      <c r="E159" s="2"/>
      <c r="F159" s="2"/>
      <c r="G159" s="2"/>
      <c r="H159" s="2"/>
      <c r="I159" s="2"/>
      <c r="J159" s="2"/>
      <c r="K159" s="2"/>
      <c r="L159" s="2"/>
    </row>
    <row r="160" spans="4:12" x14ac:dyDescent="0.35">
      <c r="D160" s="2"/>
      <c r="E160" s="2"/>
      <c r="F160" s="2"/>
      <c r="G160" s="2"/>
      <c r="H160" s="2"/>
      <c r="I160" s="2"/>
      <c r="J160" s="2"/>
      <c r="K160" s="2"/>
      <c r="L160" s="2"/>
    </row>
    <row r="161" spans="4:12" x14ac:dyDescent="0.35">
      <c r="D161" s="2"/>
      <c r="E161" s="2"/>
      <c r="F161" s="2"/>
      <c r="G161" s="2"/>
      <c r="H161" s="2"/>
      <c r="I161" s="2"/>
      <c r="J161" s="2"/>
      <c r="K161" s="2"/>
      <c r="L161" s="2"/>
    </row>
    <row r="162" spans="4:12" x14ac:dyDescent="0.35">
      <c r="D162" s="2"/>
      <c r="E162" s="2"/>
      <c r="F162" s="2"/>
      <c r="G162" s="2"/>
      <c r="H162" s="2"/>
      <c r="I162" s="2"/>
      <c r="J162" s="2"/>
      <c r="K162" s="2"/>
      <c r="L162" s="2"/>
    </row>
    <row r="163" spans="4:12" x14ac:dyDescent="0.35">
      <c r="D163" s="2"/>
      <c r="E163" s="2"/>
      <c r="F163" s="2"/>
      <c r="G163" s="2"/>
      <c r="H163" s="2"/>
      <c r="I163" s="2"/>
      <c r="J163" s="2"/>
      <c r="K163" s="2"/>
      <c r="L163" s="2"/>
    </row>
    <row r="164" spans="4:12" x14ac:dyDescent="0.35">
      <c r="D164" s="2"/>
      <c r="E164" s="2"/>
      <c r="F164" s="2"/>
      <c r="G164" s="2"/>
      <c r="H164" s="2"/>
      <c r="I164" s="2"/>
      <c r="J164" s="2"/>
      <c r="K164" s="2"/>
      <c r="L164" s="2"/>
    </row>
    <row r="165" spans="4:12" x14ac:dyDescent="0.35">
      <c r="D165" s="2"/>
      <c r="E165" s="2"/>
      <c r="F165" s="2"/>
      <c r="G165" s="2"/>
      <c r="H165" s="2"/>
      <c r="I165" s="2"/>
      <c r="J165" s="2"/>
      <c r="K165" s="2"/>
      <c r="L165" s="2"/>
    </row>
    <row r="166" spans="4:12" x14ac:dyDescent="0.35">
      <c r="D166" s="2"/>
      <c r="E166" s="2"/>
      <c r="F166" s="2"/>
      <c r="G166" s="2"/>
      <c r="H166" s="2"/>
      <c r="I166" s="2"/>
      <c r="J166" s="2"/>
      <c r="K166" s="2"/>
      <c r="L166" s="2"/>
    </row>
    <row r="167" spans="4:12" x14ac:dyDescent="0.35">
      <c r="D167" s="2"/>
      <c r="E167" s="2"/>
      <c r="F167" s="2"/>
      <c r="G167" s="2"/>
      <c r="H167" s="2"/>
      <c r="I167" s="2"/>
      <c r="J167" s="2"/>
      <c r="K167" s="2"/>
      <c r="L167" s="2"/>
    </row>
    <row r="168" spans="4:12" x14ac:dyDescent="0.35">
      <c r="D168" s="2"/>
      <c r="E168" s="2"/>
      <c r="F168" s="2"/>
      <c r="G168" s="2"/>
      <c r="H168" s="2"/>
      <c r="I168" s="2"/>
      <c r="J168" s="2"/>
      <c r="K168" s="2"/>
      <c r="L168" s="2"/>
    </row>
    <row r="169" spans="4:12" x14ac:dyDescent="0.35">
      <c r="D169" s="2"/>
      <c r="E169" s="2"/>
      <c r="F169" s="2"/>
      <c r="G169" s="2"/>
      <c r="H169" s="2"/>
      <c r="I169" s="2"/>
      <c r="J169" s="2"/>
      <c r="K169" s="2"/>
      <c r="L169" s="2"/>
    </row>
    <row r="170" spans="4:12" x14ac:dyDescent="0.35">
      <c r="D170" s="2"/>
      <c r="E170" s="2"/>
      <c r="F170" s="2"/>
      <c r="G170" s="2"/>
      <c r="H170" s="2"/>
      <c r="I170" s="2"/>
      <c r="J170" s="2"/>
      <c r="K170" s="2"/>
      <c r="L170" s="2"/>
    </row>
    <row r="171" spans="4:12" x14ac:dyDescent="0.35">
      <c r="D171" s="2"/>
      <c r="E171" s="2"/>
      <c r="F171" s="2"/>
      <c r="G171" s="2"/>
      <c r="H171" s="2"/>
      <c r="I171" s="2"/>
      <c r="J171" s="2"/>
      <c r="K171" s="2"/>
      <c r="L171" s="2"/>
    </row>
    <row r="172" spans="4:12" x14ac:dyDescent="0.35">
      <c r="D172" s="2"/>
      <c r="E172" s="2"/>
      <c r="F172" s="2"/>
      <c r="G172" s="2"/>
      <c r="H172" s="2"/>
      <c r="I172" s="2"/>
      <c r="J172" s="2"/>
      <c r="K172" s="2"/>
      <c r="L172" s="2"/>
    </row>
    <row r="173" spans="4:12" x14ac:dyDescent="0.35">
      <c r="D173" s="2"/>
      <c r="E173" s="2"/>
      <c r="F173" s="2"/>
      <c r="G173" s="2"/>
      <c r="H173" s="2"/>
      <c r="I173" s="2"/>
      <c r="J173" s="2"/>
      <c r="K173" s="2"/>
      <c r="L173" s="2"/>
    </row>
    <row r="174" spans="4:12" x14ac:dyDescent="0.35">
      <c r="D174" s="2"/>
      <c r="E174" s="2"/>
      <c r="F174" s="2"/>
      <c r="G174" s="2"/>
      <c r="H174" s="2"/>
      <c r="I174" s="2"/>
      <c r="J174" s="2"/>
      <c r="K174" s="2"/>
      <c r="L174" s="2"/>
    </row>
    <row r="175" spans="4:12" x14ac:dyDescent="0.35">
      <c r="D175" s="2"/>
      <c r="E175" s="2"/>
      <c r="F175" s="2"/>
      <c r="G175" s="2"/>
      <c r="H175" s="2"/>
      <c r="I175" s="2"/>
      <c r="J175" s="2"/>
      <c r="K175" s="2"/>
      <c r="L175" s="2"/>
    </row>
    <row r="176" spans="4:12" x14ac:dyDescent="0.35">
      <c r="D176" s="2"/>
      <c r="E176" s="2"/>
      <c r="F176" s="2"/>
      <c r="G176" s="2"/>
      <c r="H176" s="2"/>
      <c r="I176" s="2"/>
      <c r="J176" s="2"/>
      <c r="K176" s="2"/>
      <c r="L176" s="2"/>
    </row>
    <row r="177" spans="4:12" x14ac:dyDescent="0.35">
      <c r="D177" s="2"/>
      <c r="E177" s="2"/>
      <c r="F177" s="2"/>
      <c r="G177" s="2"/>
      <c r="H177" s="2"/>
      <c r="I177" s="2"/>
      <c r="J177" s="2"/>
      <c r="K177" s="2"/>
      <c r="L177" s="2"/>
    </row>
    <row r="178" spans="4:12" x14ac:dyDescent="0.35">
      <c r="D178" s="2"/>
      <c r="E178" s="2"/>
      <c r="F178" s="2"/>
      <c r="G178" s="2"/>
      <c r="H178" s="2"/>
      <c r="I178" s="2"/>
      <c r="J178" s="2"/>
      <c r="K178" s="2"/>
      <c r="L178" s="2"/>
    </row>
    <row r="179" spans="4:12" x14ac:dyDescent="0.35">
      <c r="D179" s="2"/>
      <c r="E179" s="2"/>
      <c r="F179" s="2"/>
      <c r="G179" s="2"/>
      <c r="H179" s="2"/>
      <c r="I179" s="2"/>
      <c r="J179" s="2"/>
      <c r="K179" s="2"/>
      <c r="L179" s="2"/>
    </row>
    <row r="180" spans="4:12" x14ac:dyDescent="0.35">
      <c r="D180" s="2"/>
      <c r="E180" s="2"/>
      <c r="F180" s="2"/>
      <c r="G180" s="2"/>
      <c r="H180" s="2"/>
      <c r="I180" s="2"/>
      <c r="J180" s="2"/>
      <c r="K180" s="2"/>
      <c r="L180" s="2"/>
    </row>
    <row r="181" spans="4:12" x14ac:dyDescent="0.35">
      <c r="D181" s="2"/>
      <c r="E181" s="2"/>
      <c r="F181" s="2"/>
      <c r="G181" s="2"/>
      <c r="H181" s="2"/>
      <c r="I181" s="2"/>
      <c r="J181" s="2"/>
      <c r="K181" s="2"/>
      <c r="L181" s="2"/>
    </row>
    <row r="182" spans="4:12" x14ac:dyDescent="0.35">
      <c r="D182" s="2"/>
      <c r="E182" s="2"/>
      <c r="F182" s="2"/>
      <c r="G182" s="2"/>
      <c r="H182" s="2"/>
      <c r="I182" s="2"/>
      <c r="J182" s="2"/>
      <c r="K182" s="2"/>
      <c r="L182" s="2"/>
    </row>
    <row r="183" spans="4:12" x14ac:dyDescent="0.35">
      <c r="D183" s="2"/>
      <c r="E183" s="2"/>
      <c r="F183" s="2"/>
      <c r="G183" s="2"/>
      <c r="H183" s="2"/>
      <c r="I183" s="2"/>
      <c r="J183" s="2"/>
      <c r="K183" s="2"/>
      <c r="L183" s="2"/>
    </row>
    <row r="184" spans="4:12" x14ac:dyDescent="0.35">
      <c r="D184" s="2"/>
      <c r="E184" s="2"/>
      <c r="F184" s="2"/>
      <c r="G184" s="2"/>
      <c r="H184" s="2"/>
      <c r="I184" s="2"/>
      <c r="J184" s="2"/>
      <c r="K184" s="2"/>
      <c r="L184" s="2"/>
    </row>
    <row r="185" spans="4:12" x14ac:dyDescent="0.35">
      <c r="D185" s="2"/>
      <c r="E185" s="2"/>
      <c r="F185" s="2"/>
      <c r="G185" s="2"/>
      <c r="H185" s="2"/>
      <c r="I185" s="2"/>
      <c r="J185" s="2"/>
      <c r="K185" s="2"/>
      <c r="L185" s="2"/>
    </row>
    <row r="186" spans="4:12" x14ac:dyDescent="0.35">
      <c r="D186" s="2"/>
      <c r="E186" s="2"/>
      <c r="F186" s="2"/>
      <c r="G186" s="2"/>
      <c r="H186" s="2"/>
      <c r="I186" s="2"/>
      <c r="J186" s="2"/>
      <c r="K186" s="2"/>
      <c r="L186" s="2"/>
    </row>
    <row r="187" spans="4:12" x14ac:dyDescent="0.35">
      <c r="D187" s="2"/>
      <c r="E187" s="2"/>
      <c r="F187" s="2"/>
      <c r="G187" s="2"/>
      <c r="H187" s="2"/>
      <c r="I187" s="2"/>
      <c r="J187" s="2"/>
      <c r="K187" s="2"/>
      <c r="L187" s="2"/>
    </row>
    <row r="188" spans="4:12" x14ac:dyDescent="0.35">
      <c r="D188" s="2"/>
      <c r="E188" s="2"/>
      <c r="F188" s="2"/>
      <c r="G188" s="2"/>
      <c r="H188" s="2"/>
      <c r="I188" s="2"/>
      <c r="J188" s="2"/>
      <c r="K188" s="2"/>
      <c r="L188" s="2"/>
    </row>
    <row r="189" spans="4:12" x14ac:dyDescent="0.35">
      <c r="D189" s="2"/>
      <c r="E189" s="2"/>
      <c r="F189" s="2"/>
      <c r="G189" s="2"/>
      <c r="H189" s="2"/>
      <c r="I189" s="2"/>
      <c r="J189" s="2"/>
      <c r="K189" s="2"/>
      <c r="L189" s="2"/>
    </row>
    <row r="190" spans="4:12" x14ac:dyDescent="0.35">
      <c r="D190" s="2"/>
      <c r="E190" s="2"/>
      <c r="F190" s="2"/>
      <c r="G190" s="2"/>
      <c r="H190" s="2"/>
      <c r="I190" s="2"/>
      <c r="J190" s="2"/>
      <c r="K190" s="2"/>
      <c r="L190" s="2"/>
    </row>
    <row r="191" spans="4:12" x14ac:dyDescent="0.35">
      <c r="D191" s="2"/>
      <c r="E191" s="2"/>
      <c r="F191" s="2"/>
      <c r="G191" s="2"/>
      <c r="H191" s="2"/>
      <c r="I191" s="2"/>
      <c r="J191" s="2"/>
      <c r="K191" s="2"/>
      <c r="L191" s="2"/>
    </row>
    <row r="192" spans="4:12" x14ac:dyDescent="0.35">
      <c r="D192" s="2"/>
      <c r="E192" s="2"/>
      <c r="F192" s="2"/>
      <c r="G192" s="2"/>
      <c r="H192" s="2"/>
      <c r="I192" s="2"/>
      <c r="J192" s="2"/>
      <c r="K192" s="2"/>
      <c r="L192" s="2"/>
    </row>
    <row r="193" spans="4:12" x14ac:dyDescent="0.35">
      <c r="D193" s="2"/>
      <c r="E193" s="2"/>
      <c r="F193" s="2"/>
      <c r="G193" s="2"/>
      <c r="H193" s="2"/>
      <c r="I193" s="2"/>
      <c r="J193" s="2"/>
      <c r="K193" s="2"/>
      <c r="L193" s="2"/>
    </row>
    <row r="194" spans="4:12" x14ac:dyDescent="0.35">
      <c r="D194" s="2"/>
      <c r="E194" s="2"/>
      <c r="F194" s="2"/>
      <c r="G194" s="2"/>
      <c r="H194" s="2"/>
      <c r="I194" s="2"/>
      <c r="J194" s="2"/>
      <c r="K194" s="2"/>
      <c r="L194" s="2"/>
    </row>
    <row r="195" spans="4:12" x14ac:dyDescent="0.35">
      <c r="D195" s="2"/>
      <c r="E195" s="2"/>
      <c r="F195" s="2"/>
      <c r="G195" s="2"/>
      <c r="H195" s="2"/>
      <c r="I195" s="2"/>
      <c r="J195" s="2"/>
      <c r="K195" s="2"/>
      <c r="L195" s="2"/>
    </row>
    <row r="196" spans="4:12" x14ac:dyDescent="0.35">
      <c r="D196" s="2"/>
      <c r="E196" s="2"/>
      <c r="F196" s="2"/>
      <c r="G196" s="2"/>
      <c r="H196" s="2"/>
      <c r="I196" s="2"/>
      <c r="J196" s="2"/>
      <c r="K196" s="2"/>
      <c r="L196" s="2"/>
    </row>
    <row r="197" spans="4:12" x14ac:dyDescent="0.35">
      <c r="D197" s="2"/>
      <c r="E197" s="2"/>
      <c r="F197" s="2"/>
      <c r="G197" s="2"/>
      <c r="H197" s="2"/>
      <c r="I197" s="2"/>
      <c r="J197" s="2"/>
      <c r="K197" s="2"/>
      <c r="L197" s="2"/>
    </row>
    <row r="198" spans="4:12" x14ac:dyDescent="0.35">
      <c r="D198" s="2"/>
      <c r="E198" s="2"/>
      <c r="F198" s="2"/>
      <c r="G198" s="2"/>
      <c r="H198" s="2"/>
      <c r="I198" s="2"/>
      <c r="J198" s="2"/>
      <c r="K198" s="2"/>
      <c r="L198" s="2"/>
    </row>
    <row r="199" spans="4:12" x14ac:dyDescent="0.35">
      <c r="D199" s="2"/>
      <c r="E199" s="2"/>
      <c r="F199" s="2"/>
      <c r="G199" s="2"/>
      <c r="H199" s="2"/>
      <c r="I199" s="2"/>
      <c r="J199" s="2"/>
      <c r="K199" s="2"/>
      <c r="L199" s="2"/>
    </row>
    <row r="200" spans="4:12" x14ac:dyDescent="0.35">
      <c r="D200" s="2"/>
      <c r="E200" s="2"/>
      <c r="F200" s="2"/>
      <c r="G200" s="2"/>
      <c r="H200" s="2"/>
      <c r="I200" s="2"/>
      <c r="J200" s="2"/>
      <c r="K200" s="2"/>
      <c r="L200" s="2"/>
    </row>
    <row r="201" spans="4:12" x14ac:dyDescent="0.35">
      <c r="D201" s="2"/>
      <c r="E201" s="2"/>
      <c r="F201" s="2"/>
      <c r="G201" s="2"/>
      <c r="H201" s="2"/>
      <c r="I201" s="2"/>
      <c r="J201" s="2"/>
      <c r="K201" s="2"/>
      <c r="L201" s="2"/>
    </row>
    <row r="202" spans="4:12" x14ac:dyDescent="0.35">
      <c r="D202" s="2"/>
      <c r="E202" s="2"/>
      <c r="F202" s="2"/>
      <c r="G202" s="2"/>
      <c r="H202" s="2"/>
      <c r="I202" s="2"/>
      <c r="J202" s="2"/>
      <c r="K202" s="2"/>
      <c r="L202" s="2"/>
    </row>
    <row r="203" spans="4:12" x14ac:dyDescent="0.35">
      <c r="D203" s="2"/>
      <c r="E203" s="2"/>
      <c r="F203" s="2"/>
      <c r="G203" s="2"/>
      <c r="H203" s="2"/>
      <c r="I203" s="2"/>
      <c r="J203" s="2"/>
      <c r="K203" s="2"/>
      <c r="L203" s="2"/>
    </row>
    <row r="204" spans="4:12" x14ac:dyDescent="0.35">
      <c r="D204" s="2"/>
      <c r="E204" s="2"/>
      <c r="F204" s="2"/>
      <c r="G204" s="2"/>
      <c r="H204" s="2"/>
      <c r="I204" s="2"/>
      <c r="J204" s="2"/>
      <c r="K204" s="2"/>
      <c r="L204" s="2"/>
    </row>
    <row r="205" spans="4:12" x14ac:dyDescent="0.35">
      <c r="D205" s="2"/>
      <c r="E205" s="2"/>
      <c r="F205" s="2"/>
      <c r="G205" s="2"/>
      <c r="H205" s="2"/>
      <c r="I205" s="2"/>
      <c r="J205" s="2"/>
      <c r="K205" s="2"/>
      <c r="L205" s="2"/>
    </row>
    <row r="206" spans="4:12" x14ac:dyDescent="0.35">
      <c r="D206" s="2"/>
      <c r="E206" s="2"/>
      <c r="F206" s="2"/>
      <c r="G206" s="2"/>
      <c r="H206" s="2"/>
      <c r="I206" s="2"/>
      <c r="J206" s="2"/>
      <c r="K206" s="2"/>
      <c r="L206" s="2"/>
    </row>
    <row r="207" spans="4:12" x14ac:dyDescent="0.35">
      <c r="D207" s="2"/>
      <c r="E207" s="2"/>
      <c r="F207" s="2"/>
      <c r="G207" s="2"/>
      <c r="H207" s="2"/>
      <c r="I207" s="2"/>
      <c r="J207" s="2"/>
      <c r="K207" s="2"/>
      <c r="L207" s="2"/>
    </row>
    <row r="208" spans="4:12" x14ac:dyDescent="0.35">
      <c r="D208" s="2"/>
      <c r="E208" s="2"/>
      <c r="F208" s="2"/>
      <c r="G208" s="2"/>
      <c r="H208" s="2"/>
      <c r="I208" s="2"/>
      <c r="J208" s="2"/>
      <c r="K208" s="2"/>
      <c r="L208" s="2"/>
    </row>
    <row r="209" spans="4:12" x14ac:dyDescent="0.35">
      <c r="D209" s="2"/>
      <c r="E209" s="2"/>
      <c r="F209" s="2"/>
      <c r="G209" s="2"/>
      <c r="H209" s="2"/>
      <c r="I209" s="2"/>
      <c r="J209" s="2"/>
      <c r="K209" s="2"/>
      <c r="L209" s="2"/>
    </row>
    <row r="210" spans="4:12" x14ac:dyDescent="0.35">
      <c r="D210" s="2"/>
      <c r="E210" s="2"/>
      <c r="F210" s="2"/>
      <c r="G210" s="2"/>
      <c r="H210" s="2"/>
      <c r="I210" s="2"/>
      <c r="J210" s="2"/>
      <c r="K210" s="2"/>
      <c r="L210" s="2"/>
    </row>
    <row r="211" spans="4:12" x14ac:dyDescent="0.35">
      <c r="D211" s="2"/>
      <c r="E211" s="2"/>
      <c r="F211" s="2"/>
      <c r="G211" s="2"/>
      <c r="H211" s="2"/>
      <c r="I211" s="2"/>
      <c r="J211" s="2"/>
      <c r="K211" s="2"/>
      <c r="L211" s="2"/>
    </row>
    <row r="212" spans="4:12" x14ac:dyDescent="0.35">
      <c r="D212" s="2"/>
      <c r="E212" s="2"/>
      <c r="F212" s="2"/>
      <c r="G212" s="2"/>
      <c r="H212" s="2"/>
      <c r="I212" s="2"/>
      <c r="J212" s="2"/>
      <c r="K212" s="2"/>
      <c r="L212" s="2"/>
    </row>
    <row r="213" spans="4:12" x14ac:dyDescent="0.35">
      <c r="D213" s="2"/>
      <c r="E213" s="2"/>
      <c r="F213" s="2"/>
      <c r="G213" s="2"/>
      <c r="H213" s="2"/>
      <c r="I213" s="2"/>
      <c r="J213" s="2"/>
      <c r="K213" s="2"/>
      <c r="L213" s="2"/>
    </row>
    <row r="214" spans="4:12" x14ac:dyDescent="0.35">
      <c r="D214" s="2"/>
      <c r="E214" s="2"/>
      <c r="F214" s="2"/>
      <c r="G214" s="2"/>
      <c r="H214" s="2"/>
      <c r="I214" s="2"/>
      <c r="J214" s="2"/>
      <c r="K214" s="2"/>
      <c r="L214" s="2"/>
    </row>
    <row r="215" spans="4:12" x14ac:dyDescent="0.35">
      <c r="D215" s="2"/>
      <c r="E215" s="2"/>
      <c r="F215" s="2"/>
      <c r="G215" s="2"/>
      <c r="H215" s="2"/>
      <c r="I215" s="2"/>
      <c r="J215" s="2"/>
      <c r="K215" s="2"/>
      <c r="L215" s="2"/>
    </row>
    <row r="216" spans="4:12" x14ac:dyDescent="0.35">
      <c r="D216" s="2"/>
      <c r="E216" s="2"/>
      <c r="F216" s="2"/>
      <c r="G216" s="2"/>
      <c r="H216" s="2"/>
      <c r="I216" s="2"/>
      <c r="J216" s="2"/>
      <c r="K216" s="2"/>
      <c r="L216" s="2"/>
    </row>
    <row r="217" spans="4:12" x14ac:dyDescent="0.35">
      <c r="D217" s="2"/>
      <c r="E217" s="2"/>
      <c r="F217" s="2"/>
      <c r="G217" s="2"/>
      <c r="H217" s="2"/>
      <c r="I217" s="2"/>
      <c r="J217" s="2"/>
      <c r="K217" s="2"/>
      <c r="L217" s="2"/>
    </row>
    <row r="218" spans="4:12" x14ac:dyDescent="0.35">
      <c r="D218" s="2"/>
      <c r="E218" s="2"/>
      <c r="F218" s="2"/>
      <c r="G218" s="2"/>
      <c r="H218" s="2"/>
      <c r="I218" s="2"/>
      <c r="J218" s="2"/>
      <c r="K218" s="2"/>
      <c r="L218" s="2"/>
    </row>
    <row r="219" spans="4:12" x14ac:dyDescent="0.35">
      <c r="D219" s="2"/>
      <c r="E219" s="2"/>
      <c r="F219" s="2"/>
      <c r="G219" s="2"/>
      <c r="H219" s="2"/>
      <c r="I219" s="2"/>
      <c r="J219" s="2"/>
      <c r="K219" s="2"/>
      <c r="L219" s="2"/>
    </row>
    <row r="220" spans="4:12" x14ac:dyDescent="0.35">
      <c r="D220" s="2"/>
      <c r="E220" s="2"/>
      <c r="F220" s="2"/>
      <c r="G220" s="2"/>
      <c r="H220" s="2"/>
      <c r="I220" s="2"/>
      <c r="J220" s="2"/>
      <c r="K220" s="2"/>
      <c r="L220" s="2"/>
    </row>
    <row r="221" spans="4:12" x14ac:dyDescent="0.35">
      <c r="D221" s="2"/>
      <c r="E221" s="2"/>
      <c r="F221" s="2"/>
      <c r="G221" s="2"/>
      <c r="H221" s="2"/>
      <c r="I221" s="2"/>
      <c r="J221" s="2"/>
      <c r="K221" s="2"/>
      <c r="L221" s="2"/>
    </row>
    <row r="222" spans="4:12" x14ac:dyDescent="0.35">
      <c r="D222" s="2"/>
      <c r="E222" s="2"/>
      <c r="F222" s="2"/>
      <c r="G222" s="2"/>
      <c r="H222" s="2"/>
      <c r="I222" s="2"/>
      <c r="J222" s="2"/>
      <c r="K222" s="2"/>
      <c r="L222" s="2"/>
    </row>
    <row r="223" spans="4:12" x14ac:dyDescent="0.35">
      <c r="D223" s="2"/>
      <c r="E223" s="2"/>
      <c r="F223" s="2"/>
      <c r="G223" s="2"/>
      <c r="H223" s="2"/>
      <c r="I223" s="2"/>
      <c r="J223" s="2"/>
      <c r="K223" s="2"/>
      <c r="L223" s="2"/>
    </row>
    <row r="224" spans="4:12" x14ac:dyDescent="0.35">
      <c r="D224" s="2"/>
      <c r="E224" s="2"/>
      <c r="F224" s="2"/>
      <c r="G224" s="2"/>
      <c r="H224" s="2"/>
      <c r="I224" s="2"/>
      <c r="J224" s="2"/>
      <c r="K224" s="2"/>
      <c r="L224" s="2"/>
    </row>
    <row r="225" spans="4:12" x14ac:dyDescent="0.35">
      <c r="D225" s="2"/>
      <c r="E225" s="2"/>
      <c r="F225" s="2"/>
      <c r="G225" s="2"/>
      <c r="H225" s="2"/>
      <c r="I225" s="2"/>
      <c r="J225" s="2"/>
      <c r="K225" s="2"/>
      <c r="L225" s="2"/>
    </row>
    <row r="226" spans="4:12" x14ac:dyDescent="0.35">
      <c r="D226" s="2"/>
      <c r="E226" s="2"/>
      <c r="F226" s="2"/>
      <c r="G226" s="2"/>
      <c r="H226" s="2"/>
      <c r="I226" s="2"/>
      <c r="J226" s="2"/>
      <c r="K226" s="2"/>
      <c r="L226" s="2"/>
    </row>
    <row r="227" spans="4:12" x14ac:dyDescent="0.35">
      <c r="D227" s="2"/>
      <c r="E227" s="2"/>
      <c r="F227" s="2"/>
      <c r="G227" s="2"/>
      <c r="H227" s="2"/>
      <c r="I227" s="2"/>
      <c r="J227" s="2"/>
      <c r="K227" s="2"/>
      <c r="L227" s="2"/>
    </row>
    <row r="228" spans="4:12" x14ac:dyDescent="0.35">
      <c r="D228" s="2"/>
      <c r="E228" s="2"/>
      <c r="F228" s="2"/>
      <c r="G228" s="2"/>
      <c r="H228" s="2"/>
      <c r="I228" s="2"/>
      <c r="J228" s="2"/>
      <c r="K228" s="2"/>
      <c r="L228" s="2"/>
    </row>
    <row r="229" spans="4:12" x14ac:dyDescent="0.35">
      <c r="D229" s="2"/>
      <c r="E229" s="2"/>
      <c r="F229" s="2"/>
      <c r="G229" s="2"/>
      <c r="H229" s="2"/>
      <c r="I229" s="2"/>
      <c r="J229" s="2"/>
      <c r="K229" s="2"/>
      <c r="L229" s="2"/>
    </row>
    <row r="230" spans="4:12" x14ac:dyDescent="0.35">
      <c r="D230" s="2"/>
      <c r="E230" s="2"/>
      <c r="F230" s="2"/>
      <c r="G230" s="2"/>
      <c r="H230" s="2"/>
      <c r="I230" s="2"/>
      <c r="J230" s="2"/>
      <c r="K230" s="2"/>
      <c r="L230" s="2"/>
    </row>
    <row r="231" spans="4:12" x14ac:dyDescent="0.35">
      <c r="D231" s="2"/>
      <c r="E231" s="2"/>
      <c r="F231" s="2"/>
      <c r="G231" s="2"/>
      <c r="H231" s="2"/>
      <c r="I231" s="2"/>
      <c r="J231" s="2"/>
      <c r="K231" s="2"/>
      <c r="L231" s="2"/>
    </row>
    <row r="232" spans="4:12" x14ac:dyDescent="0.35">
      <c r="D232" s="2"/>
      <c r="E232" s="2"/>
      <c r="F232" s="2"/>
      <c r="G232" s="2"/>
      <c r="H232" s="2"/>
      <c r="I232" s="2"/>
      <c r="J232" s="2"/>
      <c r="K232" s="2"/>
      <c r="L232" s="2"/>
    </row>
    <row r="233" spans="4:12" x14ac:dyDescent="0.35">
      <c r="D233" s="2"/>
      <c r="E233" s="2"/>
      <c r="F233" s="2"/>
      <c r="G233" s="2"/>
      <c r="H233" s="2"/>
      <c r="I233" s="2"/>
      <c r="J233" s="2"/>
      <c r="K233" s="2"/>
      <c r="L233" s="2"/>
    </row>
    <row r="234" spans="4:12" x14ac:dyDescent="0.35">
      <c r="D234" s="2"/>
      <c r="E234" s="2"/>
      <c r="F234" s="2"/>
      <c r="G234" s="2"/>
      <c r="H234" s="2"/>
      <c r="I234" s="2"/>
      <c r="J234" s="2"/>
      <c r="K234" s="2"/>
      <c r="L234" s="2"/>
    </row>
    <row r="235" spans="4:12" x14ac:dyDescent="0.35">
      <c r="D235" s="2"/>
      <c r="E235" s="2"/>
      <c r="F235" s="2"/>
      <c r="G235" s="2"/>
      <c r="H235" s="2"/>
      <c r="I235" s="2"/>
      <c r="J235" s="2"/>
      <c r="K235" s="2"/>
      <c r="L235" s="2"/>
    </row>
    <row r="236" spans="4:12" x14ac:dyDescent="0.35">
      <c r="D236" s="2"/>
      <c r="E236" s="2"/>
      <c r="F236" s="2"/>
      <c r="G236" s="2"/>
      <c r="H236" s="2"/>
      <c r="I236" s="2"/>
      <c r="J236" s="2"/>
      <c r="K236" s="2"/>
      <c r="L236" s="2"/>
    </row>
    <row r="237" spans="4:12" x14ac:dyDescent="0.35">
      <c r="D237" s="2"/>
      <c r="E237" s="2"/>
      <c r="F237" s="2"/>
      <c r="G237" s="2"/>
      <c r="H237" s="2"/>
      <c r="I237" s="2"/>
      <c r="J237" s="2"/>
      <c r="K237" s="2"/>
      <c r="L237" s="2"/>
    </row>
    <row r="238" spans="4:12" x14ac:dyDescent="0.35">
      <c r="D238" s="2"/>
      <c r="E238" s="2"/>
      <c r="F238" s="2"/>
      <c r="G238" s="2"/>
      <c r="H238" s="2"/>
      <c r="I238" s="2"/>
      <c r="J238" s="2"/>
      <c r="K238" s="2"/>
      <c r="L238" s="2"/>
    </row>
    <row r="239" spans="4:12" x14ac:dyDescent="0.35">
      <c r="D239" s="2"/>
      <c r="E239" s="2"/>
      <c r="F239" s="2"/>
      <c r="G239" s="2"/>
      <c r="H239" s="2"/>
      <c r="I239" s="2"/>
      <c r="J239" s="2"/>
      <c r="K239" s="2"/>
      <c r="L239" s="2"/>
    </row>
    <row r="240" spans="4:12" x14ac:dyDescent="0.35">
      <c r="D240" s="2"/>
      <c r="E240" s="2"/>
      <c r="F240" s="2"/>
      <c r="G240" s="2"/>
      <c r="H240" s="2"/>
      <c r="I240" s="2"/>
      <c r="J240" s="2"/>
      <c r="K240" s="2"/>
      <c r="L240" s="2"/>
    </row>
    <row r="241" spans="4:12" x14ac:dyDescent="0.35">
      <c r="D241" s="2"/>
      <c r="E241" s="2"/>
      <c r="F241" s="2"/>
      <c r="G241" s="2"/>
      <c r="H241" s="2"/>
      <c r="I241" s="2"/>
      <c r="J241" s="2"/>
      <c r="K241" s="2"/>
      <c r="L241" s="2"/>
    </row>
    <row r="242" spans="4:12" x14ac:dyDescent="0.35">
      <c r="D242" s="2"/>
      <c r="E242" s="2"/>
      <c r="F242" s="2"/>
      <c r="G242" s="2"/>
      <c r="H242" s="2"/>
      <c r="I242" s="2"/>
      <c r="J242" s="2"/>
      <c r="K242" s="2"/>
      <c r="L242" s="2"/>
    </row>
    <row r="243" spans="4:12" x14ac:dyDescent="0.35">
      <c r="D243" s="2"/>
      <c r="E243" s="2"/>
      <c r="F243" s="2"/>
      <c r="G243" s="2"/>
      <c r="H243" s="2"/>
      <c r="I243" s="2"/>
      <c r="J243" s="2"/>
      <c r="K243" s="2"/>
      <c r="L243" s="2"/>
    </row>
    <row r="244" spans="4:12" x14ac:dyDescent="0.35">
      <c r="D244" s="2"/>
      <c r="E244" s="2"/>
      <c r="F244" s="2"/>
      <c r="G244" s="2"/>
      <c r="H244" s="2"/>
      <c r="I244" s="2"/>
      <c r="J244" s="2"/>
      <c r="K244" s="2"/>
      <c r="L244" s="2"/>
    </row>
    <row r="245" spans="4:12" x14ac:dyDescent="0.35">
      <c r="D245" s="2"/>
      <c r="E245" s="2"/>
      <c r="F245" s="2"/>
      <c r="G245" s="2"/>
      <c r="H245" s="2"/>
      <c r="I245" s="2"/>
      <c r="J245" s="2"/>
      <c r="K245" s="2"/>
      <c r="L245" s="2"/>
    </row>
    <row r="246" spans="4:12" x14ac:dyDescent="0.35">
      <c r="D246" s="2"/>
      <c r="E246" s="2"/>
      <c r="F246" s="2"/>
      <c r="G246" s="2"/>
      <c r="H246" s="2"/>
      <c r="I246" s="2"/>
      <c r="J246" s="2"/>
      <c r="K246" s="2"/>
      <c r="L246" s="2"/>
    </row>
    <row r="247" spans="4:12" x14ac:dyDescent="0.35">
      <c r="D247" s="2"/>
      <c r="E247" s="2"/>
      <c r="F247" s="2"/>
      <c r="G247" s="2"/>
      <c r="H247" s="2"/>
      <c r="I247" s="2"/>
      <c r="J247" s="2"/>
      <c r="K247" s="2"/>
      <c r="L247" s="2"/>
    </row>
    <row r="248" spans="4:12" x14ac:dyDescent="0.35">
      <c r="D248" s="2"/>
      <c r="E248" s="2"/>
      <c r="F248" s="2"/>
      <c r="G248" s="2"/>
      <c r="H248" s="2"/>
      <c r="I248" s="2"/>
      <c r="J248" s="2"/>
      <c r="K248" s="2"/>
      <c r="L248" s="2"/>
    </row>
    <row r="249" spans="4:12" x14ac:dyDescent="0.35">
      <c r="D249" s="2"/>
      <c r="E249" s="2"/>
      <c r="F249" s="2"/>
      <c r="G249" s="2"/>
      <c r="H249" s="2"/>
      <c r="I249" s="2"/>
      <c r="J249" s="2"/>
      <c r="K249" s="2"/>
      <c r="L249" s="2"/>
    </row>
    <row r="250" spans="4:12" x14ac:dyDescent="0.35">
      <c r="D250" s="2"/>
      <c r="E250" s="2"/>
      <c r="F250" s="2"/>
      <c r="G250" s="2"/>
      <c r="H250" s="2"/>
      <c r="I250" s="2"/>
      <c r="J250" s="2"/>
      <c r="K250" s="2"/>
      <c r="L250" s="2"/>
    </row>
    <row r="251" spans="4:12" x14ac:dyDescent="0.35">
      <c r="D251" s="2"/>
      <c r="E251" s="2"/>
      <c r="F251" s="2"/>
      <c r="G251" s="2"/>
      <c r="H251" s="2"/>
      <c r="I251" s="2"/>
      <c r="J251" s="2"/>
      <c r="K251" s="2"/>
      <c r="L251" s="2"/>
    </row>
    <row r="252" spans="4:12" x14ac:dyDescent="0.35">
      <c r="D252" s="2"/>
      <c r="E252" s="2"/>
      <c r="F252" s="2"/>
      <c r="G252" s="2"/>
      <c r="H252" s="2"/>
      <c r="I252" s="2"/>
      <c r="J252" s="2"/>
      <c r="K252" s="2"/>
      <c r="L252" s="2"/>
    </row>
    <row r="253" spans="4:12" x14ac:dyDescent="0.35">
      <c r="D253" s="2"/>
      <c r="E253" s="2"/>
      <c r="F253" s="2"/>
      <c r="G253" s="2"/>
      <c r="H253" s="2"/>
      <c r="I253" s="2"/>
      <c r="J253" s="2"/>
      <c r="K253" s="2"/>
      <c r="L253" s="2"/>
    </row>
    <row r="254" spans="4:12" x14ac:dyDescent="0.35">
      <c r="D254" s="2"/>
      <c r="E254" s="2"/>
      <c r="F254" s="2"/>
      <c r="G254" s="2"/>
      <c r="H254" s="2"/>
      <c r="I254" s="2"/>
      <c r="J254" s="2"/>
      <c r="K254" s="2"/>
      <c r="L254" s="2"/>
    </row>
    <row r="255" spans="4:12" x14ac:dyDescent="0.35">
      <c r="D255" s="2"/>
      <c r="E255" s="2"/>
      <c r="F255" s="2"/>
      <c r="G255" s="2"/>
      <c r="H255" s="2"/>
      <c r="I255" s="2"/>
      <c r="J255" s="2"/>
      <c r="K255" s="2"/>
      <c r="L255" s="2"/>
    </row>
    <row r="256" spans="4:12" x14ac:dyDescent="0.35">
      <c r="D256" s="2"/>
      <c r="E256" s="2"/>
      <c r="F256" s="2"/>
      <c r="G256" s="2"/>
      <c r="H256" s="2"/>
      <c r="I256" s="2"/>
      <c r="J256" s="2"/>
      <c r="K256" s="2"/>
      <c r="L256" s="2"/>
    </row>
    <row r="257" spans="4:12" x14ac:dyDescent="0.35">
      <c r="D257" s="2"/>
      <c r="E257" s="2"/>
      <c r="F257" s="2"/>
      <c r="G257" s="2"/>
      <c r="H257" s="2"/>
      <c r="I257" s="2"/>
      <c r="J257" s="2"/>
      <c r="K257" s="2"/>
      <c r="L257" s="2"/>
    </row>
    <row r="258" spans="4:12" x14ac:dyDescent="0.35">
      <c r="D258" s="2"/>
      <c r="E258" s="2"/>
      <c r="F258" s="2"/>
      <c r="G258" s="2"/>
      <c r="H258" s="2"/>
      <c r="I258" s="2"/>
      <c r="J258" s="2"/>
      <c r="K258" s="2"/>
      <c r="L258" s="2"/>
    </row>
    <row r="259" spans="4:12" x14ac:dyDescent="0.35">
      <c r="D259" s="2"/>
      <c r="E259" s="2"/>
      <c r="F259" s="2"/>
      <c r="G259" s="2"/>
      <c r="H259" s="2"/>
      <c r="I259" s="2"/>
      <c r="J259" s="2"/>
      <c r="K259" s="2"/>
      <c r="L259" s="2"/>
    </row>
    <row r="260" spans="4:12" x14ac:dyDescent="0.35">
      <c r="D260" s="2"/>
      <c r="E260" s="2"/>
      <c r="F260" s="2"/>
      <c r="G260" s="2"/>
      <c r="H260" s="2"/>
      <c r="I260" s="2"/>
      <c r="J260" s="2"/>
      <c r="K260" s="2"/>
      <c r="L260" s="2"/>
    </row>
    <row r="261" spans="4:12" x14ac:dyDescent="0.35">
      <c r="D261" s="2"/>
      <c r="E261" s="2"/>
      <c r="F261" s="2"/>
      <c r="G261" s="2"/>
      <c r="H261" s="2"/>
      <c r="I261" s="2"/>
      <c r="J261" s="2"/>
      <c r="K261" s="2"/>
      <c r="L261" s="2"/>
    </row>
    <row r="262" spans="4:12" x14ac:dyDescent="0.35">
      <c r="D262" s="2"/>
      <c r="E262" s="2"/>
      <c r="F262" s="2"/>
      <c r="G262" s="2"/>
      <c r="H262" s="2"/>
      <c r="I262" s="2"/>
      <c r="J262" s="2"/>
      <c r="K262" s="2"/>
      <c r="L262" s="2"/>
    </row>
    <row r="263" spans="4:12" x14ac:dyDescent="0.35">
      <c r="D263" s="2"/>
      <c r="E263" s="2"/>
      <c r="F263" s="2"/>
      <c r="G263" s="2"/>
      <c r="H263" s="2"/>
      <c r="I263" s="2"/>
      <c r="J263" s="2"/>
      <c r="K263" s="2"/>
      <c r="L263" s="2"/>
    </row>
    <row r="264" spans="4:12" x14ac:dyDescent="0.35">
      <c r="D264" s="2"/>
      <c r="E264" s="2"/>
      <c r="F264" s="2"/>
      <c r="G264" s="2"/>
      <c r="H264" s="2"/>
      <c r="I264" s="2"/>
      <c r="J264" s="2"/>
      <c r="K264" s="2"/>
      <c r="L264" s="2"/>
    </row>
    <row r="265" spans="4:12" x14ac:dyDescent="0.35">
      <c r="D265" s="2"/>
      <c r="E265" s="2"/>
      <c r="F265" s="2"/>
      <c r="G265" s="2"/>
      <c r="H265" s="2"/>
      <c r="I265" s="2"/>
      <c r="J265" s="2"/>
      <c r="K265" s="2"/>
      <c r="L265" s="2"/>
    </row>
    <row r="266" spans="4:12" x14ac:dyDescent="0.35">
      <c r="D266" s="2"/>
      <c r="E266" s="2"/>
      <c r="F266" s="2"/>
      <c r="G266" s="2"/>
      <c r="H266" s="2"/>
      <c r="I266" s="2"/>
      <c r="J266" s="2"/>
      <c r="K266" s="2"/>
      <c r="L266" s="2"/>
    </row>
    <row r="267" spans="4:12" x14ac:dyDescent="0.35">
      <c r="D267" s="2"/>
      <c r="E267" s="2"/>
      <c r="F267" s="2"/>
      <c r="G267" s="2"/>
      <c r="H267" s="2"/>
      <c r="I267" s="2"/>
      <c r="J267" s="2"/>
      <c r="K267" s="2"/>
      <c r="L267" s="2"/>
    </row>
    <row r="268" spans="4:12" x14ac:dyDescent="0.35">
      <c r="D268" s="2"/>
      <c r="E268" s="2"/>
      <c r="F268" s="2"/>
      <c r="G268" s="2"/>
      <c r="H268" s="2"/>
      <c r="I268" s="2"/>
      <c r="J268" s="2"/>
      <c r="K268" s="2"/>
      <c r="L268" s="2"/>
    </row>
    <row r="269" spans="4:12" x14ac:dyDescent="0.35">
      <c r="D269" s="2"/>
      <c r="E269" s="2"/>
      <c r="F269" s="2"/>
      <c r="G269" s="2"/>
      <c r="H269" s="2"/>
      <c r="I269" s="2"/>
      <c r="J269" s="2"/>
      <c r="K269" s="2"/>
      <c r="L269" s="2"/>
    </row>
    <row r="270" spans="4:12" x14ac:dyDescent="0.35">
      <c r="D270" s="2"/>
      <c r="E270" s="2"/>
      <c r="F270" s="2"/>
      <c r="G270" s="2"/>
      <c r="H270" s="2"/>
      <c r="I270" s="2"/>
      <c r="J270" s="2"/>
      <c r="K270" s="2"/>
      <c r="L270" s="2"/>
    </row>
    <row r="271" spans="4:12" x14ac:dyDescent="0.35">
      <c r="D271" s="2"/>
      <c r="E271" s="2"/>
      <c r="F271" s="2"/>
      <c r="G271" s="2"/>
      <c r="H271" s="2"/>
      <c r="I271" s="2"/>
      <c r="J271" s="2"/>
      <c r="K271" s="2"/>
      <c r="L271" s="2"/>
    </row>
    <row r="272" spans="4:12" x14ac:dyDescent="0.35">
      <c r="D272" s="2"/>
      <c r="E272" s="2"/>
      <c r="F272" s="2"/>
      <c r="G272" s="2"/>
      <c r="H272" s="2"/>
      <c r="I272" s="2"/>
      <c r="J272" s="2"/>
      <c r="K272" s="2"/>
      <c r="L272" s="2"/>
    </row>
    <row r="273" spans="4:12" x14ac:dyDescent="0.35">
      <c r="D273" s="2"/>
      <c r="E273" s="2"/>
      <c r="F273" s="2"/>
      <c r="G273" s="2"/>
      <c r="H273" s="2"/>
      <c r="I273" s="2"/>
      <c r="J273" s="2"/>
      <c r="K273" s="2"/>
      <c r="L273" s="2"/>
    </row>
    <row r="274" spans="4:12" x14ac:dyDescent="0.35">
      <c r="D274" s="2"/>
      <c r="E274" s="2"/>
      <c r="F274" s="2"/>
      <c r="G274" s="2"/>
      <c r="H274" s="2"/>
      <c r="I274" s="2"/>
      <c r="J274" s="2"/>
      <c r="K274" s="2"/>
      <c r="L274" s="2"/>
    </row>
    <row r="275" spans="4:12" x14ac:dyDescent="0.35">
      <c r="D275" s="2"/>
      <c r="E275" s="2"/>
      <c r="F275" s="2"/>
      <c r="G275" s="2"/>
      <c r="H275" s="2"/>
      <c r="I275" s="2"/>
      <c r="J275" s="2"/>
      <c r="K275" s="2"/>
      <c r="L275" s="2"/>
    </row>
    <row r="276" spans="4:12" x14ac:dyDescent="0.35">
      <c r="D276" s="2"/>
      <c r="E276" s="2"/>
      <c r="F276" s="2"/>
      <c r="G276" s="2"/>
      <c r="H276" s="2"/>
      <c r="I276" s="2"/>
      <c r="J276" s="2"/>
      <c r="K276" s="2"/>
      <c r="L276" s="2"/>
    </row>
    <row r="277" spans="4:12" x14ac:dyDescent="0.35">
      <c r="D277" s="2"/>
      <c r="E277" s="2"/>
      <c r="F277" s="2"/>
      <c r="G277" s="2"/>
      <c r="H277" s="2"/>
      <c r="I277" s="2"/>
      <c r="J277" s="2"/>
      <c r="K277" s="2"/>
      <c r="L277" s="2"/>
    </row>
    <row r="278" spans="4:12" x14ac:dyDescent="0.35">
      <c r="D278" s="2"/>
      <c r="E278" s="2"/>
      <c r="F278" s="2"/>
      <c r="G278" s="2"/>
      <c r="H278" s="2"/>
      <c r="I278" s="2"/>
      <c r="J278" s="2"/>
      <c r="K278" s="2"/>
      <c r="L278" s="2"/>
    </row>
    <row r="279" spans="4:12" x14ac:dyDescent="0.35">
      <c r="D279" s="2"/>
      <c r="E279" s="2"/>
      <c r="F279" s="2"/>
      <c r="G279" s="2"/>
      <c r="H279" s="2"/>
      <c r="I279" s="2"/>
      <c r="J279" s="2"/>
      <c r="K279" s="2"/>
      <c r="L279" s="2"/>
    </row>
    <row r="280" spans="4:12" x14ac:dyDescent="0.35">
      <c r="D280" s="2"/>
      <c r="E280" s="2"/>
      <c r="F280" s="2"/>
      <c r="G280" s="2"/>
      <c r="H280" s="2"/>
      <c r="I280" s="2"/>
      <c r="J280" s="2"/>
      <c r="K280" s="2"/>
      <c r="L280" s="2"/>
    </row>
    <row r="281" spans="4:12" x14ac:dyDescent="0.35">
      <c r="D281" s="2"/>
      <c r="E281" s="2"/>
      <c r="F281" s="2"/>
      <c r="G281" s="2"/>
      <c r="H281" s="2"/>
      <c r="I281" s="2"/>
      <c r="J281" s="2"/>
      <c r="K281" s="2"/>
      <c r="L281" s="2"/>
    </row>
    <row r="282" spans="4:12" x14ac:dyDescent="0.35">
      <c r="D282" s="2"/>
      <c r="E282" s="2"/>
      <c r="F282" s="2"/>
      <c r="G282" s="2"/>
      <c r="H282" s="2"/>
      <c r="I282" s="2"/>
      <c r="J282" s="2"/>
      <c r="K282" s="2"/>
      <c r="L282" s="2"/>
    </row>
    <row r="283" spans="4:12" x14ac:dyDescent="0.35">
      <c r="D283" s="2"/>
      <c r="E283" s="2"/>
      <c r="F283" s="2"/>
      <c r="G283" s="2"/>
      <c r="H283" s="2"/>
      <c r="I283" s="2"/>
      <c r="J283" s="2"/>
      <c r="K283" s="2"/>
      <c r="L283" s="2"/>
    </row>
    <row r="284" spans="4:12" x14ac:dyDescent="0.35">
      <c r="D284" s="2"/>
      <c r="E284" s="2"/>
      <c r="F284" s="2"/>
      <c r="G284" s="2"/>
      <c r="H284" s="2"/>
      <c r="I284" s="2"/>
      <c r="J284" s="2"/>
      <c r="K284" s="2"/>
      <c r="L284" s="2"/>
    </row>
    <row r="285" spans="4:12" x14ac:dyDescent="0.35">
      <c r="D285" s="2"/>
      <c r="E285" s="2"/>
      <c r="F285" s="2"/>
      <c r="G285" s="2"/>
      <c r="H285" s="2"/>
      <c r="I285" s="2"/>
      <c r="J285" s="2"/>
      <c r="K285" s="2"/>
      <c r="L285" s="2"/>
    </row>
    <row r="286" spans="4:12" x14ac:dyDescent="0.35">
      <c r="D286" s="2"/>
      <c r="E286" s="2"/>
      <c r="F286" s="2"/>
      <c r="G286" s="2"/>
      <c r="H286" s="2"/>
      <c r="I286" s="2"/>
      <c r="J286" s="2"/>
      <c r="K286" s="2"/>
      <c r="L286" s="2"/>
    </row>
    <row r="287" spans="4:12" x14ac:dyDescent="0.35">
      <c r="D287" s="2"/>
      <c r="E287" s="2"/>
      <c r="F287" s="2"/>
      <c r="G287" s="2"/>
      <c r="H287" s="2"/>
      <c r="I287" s="2"/>
      <c r="J287" s="2"/>
      <c r="K287" s="2"/>
      <c r="L287" s="2"/>
    </row>
    <row r="288" spans="4:12" x14ac:dyDescent="0.35">
      <c r="D288" s="2"/>
      <c r="E288" s="2"/>
      <c r="F288" s="2"/>
      <c r="G288" s="2"/>
      <c r="H288" s="2"/>
      <c r="I288" s="2"/>
      <c r="J288" s="2"/>
      <c r="K288" s="2"/>
      <c r="L288" s="2"/>
    </row>
    <row r="289" spans="4:12" x14ac:dyDescent="0.35">
      <c r="D289" s="2"/>
      <c r="E289" s="2"/>
      <c r="F289" s="2"/>
      <c r="G289" s="2"/>
      <c r="H289" s="2"/>
      <c r="I289" s="2"/>
      <c r="J289" s="2"/>
      <c r="K289" s="2"/>
      <c r="L289" s="2"/>
    </row>
    <row r="290" spans="4:12" x14ac:dyDescent="0.35">
      <c r="D290" s="2"/>
      <c r="E290" s="2"/>
      <c r="F290" s="2"/>
      <c r="G290" s="2"/>
      <c r="H290" s="2"/>
      <c r="I290" s="2"/>
      <c r="J290" s="2"/>
      <c r="K290" s="2"/>
      <c r="L290" s="2"/>
    </row>
    <row r="291" spans="4:12" x14ac:dyDescent="0.35">
      <c r="D291" s="2"/>
      <c r="E291" s="2"/>
      <c r="F291" s="2"/>
      <c r="G291" s="2"/>
      <c r="H291" s="2"/>
      <c r="I291" s="2"/>
      <c r="J291" s="2"/>
      <c r="K291" s="2"/>
      <c r="L291" s="2"/>
    </row>
    <row r="292" spans="4:12" x14ac:dyDescent="0.35">
      <c r="D292" s="2"/>
      <c r="E292" s="2"/>
      <c r="F292" s="2"/>
      <c r="G292" s="2"/>
      <c r="H292" s="2"/>
      <c r="I292" s="2"/>
      <c r="J292" s="2"/>
      <c r="K292" s="2"/>
      <c r="L292" s="2"/>
    </row>
    <row r="293" spans="4:12" x14ac:dyDescent="0.35">
      <c r="D293" s="2"/>
      <c r="E293" s="2"/>
      <c r="F293" s="2"/>
      <c r="G293" s="2"/>
      <c r="H293" s="2"/>
      <c r="I293" s="2"/>
      <c r="J293" s="2"/>
      <c r="K293" s="2"/>
      <c r="L293" s="2"/>
    </row>
    <row r="294" spans="4:12" x14ac:dyDescent="0.35">
      <c r="D294" s="2"/>
      <c r="E294" s="2"/>
      <c r="F294" s="2"/>
      <c r="G294" s="2"/>
      <c r="H294" s="2"/>
      <c r="I294" s="2"/>
      <c r="J294" s="2"/>
      <c r="K294" s="2"/>
      <c r="L294" s="2"/>
    </row>
    <row r="295" spans="4:12" x14ac:dyDescent="0.35">
      <c r="D295" s="2"/>
      <c r="E295" s="2"/>
      <c r="F295" s="2"/>
      <c r="G295" s="2"/>
      <c r="H295" s="2"/>
      <c r="I295" s="2"/>
      <c r="J295" s="2"/>
      <c r="K295" s="2"/>
      <c r="L295" s="2"/>
    </row>
    <row r="296" spans="4:12" x14ac:dyDescent="0.35">
      <c r="D296" s="2"/>
      <c r="E296" s="2"/>
      <c r="F296" s="2"/>
      <c r="G296" s="2"/>
      <c r="H296" s="2"/>
      <c r="I296" s="2"/>
      <c r="J296" s="2"/>
      <c r="K296" s="2"/>
      <c r="L296" s="2"/>
    </row>
    <row r="297" spans="4:12" x14ac:dyDescent="0.35">
      <c r="D297" s="2"/>
      <c r="E297" s="2"/>
      <c r="F297" s="2"/>
      <c r="G297" s="2"/>
      <c r="H297" s="2"/>
      <c r="I297" s="2"/>
      <c r="J297" s="2"/>
      <c r="K297" s="2"/>
      <c r="L297" s="2"/>
    </row>
    <row r="298" spans="4:12" x14ac:dyDescent="0.35">
      <c r="D298" s="2"/>
      <c r="E298" s="2"/>
      <c r="F298" s="2"/>
      <c r="G298" s="2"/>
      <c r="H298" s="2"/>
      <c r="I298" s="2"/>
      <c r="J298" s="2"/>
      <c r="K298" s="2"/>
      <c r="L298" s="2"/>
    </row>
    <row r="299" spans="4:12" x14ac:dyDescent="0.35">
      <c r="D299" s="2"/>
      <c r="E299" s="2"/>
      <c r="F299" s="2"/>
      <c r="G299" s="2"/>
      <c r="H299" s="2"/>
      <c r="I299" s="2"/>
      <c r="J299" s="2"/>
      <c r="K299" s="2"/>
      <c r="L299" s="2"/>
    </row>
    <row r="300" spans="4:12" x14ac:dyDescent="0.35">
      <c r="D300" s="2"/>
      <c r="E300" s="2"/>
      <c r="F300" s="2"/>
      <c r="G300" s="2"/>
      <c r="H300" s="2"/>
      <c r="I300" s="2"/>
      <c r="J300" s="2"/>
      <c r="K300" s="2"/>
      <c r="L300" s="2"/>
    </row>
    <row r="301" spans="4:12" x14ac:dyDescent="0.35">
      <c r="D301" s="2"/>
      <c r="E301" s="2"/>
      <c r="F301" s="2"/>
      <c r="G301" s="2"/>
      <c r="H301" s="2"/>
      <c r="I301" s="2"/>
      <c r="J301" s="2"/>
      <c r="K301" s="2"/>
      <c r="L301" s="2"/>
    </row>
    <row r="302" spans="4:12" x14ac:dyDescent="0.35">
      <c r="D302" s="2"/>
      <c r="E302" s="2"/>
      <c r="F302" s="2"/>
      <c r="G302" s="2"/>
      <c r="H302" s="2"/>
      <c r="I302" s="2"/>
      <c r="J302" s="2"/>
      <c r="K302" s="2"/>
      <c r="L302" s="2"/>
    </row>
    <row r="303" spans="4:12" x14ac:dyDescent="0.35">
      <c r="D303" s="2"/>
      <c r="E303" s="2"/>
      <c r="F303" s="2"/>
      <c r="G303" s="2"/>
      <c r="H303" s="2"/>
      <c r="I303" s="2"/>
      <c r="J303" s="2"/>
      <c r="K303" s="2"/>
      <c r="L303" s="2"/>
    </row>
    <row r="304" spans="4:12" x14ac:dyDescent="0.35">
      <c r="D304" s="2"/>
      <c r="E304" s="2"/>
      <c r="F304" s="2"/>
      <c r="G304" s="2"/>
      <c r="H304" s="2"/>
      <c r="I304" s="2"/>
      <c r="J304" s="2"/>
      <c r="K304" s="2"/>
      <c r="L304" s="2"/>
    </row>
    <row r="305" spans="4:12" x14ac:dyDescent="0.35">
      <c r="D305" s="2"/>
      <c r="E305" s="2"/>
      <c r="F305" s="2"/>
      <c r="G305" s="2"/>
      <c r="H305" s="2"/>
      <c r="I305" s="2"/>
      <c r="J305" s="2"/>
      <c r="K305" s="2"/>
      <c r="L305" s="2"/>
    </row>
    <row r="306" spans="4:12" x14ac:dyDescent="0.35">
      <c r="D306" s="2"/>
      <c r="E306" s="2"/>
      <c r="F306" s="2"/>
      <c r="G306" s="2"/>
      <c r="H306" s="2"/>
      <c r="I306" s="2"/>
      <c r="J306" s="2"/>
      <c r="K306" s="2"/>
      <c r="L306" s="2"/>
    </row>
    <row r="307" spans="4:12" x14ac:dyDescent="0.35">
      <c r="D307" s="2"/>
      <c r="E307" s="2"/>
      <c r="F307" s="2"/>
      <c r="G307" s="2"/>
      <c r="H307" s="2"/>
      <c r="I307" s="2"/>
      <c r="J307" s="2"/>
      <c r="K307" s="2"/>
      <c r="L307" s="2"/>
    </row>
    <row r="308" spans="4:12" x14ac:dyDescent="0.35">
      <c r="D308" s="2"/>
      <c r="E308" s="2"/>
      <c r="F308" s="2"/>
      <c r="G308" s="2"/>
      <c r="H308" s="2"/>
      <c r="I308" s="2"/>
      <c r="J308" s="2"/>
      <c r="K308" s="2"/>
      <c r="L308" s="2"/>
    </row>
    <row r="309" spans="4:12" x14ac:dyDescent="0.35">
      <c r="D309" s="2"/>
      <c r="E309" s="2"/>
      <c r="F309" s="2"/>
      <c r="G309" s="2"/>
      <c r="H309" s="2"/>
      <c r="I309" s="2"/>
      <c r="J309" s="2"/>
      <c r="K309" s="2"/>
      <c r="L309" s="2"/>
    </row>
    <row r="310" spans="4:12" x14ac:dyDescent="0.35">
      <c r="D310" s="2"/>
      <c r="E310" s="2"/>
      <c r="F310" s="2"/>
      <c r="G310" s="2"/>
      <c r="H310" s="2"/>
      <c r="I310" s="2"/>
      <c r="J310" s="2"/>
      <c r="K310" s="2"/>
      <c r="L310" s="2"/>
    </row>
    <row r="311" spans="4:12" x14ac:dyDescent="0.35">
      <c r="D311" s="2"/>
      <c r="E311" s="2"/>
      <c r="F311" s="2"/>
      <c r="G311" s="2"/>
      <c r="H311" s="2"/>
      <c r="I311" s="2"/>
      <c r="J311" s="2"/>
      <c r="K311" s="2"/>
      <c r="L311" s="2"/>
    </row>
    <row r="312" spans="4:12" x14ac:dyDescent="0.35">
      <c r="D312" s="2"/>
      <c r="E312" s="2"/>
      <c r="F312" s="2"/>
      <c r="G312" s="2"/>
      <c r="H312" s="2"/>
      <c r="I312" s="2"/>
      <c r="J312" s="2"/>
      <c r="K312" s="2"/>
      <c r="L312" s="2"/>
    </row>
    <row r="313" spans="4:12" x14ac:dyDescent="0.35">
      <c r="D313" s="2"/>
      <c r="E313" s="2"/>
      <c r="F313" s="2"/>
      <c r="G313" s="2"/>
      <c r="H313" s="2"/>
      <c r="I313" s="2"/>
      <c r="J313" s="2"/>
      <c r="K313" s="2"/>
      <c r="L313" s="2"/>
    </row>
    <row r="314" spans="4:12" x14ac:dyDescent="0.35">
      <c r="D314" s="2"/>
      <c r="E314" s="2"/>
      <c r="F314" s="2"/>
      <c r="G314" s="2"/>
      <c r="H314" s="2"/>
      <c r="I314" s="2"/>
      <c r="J314" s="2"/>
      <c r="K314" s="2"/>
      <c r="L314" s="2"/>
    </row>
    <row r="315" spans="4:12" x14ac:dyDescent="0.35">
      <c r="D315" s="2"/>
      <c r="E315" s="2"/>
      <c r="F315" s="2"/>
      <c r="G315" s="2"/>
      <c r="H315" s="2"/>
      <c r="I315" s="2"/>
      <c r="J315" s="2"/>
      <c r="K315" s="2"/>
      <c r="L315" s="2"/>
    </row>
    <row r="316" spans="4:12" x14ac:dyDescent="0.35">
      <c r="D316" s="2"/>
      <c r="E316" s="2"/>
      <c r="F316" s="2"/>
      <c r="G316" s="2"/>
      <c r="H316" s="2"/>
      <c r="I316" s="2"/>
      <c r="J316" s="2"/>
      <c r="K316" s="2"/>
      <c r="L316" s="2"/>
    </row>
    <row r="317" spans="4:12" x14ac:dyDescent="0.35">
      <c r="D317" s="2"/>
      <c r="E317" s="2"/>
      <c r="F317" s="2"/>
      <c r="G317" s="2"/>
      <c r="H317" s="2"/>
      <c r="I317" s="2"/>
      <c r="J317" s="2"/>
      <c r="K317" s="2"/>
      <c r="L317" s="2"/>
    </row>
    <row r="318" spans="4:12" x14ac:dyDescent="0.35">
      <c r="D318" s="2"/>
      <c r="E318" s="2"/>
      <c r="F318" s="2"/>
      <c r="G318" s="2"/>
      <c r="H318" s="2"/>
      <c r="I318" s="2"/>
      <c r="J318" s="2"/>
      <c r="K318" s="2"/>
      <c r="L318" s="2"/>
    </row>
    <row r="319" spans="4:12" x14ac:dyDescent="0.35">
      <c r="D319" s="2"/>
      <c r="E319" s="2"/>
      <c r="F319" s="2"/>
      <c r="G319" s="2"/>
      <c r="H319" s="2"/>
      <c r="I319" s="2"/>
      <c r="J319" s="2"/>
      <c r="K319" s="2"/>
      <c r="L319" s="2"/>
    </row>
    <row r="320" spans="4:12" x14ac:dyDescent="0.35">
      <c r="D320" s="2"/>
      <c r="E320" s="2"/>
      <c r="F320" s="2"/>
      <c r="G320" s="2"/>
      <c r="H320" s="2"/>
      <c r="I320" s="2"/>
      <c r="J320" s="2"/>
      <c r="K320" s="2"/>
      <c r="L320" s="2"/>
    </row>
    <row r="321" spans="4:12" x14ac:dyDescent="0.35">
      <c r="D321" s="2"/>
      <c r="E321" s="2"/>
      <c r="F321" s="2"/>
      <c r="G321" s="2"/>
      <c r="H321" s="2"/>
      <c r="I321" s="2"/>
      <c r="J321" s="2"/>
      <c r="K321" s="2"/>
      <c r="L321" s="2"/>
    </row>
    <row r="322" spans="4:12" x14ac:dyDescent="0.35">
      <c r="D322" s="2"/>
      <c r="E322" s="2"/>
      <c r="F322" s="2"/>
      <c r="G322" s="2"/>
      <c r="H322" s="2"/>
      <c r="I322" s="2"/>
      <c r="J322" s="2"/>
      <c r="K322" s="2"/>
      <c r="L322" s="2"/>
    </row>
    <row r="323" spans="4:12" x14ac:dyDescent="0.35">
      <c r="D323" s="2"/>
      <c r="E323" s="2"/>
      <c r="F323" s="2"/>
      <c r="G323" s="2"/>
      <c r="H323" s="2"/>
      <c r="I323" s="2"/>
      <c r="J323" s="2"/>
      <c r="K323" s="2"/>
      <c r="L323" s="2"/>
    </row>
    <row r="324" spans="4:12" x14ac:dyDescent="0.35">
      <c r="D324" s="2"/>
      <c r="E324" s="2"/>
      <c r="F324" s="2"/>
      <c r="G324" s="2"/>
      <c r="H324" s="2"/>
      <c r="I324" s="2"/>
      <c r="J324" s="2"/>
      <c r="K324" s="2"/>
      <c r="L324" s="2"/>
    </row>
    <row r="325" spans="4:12" x14ac:dyDescent="0.35">
      <c r="D325" s="2"/>
      <c r="E325" s="2"/>
      <c r="F325" s="2"/>
      <c r="G325" s="2"/>
      <c r="H325" s="2"/>
      <c r="I325" s="2"/>
      <c r="J325" s="2"/>
      <c r="K325" s="2"/>
      <c r="L325" s="2"/>
    </row>
    <row r="326" spans="4:12" x14ac:dyDescent="0.35">
      <c r="D326" s="2"/>
      <c r="E326" s="2"/>
      <c r="F326" s="2"/>
      <c r="G326" s="2"/>
      <c r="H326" s="2"/>
      <c r="I326" s="2"/>
      <c r="J326" s="2"/>
      <c r="K326" s="2"/>
      <c r="L326" s="2"/>
    </row>
    <row r="327" spans="4:12" x14ac:dyDescent="0.35">
      <c r="D327" s="2"/>
      <c r="E327" s="2"/>
      <c r="F327" s="2"/>
      <c r="G327" s="2"/>
      <c r="H327" s="2"/>
      <c r="I327" s="2"/>
      <c r="J327" s="2"/>
      <c r="K327" s="2"/>
      <c r="L327" s="2"/>
    </row>
    <row r="328" spans="4:12" x14ac:dyDescent="0.35">
      <c r="D328" s="2"/>
      <c r="E328" s="2"/>
      <c r="F328" s="2"/>
      <c r="G328" s="2"/>
      <c r="H328" s="2"/>
      <c r="I328" s="2"/>
      <c r="J328" s="2"/>
      <c r="K328" s="2"/>
      <c r="L328" s="2"/>
    </row>
    <row r="329" spans="4:12" x14ac:dyDescent="0.35">
      <c r="D329" s="2"/>
      <c r="E329" s="2"/>
      <c r="F329" s="2"/>
      <c r="G329" s="2"/>
      <c r="H329" s="2"/>
      <c r="I329" s="2"/>
      <c r="J329" s="2"/>
      <c r="K329" s="2"/>
      <c r="L329" s="2"/>
    </row>
    <row r="330" spans="4:12" x14ac:dyDescent="0.35">
      <c r="D330" s="2"/>
      <c r="E330" s="2"/>
      <c r="F330" s="2"/>
      <c r="G330" s="2"/>
      <c r="H330" s="2"/>
      <c r="I330" s="2"/>
      <c r="J330" s="2"/>
      <c r="K330" s="2"/>
      <c r="L330" s="2"/>
    </row>
    <row r="331" spans="4:12" x14ac:dyDescent="0.35">
      <c r="D331" s="2"/>
      <c r="E331" s="2"/>
      <c r="F331" s="2"/>
      <c r="G331" s="2"/>
      <c r="H331" s="2"/>
      <c r="I331" s="2"/>
      <c r="J331" s="2"/>
      <c r="K331" s="2"/>
      <c r="L331" s="2"/>
    </row>
    <row r="332" spans="4:12" x14ac:dyDescent="0.35">
      <c r="D332" s="2"/>
      <c r="E332" s="2"/>
      <c r="F332" s="2"/>
      <c r="G332" s="2"/>
      <c r="H332" s="2"/>
      <c r="I332" s="2"/>
      <c r="J332" s="2"/>
      <c r="K332" s="2"/>
      <c r="L332" s="2"/>
    </row>
    <row r="333" spans="4:12" x14ac:dyDescent="0.35">
      <c r="D333" s="2"/>
      <c r="E333" s="2"/>
      <c r="F333" s="2"/>
      <c r="G333" s="2"/>
      <c r="H333" s="2"/>
      <c r="I333" s="2"/>
      <c r="J333" s="2"/>
      <c r="K333" s="2"/>
      <c r="L333" s="2"/>
    </row>
    <row r="334" spans="4:12" x14ac:dyDescent="0.35">
      <c r="D334" s="2"/>
      <c r="E334" s="2"/>
      <c r="F334" s="2"/>
      <c r="G334" s="2"/>
      <c r="H334" s="2"/>
      <c r="I334" s="2"/>
      <c r="J334" s="2"/>
      <c r="K334" s="2"/>
      <c r="L334" s="2"/>
    </row>
    <row r="335" spans="4:12" x14ac:dyDescent="0.35">
      <c r="D335" s="2"/>
      <c r="E335" s="2"/>
      <c r="F335" s="2"/>
      <c r="G335" s="2"/>
      <c r="H335" s="2"/>
      <c r="I335" s="2"/>
      <c r="J335" s="2"/>
      <c r="K335" s="2"/>
      <c r="L335" s="2"/>
    </row>
    <row r="336" spans="4:12" x14ac:dyDescent="0.35">
      <c r="D336" s="2"/>
      <c r="E336" s="2"/>
      <c r="F336" s="2"/>
      <c r="G336" s="2"/>
      <c r="H336" s="2"/>
      <c r="I336" s="2"/>
      <c r="J336" s="2"/>
      <c r="K336" s="2"/>
      <c r="L336" s="2"/>
    </row>
    <row r="337" spans="4:12" x14ac:dyDescent="0.35">
      <c r="D337" s="2"/>
      <c r="E337" s="2"/>
      <c r="F337" s="2"/>
      <c r="G337" s="2"/>
      <c r="H337" s="2"/>
      <c r="I337" s="2"/>
      <c r="J337" s="2"/>
      <c r="K337" s="2"/>
      <c r="L337" s="2"/>
    </row>
    <row r="338" spans="4:12" x14ac:dyDescent="0.35">
      <c r="D338" s="2"/>
      <c r="E338" s="2"/>
      <c r="F338" s="2"/>
      <c r="G338" s="2"/>
      <c r="H338" s="2"/>
      <c r="I338" s="2"/>
      <c r="J338" s="2"/>
      <c r="K338" s="2"/>
      <c r="L338" s="2"/>
    </row>
    <row r="339" spans="4:12" x14ac:dyDescent="0.35">
      <c r="D339" s="2"/>
      <c r="E339" s="2"/>
      <c r="F339" s="2"/>
      <c r="G339" s="2"/>
      <c r="H339" s="2"/>
      <c r="I339" s="2"/>
      <c r="J339" s="2"/>
      <c r="K339" s="2"/>
      <c r="L339" s="2"/>
    </row>
    <row r="340" spans="4:12" x14ac:dyDescent="0.35">
      <c r="D340" s="2"/>
      <c r="E340" s="2"/>
      <c r="F340" s="2"/>
      <c r="G340" s="2"/>
      <c r="H340" s="2"/>
      <c r="I340" s="2"/>
      <c r="J340" s="2"/>
      <c r="K340" s="2"/>
      <c r="L340" s="2"/>
    </row>
    <row r="341" spans="4:12" x14ac:dyDescent="0.35">
      <c r="D341" s="2"/>
      <c r="E341" s="2"/>
      <c r="F341" s="2"/>
      <c r="G341" s="2"/>
      <c r="H341" s="2"/>
      <c r="I341" s="2"/>
      <c r="J341" s="2"/>
      <c r="K341" s="2"/>
      <c r="L341" s="2"/>
    </row>
    <row r="342" spans="4:12" x14ac:dyDescent="0.35">
      <c r="D342" s="2"/>
      <c r="E342" s="2"/>
      <c r="F342" s="2"/>
      <c r="G342" s="2"/>
      <c r="H342" s="2"/>
      <c r="I342" s="2"/>
      <c r="J342" s="2"/>
      <c r="K342" s="2"/>
      <c r="L342" s="2"/>
    </row>
    <row r="343" spans="4:12" x14ac:dyDescent="0.35">
      <c r="D343" s="2"/>
      <c r="E343" s="2"/>
      <c r="F343" s="2"/>
      <c r="G343" s="2"/>
      <c r="H343" s="2"/>
      <c r="I343" s="2"/>
      <c r="J343" s="2"/>
      <c r="K343" s="2"/>
      <c r="L343" s="2"/>
    </row>
    <row r="344" spans="4:12" x14ac:dyDescent="0.35">
      <c r="D344" s="2"/>
      <c r="E344" s="2"/>
      <c r="F344" s="2"/>
      <c r="G344" s="2"/>
      <c r="H344" s="2"/>
      <c r="I344" s="2"/>
      <c r="J344" s="2"/>
      <c r="K344" s="2"/>
      <c r="L344" s="2"/>
    </row>
    <row r="345" spans="4:12" x14ac:dyDescent="0.35">
      <c r="D345" s="2"/>
      <c r="E345" s="2"/>
      <c r="F345" s="2"/>
      <c r="G345" s="2"/>
      <c r="H345" s="2"/>
      <c r="I345" s="2"/>
      <c r="J345" s="2"/>
      <c r="K345" s="2"/>
      <c r="L345" s="2"/>
    </row>
    <row r="346" spans="4:12" x14ac:dyDescent="0.35">
      <c r="D346" s="2"/>
      <c r="E346" s="2"/>
      <c r="F346" s="2"/>
      <c r="G346" s="2"/>
      <c r="H346" s="2"/>
      <c r="I346" s="2"/>
      <c r="J346" s="2"/>
      <c r="K346" s="2"/>
      <c r="L346" s="2"/>
    </row>
    <row r="347" spans="4:12" x14ac:dyDescent="0.35">
      <c r="D347" s="2"/>
      <c r="E347" s="2"/>
      <c r="F347" s="2"/>
      <c r="G347" s="2"/>
      <c r="H347" s="2"/>
      <c r="I347" s="2"/>
      <c r="J347" s="2"/>
      <c r="K347" s="2"/>
      <c r="L347" s="2"/>
    </row>
    <row r="348" spans="4:12" x14ac:dyDescent="0.35">
      <c r="D348" s="2"/>
      <c r="E348" s="2"/>
      <c r="F348" s="2"/>
      <c r="G348" s="2"/>
      <c r="H348" s="2"/>
      <c r="I348" s="2"/>
      <c r="J348" s="2"/>
      <c r="K348" s="2"/>
      <c r="L348" s="2"/>
    </row>
    <row r="349" spans="4:12" x14ac:dyDescent="0.35">
      <c r="D349" s="2"/>
      <c r="E349" s="2"/>
      <c r="F349" s="2"/>
      <c r="G349" s="2"/>
      <c r="H349" s="2"/>
      <c r="I349" s="2"/>
      <c r="J349" s="2"/>
      <c r="K349" s="2"/>
      <c r="L349" s="2"/>
    </row>
    <row r="350" spans="4:12" x14ac:dyDescent="0.35">
      <c r="D350" s="2"/>
      <c r="E350" s="2"/>
      <c r="F350" s="2"/>
      <c r="G350" s="2"/>
      <c r="H350" s="2"/>
      <c r="I350" s="2"/>
      <c r="J350" s="2"/>
      <c r="K350" s="2"/>
      <c r="L350" s="2"/>
    </row>
    <row r="351" spans="4:12" x14ac:dyDescent="0.35">
      <c r="D351" s="2"/>
      <c r="E351" s="2"/>
      <c r="F351" s="2"/>
      <c r="G351" s="2"/>
      <c r="H351" s="2"/>
      <c r="I351" s="2"/>
      <c r="J351" s="2"/>
      <c r="K351" s="2"/>
      <c r="L351" s="2"/>
    </row>
    <row r="352" spans="4:12" x14ac:dyDescent="0.35">
      <c r="D352" s="2"/>
      <c r="E352" s="2"/>
      <c r="F352" s="2"/>
      <c r="G352" s="2"/>
      <c r="H352" s="2"/>
      <c r="I352" s="2"/>
      <c r="J352" s="2"/>
      <c r="K352" s="2"/>
      <c r="L352" s="2"/>
    </row>
    <row r="353" spans="4:12" x14ac:dyDescent="0.35">
      <c r="D353" s="2"/>
      <c r="E353" s="2"/>
      <c r="F353" s="2"/>
      <c r="G353" s="2"/>
      <c r="H353" s="2"/>
      <c r="I353" s="2"/>
      <c r="J353" s="2"/>
      <c r="K353" s="2"/>
      <c r="L353" s="2"/>
    </row>
    <row r="354" spans="4:12" x14ac:dyDescent="0.35">
      <c r="D354" s="2"/>
      <c r="E354" s="2"/>
      <c r="F354" s="2"/>
      <c r="G354" s="2"/>
      <c r="H354" s="2"/>
      <c r="I354" s="2"/>
      <c r="J354" s="2"/>
      <c r="K354" s="2"/>
      <c r="L354" s="2"/>
    </row>
    <row r="355" spans="4:12" x14ac:dyDescent="0.35">
      <c r="D355" s="2"/>
      <c r="E355" s="2"/>
      <c r="F355" s="2"/>
      <c r="G355" s="2"/>
      <c r="H355" s="2"/>
      <c r="I355" s="2"/>
      <c r="J355" s="2"/>
      <c r="K355" s="2"/>
      <c r="L355" s="2"/>
    </row>
    <row r="356" spans="4:12" x14ac:dyDescent="0.35">
      <c r="D356" s="2"/>
      <c r="E356" s="2"/>
      <c r="F356" s="2"/>
      <c r="G356" s="2"/>
      <c r="H356" s="2"/>
      <c r="I356" s="2"/>
      <c r="J356" s="2"/>
      <c r="K356" s="2"/>
      <c r="L356" s="2"/>
    </row>
    <row r="357" spans="4:12" x14ac:dyDescent="0.35">
      <c r="D357" s="2"/>
      <c r="E357" s="2"/>
      <c r="F357" s="2"/>
      <c r="G357" s="2"/>
      <c r="H357" s="2"/>
      <c r="I357" s="2"/>
      <c r="J357" s="2"/>
      <c r="K357" s="2"/>
      <c r="L357" s="2"/>
    </row>
    <row r="358" spans="4:12" x14ac:dyDescent="0.35">
      <c r="D358" s="2"/>
      <c r="E358" s="2"/>
      <c r="F358" s="2"/>
      <c r="G358" s="2"/>
      <c r="H358" s="2"/>
      <c r="I358" s="2"/>
      <c r="J358" s="2"/>
      <c r="K358" s="2"/>
      <c r="L358" s="2"/>
    </row>
    <row r="359" spans="4:12" x14ac:dyDescent="0.35">
      <c r="D359" s="2"/>
      <c r="E359" s="2"/>
      <c r="F359" s="2"/>
      <c r="G359" s="2"/>
      <c r="H359" s="2"/>
      <c r="I359" s="2"/>
      <c r="J359" s="2"/>
      <c r="K359" s="2"/>
      <c r="L359" s="2"/>
    </row>
    <row r="360" spans="4:12" x14ac:dyDescent="0.35">
      <c r="D360" s="2"/>
      <c r="E360" s="2"/>
      <c r="F360" s="2"/>
      <c r="G360" s="2"/>
      <c r="H360" s="2"/>
      <c r="I360" s="2"/>
      <c r="J360" s="2"/>
      <c r="K360" s="2"/>
      <c r="L360" s="2"/>
    </row>
    <row r="361" spans="4:12" x14ac:dyDescent="0.35">
      <c r="D361" s="2"/>
      <c r="E361" s="2"/>
      <c r="F361" s="2"/>
      <c r="G361" s="2"/>
      <c r="H361" s="2"/>
      <c r="I361" s="2"/>
      <c r="J361" s="2"/>
      <c r="K361" s="2"/>
      <c r="L361" s="2"/>
    </row>
    <row r="362" spans="4:12" x14ac:dyDescent="0.35">
      <c r="D362" s="2"/>
      <c r="E362" s="2"/>
      <c r="F362" s="2"/>
      <c r="G362" s="2"/>
      <c r="H362" s="2"/>
      <c r="I362" s="2"/>
      <c r="J362" s="2"/>
      <c r="K362" s="2"/>
      <c r="L362" s="2"/>
    </row>
    <row r="363" spans="4:12" x14ac:dyDescent="0.35">
      <c r="D363" s="2"/>
      <c r="E363" s="2"/>
      <c r="F363" s="2"/>
      <c r="G363" s="2"/>
      <c r="H363" s="2"/>
      <c r="I363" s="2"/>
      <c r="J363" s="2"/>
      <c r="K363" s="2"/>
      <c r="L363" s="2"/>
    </row>
    <row r="364" spans="4:12" x14ac:dyDescent="0.35">
      <c r="D364" s="2"/>
      <c r="E364" s="2"/>
      <c r="F364" s="2"/>
      <c r="G364" s="2"/>
      <c r="H364" s="2"/>
      <c r="I364" s="2"/>
      <c r="J364" s="2"/>
      <c r="K364" s="2"/>
      <c r="L364" s="2"/>
    </row>
    <row r="365" spans="4:12" x14ac:dyDescent="0.35">
      <c r="D365" s="2"/>
      <c r="E365" s="2"/>
      <c r="F365" s="2"/>
      <c r="G365" s="2"/>
      <c r="H365" s="2"/>
      <c r="I365" s="2"/>
      <c r="J365" s="2"/>
      <c r="K365" s="2"/>
      <c r="L365" s="2"/>
    </row>
    <row r="366" spans="4:12" x14ac:dyDescent="0.35">
      <c r="D366" s="2"/>
      <c r="E366" s="2"/>
      <c r="F366" s="2"/>
      <c r="G366" s="2"/>
      <c r="H366" s="2"/>
      <c r="I366" s="2"/>
      <c r="J366" s="2"/>
      <c r="K366" s="2"/>
      <c r="L366" s="2"/>
    </row>
    <row r="367" spans="4:12" x14ac:dyDescent="0.35">
      <c r="D367" s="2"/>
      <c r="E367" s="2"/>
      <c r="F367" s="2"/>
      <c r="G367" s="2"/>
      <c r="H367" s="2"/>
      <c r="I367" s="2"/>
      <c r="J367" s="2"/>
      <c r="K367" s="2"/>
      <c r="L367" s="2"/>
    </row>
    <row r="368" spans="4:12" x14ac:dyDescent="0.35">
      <c r="D368" s="2"/>
      <c r="E368" s="2"/>
      <c r="F368" s="2"/>
      <c r="G368" s="2"/>
      <c r="H368" s="2"/>
      <c r="I368" s="2"/>
      <c r="J368" s="2"/>
      <c r="K368" s="2"/>
      <c r="L368" s="2"/>
    </row>
    <row r="369" spans="4:12" x14ac:dyDescent="0.35">
      <c r="D369" s="2"/>
      <c r="E369" s="2"/>
      <c r="F369" s="2"/>
      <c r="G369" s="2"/>
      <c r="H369" s="2"/>
      <c r="I369" s="2"/>
      <c r="J369" s="2"/>
      <c r="K369" s="2"/>
      <c r="L369" s="2"/>
    </row>
    <row r="370" spans="4:12" x14ac:dyDescent="0.35">
      <c r="D370" s="2"/>
      <c r="E370" s="2"/>
      <c r="F370" s="2"/>
      <c r="G370" s="2"/>
      <c r="H370" s="2"/>
      <c r="I370" s="2"/>
      <c r="J370" s="2"/>
      <c r="K370" s="2"/>
      <c r="L370" s="2"/>
    </row>
    <row r="371" spans="4:12" x14ac:dyDescent="0.35">
      <c r="D371" s="2"/>
      <c r="E371" s="2"/>
      <c r="F371" s="2"/>
      <c r="G371" s="2"/>
      <c r="H371" s="2"/>
      <c r="I371" s="2"/>
      <c r="J371" s="2"/>
      <c r="K371" s="2"/>
      <c r="L371" s="2"/>
    </row>
    <row r="372" spans="4:12" x14ac:dyDescent="0.35">
      <c r="D372" s="2"/>
      <c r="E372" s="2"/>
      <c r="F372" s="2"/>
      <c r="G372" s="2"/>
      <c r="H372" s="2"/>
      <c r="I372" s="2"/>
      <c r="J372" s="2"/>
      <c r="K372" s="2"/>
      <c r="L372" s="2"/>
    </row>
    <row r="373" spans="4:12" x14ac:dyDescent="0.35">
      <c r="D373" s="2"/>
      <c r="E373" s="2"/>
      <c r="F373" s="2"/>
      <c r="G373" s="2"/>
      <c r="H373" s="2"/>
      <c r="I373" s="2"/>
      <c r="J373" s="2"/>
      <c r="K373" s="2"/>
      <c r="L373" s="2"/>
    </row>
    <row r="374" spans="4:12" x14ac:dyDescent="0.35">
      <c r="D374" s="2"/>
      <c r="E374" s="2"/>
      <c r="F374" s="2"/>
      <c r="G374" s="2"/>
      <c r="H374" s="2"/>
      <c r="I374" s="2"/>
      <c r="J374" s="2"/>
      <c r="K374" s="2"/>
      <c r="L374" s="2"/>
    </row>
    <row r="375" spans="4:12" x14ac:dyDescent="0.35">
      <c r="D375" s="2"/>
      <c r="E375" s="2"/>
      <c r="F375" s="2"/>
      <c r="G375" s="2"/>
      <c r="H375" s="2"/>
      <c r="I375" s="2"/>
      <c r="J375" s="2"/>
      <c r="K375" s="2"/>
      <c r="L375" s="2"/>
    </row>
    <row r="376" spans="4:12" x14ac:dyDescent="0.35">
      <c r="D376" s="2"/>
      <c r="E376" s="2"/>
      <c r="F376" s="2"/>
      <c r="G376" s="2"/>
      <c r="H376" s="2"/>
      <c r="I376" s="2"/>
      <c r="J376" s="2"/>
      <c r="K376" s="2"/>
      <c r="L376" s="2"/>
    </row>
    <row r="377" spans="4:12" x14ac:dyDescent="0.35">
      <c r="D377" s="2"/>
      <c r="E377" s="2"/>
      <c r="F377" s="2"/>
      <c r="G377" s="2"/>
      <c r="H377" s="2"/>
      <c r="I377" s="2"/>
      <c r="J377" s="2"/>
      <c r="K377" s="2"/>
      <c r="L377" s="2"/>
    </row>
    <row r="378" spans="4:12" x14ac:dyDescent="0.35">
      <c r="D378" s="2"/>
      <c r="E378" s="2"/>
      <c r="F378" s="2"/>
      <c r="G378" s="2"/>
      <c r="H378" s="2"/>
      <c r="I378" s="2"/>
      <c r="J378" s="2"/>
      <c r="K378" s="2"/>
      <c r="L378" s="2"/>
    </row>
    <row r="379" spans="4:12" x14ac:dyDescent="0.35">
      <c r="D379" s="2"/>
      <c r="E379" s="2"/>
      <c r="F379" s="2"/>
      <c r="G379" s="2"/>
      <c r="H379" s="2"/>
      <c r="I379" s="2"/>
      <c r="J379" s="2"/>
      <c r="K379" s="2"/>
      <c r="L379" s="2"/>
    </row>
    <row r="380" spans="4:12" x14ac:dyDescent="0.35">
      <c r="D380" s="2"/>
      <c r="E380" s="2"/>
      <c r="F380" s="2"/>
      <c r="G380" s="2"/>
      <c r="H380" s="2"/>
      <c r="I380" s="2"/>
      <c r="J380" s="2"/>
      <c r="K380" s="2"/>
      <c r="L380" s="2"/>
    </row>
    <row r="381" spans="4:12" x14ac:dyDescent="0.35">
      <c r="D381" s="2"/>
      <c r="E381" s="2"/>
      <c r="F381" s="2"/>
      <c r="G381" s="2"/>
      <c r="H381" s="2"/>
      <c r="I381" s="2"/>
      <c r="J381" s="2"/>
      <c r="K381" s="2"/>
      <c r="L381" s="2"/>
    </row>
    <row r="382" spans="4:12" x14ac:dyDescent="0.35">
      <c r="D382" s="2"/>
      <c r="E382" s="2"/>
      <c r="F382" s="2"/>
      <c r="G382" s="2"/>
      <c r="H382" s="2"/>
      <c r="I382" s="2"/>
      <c r="J382" s="2"/>
      <c r="K382" s="2"/>
      <c r="L382" s="2"/>
    </row>
    <row r="383" spans="4:12" x14ac:dyDescent="0.35">
      <c r="D383" s="2"/>
      <c r="E383" s="2"/>
      <c r="F383" s="2"/>
      <c r="G383" s="2"/>
      <c r="H383" s="2"/>
      <c r="I383" s="2"/>
      <c r="J383" s="2"/>
      <c r="K383" s="2"/>
      <c r="L383" s="2"/>
    </row>
    <row r="384" spans="4:12" x14ac:dyDescent="0.35">
      <c r="D384" s="2"/>
      <c r="E384" s="2"/>
      <c r="F384" s="2"/>
      <c r="G384" s="2"/>
      <c r="H384" s="2"/>
      <c r="I384" s="2"/>
      <c r="J384" s="2"/>
      <c r="K384" s="2"/>
      <c r="L384" s="2"/>
    </row>
    <row r="385" spans="4:12" x14ac:dyDescent="0.35">
      <c r="D385" s="2"/>
      <c r="E385" s="2"/>
      <c r="F385" s="2"/>
      <c r="G385" s="2"/>
      <c r="H385" s="2"/>
      <c r="I385" s="2"/>
      <c r="J385" s="2"/>
      <c r="K385" s="2"/>
      <c r="L385" s="2"/>
    </row>
    <row r="386" spans="4:12" x14ac:dyDescent="0.35">
      <c r="D386" s="2"/>
      <c r="E386" s="2"/>
      <c r="F386" s="2"/>
      <c r="G386" s="2"/>
      <c r="H386" s="2"/>
      <c r="I386" s="2"/>
      <c r="J386" s="2"/>
      <c r="K386" s="2"/>
      <c r="L386" s="2"/>
    </row>
    <row r="387" spans="4:12" x14ac:dyDescent="0.35">
      <c r="D387" s="2"/>
      <c r="E387" s="2"/>
      <c r="F387" s="2"/>
      <c r="G387" s="2"/>
      <c r="H387" s="2"/>
      <c r="I387" s="2"/>
      <c r="J387" s="2"/>
      <c r="K387" s="2"/>
      <c r="L387" s="2"/>
    </row>
    <row r="388" spans="4:12" x14ac:dyDescent="0.35">
      <c r="D388" s="2"/>
      <c r="E388" s="2"/>
      <c r="F388" s="2"/>
      <c r="G388" s="2"/>
      <c r="H388" s="2"/>
      <c r="I388" s="2"/>
      <c r="J388" s="2"/>
      <c r="K388" s="2"/>
      <c r="L388" s="2"/>
    </row>
    <row r="389" spans="4:12" x14ac:dyDescent="0.35">
      <c r="D389" s="2"/>
      <c r="E389" s="2"/>
      <c r="F389" s="2"/>
      <c r="G389" s="2"/>
      <c r="H389" s="2"/>
      <c r="I389" s="2"/>
      <c r="J389" s="2"/>
      <c r="K389" s="2"/>
      <c r="L389" s="2"/>
    </row>
    <row r="390" spans="4:12" x14ac:dyDescent="0.35">
      <c r="D390" s="2"/>
      <c r="E390" s="2"/>
      <c r="F390" s="2"/>
      <c r="G390" s="2"/>
      <c r="H390" s="2"/>
      <c r="I390" s="2"/>
      <c r="J390" s="2"/>
      <c r="K390" s="2"/>
      <c r="L390" s="2"/>
    </row>
    <row r="391" spans="4:12" x14ac:dyDescent="0.35">
      <c r="D391" s="2"/>
      <c r="E391" s="2"/>
      <c r="F391" s="2"/>
      <c r="G391" s="2"/>
      <c r="H391" s="2"/>
      <c r="I391" s="2"/>
      <c r="J391" s="2"/>
      <c r="K391" s="2"/>
      <c r="L391" s="2"/>
    </row>
    <row r="392" spans="4:12" x14ac:dyDescent="0.35">
      <c r="D392" s="2"/>
      <c r="E392" s="2"/>
      <c r="F392" s="2"/>
      <c r="G392" s="2"/>
      <c r="H392" s="2"/>
      <c r="I392" s="2"/>
      <c r="J392" s="2"/>
      <c r="K392" s="2"/>
      <c r="L392" s="2"/>
    </row>
    <row r="393" spans="4:12" x14ac:dyDescent="0.35">
      <c r="D393" s="2"/>
      <c r="E393" s="2"/>
      <c r="F393" s="2"/>
      <c r="G393" s="2"/>
      <c r="H393" s="2"/>
      <c r="I393" s="2"/>
      <c r="J393" s="2"/>
      <c r="K393" s="2"/>
      <c r="L393" s="2"/>
    </row>
    <row r="394" spans="4:12" x14ac:dyDescent="0.35">
      <c r="D394" s="2"/>
      <c r="E394" s="2"/>
      <c r="F394" s="2"/>
      <c r="G394" s="2"/>
      <c r="H394" s="2"/>
      <c r="I394" s="2"/>
      <c r="J394" s="2"/>
      <c r="K394" s="2"/>
      <c r="L394" s="2"/>
    </row>
    <row r="395" spans="4:12" x14ac:dyDescent="0.35">
      <c r="D395" s="2"/>
      <c r="E395" s="2"/>
      <c r="F395" s="2"/>
      <c r="G395" s="2"/>
      <c r="H395" s="2"/>
      <c r="I395" s="2"/>
      <c r="J395" s="2"/>
      <c r="K395" s="2"/>
      <c r="L395" s="2"/>
    </row>
    <row r="396" spans="4:12" x14ac:dyDescent="0.35">
      <c r="D396" s="2"/>
      <c r="E396" s="2"/>
      <c r="F396" s="2"/>
      <c r="G396" s="2"/>
      <c r="H396" s="2"/>
      <c r="I396" s="2"/>
      <c r="J396" s="2"/>
      <c r="K396" s="2"/>
      <c r="L396" s="2"/>
    </row>
    <row r="397" spans="4:12" x14ac:dyDescent="0.35">
      <c r="D397" s="2"/>
      <c r="E397" s="2"/>
      <c r="F397" s="2"/>
      <c r="G397" s="2"/>
      <c r="H397" s="2"/>
      <c r="I397" s="2"/>
      <c r="J397" s="2"/>
      <c r="K397" s="2"/>
      <c r="L397" s="2"/>
    </row>
    <row r="398" spans="4:12" x14ac:dyDescent="0.35">
      <c r="D398" s="2"/>
      <c r="E398" s="2"/>
      <c r="F398" s="2"/>
      <c r="G398" s="2"/>
      <c r="H398" s="2"/>
      <c r="I398" s="2"/>
      <c r="J398" s="2"/>
      <c r="K398" s="2"/>
      <c r="L398" s="2"/>
    </row>
    <row r="399" spans="4:12" x14ac:dyDescent="0.35">
      <c r="D399" s="2"/>
      <c r="E399" s="2"/>
      <c r="F399" s="2"/>
      <c r="G399" s="2"/>
      <c r="H399" s="2"/>
      <c r="I399" s="2"/>
      <c r="J399" s="2"/>
      <c r="K399" s="2"/>
      <c r="L399" s="2"/>
    </row>
    <row r="400" spans="4:12" x14ac:dyDescent="0.35">
      <c r="D400" s="2"/>
      <c r="E400" s="2"/>
      <c r="F400" s="2"/>
      <c r="G400" s="2"/>
      <c r="H400" s="2"/>
      <c r="I400" s="2"/>
      <c r="J400" s="2"/>
      <c r="K400" s="2"/>
      <c r="L400" s="2"/>
    </row>
    <row r="401" spans="4:12" x14ac:dyDescent="0.35">
      <c r="D401" s="2"/>
      <c r="E401" s="2"/>
      <c r="F401" s="2"/>
      <c r="G401" s="2"/>
      <c r="H401" s="2"/>
      <c r="I401" s="2"/>
      <c r="J401" s="2"/>
      <c r="K401" s="2"/>
      <c r="L401" s="2"/>
    </row>
    <row r="402" spans="4:12" x14ac:dyDescent="0.35">
      <c r="D402" s="2"/>
      <c r="E402" s="2"/>
      <c r="F402" s="2"/>
      <c r="G402" s="2"/>
      <c r="H402" s="2"/>
      <c r="I402" s="2"/>
      <c r="J402" s="2"/>
      <c r="K402" s="2"/>
      <c r="L402" s="2"/>
    </row>
    <row r="403" spans="4:12" x14ac:dyDescent="0.35">
      <c r="D403" s="2"/>
      <c r="E403" s="2"/>
      <c r="F403" s="2"/>
      <c r="G403" s="2"/>
      <c r="H403" s="2"/>
      <c r="I403" s="2"/>
      <c r="J403" s="2"/>
      <c r="K403" s="2"/>
      <c r="L403" s="2"/>
    </row>
    <row r="404" spans="4:12" x14ac:dyDescent="0.35">
      <c r="D404" s="2"/>
      <c r="E404" s="2"/>
      <c r="F404" s="2"/>
      <c r="G404" s="2"/>
      <c r="H404" s="2"/>
      <c r="I404" s="2"/>
      <c r="J404" s="2"/>
      <c r="K404" s="2"/>
      <c r="L404" s="2"/>
    </row>
    <row r="405" spans="4:12" x14ac:dyDescent="0.35">
      <c r="D405" s="2"/>
      <c r="E405" s="2"/>
      <c r="F405" s="2"/>
      <c r="G405" s="2"/>
      <c r="H405" s="2"/>
      <c r="I405" s="2"/>
      <c r="J405" s="2"/>
      <c r="K405" s="2"/>
      <c r="L405" s="2"/>
    </row>
    <row r="406" spans="4:12" x14ac:dyDescent="0.35">
      <c r="D406" s="2"/>
      <c r="E406" s="2"/>
      <c r="F406" s="2"/>
      <c r="G406" s="2"/>
      <c r="H406" s="2"/>
      <c r="I406" s="2"/>
      <c r="J406" s="2"/>
      <c r="K406" s="2"/>
      <c r="L406" s="2"/>
    </row>
    <row r="407" spans="4:12" x14ac:dyDescent="0.35">
      <c r="D407" s="2"/>
      <c r="E407" s="2"/>
      <c r="F407" s="2"/>
      <c r="G407" s="2"/>
      <c r="H407" s="2"/>
      <c r="I407" s="2"/>
      <c r="J407" s="2"/>
      <c r="K407" s="2"/>
      <c r="L407" s="2"/>
    </row>
    <row r="408" spans="4:12" x14ac:dyDescent="0.35">
      <c r="D408" s="2"/>
      <c r="E408" s="2"/>
      <c r="F408" s="2"/>
      <c r="G408" s="2"/>
      <c r="H408" s="2"/>
      <c r="I408" s="2"/>
      <c r="J408" s="2"/>
      <c r="K408" s="2"/>
      <c r="L408" s="2"/>
    </row>
    <row r="409" spans="4:12" x14ac:dyDescent="0.35">
      <c r="D409" s="2"/>
      <c r="E409" s="2"/>
      <c r="F409" s="2"/>
      <c r="G409" s="2"/>
      <c r="H409" s="2"/>
      <c r="I409" s="2"/>
      <c r="J409" s="2"/>
      <c r="K409" s="2"/>
      <c r="L409" s="2"/>
    </row>
    <row r="410" spans="4:12" x14ac:dyDescent="0.35">
      <c r="D410" s="2"/>
      <c r="E410" s="2"/>
      <c r="F410" s="2"/>
      <c r="G410" s="2"/>
      <c r="H410" s="2"/>
      <c r="I410" s="2"/>
      <c r="J410" s="2"/>
      <c r="K410" s="2"/>
      <c r="L410" s="2"/>
    </row>
    <row r="411" spans="4:12" x14ac:dyDescent="0.35">
      <c r="D411" s="2"/>
      <c r="E411" s="2"/>
      <c r="F411" s="2"/>
      <c r="G411" s="2"/>
      <c r="H411" s="2"/>
      <c r="I411" s="2"/>
      <c r="J411" s="2"/>
      <c r="K411" s="2"/>
      <c r="L411" s="2"/>
    </row>
    <row r="412" spans="4:12" x14ac:dyDescent="0.35">
      <c r="D412" s="2"/>
      <c r="E412" s="2"/>
      <c r="F412" s="2"/>
      <c r="G412" s="2"/>
      <c r="H412" s="2"/>
      <c r="I412" s="2"/>
      <c r="J412" s="2"/>
      <c r="K412" s="2"/>
      <c r="L412" s="2"/>
    </row>
    <row r="413" spans="4:12" x14ac:dyDescent="0.35">
      <c r="D413" s="2"/>
      <c r="E413" s="2"/>
      <c r="F413" s="2"/>
      <c r="G413" s="2"/>
      <c r="H413" s="2"/>
      <c r="I413" s="2"/>
      <c r="J413" s="2"/>
      <c r="K413" s="2"/>
      <c r="L413" s="2"/>
    </row>
    <row r="414" spans="4:12" x14ac:dyDescent="0.35">
      <c r="D414" s="2"/>
      <c r="E414" s="2"/>
      <c r="F414" s="2"/>
      <c r="G414" s="2"/>
      <c r="H414" s="2"/>
      <c r="I414" s="2"/>
      <c r="J414" s="2"/>
      <c r="K414" s="2"/>
      <c r="L414" s="2"/>
    </row>
    <row r="415" spans="4:12" x14ac:dyDescent="0.35">
      <c r="D415" s="2"/>
      <c r="E415" s="2"/>
      <c r="F415" s="2"/>
      <c r="G415" s="2"/>
      <c r="H415" s="2"/>
      <c r="I415" s="2"/>
      <c r="J415" s="2"/>
      <c r="K415" s="2"/>
      <c r="L415" s="2"/>
    </row>
    <row r="416" spans="4:12" x14ac:dyDescent="0.35">
      <c r="D416" s="2"/>
      <c r="E416" s="2"/>
      <c r="F416" s="2"/>
      <c r="G416" s="2"/>
      <c r="H416" s="2"/>
      <c r="I416" s="2"/>
      <c r="J416" s="2"/>
      <c r="K416" s="2"/>
      <c r="L416" s="2"/>
    </row>
    <row r="417" spans="4:12" x14ac:dyDescent="0.35">
      <c r="D417" s="2"/>
      <c r="E417" s="2"/>
      <c r="F417" s="2"/>
      <c r="G417" s="2"/>
      <c r="H417" s="2"/>
      <c r="I417" s="2"/>
      <c r="J417" s="2"/>
      <c r="K417" s="2"/>
      <c r="L417" s="2"/>
    </row>
    <row r="418" spans="4:12" x14ac:dyDescent="0.35">
      <c r="D418" s="2"/>
      <c r="E418" s="2"/>
      <c r="F418" s="2"/>
      <c r="G418" s="2"/>
      <c r="H418" s="2"/>
      <c r="I418" s="2"/>
      <c r="J418" s="2"/>
      <c r="K418" s="2"/>
      <c r="L418" s="2"/>
    </row>
    <row r="419" spans="4:12" x14ac:dyDescent="0.35">
      <c r="D419" s="2"/>
      <c r="E419" s="2"/>
      <c r="F419" s="2"/>
      <c r="G419" s="2"/>
      <c r="H419" s="2"/>
      <c r="I419" s="2"/>
      <c r="J419" s="2"/>
      <c r="K419" s="2"/>
      <c r="L419" s="2"/>
    </row>
    <row r="420" spans="4:12" x14ac:dyDescent="0.35">
      <c r="D420" s="2"/>
      <c r="E420" s="2"/>
      <c r="F420" s="2"/>
      <c r="G420" s="2"/>
      <c r="H420" s="2"/>
      <c r="I420" s="2"/>
      <c r="J420" s="2"/>
      <c r="K420" s="2"/>
      <c r="L420" s="2"/>
    </row>
    <row r="421" spans="4:12" x14ac:dyDescent="0.35">
      <c r="D421" s="2"/>
      <c r="E421" s="2"/>
      <c r="F421" s="2"/>
      <c r="G421" s="2"/>
      <c r="H421" s="2"/>
      <c r="I421" s="2"/>
      <c r="J421" s="2"/>
      <c r="K421" s="2"/>
      <c r="L421" s="2"/>
    </row>
    <row r="422" spans="4:12" x14ac:dyDescent="0.35">
      <c r="D422" s="2"/>
      <c r="E422" s="2"/>
      <c r="F422" s="2"/>
      <c r="G422" s="2"/>
      <c r="H422" s="2"/>
      <c r="I422" s="2"/>
      <c r="J422" s="2"/>
      <c r="K422" s="2"/>
      <c r="L422" s="2"/>
    </row>
    <row r="423" spans="4:12" x14ac:dyDescent="0.35">
      <c r="D423" s="2"/>
      <c r="E423" s="2"/>
      <c r="F423" s="2"/>
      <c r="G423" s="2"/>
      <c r="H423" s="2"/>
      <c r="I423" s="2"/>
      <c r="J423" s="2"/>
      <c r="K423" s="2"/>
      <c r="L423" s="2"/>
    </row>
    <row r="424" spans="4:12" x14ac:dyDescent="0.35">
      <c r="D424" s="2"/>
      <c r="E424" s="2"/>
      <c r="F424" s="2"/>
      <c r="G424" s="2"/>
      <c r="H424" s="2"/>
      <c r="I424" s="2"/>
      <c r="J424" s="2"/>
      <c r="K424" s="2"/>
      <c r="L424" s="2"/>
    </row>
    <row r="425" spans="4:12" x14ac:dyDescent="0.35">
      <c r="D425" s="2"/>
      <c r="E425" s="2"/>
      <c r="F425" s="2"/>
      <c r="G425" s="2"/>
      <c r="H425" s="2"/>
      <c r="I425" s="2"/>
      <c r="J425" s="2"/>
      <c r="K425" s="2"/>
      <c r="L425" s="2"/>
    </row>
    <row r="426" spans="4:12" x14ac:dyDescent="0.35">
      <c r="D426" s="2"/>
      <c r="E426" s="2"/>
      <c r="F426" s="2"/>
      <c r="G426" s="2"/>
      <c r="H426" s="2"/>
      <c r="I426" s="2"/>
      <c r="J426" s="2"/>
      <c r="K426" s="2"/>
      <c r="L426" s="2"/>
    </row>
    <row r="427" spans="4:12" x14ac:dyDescent="0.35">
      <c r="D427" s="2"/>
      <c r="E427" s="2"/>
      <c r="F427" s="2"/>
      <c r="G427" s="2"/>
      <c r="H427" s="2"/>
      <c r="I427" s="2"/>
      <c r="J427" s="2"/>
      <c r="K427" s="2"/>
      <c r="L427" s="2"/>
    </row>
    <row r="428" spans="4:12" x14ac:dyDescent="0.35">
      <c r="D428" s="2"/>
      <c r="E428" s="2"/>
      <c r="F428" s="2"/>
      <c r="G428" s="2"/>
      <c r="H428" s="2"/>
      <c r="I428" s="2"/>
      <c r="J428" s="2"/>
      <c r="K428" s="2"/>
      <c r="L428" s="2"/>
    </row>
    <row r="429" spans="4:12" x14ac:dyDescent="0.35">
      <c r="D429" s="2"/>
      <c r="E429" s="2"/>
      <c r="F429" s="2"/>
      <c r="G429" s="2"/>
      <c r="H429" s="2"/>
      <c r="I429" s="2"/>
      <c r="J429" s="2"/>
      <c r="K429" s="2"/>
      <c r="L429" s="2"/>
    </row>
    <row r="430" spans="4:12" x14ac:dyDescent="0.35">
      <c r="D430" s="2"/>
      <c r="E430" s="2"/>
      <c r="F430" s="2"/>
      <c r="G430" s="2"/>
      <c r="H430" s="2"/>
      <c r="I430" s="2"/>
      <c r="J430" s="2"/>
      <c r="K430" s="2"/>
      <c r="L430" s="2"/>
    </row>
    <row r="431" spans="4:12" x14ac:dyDescent="0.35">
      <c r="D431" s="2"/>
      <c r="E431" s="2"/>
      <c r="F431" s="2"/>
      <c r="G431" s="2"/>
      <c r="H431" s="2"/>
      <c r="I431" s="2"/>
      <c r="J431" s="2"/>
      <c r="K431" s="2"/>
      <c r="L431" s="2"/>
    </row>
    <row r="432" spans="4:12" x14ac:dyDescent="0.35">
      <c r="D432" s="2"/>
      <c r="E432" s="2"/>
      <c r="F432" s="2"/>
      <c r="G432" s="2"/>
      <c r="H432" s="2"/>
      <c r="I432" s="2"/>
      <c r="J432" s="2"/>
      <c r="K432" s="2"/>
      <c r="L432" s="2"/>
    </row>
    <row r="433" spans="4:12" x14ac:dyDescent="0.35">
      <c r="D433" s="2"/>
      <c r="E433" s="2"/>
      <c r="F433" s="2"/>
      <c r="G433" s="2"/>
      <c r="H433" s="2"/>
      <c r="I433" s="2"/>
      <c r="J433" s="2"/>
      <c r="K433" s="2"/>
      <c r="L433" s="2"/>
    </row>
    <row r="434" spans="4:12" x14ac:dyDescent="0.35">
      <c r="D434" s="2"/>
      <c r="E434" s="2"/>
      <c r="F434" s="2"/>
      <c r="G434" s="2"/>
      <c r="H434" s="2"/>
      <c r="I434" s="2"/>
      <c r="J434" s="2"/>
      <c r="K434" s="2"/>
      <c r="L434" s="2"/>
    </row>
    <row r="435" spans="4:12" x14ac:dyDescent="0.35">
      <c r="D435" s="2"/>
      <c r="E435" s="2"/>
      <c r="F435" s="2"/>
      <c r="G435" s="2"/>
      <c r="H435" s="2"/>
      <c r="I435" s="2"/>
      <c r="J435" s="2"/>
      <c r="K435" s="2"/>
      <c r="L435" s="2"/>
    </row>
    <row r="436" spans="4:12" x14ac:dyDescent="0.35">
      <c r="D436" s="2"/>
      <c r="E436" s="2"/>
      <c r="F436" s="2"/>
      <c r="G436" s="2"/>
      <c r="H436" s="2"/>
      <c r="I436" s="2"/>
      <c r="J436" s="2"/>
      <c r="K436" s="2"/>
      <c r="L436" s="2"/>
    </row>
    <row r="437" spans="4:12" x14ac:dyDescent="0.35">
      <c r="D437" s="2"/>
      <c r="E437" s="2"/>
      <c r="F437" s="2"/>
      <c r="G437" s="2"/>
      <c r="H437" s="2"/>
      <c r="I437" s="2"/>
      <c r="J437" s="2"/>
      <c r="K437" s="2"/>
      <c r="L437" s="2"/>
    </row>
    <row r="438" spans="4:12" x14ac:dyDescent="0.35">
      <c r="D438" s="2"/>
      <c r="E438" s="2"/>
      <c r="F438" s="2"/>
      <c r="G438" s="2"/>
      <c r="H438" s="2"/>
      <c r="I438" s="2"/>
      <c r="J438" s="2"/>
      <c r="K438" s="2"/>
      <c r="L438" s="2"/>
    </row>
    <row r="439" spans="4:12" x14ac:dyDescent="0.35">
      <c r="D439" s="2"/>
      <c r="E439" s="2"/>
      <c r="F439" s="2"/>
      <c r="G439" s="2"/>
      <c r="H439" s="2"/>
      <c r="I439" s="2"/>
      <c r="J439" s="2"/>
      <c r="K439" s="2"/>
      <c r="L439" s="2"/>
    </row>
    <row r="440" spans="4:12" x14ac:dyDescent="0.35">
      <c r="D440" s="2"/>
      <c r="E440" s="2"/>
      <c r="F440" s="2"/>
      <c r="G440" s="2"/>
      <c r="H440" s="2"/>
      <c r="I440" s="2"/>
      <c r="J440" s="2"/>
      <c r="K440" s="2"/>
      <c r="L440" s="2"/>
    </row>
    <row r="441" spans="4:12" x14ac:dyDescent="0.35">
      <c r="D441" s="2"/>
      <c r="E441" s="2"/>
      <c r="F441" s="2"/>
      <c r="G441" s="2"/>
      <c r="H441" s="2"/>
      <c r="I441" s="2"/>
      <c r="J441" s="2"/>
      <c r="K441" s="2"/>
      <c r="L441" s="2"/>
    </row>
    <row r="442" spans="4:12" x14ac:dyDescent="0.35">
      <c r="D442" s="2"/>
      <c r="E442" s="2"/>
      <c r="F442" s="2"/>
      <c r="G442" s="2"/>
      <c r="H442" s="2"/>
      <c r="I442" s="2"/>
      <c r="J442" s="2"/>
      <c r="K442" s="2"/>
      <c r="L442" s="2"/>
    </row>
    <row r="443" spans="4:12" x14ac:dyDescent="0.35">
      <c r="D443" s="2"/>
      <c r="E443" s="2"/>
      <c r="F443" s="2"/>
      <c r="G443" s="2"/>
      <c r="H443" s="2"/>
      <c r="I443" s="2"/>
      <c r="J443" s="2"/>
      <c r="K443" s="2"/>
      <c r="L443" s="2"/>
    </row>
    <row r="444" spans="4:12" x14ac:dyDescent="0.35">
      <c r="D444" s="2"/>
      <c r="E444" s="2"/>
      <c r="F444" s="2"/>
      <c r="G444" s="2"/>
      <c r="H444" s="2"/>
      <c r="I444" s="2"/>
      <c r="J444" s="2"/>
      <c r="K444" s="2"/>
      <c r="L444" s="2"/>
    </row>
    <row r="445" spans="4:12" x14ac:dyDescent="0.35">
      <c r="D445" s="2"/>
      <c r="E445" s="2"/>
      <c r="F445" s="2"/>
      <c r="G445" s="2"/>
      <c r="H445" s="2"/>
      <c r="I445" s="2"/>
      <c r="J445" s="2"/>
      <c r="K445" s="2"/>
      <c r="L445" s="2"/>
    </row>
    <row r="446" spans="4:12" x14ac:dyDescent="0.35">
      <c r="D446" s="2"/>
      <c r="E446" s="2"/>
      <c r="F446" s="2"/>
      <c r="G446" s="2"/>
      <c r="H446" s="2"/>
      <c r="I446" s="2"/>
      <c r="J446" s="2"/>
      <c r="K446" s="2"/>
      <c r="L446" s="2"/>
    </row>
    <row r="447" spans="4:12" x14ac:dyDescent="0.35">
      <c r="D447" s="2"/>
      <c r="E447" s="2"/>
      <c r="F447" s="2"/>
      <c r="G447" s="2"/>
      <c r="H447" s="2"/>
      <c r="I447" s="2"/>
      <c r="J447" s="2"/>
      <c r="K447" s="2"/>
      <c r="L447" s="2"/>
    </row>
    <row r="448" spans="4:12" x14ac:dyDescent="0.35">
      <c r="D448" s="2"/>
      <c r="E448" s="2"/>
      <c r="F448" s="2"/>
      <c r="G448" s="2"/>
      <c r="H448" s="2"/>
      <c r="I448" s="2"/>
      <c r="J448" s="2"/>
      <c r="K448" s="2"/>
      <c r="L448" s="2"/>
    </row>
    <row r="449" spans="4:12" x14ac:dyDescent="0.35">
      <c r="D449" s="2"/>
      <c r="E449" s="2"/>
      <c r="F449" s="2"/>
      <c r="G449" s="2"/>
      <c r="H449" s="2"/>
      <c r="I449" s="2"/>
      <c r="J449" s="2"/>
      <c r="K449" s="2"/>
      <c r="L449" s="2"/>
    </row>
    <row r="450" spans="4:12" x14ac:dyDescent="0.35">
      <c r="D450" s="2"/>
      <c r="E450" s="2"/>
      <c r="F450" s="2"/>
      <c r="G450" s="2"/>
      <c r="H450" s="2"/>
      <c r="I450" s="2"/>
      <c r="J450" s="2"/>
      <c r="K450" s="2"/>
      <c r="L450" s="2"/>
    </row>
    <row r="451" spans="4:12" x14ac:dyDescent="0.35">
      <c r="D451" s="2"/>
      <c r="E451" s="2"/>
      <c r="F451" s="2"/>
      <c r="G451" s="2"/>
      <c r="H451" s="2"/>
      <c r="I451" s="2"/>
      <c r="J451" s="2"/>
      <c r="K451" s="2"/>
      <c r="L451" s="2"/>
    </row>
    <row r="452" spans="4:12" x14ac:dyDescent="0.35">
      <c r="D452" s="2"/>
      <c r="E452" s="2"/>
      <c r="F452" s="2"/>
      <c r="G452" s="2"/>
      <c r="H452" s="2"/>
      <c r="I452" s="2"/>
      <c r="J452" s="2"/>
      <c r="K452" s="2"/>
      <c r="L452" s="2"/>
    </row>
    <row r="453" spans="4:12" x14ac:dyDescent="0.35">
      <c r="D453" s="2"/>
      <c r="E453" s="2"/>
      <c r="F453" s="2"/>
      <c r="G453" s="2"/>
      <c r="H453" s="2"/>
      <c r="I453" s="2"/>
      <c r="J453" s="2"/>
      <c r="K453" s="2"/>
      <c r="L453" s="2"/>
    </row>
    <row r="454" spans="4:12" x14ac:dyDescent="0.35">
      <c r="D454" s="2"/>
      <c r="E454" s="2"/>
      <c r="F454" s="2"/>
      <c r="G454" s="2"/>
      <c r="H454" s="2"/>
      <c r="I454" s="2"/>
      <c r="J454" s="2"/>
      <c r="K454" s="2"/>
      <c r="L454" s="2"/>
    </row>
    <row r="455" spans="4:12" x14ac:dyDescent="0.35">
      <c r="D455" s="2"/>
      <c r="E455" s="2"/>
      <c r="F455" s="2"/>
      <c r="G455" s="2"/>
      <c r="H455" s="2"/>
      <c r="I455" s="2"/>
      <c r="J455" s="2"/>
      <c r="K455" s="2"/>
      <c r="L455" s="2"/>
    </row>
    <row r="456" spans="4:12" x14ac:dyDescent="0.35">
      <c r="D456" s="2"/>
      <c r="E456" s="2"/>
      <c r="F456" s="2"/>
      <c r="G456" s="2"/>
      <c r="H456" s="2"/>
      <c r="I456" s="2"/>
      <c r="J456" s="2"/>
      <c r="K456" s="2"/>
      <c r="L456" s="2"/>
    </row>
    <row r="457" spans="4:12" x14ac:dyDescent="0.35">
      <c r="D457" s="2"/>
      <c r="E457" s="2"/>
      <c r="F457" s="2"/>
      <c r="G457" s="2"/>
      <c r="H457" s="2"/>
      <c r="I457" s="2"/>
      <c r="J457" s="2"/>
      <c r="K457" s="2"/>
      <c r="L457" s="2"/>
    </row>
    <row r="458" spans="4:12" x14ac:dyDescent="0.35">
      <c r="D458" s="2"/>
      <c r="E458" s="2"/>
      <c r="F458" s="2"/>
      <c r="G458" s="2"/>
      <c r="H458" s="2"/>
      <c r="I458" s="2"/>
      <c r="J458" s="2"/>
      <c r="K458" s="2"/>
      <c r="L458" s="2"/>
    </row>
    <row r="459" spans="4:12" x14ac:dyDescent="0.35">
      <c r="D459" s="2"/>
      <c r="E459" s="2"/>
      <c r="F459" s="2"/>
      <c r="G459" s="2"/>
      <c r="H459" s="2"/>
      <c r="I459" s="2"/>
      <c r="J459" s="2"/>
      <c r="K459" s="2"/>
      <c r="L459" s="2"/>
    </row>
    <row r="460" spans="4:12" x14ac:dyDescent="0.35">
      <c r="D460" s="2"/>
      <c r="E460" s="2"/>
      <c r="F460" s="2"/>
      <c r="G460" s="2"/>
      <c r="H460" s="2"/>
      <c r="I460" s="2"/>
      <c r="J460" s="2"/>
      <c r="K460" s="2"/>
      <c r="L460" s="2"/>
    </row>
    <row r="461" spans="4:12" x14ac:dyDescent="0.35">
      <c r="D461" s="2"/>
      <c r="E461" s="2"/>
      <c r="F461" s="2"/>
      <c r="G461" s="2"/>
      <c r="H461" s="2"/>
      <c r="I461" s="2"/>
      <c r="J461" s="2"/>
      <c r="K461" s="2"/>
      <c r="L461" s="2"/>
    </row>
    <row r="462" spans="4:12" x14ac:dyDescent="0.35">
      <c r="D462" s="2"/>
      <c r="E462" s="2"/>
      <c r="F462" s="2"/>
      <c r="G462" s="2"/>
      <c r="H462" s="2"/>
      <c r="I462" s="2"/>
      <c r="J462" s="2"/>
      <c r="K462" s="2"/>
      <c r="L462" s="2"/>
    </row>
    <row r="463" spans="4:12" x14ac:dyDescent="0.35">
      <c r="D463" s="2"/>
      <c r="E463" s="2"/>
      <c r="F463" s="2"/>
      <c r="G463" s="2"/>
      <c r="H463" s="2"/>
      <c r="I463" s="2"/>
      <c r="J463" s="2"/>
      <c r="K463" s="2"/>
      <c r="L463" s="2"/>
    </row>
    <row r="464" spans="4:12" x14ac:dyDescent="0.35">
      <c r="D464" s="2"/>
      <c r="E464" s="2"/>
      <c r="F464" s="2"/>
      <c r="G464" s="2"/>
      <c r="H464" s="2"/>
      <c r="I464" s="2"/>
      <c r="J464" s="2"/>
      <c r="K464" s="2"/>
      <c r="L464" s="2"/>
    </row>
    <row r="465" spans="4:12" x14ac:dyDescent="0.35">
      <c r="D465" s="2"/>
      <c r="E465" s="2"/>
      <c r="F465" s="2"/>
      <c r="G465" s="2"/>
      <c r="H465" s="2"/>
      <c r="I465" s="2"/>
      <c r="J465" s="2"/>
      <c r="K465" s="2"/>
      <c r="L465" s="2"/>
    </row>
    <row r="466" spans="4:12" x14ac:dyDescent="0.35">
      <c r="D466" s="2"/>
      <c r="E466" s="2"/>
      <c r="F466" s="2"/>
      <c r="G466" s="2"/>
      <c r="H466" s="2"/>
      <c r="I466" s="2"/>
      <c r="J466" s="2"/>
      <c r="K466" s="2"/>
      <c r="L466" s="2"/>
    </row>
    <row r="467" spans="4:12" x14ac:dyDescent="0.35">
      <c r="D467" s="2"/>
      <c r="E467" s="2"/>
      <c r="F467" s="2"/>
      <c r="G467" s="2"/>
      <c r="H467" s="2"/>
      <c r="I467" s="2"/>
      <c r="J467" s="2"/>
      <c r="K467" s="2"/>
      <c r="L467" s="2"/>
    </row>
    <row r="468" spans="4:12" x14ac:dyDescent="0.35">
      <c r="D468" s="2"/>
      <c r="E468" s="2"/>
      <c r="F468" s="2"/>
      <c r="G468" s="2"/>
      <c r="H468" s="2"/>
      <c r="I468" s="2"/>
      <c r="J468" s="2"/>
      <c r="K468" s="2"/>
      <c r="L468" s="2"/>
    </row>
    <row r="469" spans="4:12" x14ac:dyDescent="0.35">
      <c r="D469" s="2"/>
      <c r="E469" s="2"/>
      <c r="F469" s="2"/>
      <c r="G469" s="2"/>
      <c r="H469" s="2"/>
      <c r="I469" s="2"/>
      <c r="J469" s="2"/>
      <c r="K469" s="2"/>
      <c r="L469" s="2"/>
    </row>
    <row r="470" spans="4:12" x14ac:dyDescent="0.35">
      <c r="D470" s="2"/>
      <c r="E470" s="2"/>
      <c r="F470" s="2"/>
      <c r="G470" s="2"/>
      <c r="H470" s="2"/>
      <c r="I470" s="2"/>
      <c r="J470" s="2"/>
      <c r="K470" s="2"/>
      <c r="L470" s="2"/>
    </row>
    <row r="471" spans="4:12" x14ac:dyDescent="0.35">
      <c r="D471" s="2"/>
      <c r="E471" s="2"/>
      <c r="F471" s="2"/>
      <c r="G471" s="2"/>
      <c r="H471" s="2"/>
      <c r="I471" s="2"/>
      <c r="J471" s="2"/>
      <c r="K471" s="2"/>
      <c r="L471" s="2"/>
    </row>
    <row r="472" spans="4:12" x14ac:dyDescent="0.35">
      <c r="D472" s="2"/>
      <c r="E472" s="2"/>
      <c r="F472" s="2"/>
      <c r="G472" s="2"/>
      <c r="H472" s="2"/>
      <c r="I472" s="2"/>
      <c r="J472" s="2"/>
      <c r="K472" s="2"/>
      <c r="L472" s="2"/>
    </row>
    <row r="473" spans="4:12" x14ac:dyDescent="0.35">
      <c r="D473" s="2"/>
      <c r="E473" s="2"/>
      <c r="F473" s="2"/>
      <c r="G473" s="2"/>
      <c r="H473" s="2"/>
      <c r="I473" s="2"/>
      <c r="J473" s="2"/>
      <c r="K473" s="2"/>
      <c r="L473" s="2"/>
    </row>
    <row r="474" spans="4:12" x14ac:dyDescent="0.35">
      <c r="D474" s="2"/>
      <c r="E474" s="2"/>
      <c r="F474" s="2"/>
      <c r="G474" s="2"/>
      <c r="H474" s="2"/>
      <c r="I474" s="2"/>
      <c r="J474" s="2"/>
      <c r="K474" s="2"/>
      <c r="L474" s="2"/>
    </row>
    <row r="475" spans="4:12" x14ac:dyDescent="0.35">
      <c r="D475" s="2"/>
      <c r="E475" s="2"/>
      <c r="F475" s="2"/>
      <c r="G475" s="2"/>
      <c r="H475" s="2"/>
      <c r="I475" s="2"/>
      <c r="J475" s="2"/>
      <c r="K475" s="2"/>
      <c r="L475" s="2"/>
    </row>
    <row r="476" spans="4:12" x14ac:dyDescent="0.35">
      <c r="D476" s="2"/>
      <c r="E476" s="2"/>
      <c r="F476" s="2"/>
      <c r="G476" s="2"/>
      <c r="H476" s="2"/>
      <c r="I476" s="2"/>
      <c r="J476" s="2"/>
      <c r="K476" s="2"/>
      <c r="L476" s="2"/>
    </row>
    <row r="477" spans="4:12" x14ac:dyDescent="0.35">
      <c r="D477" s="2"/>
      <c r="E477" s="2"/>
      <c r="F477" s="2"/>
      <c r="G477" s="2"/>
      <c r="H477" s="2"/>
      <c r="I477" s="2"/>
      <c r="J477" s="2"/>
      <c r="K477" s="2"/>
      <c r="L477" s="2"/>
    </row>
    <row r="478" spans="4:12" x14ac:dyDescent="0.35">
      <c r="D478" s="2"/>
      <c r="E478" s="2"/>
      <c r="F478" s="2"/>
      <c r="G478" s="2"/>
      <c r="H478" s="2"/>
      <c r="I478" s="2"/>
      <c r="J478" s="2"/>
      <c r="K478" s="2"/>
      <c r="L478" s="2"/>
    </row>
    <row r="479" spans="4:12" x14ac:dyDescent="0.35">
      <c r="D479" s="2"/>
      <c r="E479" s="2"/>
      <c r="F479" s="2"/>
      <c r="G479" s="2"/>
      <c r="H479" s="2"/>
      <c r="I479" s="2"/>
      <c r="J479" s="2"/>
      <c r="K479" s="2"/>
      <c r="L479" s="2"/>
    </row>
    <row r="480" spans="4:12" x14ac:dyDescent="0.35">
      <c r="D480" s="2"/>
      <c r="E480" s="2"/>
      <c r="F480" s="2"/>
      <c r="G480" s="2"/>
      <c r="H480" s="2"/>
      <c r="I480" s="2"/>
      <c r="J480" s="2"/>
      <c r="K480" s="2"/>
      <c r="L480" s="2"/>
    </row>
    <row r="481" spans="4:12" x14ac:dyDescent="0.35">
      <c r="D481" s="2"/>
      <c r="E481" s="2"/>
      <c r="F481" s="2"/>
      <c r="G481" s="2"/>
      <c r="H481" s="2"/>
      <c r="I481" s="2"/>
      <c r="J481" s="2"/>
      <c r="K481" s="2"/>
      <c r="L481" s="2"/>
    </row>
    <row r="482" spans="4:12" x14ac:dyDescent="0.35">
      <c r="D482" s="2"/>
      <c r="E482" s="2"/>
      <c r="F482" s="2"/>
      <c r="G482" s="2"/>
      <c r="H482" s="2"/>
      <c r="I482" s="2"/>
      <c r="J482" s="2"/>
      <c r="K482" s="2"/>
      <c r="L482" s="2"/>
    </row>
    <row r="483" spans="4:12" x14ac:dyDescent="0.35">
      <c r="D483" s="2"/>
      <c r="E483" s="2"/>
      <c r="F483" s="2"/>
      <c r="G483" s="2"/>
      <c r="H483" s="2"/>
      <c r="I483" s="2"/>
      <c r="J483" s="2"/>
      <c r="K483" s="2"/>
      <c r="L483" s="2"/>
    </row>
    <row r="484" spans="4:12" x14ac:dyDescent="0.35">
      <c r="D484" s="2"/>
      <c r="E484" s="2"/>
      <c r="F484" s="2"/>
      <c r="G484" s="2"/>
      <c r="H484" s="2"/>
      <c r="I484" s="2"/>
      <c r="J484" s="2"/>
      <c r="K484" s="2"/>
      <c r="L484" s="2"/>
    </row>
    <row r="485" spans="4:12" x14ac:dyDescent="0.35">
      <c r="D485" s="2"/>
      <c r="E485" s="2"/>
      <c r="F485" s="2"/>
      <c r="G485" s="2"/>
      <c r="H485" s="2"/>
      <c r="I485" s="2"/>
      <c r="J485" s="2"/>
      <c r="K485" s="2"/>
      <c r="L485" s="2"/>
    </row>
    <row r="486" spans="4:12" x14ac:dyDescent="0.35">
      <c r="D486" s="2"/>
      <c r="E486" s="2"/>
      <c r="F486" s="2"/>
      <c r="G486" s="2"/>
      <c r="H486" s="2"/>
      <c r="I486" s="2"/>
      <c r="J486" s="2"/>
      <c r="K486" s="2"/>
      <c r="L486" s="2"/>
    </row>
    <row r="487" spans="4:12" x14ac:dyDescent="0.35">
      <c r="D487" s="2"/>
      <c r="E487" s="2"/>
      <c r="F487" s="2"/>
      <c r="G487" s="2"/>
      <c r="H487" s="2"/>
      <c r="I487" s="2"/>
      <c r="J487" s="2"/>
      <c r="K487" s="2"/>
      <c r="L487" s="2"/>
    </row>
    <row r="488" spans="4:12" x14ac:dyDescent="0.35">
      <c r="D488" s="2"/>
      <c r="E488" s="2"/>
      <c r="F488" s="2"/>
      <c r="G488" s="2"/>
      <c r="H488" s="2"/>
      <c r="I488" s="2"/>
      <c r="J488" s="2"/>
      <c r="K488" s="2"/>
      <c r="L488" s="2"/>
    </row>
    <row r="489" spans="4:12" x14ac:dyDescent="0.35">
      <c r="D489" s="2"/>
      <c r="E489" s="2"/>
      <c r="F489" s="2"/>
      <c r="G489" s="2"/>
      <c r="H489" s="2"/>
      <c r="I489" s="2"/>
      <c r="J489" s="2"/>
      <c r="K489" s="2"/>
      <c r="L489" s="2"/>
    </row>
    <row r="490" spans="4:12" x14ac:dyDescent="0.35">
      <c r="D490" s="2"/>
      <c r="E490" s="2"/>
      <c r="F490" s="2"/>
      <c r="G490" s="2"/>
      <c r="H490" s="2"/>
      <c r="I490" s="2"/>
      <c r="J490" s="2"/>
      <c r="K490" s="2"/>
      <c r="L490" s="2"/>
    </row>
    <row r="491" spans="4:12" x14ac:dyDescent="0.35">
      <c r="D491" s="2"/>
      <c r="E491" s="2"/>
      <c r="F491" s="2"/>
      <c r="G491" s="2"/>
      <c r="H491" s="2"/>
      <c r="I491" s="2"/>
      <c r="J491" s="2"/>
      <c r="K491" s="2"/>
      <c r="L491" s="2"/>
    </row>
    <row r="492" spans="4:12" x14ac:dyDescent="0.35">
      <c r="D492" s="2"/>
      <c r="E492" s="2"/>
      <c r="F492" s="2"/>
      <c r="G492" s="2"/>
      <c r="H492" s="2"/>
      <c r="I492" s="2"/>
      <c r="J492" s="2"/>
      <c r="K492" s="2"/>
      <c r="L492" s="2"/>
    </row>
    <row r="493" spans="4:12" x14ac:dyDescent="0.35">
      <c r="D493" s="2"/>
      <c r="E493" s="2"/>
      <c r="F493" s="2"/>
      <c r="G493" s="2"/>
      <c r="H493" s="2"/>
      <c r="I493" s="2"/>
      <c r="J493" s="2"/>
      <c r="K493" s="2"/>
      <c r="L493" s="2"/>
    </row>
    <row r="494" spans="4:12" x14ac:dyDescent="0.35">
      <c r="D494" s="2"/>
      <c r="E494" s="2"/>
      <c r="F494" s="2"/>
      <c r="G494" s="2"/>
      <c r="H494" s="2"/>
      <c r="I494" s="2"/>
      <c r="J494" s="2"/>
      <c r="K494" s="2"/>
      <c r="L494" s="2"/>
    </row>
    <row r="495" spans="4:12" x14ac:dyDescent="0.35">
      <c r="D495" s="2"/>
      <c r="E495" s="2"/>
      <c r="F495" s="2"/>
      <c r="G495" s="2"/>
      <c r="H495" s="2"/>
      <c r="I495" s="2"/>
      <c r="J495" s="2"/>
      <c r="K495" s="2"/>
      <c r="L495" s="2"/>
    </row>
    <row r="496" spans="4:12" x14ac:dyDescent="0.35">
      <c r="D496" s="2"/>
      <c r="E496" s="2"/>
      <c r="F496" s="2"/>
      <c r="G496" s="2"/>
      <c r="H496" s="2"/>
      <c r="I496" s="2"/>
      <c r="J496" s="2"/>
      <c r="K496" s="2"/>
      <c r="L496" s="2"/>
    </row>
    <row r="497" spans="4:12" x14ac:dyDescent="0.35">
      <c r="D497" s="2"/>
      <c r="E497" s="2"/>
      <c r="F497" s="2"/>
      <c r="G497" s="2"/>
      <c r="H497" s="2"/>
      <c r="I497" s="2"/>
      <c r="J497" s="2"/>
      <c r="K497" s="2"/>
      <c r="L497" s="2"/>
    </row>
    <row r="498" spans="4:12" x14ac:dyDescent="0.35">
      <c r="D498" s="2"/>
      <c r="E498" s="2"/>
      <c r="F498" s="2"/>
      <c r="G498" s="2"/>
      <c r="H498" s="2"/>
      <c r="I498" s="2"/>
      <c r="J498" s="2"/>
      <c r="K498" s="2"/>
      <c r="L498" s="2"/>
    </row>
    <row r="499" spans="4:12" x14ac:dyDescent="0.35">
      <c r="D499" s="2"/>
      <c r="E499" s="2"/>
      <c r="F499" s="2"/>
      <c r="G499" s="2"/>
      <c r="H499" s="2"/>
      <c r="I499" s="2"/>
      <c r="J499" s="2"/>
      <c r="K499" s="2"/>
      <c r="L499" s="2"/>
    </row>
    <row r="500" spans="4:12" x14ac:dyDescent="0.35">
      <c r="D500" s="2"/>
      <c r="E500" s="2"/>
      <c r="F500" s="2"/>
      <c r="G500" s="2"/>
      <c r="H500" s="2"/>
      <c r="I500" s="2"/>
      <c r="J500" s="2"/>
      <c r="K500" s="2"/>
      <c r="L500" s="2"/>
    </row>
    <row r="501" spans="4:12" x14ac:dyDescent="0.35">
      <c r="D501" s="2"/>
      <c r="E501" s="2"/>
      <c r="F501" s="2"/>
      <c r="G501" s="2"/>
      <c r="H501" s="2"/>
      <c r="I501" s="2"/>
      <c r="J501" s="2"/>
      <c r="K501" s="2"/>
      <c r="L501" s="2"/>
    </row>
    <row r="502" spans="4:12" x14ac:dyDescent="0.35">
      <c r="D502" s="2"/>
      <c r="E502" s="2"/>
      <c r="F502" s="2"/>
      <c r="G502" s="2"/>
      <c r="H502" s="2"/>
      <c r="I502" s="2"/>
      <c r="J502" s="2"/>
      <c r="K502" s="2"/>
      <c r="L502" s="2"/>
    </row>
    <row r="503" spans="4:12" x14ac:dyDescent="0.35">
      <c r="D503" s="2"/>
      <c r="E503" s="2"/>
      <c r="F503" s="2"/>
      <c r="G503" s="2"/>
      <c r="H503" s="2"/>
      <c r="I503" s="2"/>
      <c r="J503" s="2"/>
      <c r="K503" s="2"/>
      <c r="L503" s="2"/>
    </row>
    <row r="504" spans="4:12" x14ac:dyDescent="0.35">
      <c r="D504" s="2"/>
      <c r="E504" s="2"/>
      <c r="F504" s="2"/>
      <c r="G504" s="2"/>
      <c r="H504" s="2"/>
      <c r="I504" s="2"/>
      <c r="J504" s="2"/>
      <c r="K504" s="2"/>
      <c r="L504" s="2"/>
    </row>
    <row r="505" spans="4:12" x14ac:dyDescent="0.35">
      <c r="D505" s="2"/>
      <c r="E505" s="2"/>
      <c r="F505" s="2"/>
      <c r="G505" s="2"/>
      <c r="H505" s="2"/>
      <c r="I505" s="2"/>
      <c r="J505" s="2"/>
      <c r="K505" s="2"/>
      <c r="L505" s="2"/>
    </row>
    <row r="506" spans="4:12" x14ac:dyDescent="0.35">
      <c r="D506" s="2"/>
      <c r="E506" s="2"/>
      <c r="F506" s="2"/>
      <c r="G506" s="2"/>
      <c r="H506" s="2"/>
      <c r="I506" s="2"/>
      <c r="J506" s="2"/>
      <c r="K506" s="2"/>
      <c r="L506" s="2"/>
    </row>
    <row r="507" spans="4:12" x14ac:dyDescent="0.35">
      <c r="D507" s="2"/>
      <c r="E507" s="2"/>
      <c r="F507" s="2"/>
      <c r="G507" s="2"/>
      <c r="H507" s="2"/>
      <c r="I507" s="2"/>
      <c r="J507" s="2"/>
      <c r="K507" s="2"/>
      <c r="L507" s="2"/>
    </row>
    <row r="508" spans="4:12" x14ac:dyDescent="0.35">
      <c r="D508" s="2"/>
      <c r="E508" s="2"/>
      <c r="F508" s="2"/>
      <c r="G508" s="2"/>
      <c r="H508" s="2"/>
      <c r="I508" s="2"/>
      <c r="J508" s="2"/>
      <c r="K508" s="2"/>
      <c r="L508" s="2"/>
    </row>
    <row r="509" spans="4:12" x14ac:dyDescent="0.35">
      <c r="D509" s="2"/>
      <c r="E509" s="2"/>
      <c r="F509" s="2"/>
      <c r="G509" s="2"/>
      <c r="H509" s="2"/>
      <c r="I509" s="2"/>
      <c r="J509" s="2"/>
      <c r="K509" s="2"/>
      <c r="L509" s="2"/>
    </row>
    <row r="510" spans="4:12" x14ac:dyDescent="0.35">
      <c r="D510" s="2"/>
      <c r="E510" s="2"/>
      <c r="F510" s="2"/>
      <c r="G510" s="2"/>
      <c r="H510" s="2"/>
      <c r="I510" s="2"/>
      <c r="J510" s="2"/>
      <c r="K510" s="2"/>
      <c r="L510" s="2"/>
    </row>
    <row r="511" spans="4:12" x14ac:dyDescent="0.35">
      <c r="D511" s="2"/>
      <c r="E511" s="2"/>
      <c r="F511" s="2"/>
      <c r="G511" s="2"/>
      <c r="H511" s="2"/>
      <c r="I511" s="2"/>
      <c r="J511" s="2"/>
      <c r="K511" s="2"/>
      <c r="L511" s="2"/>
    </row>
    <row r="512" spans="4:12" x14ac:dyDescent="0.35">
      <c r="D512" s="2"/>
      <c r="E512" s="2"/>
      <c r="F512" s="2"/>
      <c r="G512" s="2"/>
      <c r="H512" s="2"/>
      <c r="I512" s="2"/>
      <c r="J512" s="2"/>
      <c r="K512" s="2"/>
      <c r="L512" s="2"/>
    </row>
    <row r="513" spans="4:12" x14ac:dyDescent="0.35">
      <c r="D513" s="2"/>
      <c r="E513" s="2"/>
      <c r="F513" s="2"/>
      <c r="G513" s="2"/>
      <c r="H513" s="2"/>
      <c r="I513" s="2"/>
      <c r="J513" s="2"/>
      <c r="K513" s="2"/>
      <c r="L513" s="2"/>
    </row>
    <row r="514" spans="4:12" x14ac:dyDescent="0.35">
      <c r="D514" s="2"/>
      <c r="E514" s="2"/>
      <c r="F514" s="2"/>
      <c r="G514" s="2"/>
      <c r="H514" s="2"/>
      <c r="I514" s="2"/>
      <c r="J514" s="2"/>
      <c r="K514" s="2"/>
      <c r="L514" s="2"/>
    </row>
    <row r="515" spans="4:12" x14ac:dyDescent="0.35">
      <c r="D515" s="2"/>
      <c r="E515" s="2"/>
      <c r="F515" s="2"/>
      <c r="G515" s="2"/>
      <c r="H515" s="2"/>
      <c r="I515" s="2"/>
      <c r="J515" s="2"/>
      <c r="K515" s="2"/>
      <c r="L515" s="2"/>
    </row>
    <row r="516" spans="4:12" x14ac:dyDescent="0.35">
      <c r="D516" s="2"/>
      <c r="E516" s="2"/>
      <c r="F516" s="2"/>
      <c r="G516" s="2"/>
      <c r="H516" s="2"/>
      <c r="I516" s="2"/>
      <c r="J516" s="2"/>
      <c r="K516" s="2"/>
      <c r="L516" s="2"/>
    </row>
    <row r="517" spans="4:12" x14ac:dyDescent="0.35">
      <c r="D517" s="2"/>
      <c r="E517" s="2"/>
      <c r="F517" s="2"/>
      <c r="G517" s="2"/>
      <c r="H517" s="2"/>
      <c r="I517" s="2"/>
      <c r="J517" s="2"/>
      <c r="K517" s="2"/>
      <c r="L517" s="2"/>
    </row>
    <row r="518" spans="4:12" x14ac:dyDescent="0.35">
      <c r="D518" s="2"/>
      <c r="E518" s="2"/>
      <c r="F518" s="2"/>
      <c r="G518" s="2"/>
      <c r="H518" s="2"/>
      <c r="I518" s="2"/>
      <c r="J518" s="2"/>
      <c r="K518" s="2"/>
      <c r="L518" s="2"/>
    </row>
    <row r="519" spans="4:12" x14ac:dyDescent="0.35">
      <c r="D519" s="2"/>
      <c r="E519" s="2"/>
      <c r="F519" s="2"/>
      <c r="G519" s="2"/>
      <c r="H519" s="2"/>
      <c r="I519" s="2"/>
      <c r="J519" s="2"/>
      <c r="K519" s="2"/>
      <c r="L519" s="2"/>
    </row>
    <row r="520" spans="4:12" x14ac:dyDescent="0.35">
      <c r="D520" s="2"/>
      <c r="E520" s="2"/>
      <c r="F520" s="2"/>
      <c r="G520" s="2"/>
      <c r="H520" s="2"/>
      <c r="I520" s="2"/>
      <c r="J520" s="2"/>
      <c r="K520" s="2"/>
      <c r="L520" s="2"/>
    </row>
    <row r="521" spans="4:12" x14ac:dyDescent="0.35">
      <c r="D521" s="2"/>
      <c r="E521" s="2"/>
      <c r="F521" s="2"/>
      <c r="G521" s="2"/>
      <c r="H521" s="2"/>
      <c r="I521" s="2"/>
      <c r="J521" s="2"/>
      <c r="K521" s="2"/>
      <c r="L521" s="2"/>
    </row>
    <row r="522" spans="4:12" x14ac:dyDescent="0.35">
      <c r="D522" s="2"/>
      <c r="E522" s="2"/>
      <c r="F522" s="2"/>
      <c r="G522" s="2"/>
      <c r="H522" s="2"/>
      <c r="I522" s="2"/>
      <c r="J522" s="2"/>
      <c r="K522" s="2"/>
      <c r="L522" s="2"/>
    </row>
    <row r="523" spans="4:12" x14ac:dyDescent="0.35">
      <c r="D523" s="2"/>
      <c r="E523" s="2"/>
      <c r="F523" s="2"/>
      <c r="G523" s="2"/>
      <c r="H523" s="2"/>
      <c r="I523" s="2"/>
      <c r="J523" s="2"/>
      <c r="K523" s="2"/>
      <c r="L523" s="2"/>
    </row>
    <row r="524" spans="4:12" x14ac:dyDescent="0.35">
      <c r="D524" s="2"/>
      <c r="E524" s="2"/>
      <c r="F524" s="2"/>
      <c r="G524" s="2"/>
      <c r="H524" s="2"/>
      <c r="I524" s="2"/>
      <c r="J524" s="2"/>
      <c r="K524" s="2"/>
      <c r="L524" s="2"/>
    </row>
    <row r="525" spans="4:12" x14ac:dyDescent="0.35">
      <c r="D525" s="2"/>
      <c r="E525" s="2"/>
      <c r="F525" s="2"/>
      <c r="G525" s="2"/>
      <c r="H525" s="2"/>
      <c r="I525" s="2"/>
      <c r="J525" s="2"/>
      <c r="K525" s="2"/>
      <c r="L525" s="2"/>
    </row>
    <row r="526" spans="4:12" x14ac:dyDescent="0.35">
      <c r="D526" s="2"/>
      <c r="E526" s="2"/>
      <c r="F526" s="2"/>
      <c r="G526" s="2"/>
      <c r="H526" s="2"/>
      <c r="I526" s="2"/>
      <c r="J526" s="2"/>
      <c r="K526" s="2"/>
      <c r="L526" s="2"/>
    </row>
    <row r="527" spans="4:12" x14ac:dyDescent="0.35">
      <c r="D527" s="2"/>
      <c r="E527" s="2"/>
      <c r="F527" s="2"/>
      <c r="G527" s="2"/>
      <c r="H527" s="2"/>
      <c r="I527" s="2"/>
      <c r="J527" s="2"/>
      <c r="K527" s="2"/>
      <c r="L527" s="2"/>
    </row>
    <row r="528" spans="4:12" x14ac:dyDescent="0.35">
      <c r="D528" s="2"/>
      <c r="E528" s="2"/>
      <c r="F528" s="2"/>
      <c r="G528" s="2"/>
      <c r="H528" s="2"/>
      <c r="I528" s="2"/>
      <c r="J528" s="2"/>
      <c r="K528" s="2"/>
      <c r="L528" s="2"/>
    </row>
    <row r="529" spans="4:12" x14ac:dyDescent="0.35">
      <c r="D529" s="2"/>
      <c r="E529" s="2"/>
      <c r="F529" s="2"/>
      <c r="G529" s="2"/>
      <c r="H529" s="2"/>
      <c r="I529" s="2"/>
      <c r="J529" s="2"/>
      <c r="K529" s="2"/>
      <c r="L529" s="2"/>
    </row>
    <row r="530" spans="4:12" x14ac:dyDescent="0.35">
      <c r="D530" s="2"/>
      <c r="E530" s="2"/>
      <c r="F530" s="2"/>
      <c r="G530" s="2"/>
      <c r="H530" s="2"/>
      <c r="I530" s="2"/>
      <c r="J530" s="2"/>
      <c r="K530" s="2"/>
      <c r="L530" s="2"/>
    </row>
    <row r="531" spans="4:12" x14ac:dyDescent="0.35">
      <c r="D531" s="2"/>
      <c r="E531" s="2"/>
      <c r="F531" s="2"/>
      <c r="G531" s="2"/>
      <c r="H531" s="2"/>
      <c r="I531" s="2"/>
      <c r="J531" s="2"/>
      <c r="K531" s="2"/>
      <c r="L531" s="2"/>
    </row>
    <row r="532" spans="4:12" x14ac:dyDescent="0.35">
      <c r="D532" s="2"/>
      <c r="E532" s="2"/>
      <c r="F532" s="2"/>
      <c r="G532" s="2"/>
      <c r="H532" s="2"/>
      <c r="I532" s="2"/>
      <c r="J532" s="2"/>
      <c r="K532" s="2"/>
      <c r="L532" s="2"/>
    </row>
    <row r="533" spans="4:12" x14ac:dyDescent="0.35">
      <c r="D533" s="2"/>
      <c r="E533" s="2"/>
      <c r="F533" s="2"/>
      <c r="G533" s="2"/>
      <c r="H533" s="2"/>
      <c r="I533" s="2"/>
      <c r="J533" s="2"/>
      <c r="K533" s="2"/>
      <c r="L533" s="2"/>
    </row>
    <row r="534" spans="4:12" x14ac:dyDescent="0.35">
      <c r="D534" s="2"/>
      <c r="E534" s="2"/>
      <c r="F534" s="2"/>
      <c r="G534" s="2"/>
      <c r="H534" s="2"/>
      <c r="I534" s="2"/>
      <c r="J534" s="2"/>
      <c r="K534" s="2"/>
      <c r="L534" s="2"/>
    </row>
    <row r="535" spans="4:12" x14ac:dyDescent="0.35">
      <c r="D535" s="2"/>
      <c r="E535" s="2"/>
      <c r="F535" s="2"/>
      <c r="G535" s="2"/>
      <c r="H535" s="2"/>
      <c r="I535" s="2"/>
      <c r="J535" s="2"/>
      <c r="K535" s="2"/>
      <c r="L535" s="2"/>
    </row>
    <row r="536" spans="4:12" x14ac:dyDescent="0.35">
      <c r="D536" s="2"/>
      <c r="E536" s="2"/>
      <c r="F536" s="2"/>
      <c r="G536" s="2"/>
      <c r="H536" s="2"/>
      <c r="I536" s="2"/>
      <c r="J536" s="2"/>
      <c r="K536" s="2"/>
      <c r="L536" s="2"/>
    </row>
    <row r="537" spans="4:12" x14ac:dyDescent="0.35">
      <c r="D537" s="2"/>
      <c r="E537" s="2"/>
      <c r="F537" s="2"/>
      <c r="G537" s="2"/>
      <c r="H537" s="2"/>
      <c r="I537" s="2"/>
      <c r="J537" s="2"/>
      <c r="K537" s="2"/>
      <c r="L537" s="2"/>
    </row>
    <row r="538" spans="4:12" x14ac:dyDescent="0.35">
      <c r="D538" s="2"/>
      <c r="E538" s="2"/>
      <c r="F538" s="2"/>
      <c r="G538" s="2"/>
      <c r="H538" s="2"/>
      <c r="I538" s="2"/>
      <c r="J538" s="2"/>
      <c r="K538" s="2"/>
      <c r="L538" s="2"/>
    </row>
    <row r="539" spans="4:12" x14ac:dyDescent="0.35">
      <c r="D539" s="2"/>
      <c r="E539" s="2"/>
      <c r="F539" s="2"/>
      <c r="G539" s="2"/>
      <c r="H539" s="2"/>
      <c r="I539" s="2"/>
      <c r="J539" s="2"/>
      <c r="K539" s="2"/>
      <c r="L539" s="2"/>
    </row>
    <row r="540" spans="4:12" x14ac:dyDescent="0.35">
      <c r="D540" s="2"/>
      <c r="E540" s="2"/>
      <c r="F540" s="2"/>
      <c r="G540" s="2"/>
      <c r="H540" s="2"/>
      <c r="I540" s="2"/>
      <c r="J540" s="2"/>
      <c r="K540" s="2"/>
      <c r="L540" s="2"/>
    </row>
    <row r="541" spans="4:12" x14ac:dyDescent="0.35">
      <c r="D541" s="2"/>
      <c r="E541" s="2"/>
      <c r="F541" s="2"/>
      <c r="G541" s="2"/>
      <c r="H541" s="2"/>
      <c r="I541" s="2"/>
      <c r="J541" s="2"/>
      <c r="K541" s="2"/>
      <c r="L541" s="2"/>
    </row>
    <row r="542" spans="4:12" x14ac:dyDescent="0.35">
      <c r="D542" s="2"/>
      <c r="E542" s="2"/>
      <c r="F542" s="2"/>
      <c r="G542" s="2"/>
      <c r="H542" s="2"/>
      <c r="I542" s="2"/>
      <c r="J542" s="2"/>
      <c r="K542" s="2"/>
      <c r="L542" s="2"/>
    </row>
    <row r="543" spans="4:12" x14ac:dyDescent="0.35">
      <c r="D543" s="2"/>
      <c r="E543" s="2"/>
      <c r="F543" s="2"/>
      <c r="G543" s="2"/>
      <c r="H543" s="2"/>
      <c r="I543" s="2"/>
      <c r="J543" s="2"/>
      <c r="K543" s="2"/>
      <c r="L543" s="2"/>
    </row>
    <row r="544" spans="4:12" x14ac:dyDescent="0.35">
      <c r="D544" s="2"/>
      <c r="E544" s="2"/>
      <c r="F544" s="2"/>
      <c r="G544" s="2"/>
      <c r="H544" s="2"/>
      <c r="I544" s="2"/>
      <c r="J544" s="2"/>
      <c r="K544" s="2"/>
      <c r="L544" s="2"/>
    </row>
    <row r="545" spans="4:12" x14ac:dyDescent="0.35">
      <c r="D545" s="2"/>
      <c r="E545" s="2"/>
      <c r="F545" s="2"/>
      <c r="G545" s="2"/>
      <c r="H545" s="2"/>
      <c r="I545" s="2"/>
      <c r="J545" s="2"/>
      <c r="K545" s="2"/>
      <c r="L545" s="2"/>
    </row>
    <row r="546" spans="4:12" x14ac:dyDescent="0.35">
      <c r="D546" s="2"/>
      <c r="E546" s="2"/>
      <c r="F546" s="2"/>
      <c r="G546" s="2"/>
      <c r="H546" s="2"/>
      <c r="I546" s="2"/>
      <c r="J546" s="2"/>
      <c r="K546" s="2"/>
      <c r="L546" s="2"/>
    </row>
    <row r="547" spans="4:12" x14ac:dyDescent="0.35">
      <c r="D547" s="2"/>
      <c r="E547" s="2"/>
      <c r="F547" s="2"/>
      <c r="G547" s="2"/>
      <c r="H547" s="2"/>
      <c r="I547" s="2"/>
      <c r="J547" s="2"/>
      <c r="K547" s="2"/>
      <c r="L547" s="2"/>
    </row>
    <row r="548" spans="4:12" x14ac:dyDescent="0.35">
      <c r="D548" s="2"/>
      <c r="E548" s="2"/>
      <c r="F548" s="2"/>
      <c r="G548" s="2"/>
      <c r="H548" s="2"/>
      <c r="I548" s="2"/>
      <c r="J548" s="2"/>
      <c r="K548" s="2"/>
      <c r="L548" s="2"/>
    </row>
    <row r="549" spans="4:12" x14ac:dyDescent="0.35">
      <c r="D549" s="2"/>
      <c r="E549" s="2"/>
      <c r="F549" s="2"/>
      <c r="G549" s="2"/>
      <c r="H549" s="2"/>
      <c r="I549" s="2"/>
      <c r="J549" s="2"/>
      <c r="K549" s="2"/>
      <c r="L549" s="2"/>
    </row>
    <row r="550" spans="4:12" x14ac:dyDescent="0.35">
      <c r="D550" s="2"/>
      <c r="E550" s="2"/>
      <c r="F550" s="2"/>
      <c r="G550" s="2"/>
      <c r="H550" s="2"/>
      <c r="I550" s="2"/>
      <c r="J550" s="2"/>
      <c r="K550" s="2"/>
      <c r="L550" s="2"/>
    </row>
    <row r="551" spans="4:12" x14ac:dyDescent="0.35">
      <c r="D551" s="2"/>
      <c r="E551" s="2"/>
      <c r="F551" s="2"/>
      <c r="G551" s="2"/>
      <c r="H551" s="2"/>
      <c r="I551" s="2"/>
      <c r="J551" s="2"/>
      <c r="K551" s="2"/>
      <c r="L551" s="2"/>
    </row>
    <row r="552" spans="4:12" x14ac:dyDescent="0.35">
      <c r="D552" s="2"/>
      <c r="E552" s="2"/>
      <c r="F552" s="2"/>
      <c r="G552" s="2"/>
      <c r="H552" s="2"/>
      <c r="I552" s="2"/>
      <c r="J552" s="2"/>
      <c r="K552" s="2"/>
      <c r="L552" s="2"/>
    </row>
    <row r="553" spans="4:12" x14ac:dyDescent="0.35">
      <c r="D553" s="2"/>
      <c r="E553" s="2"/>
      <c r="F553" s="2"/>
      <c r="G553" s="2"/>
      <c r="H553" s="2"/>
      <c r="I553" s="2"/>
      <c r="J553" s="2"/>
      <c r="K553" s="2"/>
      <c r="L553" s="2"/>
    </row>
    <row r="554" spans="4:12" x14ac:dyDescent="0.35">
      <c r="D554" s="2"/>
      <c r="E554" s="2"/>
      <c r="F554" s="2"/>
      <c r="G554" s="2"/>
      <c r="H554" s="2"/>
      <c r="I554" s="2"/>
      <c r="J554" s="2"/>
      <c r="K554" s="2"/>
      <c r="L554" s="2"/>
    </row>
    <row r="555" spans="4:12" x14ac:dyDescent="0.35">
      <c r="D555" s="2"/>
      <c r="E555" s="2"/>
      <c r="F555" s="2"/>
      <c r="G555" s="2"/>
      <c r="H555" s="2"/>
      <c r="I555" s="2"/>
      <c r="J555" s="2"/>
      <c r="K555" s="2"/>
      <c r="L555" s="2"/>
    </row>
    <row r="556" spans="4:12" x14ac:dyDescent="0.35">
      <c r="D556" s="2"/>
      <c r="E556" s="2"/>
      <c r="F556" s="2"/>
      <c r="G556" s="2"/>
      <c r="H556" s="2"/>
      <c r="I556" s="2"/>
      <c r="J556" s="2"/>
      <c r="K556" s="2"/>
      <c r="L556" s="2"/>
    </row>
    <row r="557" spans="4:12" x14ac:dyDescent="0.35">
      <c r="D557" s="2"/>
      <c r="E557" s="2"/>
      <c r="F557" s="2"/>
      <c r="G557" s="2"/>
      <c r="H557" s="2"/>
      <c r="I557" s="2"/>
      <c r="J557" s="2"/>
      <c r="K557" s="2"/>
      <c r="L557" s="2"/>
    </row>
    <row r="558" spans="4:12" x14ac:dyDescent="0.35">
      <c r="D558" s="2"/>
      <c r="E558" s="2"/>
      <c r="F558" s="2"/>
      <c r="G558" s="2"/>
      <c r="H558" s="2"/>
      <c r="I558" s="2"/>
      <c r="J558" s="2"/>
      <c r="K558" s="2"/>
      <c r="L558" s="2"/>
    </row>
    <row r="559" spans="4:12" x14ac:dyDescent="0.35">
      <c r="D559" s="2"/>
      <c r="E559" s="2"/>
      <c r="F559" s="2"/>
      <c r="G559" s="2"/>
      <c r="H559" s="2"/>
      <c r="I559" s="2"/>
      <c r="J559" s="2"/>
      <c r="K559" s="2"/>
      <c r="L559" s="2"/>
    </row>
    <row r="560" spans="4:12" x14ac:dyDescent="0.35">
      <c r="D560" s="2"/>
      <c r="E560" s="2"/>
      <c r="F560" s="2"/>
      <c r="G560" s="2"/>
      <c r="H560" s="2"/>
      <c r="I560" s="2"/>
      <c r="J560" s="2"/>
      <c r="K560" s="2"/>
      <c r="L560" s="2"/>
    </row>
    <row r="561" spans="4:12" x14ac:dyDescent="0.35">
      <c r="D561" s="2"/>
      <c r="E561" s="2"/>
      <c r="F561" s="2"/>
      <c r="G561" s="2"/>
      <c r="H561" s="2"/>
      <c r="I561" s="2"/>
      <c r="J561" s="2"/>
      <c r="K561" s="2"/>
      <c r="L561" s="2"/>
    </row>
    <row r="562" spans="4:12" x14ac:dyDescent="0.35">
      <c r="D562" s="2"/>
      <c r="E562" s="2"/>
      <c r="F562" s="2"/>
      <c r="G562" s="2"/>
      <c r="H562" s="2"/>
      <c r="I562" s="2"/>
      <c r="J562" s="2"/>
      <c r="K562" s="2"/>
      <c r="L562" s="2"/>
    </row>
    <row r="563" spans="4:12" x14ac:dyDescent="0.35">
      <c r="D563" s="2"/>
      <c r="E563" s="2"/>
      <c r="F563" s="2"/>
      <c r="G563" s="2"/>
      <c r="H563" s="2"/>
      <c r="I563" s="2"/>
      <c r="J563" s="2"/>
      <c r="K563" s="2"/>
      <c r="L563" s="2"/>
    </row>
    <row r="564" spans="4:12" x14ac:dyDescent="0.35">
      <c r="D564" s="2"/>
      <c r="E564" s="2"/>
      <c r="F564" s="2"/>
      <c r="G564" s="2"/>
      <c r="H564" s="2"/>
      <c r="I564" s="2"/>
      <c r="J564" s="2"/>
      <c r="K564" s="2"/>
      <c r="L564" s="2"/>
    </row>
    <row r="565" spans="4:12" x14ac:dyDescent="0.35">
      <c r="D565" s="2"/>
      <c r="E565" s="2"/>
      <c r="F565" s="2"/>
      <c r="G565" s="2"/>
      <c r="H565" s="2"/>
      <c r="I565" s="2"/>
      <c r="J565" s="2"/>
      <c r="K565" s="2"/>
      <c r="L565" s="2"/>
    </row>
    <row r="566" spans="4:12" x14ac:dyDescent="0.35">
      <c r="D566" s="2"/>
      <c r="E566" s="2"/>
      <c r="F566" s="2"/>
      <c r="G566" s="2"/>
      <c r="H566" s="2"/>
      <c r="I566" s="2"/>
      <c r="J566" s="2"/>
      <c r="K566" s="2"/>
      <c r="L566" s="2"/>
    </row>
    <row r="567" spans="4:12" x14ac:dyDescent="0.35">
      <c r="D567" s="2"/>
      <c r="E567" s="2"/>
      <c r="F567" s="2"/>
      <c r="G567" s="2"/>
      <c r="H567" s="2"/>
      <c r="I567" s="2"/>
      <c r="J567" s="2"/>
      <c r="K567" s="2"/>
      <c r="L567" s="2"/>
    </row>
    <row r="568" spans="4:12" x14ac:dyDescent="0.35">
      <c r="D568" s="2"/>
      <c r="E568" s="2"/>
      <c r="F568" s="2"/>
      <c r="G568" s="2"/>
      <c r="H568" s="2"/>
      <c r="I568" s="2"/>
      <c r="J568" s="2"/>
      <c r="K568" s="2"/>
      <c r="L568" s="2"/>
    </row>
    <row r="569" spans="4:12" x14ac:dyDescent="0.35">
      <c r="D569" s="2"/>
      <c r="E569" s="2"/>
      <c r="F569" s="2"/>
      <c r="G569" s="2"/>
      <c r="H569" s="2"/>
      <c r="I569" s="2"/>
      <c r="J569" s="2"/>
      <c r="K569" s="2"/>
      <c r="L569" s="2"/>
    </row>
    <row r="570" spans="4:12" x14ac:dyDescent="0.35">
      <c r="D570" s="2"/>
      <c r="E570" s="2"/>
      <c r="F570" s="2"/>
      <c r="G570" s="2"/>
      <c r="H570" s="2"/>
      <c r="I570" s="2"/>
      <c r="J570" s="2"/>
      <c r="K570" s="2"/>
      <c r="L570" s="2"/>
    </row>
    <row r="571" spans="4:12" x14ac:dyDescent="0.35">
      <c r="D571" s="2"/>
      <c r="E571" s="2"/>
      <c r="F571" s="2"/>
      <c r="G571" s="2"/>
      <c r="H571" s="2"/>
      <c r="I571" s="2"/>
      <c r="J571" s="2"/>
      <c r="K571" s="2"/>
      <c r="L571" s="2"/>
    </row>
    <row r="572" spans="4:12" x14ac:dyDescent="0.35">
      <c r="D572" s="2"/>
      <c r="E572" s="2"/>
      <c r="F572" s="2"/>
      <c r="G572" s="2"/>
      <c r="H572" s="2"/>
      <c r="I572" s="2"/>
      <c r="J572" s="2"/>
      <c r="K572" s="2"/>
      <c r="L572" s="2"/>
    </row>
    <row r="573" spans="4:12" x14ac:dyDescent="0.35">
      <c r="D573" s="2"/>
      <c r="E573" s="2"/>
      <c r="F573" s="2"/>
      <c r="G573" s="2"/>
      <c r="H573" s="2"/>
      <c r="I573" s="2"/>
      <c r="J573" s="2"/>
      <c r="K573" s="2"/>
      <c r="L573" s="2"/>
    </row>
    <row r="574" spans="4:12" x14ac:dyDescent="0.35">
      <c r="D574" s="2"/>
      <c r="E574" s="2"/>
      <c r="F574" s="2"/>
      <c r="G574" s="2"/>
      <c r="H574" s="2"/>
      <c r="I574" s="2"/>
      <c r="J574" s="2"/>
      <c r="K574" s="2"/>
      <c r="L574" s="2"/>
    </row>
    <row r="575" spans="4:12" x14ac:dyDescent="0.35">
      <c r="D575" s="2"/>
      <c r="E575" s="2"/>
      <c r="F575" s="2"/>
      <c r="G575" s="2"/>
      <c r="H575" s="2"/>
      <c r="I575" s="2"/>
      <c r="J575" s="2"/>
      <c r="K575" s="2"/>
      <c r="L575" s="2"/>
    </row>
    <row r="576" spans="4:12" x14ac:dyDescent="0.35">
      <c r="D576" s="2"/>
      <c r="E576" s="2"/>
      <c r="F576" s="2"/>
      <c r="G576" s="2"/>
      <c r="H576" s="2"/>
      <c r="I576" s="2"/>
      <c r="J576" s="2"/>
      <c r="K576" s="2"/>
      <c r="L576" s="2"/>
    </row>
    <row r="577" spans="4:12" x14ac:dyDescent="0.35">
      <c r="D577" s="2"/>
      <c r="E577" s="2"/>
      <c r="F577" s="2"/>
      <c r="G577" s="2"/>
      <c r="H577" s="2"/>
      <c r="I577" s="2"/>
      <c r="J577" s="2"/>
      <c r="K577" s="2"/>
      <c r="L577" s="2"/>
    </row>
    <row r="578" spans="4:12" x14ac:dyDescent="0.35">
      <c r="D578" s="2"/>
      <c r="E578" s="2"/>
      <c r="F578" s="2"/>
      <c r="G578" s="2"/>
      <c r="H578" s="2"/>
      <c r="I578" s="2"/>
      <c r="J578" s="2"/>
      <c r="K578" s="2"/>
      <c r="L578" s="2"/>
    </row>
    <row r="579" spans="4:12" x14ac:dyDescent="0.35">
      <c r="D579" s="2"/>
      <c r="E579" s="2"/>
      <c r="F579" s="2"/>
      <c r="G579" s="2"/>
      <c r="H579" s="2"/>
      <c r="I579" s="2"/>
      <c r="J579" s="2"/>
      <c r="K579" s="2"/>
      <c r="L579" s="2"/>
    </row>
    <row r="580" spans="4:12" x14ac:dyDescent="0.35">
      <c r="D580" s="2"/>
      <c r="E580" s="2"/>
      <c r="F580" s="2"/>
      <c r="G580" s="2"/>
      <c r="H580" s="2"/>
      <c r="I580" s="2"/>
      <c r="J580" s="2"/>
      <c r="K580" s="2"/>
      <c r="L580" s="2"/>
    </row>
    <row r="581" spans="4:12" x14ac:dyDescent="0.35">
      <c r="D581" s="2"/>
      <c r="E581" s="2"/>
      <c r="F581" s="2"/>
      <c r="G581" s="2"/>
      <c r="H581" s="2"/>
      <c r="I581" s="2"/>
      <c r="J581" s="2"/>
      <c r="K581" s="2"/>
      <c r="L581" s="2"/>
    </row>
    <row r="582" spans="4:12" x14ac:dyDescent="0.35">
      <c r="D582" s="2"/>
      <c r="E582" s="2"/>
      <c r="F582" s="2"/>
      <c r="G582" s="2"/>
      <c r="H582" s="2"/>
      <c r="I582" s="2"/>
      <c r="J582" s="2"/>
      <c r="K582" s="2"/>
      <c r="L582" s="2"/>
    </row>
    <row r="583" spans="4:12" x14ac:dyDescent="0.35">
      <c r="D583" s="2"/>
      <c r="E583" s="2"/>
      <c r="F583" s="2"/>
      <c r="G583" s="2"/>
      <c r="H583" s="2"/>
      <c r="I583" s="2"/>
      <c r="J583" s="2"/>
      <c r="K583" s="2"/>
      <c r="L583" s="2"/>
    </row>
    <row r="584" spans="4:12" x14ac:dyDescent="0.35">
      <c r="D584" s="2"/>
      <c r="E584" s="2"/>
      <c r="F584" s="2"/>
      <c r="G584" s="2"/>
      <c r="H584" s="2"/>
      <c r="I584" s="2"/>
      <c r="J584" s="2"/>
      <c r="K584" s="2"/>
      <c r="L584" s="2"/>
    </row>
    <row r="585" spans="4:12" x14ac:dyDescent="0.35">
      <c r="D585" s="2"/>
      <c r="E585" s="2"/>
      <c r="F585" s="2"/>
      <c r="G585" s="2"/>
      <c r="H585" s="2"/>
      <c r="I585" s="2"/>
      <c r="J585" s="2"/>
      <c r="K585" s="2"/>
      <c r="L585" s="2"/>
    </row>
    <row r="586" spans="4:12" x14ac:dyDescent="0.35">
      <c r="D586" s="2"/>
      <c r="E586" s="2"/>
      <c r="F586" s="2"/>
      <c r="G586" s="2"/>
      <c r="H586" s="2"/>
      <c r="I586" s="2"/>
      <c r="J586" s="2"/>
      <c r="K586" s="2"/>
      <c r="L586" s="2"/>
    </row>
    <row r="587" spans="4:12" x14ac:dyDescent="0.35">
      <c r="D587" s="2"/>
      <c r="E587" s="2"/>
      <c r="F587" s="2"/>
      <c r="G587" s="2"/>
      <c r="H587" s="2"/>
      <c r="I587" s="2"/>
      <c r="J587" s="2"/>
      <c r="K587" s="2"/>
      <c r="L587" s="2"/>
    </row>
    <row r="588" spans="4:12" x14ac:dyDescent="0.35">
      <c r="D588" s="2"/>
      <c r="E588" s="2"/>
      <c r="F588" s="2"/>
      <c r="G588" s="2"/>
      <c r="H588" s="2"/>
      <c r="I588" s="2"/>
      <c r="J588" s="2"/>
      <c r="K588" s="2"/>
      <c r="L588" s="2"/>
    </row>
    <row r="589" spans="4:12" x14ac:dyDescent="0.35">
      <c r="D589" s="2"/>
      <c r="E589" s="2"/>
      <c r="F589" s="2"/>
      <c r="G589" s="2"/>
      <c r="H589" s="2"/>
      <c r="I589" s="2"/>
      <c r="J589" s="2"/>
      <c r="K589" s="2"/>
      <c r="L589" s="2"/>
    </row>
    <row r="590" spans="4:12" x14ac:dyDescent="0.35">
      <c r="D590" s="2"/>
      <c r="E590" s="2"/>
      <c r="F590" s="2"/>
      <c r="G590" s="2"/>
      <c r="H590" s="2"/>
      <c r="I590" s="2"/>
      <c r="J590" s="2"/>
      <c r="K590" s="2"/>
      <c r="L590" s="2"/>
    </row>
    <row r="591" spans="4:12" x14ac:dyDescent="0.35">
      <c r="D591" s="2"/>
      <c r="E591" s="2"/>
      <c r="F591" s="2"/>
      <c r="G591" s="2"/>
      <c r="H591" s="2"/>
      <c r="I591" s="2"/>
      <c r="J591" s="2"/>
      <c r="K591" s="2"/>
      <c r="L591" s="2"/>
    </row>
    <row r="592" spans="4:12" x14ac:dyDescent="0.35">
      <c r="D592" s="2"/>
      <c r="E592" s="2"/>
      <c r="F592" s="2"/>
      <c r="G592" s="2"/>
      <c r="H592" s="2"/>
      <c r="I592" s="2"/>
      <c r="J592" s="2"/>
      <c r="K592" s="2"/>
      <c r="L592" s="2"/>
    </row>
    <row r="593" spans="4:12" x14ac:dyDescent="0.35">
      <c r="D593" s="2"/>
      <c r="E593" s="2"/>
      <c r="F593" s="2"/>
      <c r="G593" s="2"/>
      <c r="H593" s="2"/>
      <c r="I593" s="2"/>
      <c r="J593" s="2"/>
      <c r="K593" s="2"/>
      <c r="L593" s="2"/>
    </row>
    <row r="594" spans="4:12" x14ac:dyDescent="0.35">
      <c r="D594" s="2"/>
      <c r="E594" s="2"/>
      <c r="F594" s="2"/>
      <c r="G594" s="2"/>
      <c r="H594" s="2"/>
      <c r="I594" s="2"/>
      <c r="J594" s="2"/>
      <c r="K594" s="2"/>
      <c r="L594" s="2"/>
    </row>
    <row r="595" spans="4:12" x14ac:dyDescent="0.35">
      <c r="D595" s="2"/>
      <c r="E595" s="2"/>
      <c r="F595" s="2"/>
      <c r="G595" s="2"/>
      <c r="H595" s="2"/>
      <c r="I595" s="2"/>
      <c r="J595" s="2"/>
      <c r="K595" s="2"/>
      <c r="L595" s="2"/>
    </row>
    <row r="596" spans="4:12" x14ac:dyDescent="0.35">
      <c r="D596" s="2"/>
      <c r="E596" s="2"/>
      <c r="F596" s="2"/>
      <c r="G596" s="2"/>
      <c r="H596" s="2"/>
      <c r="I596" s="2"/>
      <c r="J596" s="2"/>
      <c r="K596" s="2"/>
      <c r="L596" s="2"/>
    </row>
    <row r="597" spans="4:12" x14ac:dyDescent="0.35">
      <c r="D597" s="2"/>
      <c r="E597" s="2"/>
      <c r="F597" s="2"/>
      <c r="G597" s="2"/>
      <c r="H597" s="2"/>
      <c r="I597" s="2"/>
      <c r="J597" s="2"/>
      <c r="K597" s="2"/>
      <c r="L597" s="2"/>
    </row>
    <row r="598" spans="4:12" x14ac:dyDescent="0.35">
      <c r="D598" s="2"/>
      <c r="E598" s="2"/>
      <c r="F598" s="2"/>
      <c r="G598" s="2"/>
      <c r="H598" s="2"/>
      <c r="I598" s="2"/>
      <c r="J598" s="2"/>
      <c r="K598" s="2"/>
      <c r="L598" s="2"/>
    </row>
    <row r="599" spans="4:12" x14ac:dyDescent="0.35">
      <c r="D599" s="2"/>
      <c r="E599" s="2"/>
      <c r="F599" s="2"/>
      <c r="G599" s="2"/>
      <c r="H599" s="2"/>
      <c r="I599" s="2"/>
      <c r="J599" s="2"/>
      <c r="K599" s="2"/>
      <c r="L599" s="2"/>
    </row>
    <row r="600" spans="4:12" x14ac:dyDescent="0.35">
      <c r="D600" s="2"/>
      <c r="E600" s="2"/>
      <c r="F600" s="2"/>
      <c r="G600" s="2"/>
      <c r="H600" s="2"/>
      <c r="I600" s="2"/>
      <c r="J600" s="2"/>
      <c r="K600" s="2"/>
      <c r="L600" s="2"/>
    </row>
    <row r="601" spans="4:12" x14ac:dyDescent="0.35">
      <c r="D601" s="2"/>
      <c r="E601" s="2"/>
      <c r="F601" s="2"/>
      <c r="G601" s="2"/>
      <c r="H601" s="2"/>
      <c r="I601" s="2"/>
      <c r="J601" s="2"/>
      <c r="K601" s="2"/>
      <c r="L601" s="2"/>
    </row>
    <row r="602" spans="4:12" x14ac:dyDescent="0.35">
      <c r="D602" s="2"/>
      <c r="E602" s="2"/>
      <c r="F602" s="2"/>
      <c r="G602" s="2"/>
      <c r="H602" s="2"/>
      <c r="I602" s="2"/>
      <c r="J602" s="2"/>
      <c r="K602" s="2"/>
      <c r="L602" s="2"/>
    </row>
    <row r="603" spans="4:12" x14ac:dyDescent="0.35">
      <c r="D603" s="2"/>
      <c r="E603" s="2"/>
      <c r="F603" s="2"/>
      <c r="G603" s="2"/>
      <c r="H603" s="2"/>
      <c r="I603" s="2"/>
      <c r="J603" s="2"/>
      <c r="K603" s="2"/>
      <c r="L603" s="2"/>
    </row>
    <row r="604" spans="4:12" x14ac:dyDescent="0.35">
      <c r="D604" s="2"/>
      <c r="E604" s="2"/>
      <c r="F604" s="2"/>
      <c r="G604" s="2"/>
      <c r="H604" s="2"/>
      <c r="I604" s="2"/>
      <c r="J604" s="2"/>
      <c r="K604" s="2"/>
      <c r="L604" s="2"/>
    </row>
    <row r="605" spans="4:12" x14ac:dyDescent="0.35">
      <c r="D605" s="2"/>
      <c r="E605" s="2"/>
      <c r="F605" s="2"/>
      <c r="G605" s="2"/>
      <c r="H605" s="2"/>
      <c r="I605" s="2"/>
      <c r="J605" s="2"/>
      <c r="K605" s="2"/>
      <c r="L605" s="2"/>
    </row>
    <row r="606" spans="4:12" x14ac:dyDescent="0.35">
      <c r="D606" s="2"/>
      <c r="E606" s="2"/>
      <c r="F606" s="2"/>
      <c r="G606" s="2"/>
      <c r="H606" s="2"/>
      <c r="I606" s="2"/>
      <c r="J606" s="2"/>
      <c r="K606" s="2"/>
      <c r="L606" s="2"/>
    </row>
    <row r="607" spans="4:12" x14ac:dyDescent="0.35">
      <c r="D607" s="2"/>
      <c r="E607" s="2"/>
      <c r="F607" s="2"/>
      <c r="G607" s="2"/>
      <c r="H607" s="2"/>
      <c r="I607" s="2"/>
      <c r="J607" s="2"/>
      <c r="K607" s="2"/>
      <c r="L607" s="2"/>
    </row>
    <row r="608" spans="4:12" x14ac:dyDescent="0.35">
      <c r="D608" s="2"/>
      <c r="E608" s="2"/>
      <c r="F608" s="2"/>
      <c r="G608" s="2"/>
      <c r="H608" s="2"/>
      <c r="I608" s="2"/>
      <c r="J608" s="2"/>
      <c r="K608" s="2"/>
      <c r="L608" s="2"/>
    </row>
    <row r="609" spans="4:12" x14ac:dyDescent="0.35">
      <c r="D609" s="2"/>
      <c r="E609" s="2"/>
      <c r="F609" s="2"/>
      <c r="G609" s="2"/>
      <c r="H609" s="2"/>
      <c r="I609" s="2"/>
      <c r="J609" s="2"/>
      <c r="K609" s="2"/>
      <c r="L609" s="2"/>
    </row>
    <row r="610" spans="4:12" x14ac:dyDescent="0.35">
      <c r="D610" s="2"/>
      <c r="E610" s="2"/>
      <c r="F610" s="2"/>
      <c r="G610" s="2"/>
      <c r="H610" s="2"/>
      <c r="I610" s="2"/>
      <c r="J610" s="2"/>
      <c r="K610" s="2"/>
      <c r="L610" s="2"/>
    </row>
    <row r="611" spans="4:12" x14ac:dyDescent="0.35">
      <c r="D611" s="2"/>
      <c r="E611" s="2"/>
      <c r="F611" s="2"/>
      <c r="G611" s="2"/>
      <c r="H611" s="2"/>
      <c r="I611" s="2"/>
      <c r="J611" s="2"/>
      <c r="K611" s="2"/>
      <c r="L611" s="2"/>
    </row>
    <row r="612" spans="4:12" x14ac:dyDescent="0.35">
      <c r="D612" s="2"/>
      <c r="E612" s="2"/>
      <c r="F612" s="2"/>
      <c r="G612" s="2"/>
      <c r="H612" s="2"/>
      <c r="I612" s="2"/>
      <c r="J612" s="2"/>
      <c r="K612" s="2"/>
      <c r="L612" s="2"/>
    </row>
    <row r="613" spans="4:12" x14ac:dyDescent="0.35">
      <c r="D613" s="2"/>
      <c r="E613" s="2"/>
      <c r="F613" s="2"/>
      <c r="G613" s="2"/>
      <c r="H613" s="2"/>
      <c r="I613" s="2"/>
      <c r="J613" s="2"/>
      <c r="K613" s="2"/>
      <c r="L613" s="2"/>
    </row>
    <row r="614" spans="4:12" x14ac:dyDescent="0.35">
      <c r="D614" s="2"/>
      <c r="E614" s="2"/>
      <c r="F614" s="2"/>
      <c r="G614" s="2"/>
      <c r="H614" s="2"/>
      <c r="I614" s="2"/>
      <c r="J614" s="2"/>
      <c r="K614" s="2"/>
      <c r="L614" s="2"/>
    </row>
    <row r="615" spans="4:12" x14ac:dyDescent="0.35">
      <c r="D615" s="2"/>
      <c r="E615" s="2"/>
      <c r="F615" s="2"/>
      <c r="G615" s="2"/>
      <c r="H615" s="2"/>
      <c r="I615" s="2"/>
      <c r="J615" s="2"/>
      <c r="K615" s="2"/>
      <c r="L615" s="2"/>
    </row>
    <row r="616" spans="4:12" x14ac:dyDescent="0.35">
      <c r="D616" s="2"/>
      <c r="E616" s="2"/>
      <c r="F616" s="2"/>
      <c r="G616" s="2"/>
      <c r="H616" s="2"/>
      <c r="I616" s="2"/>
      <c r="J616" s="2"/>
      <c r="K616" s="2"/>
      <c r="L616" s="2"/>
    </row>
    <row r="617" spans="4:12" x14ac:dyDescent="0.35">
      <c r="D617" s="2"/>
      <c r="E617" s="2"/>
      <c r="F617" s="2"/>
      <c r="G617" s="2"/>
      <c r="H617" s="2"/>
      <c r="I617" s="2"/>
      <c r="J617" s="2"/>
      <c r="K617" s="2"/>
      <c r="L617" s="2"/>
    </row>
    <row r="618" spans="4:12" x14ac:dyDescent="0.35">
      <c r="D618" s="2"/>
      <c r="E618" s="2"/>
      <c r="F618" s="2"/>
      <c r="G618" s="2"/>
      <c r="H618" s="2"/>
      <c r="I618" s="2"/>
      <c r="J618" s="2"/>
      <c r="K618" s="2"/>
      <c r="L618" s="2"/>
    </row>
    <row r="619" spans="4:12" x14ac:dyDescent="0.35">
      <c r="D619" s="2"/>
      <c r="E619" s="2"/>
      <c r="F619" s="2"/>
      <c r="G619" s="2"/>
      <c r="H619" s="2"/>
      <c r="I619" s="2"/>
      <c r="J619" s="2"/>
      <c r="K619" s="2"/>
      <c r="L619" s="2"/>
    </row>
    <row r="620" spans="4:12" x14ac:dyDescent="0.35">
      <c r="D620" s="2"/>
      <c r="E620" s="2"/>
      <c r="F620" s="2"/>
      <c r="G620" s="2"/>
      <c r="H620" s="2"/>
      <c r="I620" s="2"/>
      <c r="J620" s="2"/>
      <c r="K620" s="2"/>
      <c r="L620" s="2"/>
    </row>
    <row r="621" spans="4:12" x14ac:dyDescent="0.35">
      <c r="D621" s="2"/>
      <c r="E621" s="2"/>
      <c r="F621" s="2"/>
      <c r="G621" s="2"/>
      <c r="H621" s="2"/>
      <c r="I621" s="2"/>
      <c r="J621" s="2"/>
      <c r="K621" s="2"/>
      <c r="L621" s="2"/>
    </row>
    <row r="622" spans="4:12" x14ac:dyDescent="0.35">
      <c r="D622" s="2"/>
      <c r="E622" s="2"/>
      <c r="F622" s="2"/>
      <c r="G622" s="2"/>
      <c r="H622" s="2"/>
      <c r="I622" s="2"/>
      <c r="J622" s="2"/>
      <c r="K622" s="2"/>
      <c r="L622" s="2"/>
    </row>
    <row r="623" spans="4:12" x14ac:dyDescent="0.35">
      <c r="D623" s="2"/>
      <c r="E623" s="2"/>
      <c r="F623" s="2"/>
      <c r="G623" s="2"/>
      <c r="H623" s="2"/>
      <c r="I623" s="2"/>
      <c r="J623" s="2"/>
      <c r="K623" s="2"/>
      <c r="L623" s="2"/>
    </row>
    <row r="624" spans="4:12" x14ac:dyDescent="0.35">
      <c r="D624" s="2"/>
      <c r="E624" s="2"/>
      <c r="F624" s="2"/>
      <c r="G624" s="2"/>
      <c r="H624" s="2"/>
      <c r="I624" s="2"/>
      <c r="J624" s="2"/>
      <c r="K624" s="2"/>
      <c r="L624" s="2"/>
    </row>
    <row r="625" spans="4:12" x14ac:dyDescent="0.35">
      <c r="D625" s="2"/>
      <c r="E625" s="2"/>
      <c r="F625" s="2"/>
      <c r="G625" s="2"/>
      <c r="H625" s="2"/>
      <c r="I625" s="2"/>
      <c r="J625" s="2"/>
      <c r="K625" s="2"/>
      <c r="L625" s="2"/>
    </row>
    <row r="626" spans="4:12" x14ac:dyDescent="0.35">
      <c r="D626" s="2"/>
      <c r="E626" s="2"/>
      <c r="F626" s="2"/>
      <c r="G626" s="2"/>
      <c r="H626" s="2"/>
      <c r="I626" s="2"/>
      <c r="J626" s="2"/>
      <c r="K626" s="2"/>
      <c r="L626" s="2"/>
    </row>
    <row r="627" spans="4:12" x14ac:dyDescent="0.35">
      <c r="D627" s="2"/>
      <c r="E627" s="2"/>
      <c r="F627" s="2"/>
      <c r="G627" s="2"/>
      <c r="H627" s="2"/>
      <c r="I627" s="2"/>
      <c r="J627" s="2"/>
      <c r="K627" s="2"/>
      <c r="L627" s="2"/>
    </row>
    <row r="628" spans="4:12" x14ac:dyDescent="0.35">
      <c r="D628" s="2"/>
      <c r="E628" s="2"/>
      <c r="F628" s="2"/>
      <c r="G628" s="2"/>
      <c r="H628" s="2"/>
      <c r="I628" s="2"/>
      <c r="J628" s="2"/>
      <c r="K628" s="2"/>
      <c r="L628" s="2"/>
    </row>
    <row r="629" spans="4:12" x14ac:dyDescent="0.35">
      <c r="D629" s="2"/>
      <c r="E629" s="2"/>
      <c r="F629" s="2"/>
      <c r="G629" s="2"/>
      <c r="H629" s="2"/>
      <c r="I629" s="2"/>
      <c r="J629" s="2"/>
      <c r="K629" s="2"/>
      <c r="L629" s="2"/>
    </row>
    <row r="630" spans="4:12" x14ac:dyDescent="0.35">
      <c r="D630" s="2"/>
      <c r="E630" s="2"/>
      <c r="F630" s="2"/>
      <c r="G630" s="2"/>
      <c r="H630" s="2"/>
      <c r="I630" s="2"/>
      <c r="J630" s="2"/>
      <c r="K630" s="2"/>
      <c r="L630" s="2"/>
    </row>
    <row r="631" spans="4:12" x14ac:dyDescent="0.35">
      <c r="D631" s="2"/>
      <c r="E631" s="2"/>
      <c r="F631" s="2"/>
      <c r="G631" s="2"/>
      <c r="H631" s="2"/>
      <c r="I631" s="2"/>
      <c r="J631" s="2"/>
      <c r="K631" s="2"/>
      <c r="L631" s="2"/>
    </row>
    <row r="632" spans="4:12" x14ac:dyDescent="0.35">
      <c r="D632" s="2"/>
      <c r="E632" s="2"/>
      <c r="F632" s="2"/>
      <c r="G632" s="2"/>
      <c r="H632" s="2"/>
      <c r="I632" s="2"/>
      <c r="J632" s="2"/>
      <c r="K632" s="2"/>
      <c r="L632" s="2"/>
    </row>
    <row r="633" spans="4:12" x14ac:dyDescent="0.35">
      <c r="D633" s="2"/>
      <c r="E633" s="2"/>
      <c r="F633" s="2"/>
      <c r="G633" s="2"/>
      <c r="H633" s="2"/>
      <c r="I633" s="2"/>
      <c r="J633" s="2"/>
      <c r="K633" s="2"/>
      <c r="L633" s="2"/>
    </row>
    <row r="634" spans="4:12" x14ac:dyDescent="0.35">
      <c r="D634" s="2"/>
      <c r="E634" s="2"/>
      <c r="F634" s="2"/>
      <c r="G634" s="2"/>
      <c r="H634" s="2"/>
      <c r="I634" s="2"/>
      <c r="J634" s="2"/>
      <c r="K634" s="2"/>
      <c r="L634" s="2"/>
    </row>
    <row r="635" spans="4:12" x14ac:dyDescent="0.35">
      <c r="D635" s="2"/>
      <c r="E635" s="2"/>
      <c r="F635" s="2"/>
      <c r="G635" s="2"/>
      <c r="H635" s="2"/>
      <c r="I635" s="2"/>
      <c r="J635" s="2"/>
      <c r="K635" s="2"/>
      <c r="L635" s="2"/>
    </row>
    <row r="636" spans="4:12" x14ac:dyDescent="0.35">
      <c r="D636" s="2"/>
      <c r="E636" s="2"/>
      <c r="F636" s="2"/>
      <c r="G636" s="2"/>
      <c r="H636" s="2"/>
      <c r="I636" s="2"/>
      <c r="J636" s="2"/>
      <c r="K636" s="2"/>
      <c r="L636" s="2"/>
    </row>
    <row r="637" spans="4:12" x14ac:dyDescent="0.35">
      <c r="D637" s="2"/>
      <c r="E637" s="2"/>
      <c r="F637" s="2"/>
      <c r="G637" s="2"/>
      <c r="H637" s="2"/>
      <c r="I637" s="2"/>
      <c r="J637" s="2"/>
      <c r="K637" s="2"/>
      <c r="L637" s="2"/>
    </row>
    <row r="638" spans="4:12" x14ac:dyDescent="0.35">
      <c r="D638" s="2"/>
      <c r="E638" s="2"/>
      <c r="F638" s="2"/>
      <c r="G638" s="2"/>
      <c r="H638" s="2"/>
      <c r="I638" s="2"/>
      <c r="J638" s="2"/>
      <c r="K638" s="2"/>
      <c r="L638" s="2"/>
    </row>
    <row r="639" spans="4:12" x14ac:dyDescent="0.35">
      <c r="D639" s="2"/>
      <c r="E639" s="2"/>
      <c r="F639" s="2"/>
      <c r="G639" s="2"/>
      <c r="H639" s="2"/>
      <c r="I639" s="2"/>
      <c r="J639" s="2"/>
      <c r="K639" s="2"/>
      <c r="L639" s="2"/>
    </row>
    <row r="640" spans="4:12" x14ac:dyDescent="0.35">
      <c r="D640" s="2"/>
      <c r="E640" s="2"/>
      <c r="F640" s="2"/>
      <c r="G640" s="2"/>
      <c r="H640" s="2"/>
      <c r="I640" s="2"/>
      <c r="J640" s="2"/>
      <c r="K640" s="2"/>
      <c r="L640" s="2"/>
    </row>
    <row r="641" spans="4:12" x14ac:dyDescent="0.35">
      <c r="D641" s="2"/>
      <c r="E641" s="2"/>
      <c r="F641" s="2"/>
      <c r="G641" s="2"/>
      <c r="H641" s="2"/>
      <c r="I641" s="2"/>
      <c r="J641" s="2"/>
      <c r="K641" s="2"/>
      <c r="L641" s="2"/>
    </row>
    <row r="642" spans="4:12" x14ac:dyDescent="0.35">
      <c r="D642" s="2"/>
      <c r="E642" s="2"/>
      <c r="F642" s="2"/>
      <c r="G642" s="2"/>
      <c r="H642" s="2"/>
      <c r="I642" s="2"/>
      <c r="J642" s="2"/>
      <c r="K642" s="2"/>
      <c r="L642" s="2"/>
    </row>
    <row r="643" spans="4:12" x14ac:dyDescent="0.35">
      <c r="D643" s="2"/>
      <c r="E643" s="2"/>
      <c r="F643" s="2"/>
      <c r="G643" s="2"/>
      <c r="H643" s="2"/>
      <c r="I643" s="2"/>
      <c r="J643" s="2"/>
      <c r="K643" s="2"/>
      <c r="L643" s="2"/>
    </row>
    <row r="644" spans="4:12" x14ac:dyDescent="0.35">
      <c r="D644" s="2"/>
      <c r="E644" s="2"/>
      <c r="F644" s="2"/>
      <c r="G644" s="2"/>
      <c r="H644" s="2"/>
      <c r="I644" s="2"/>
      <c r="J644" s="2"/>
      <c r="K644" s="2"/>
      <c r="L644" s="2"/>
    </row>
    <row r="645" spans="4:12" x14ac:dyDescent="0.35">
      <c r="D645" s="2"/>
      <c r="E645" s="2"/>
      <c r="F645" s="2"/>
      <c r="G645" s="2"/>
      <c r="H645" s="2"/>
      <c r="I645" s="2"/>
      <c r="J645" s="2"/>
      <c r="K645" s="2"/>
      <c r="L645" s="2"/>
    </row>
    <row r="646" spans="4:12" x14ac:dyDescent="0.35">
      <c r="D646" s="2"/>
      <c r="E646" s="2"/>
      <c r="F646" s="2"/>
      <c r="G646" s="2"/>
      <c r="H646" s="2"/>
      <c r="I646" s="2"/>
      <c r="J646" s="2"/>
      <c r="K646" s="2"/>
      <c r="L646" s="2"/>
    </row>
    <row r="647" spans="4:12" x14ac:dyDescent="0.35">
      <c r="D647" s="2"/>
      <c r="E647" s="2"/>
      <c r="F647" s="2"/>
      <c r="G647" s="2"/>
      <c r="H647" s="2"/>
      <c r="I647" s="2"/>
      <c r="J647" s="2"/>
      <c r="K647" s="2"/>
      <c r="L647" s="2"/>
    </row>
    <row r="648" spans="4:12" x14ac:dyDescent="0.35">
      <c r="D648" s="2"/>
      <c r="E648" s="2"/>
      <c r="F648" s="2"/>
      <c r="G648" s="2"/>
      <c r="H648" s="2"/>
      <c r="I648" s="2"/>
      <c r="J648" s="2"/>
      <c r="K648" s="2"/>
      <c r="L648" s="2"/>
    </row>
    <row r="649" spans="4:12" x14ac:dyDescent="0.35">
      <c r="D649" s="2"/>
      <c r="E649" s="2"/>
      <c r="F649" s="2"/>
      <c r="G649" s="2"/>
      <c r="H649" s="2"/>
      <c r="I649" s="2"/>
      <c r="J649" s="2"/>
      <c r="K649" s="2"/>
      <c r="L649" s="2"/>
    </row>
    <row r="650" spans="4:12" x14ac:dyDescent="0.35">
      <c r="D650" s="2"/>
      <c r="E650" s="2"/>
      <c r="F650" s="2"/>
      <c r="G650" s="2"/>
      <c r="H650" s="2"/>
      <c r="I650" s="2"/>
      <c r="J650" s="2"/>
      <c r="K650" s="2"/>
      <c r="L650" s="2"/>
    </row>
    <row r="651" spans="4:12" x14ac:dyDescent="0.35">
      <c r="D651" s="2"/>
      <c r="E651" s="2"/>
      <c r="F651" s="2"/>
      <c r="G651" s="2"/>
      <c r="H651" s="2"/>
      <c r="I651" s="2"/>
      <c r="J651" s="2"/>
      <c r="K651" s="2"/>
      <c r="L651" s="2"/>
    </row>
    <row r="652" spans="4:12" x14ac:dyDescent="0.35">
      <c r="D652" s="2"/>
      <c r="E652" s="2"/>
      <c r="F652" s="2"/>
      <c r="G652" s="2"/>
      <c r="H652" s="2"/>
      <c r="I652" s="2"/>
      <c r="J652" s="2"/>
      <c r="K652" s="2"/>
      <c r="L652" s="2"/>
    </row>
    <row r="653" spans="4:12" x14ac:dyDescent="0.35">
      <c r="D653" s="2"/>
      <c r="E653" s="2"/>
      <c r="F653" s="2"/>
      <c r="G653" s="2"/>
      <c r="H653" s="2"/>
      <c r="I653" s="2"/>
      <c r="J653" s="2"/>
      <c r="K653" s="2"/>
      <c r="L653" s="2"/>
    </row>
    <row r="654" spans="4:12" x14ac:dyDescent="0.35">
      <c r="D654" s="2"/>
      <c r="E654" s="2"/>
      <c r="F654" s="2"/>
      <c r="G654" s="2"/>
      <c r="H654" s="2"/>
      <c r="I654" s="2"/>
      <c r="J654" s="2"/>
      <c r="K654" s="2"/>
      <c r="L654" s="2"/>
    </row>
    <row r="655" spans="4:12" x14ac:dyDescent="0.35">
      <c r="D655" s="2"/>
      <c r="E655" s="2"/>
      <c r="F655" s="2"/>
      <c r="G655" s="2"/>
      <c r="H655" s="2"/>
      <c r="I655" s="2"/>
      <c r="J655" s="2"/>
      <c r="K655" s="2"/>
      <c r="L655" s="2"/>
    </row>
    <row r="656" spans="4:12" x14ac:dyDescent="0.35">
      <c r="D656" s="2"/>
      <c r="E656" s="2"/>
      <c r="F656" s="2"/>
      <c r="G656" s="2"/>
      <c r="H656" s="2"/>
      <c r="I656" s="2"/>
      <c r="J656" s="2"/>
      <c r="K656" s="2"/>
      <c r="L656" s="2"/>
    </row>
    <row r="657" spans="4:12" x14ac:dyDescent="0.35">
      <c r="D657" s="2"/>
      <c r="E657" s="2"/>
      <c r="F657" s="2"/>
      <c r="G657" s="2"/>
      <c r="H657" s="2"/>
      <c r="I657" s="2"/>
      <c r="J657" s="2"/>
      <c r="K657" s="2"/>
      <c r="L657" s="2"/>
    </row>
    <row r="658" spans="4:12" x14ac:dyDescent="0.35">
      <c r="D658" s="2"/>
      <c r="E658" s="2"/>
      <c r="F658" s="2"/>
      <c r="G658" s="2"/>
      <c r="H658" s="2"/>
      <c r="I658" s="2"/>
      <c r="J658" s="2"/>
      <c r="K658" s="2"/>
      <c r="L658" s="2"/>
    </row>
    <row r="659" spans="4:12" x14ac:dyDescent="0.35">
      <c r="D659" s="2"/>
      <c r="E659" s="2"/>
      <c r="F659" s="2"/>
      <c r="G659" s="2"/>
      <c r="H659" s="2"/>
      <c r="I659" s="2"/>
      <c r="J659" s="2"/>
      <c r="K659" s="2"/>
      <c r="L659" s="2"/>
    </row>
    <row r="660" spans="4:12" x14ac:dyDescent="0.35">
      <c r="D660" s="2"/>
      <c r="E660" s="2"/>
      <c r="F660" s="2"/>
      <c r="G660" s="2"/>
      <c r="H660" s="2"/>
      <c r="I660" s="2"/>
      <c r="J660" s="2"/>
      <c r="K660" s="2"/>
      <c r="L660" s="2"/>
    </row>
    <row r="661" spans="4:12" x14ac:dyDescent="0.35">
      <c r="D661" s="2"/>
      <c r="E661" s="2"/>
      <c r="F661" s="2"/>
      <c r="G661" s="2"/>
      <c r="H661" s="2"/>
      <c r="I661" s="2"/>
      <c r="J661" s="2"/>
      <c r="K661" s="2"/>
      <c r="L661" s="2"/>
    </row>
    <row r="662" spans="4:12" x14ac:dyDescent="0.35">
      <c r="D662" s="2"/>
      <c r="E662" s="2"/>
      <c r="F662" s="2"/>
      <c r="G662" s="2"/>
      <c r="H662" s="2"/>
      <c r="I662" s="2"/>
      <c r="J662" s="2"/>
      <c r="K662" s="2"/>
      <c r="L662" s="2"/>
    </row>
    <row r="663" spans="4:12" x14ac:dyDescent="0.35">
      <c r="D663" s="2"/>
      <c r="E663" s="2"/>
      <c r="F663" s="2"/>
      <c r="G663" s="2"/>
      <c r="H663" s="2"/>
      <c r="I663" s="2"/>
      <c r="J663" s="2"/>
      <c r="K663" s="2"/>
      <c r="L663" s="2"/>
    </row>
    <row r="664" spans="4:12" x14ac:dyDescent="0.35">
      <c r="D664" s="2"/>
      <c r="E664" s="2"/>
      <c r="F664" s="2"/>
      <c r="G664" s="2"/>
      <c r="H664" s="2"/>
      <c r="I664" s="2"/>
      <c r="J664" s="2"/>
      <c r="K664" s="2"/>
      <c r="L664" s="2"/>
    </row>
    <row r="665" spans="4:12" x14ac:dyDescent="0.35">
      <c r="D665" s="2"/>
      <c r="E665" s="2"/>
      <c r="F665" s="2"/>
      <c r="G665" s="2"/>
      <c r="H665" s="2"/>
      <c r="I665" s="2"/>
      <c r="J665" s="2"/>
      <c r="K665" s="2"/>
      <c r="L665" s="2"/>
    </row>
    <row r="666" spans="4:12" x14ac:dyDescent="0.35">
      <c r="D666" s="2"/>
      <c r="E666" s="2"/>
      <c r="F666" s="2"/>
      <c r="G666" s="2"/>
      <c r="H666" s="2"/>
      <c r="I666" s="2"/>
      <c r="J666" s="2"/>
      <c r="K666" s="2"/>
      <c r="L666" s="2"/>
    </row>
    <row r="667" spans="4:12" x14ac:dyDescent="0.35">
      <c r="D667" s="2"/>
      <c r="E667" s="2"/>
      <c r="F667" s="2"/>
      <c r="G667" s="2"/>
      <c r="H667" s="2"/>
      <c r="I667" s="2"/>
      <c r="J667" s="2"/>
      <c r="K667" s="2"/>
      <c r="L667" s="2"/>
    </row>
    <row r="668" spans="4:12" x14ac:dyDescent="0.35">
      <c r="D668" s="2"/>
      <c r="E668" s="2"/>
      <c r="F668" s="2"/>
      <c r="G668" s="2"/>
      <c r="H668" s="2"/>
      <c r="I668" s="2"/>
      <c r="J668" s="2"/>
      <c r="K668" s="2"/>
      <c r="L668" s="2"/>
    </row>
    <row r="669" spans="4:12" x14ac:dyDescent="0.35">
      <c r="D669" s="2"/>
      <c r="E669" s="2"/>
      <c r="F669" s="2"/>
      <c r="G669" s="2"/>
      <c r="H669" s="2"/>
      <c r="I669" s="2"/>
      <c r="J669" s="2"/>
      <c r="K669" s="2"/>
      <c r="L669" s="2"/>
    </row>
    <row r="670" spans="4:12" x14ac:dyDescent="0.35">
      <c r="D670" s="2"/>
      <c r="E670" s="2"/>
      <c r="F670" s="2"/>
      <c r="G670" s="2"/>
      <c r="H670" s="2"/>
      <c r="I670" s="2"/>
      <c r="J670" s="2"/>
      <c r="K670" s="2"/>
      <c r="L670" s="2"/>
    </row>
    <row r="671" spans="4:12" x14ac:dyDescent="0.35">
      <c r="D671" s="2"/>
      <c r="E671" s="2"/>
      <c r="F671" s="2"/>
      <c r="G671" s="2"/>
      <c r="H671" s="2"/>
      <c r="I671" s="2"/>
      <c r="J671" s="2"/>
      <c r="K671" s="2"/>
      <c r="L671" s="2"/>
    </row>
    <row r="672" spans="4:12" x14ac:dyDescent="0.35">
      <c r="D672" s="2"/>
      <c r="E672" s="2"/>
      <c r="F672" s="2"/>
      <c r="G672" s="2"/>
      <c r="H672" s="2"/>
      <c r="I672" s="2"/>
      <c r="J672" s="2"/>
      <c r="K672" s="2"/>
      <c r="L672" s="2"/>
    </row>
    <row r="673" spans="4:12" x14ac:dyDescent="0.35">
      <c r="D673" s="2"/>
      <c r="E673" s="2"/>
      <c r="F673" s="2"/>
      <c r="G673" s="2"/>
      <c r="H673" s="2"/>
      <c r="I673" s="2"/>
      <c r="J673" s="2"/>
      <c r="K673" s="2"/>
      <c r="L673" s="2"/>
    </row>
    <row r="674" spans="4:12" x14ac:dyDescent="0.35">
      <c r="D674" s="2"/>
      <c r="E674" s="2"/>
      <c r="F674" s="2"/>
      <c r="G674" s="2"/>
      <c r="H674" s="2"/>
      <c r="I674" s="2"/>
      <c r="J674" s="2"/>
      <c r="K674" s="2"/>
      <c r="L674" s="2"/>
    </row>
    <row r="675" spans="4:12" x14ac:dyDescent="0.35">
      <c r="D675" s="2"/>
      <c r="E675" s="2"/>
      <c r="F675" s="2"/>
      <c r="G675" s="2"/>
      <c r="H675" s="2"/>
      <c r="I675" s="2"/>
      <c r="J675" s="2"/>
      <c r="K675" s="2"/>
      <c r="L675" s="2"/>
    </row>
    <row r="676" spans="4:12" x14ac:dyDescent="0.35">
      <c r="D676" s="2"/>
      <c r="E676" s="2"/>
      <c r="F676" s="2"/>
      <c r="G676" s="2"/>
      <c r="H676" s="2"/>
      <c r="I676" s="2"/>
      <c r="J676" s="2"/>
      <c r="K676" s="2"/>
      <c r="L676" s="2"/>
    </row>
    <row r="677" spans="4:12" x14ac:dyDescent="0.35">
      <c r="D677" s="2"/>
      <c r="E677" s="2"/>
      <c r="F677" s="2"/>
      <c r="G677" s="2"/>
      <c r="H677" s="2"/>
      <c r="I677" s="2"/>
      <c r="J677" s="2"/>
      <c r="K677" s="2"/>
      <c r="L677" s="2"/>
    </row>
    <row r="678" spans="4:12" x14ac:dyDescent="0.35">
      <c r="D678" s="2"/>
      <c r="E678" s="2"/>
      <c r="F678" s="2"/>
      <c r="G678" s="2"/>
      <c r="H678" s="2"/>
      <c r="I678" s="2"/>
      <c r="J678" s="2"/>
      <c r="K678" s="2"/>
      <c r="L678" s="2"/>
    </row>
    <row r="679" spans="4:12" x14ac:dyDescent="0.35">
      <c r="D679" s="2"/>
      <c r="E679" s="2"/>
      <c r="F679" s="2"/>
      <c r="G679" s="2"/>
      <c r="H679" s="2"/>
      <c r="I679" s="2"/>
      <c r="J679" s="2"/>
      <c r="K679" s="2"/>
      <c r="L679" s="2"/>
    </row>
    <row r="680" spans="4:12" x14ac:dyDescent="0.35">
      <c r="D680" s="2"/>
      <c r="E680" s="2"/>
      <c r="F680" s="2"/>
      <c r="G680" s="2"/>
      <c r="H680" s="2"/>
      <c r="I680" s="2"/>
      <c r="J680" s="2"/>
      <c r="K680" s="2"/>
      <c r="L680" s="2"/>
    </row>
    <row r="681" spans="4:12" x14ac:dyDescent="0.35">
      <c r="D681" s="2"/>
      <c r="E681" s="2"/>
      <c r="F681" s="2"/>
      <c r="G681" s="2"/>
      <c r="H681" s="2"/>
      <c r="I681" s="2"/>
      <c r="J681" s="2"/>
      <c r="K681" s="2"/>
      <c r="L681" s="2"/>
    </row>
    <row r="682" spans="4:12" x14ac:dyDescent="0.35">
      <c r="D682" s="2"/>
      <c r="E682" s="2"/>
      <c r="F682" s="2"/>
      <c r="G682" s="2"/>
      <c r="H682" s="2"/>
      <c r="I682" s="2"/>
      <c r="J682" s="2"/>
      <c r="K682" s="2"/>
      <c r="L682" s="2"/>
    </row>
    <row r="683" spans="4:12" x14ac:dyDescent="0.35">
      <c r="D683" s="2"/>
      <c r="E683" s="2"/>
      <c r="F683" s="2"/>
      <c r="G683" s="2"/>
      <c r="H683" s="2"/>
      <c r="I683" s="2"/>
      <c r="J683" s="2"/>
      <c r="K683" s="2"/>
      <c r="L683" s="2"/>
    </row>
    <row r="684" spans="4:12" x14ac:dyDescent="0.35">
      <c r="D684" s="2"/>
      <c r="E684" s="2"/>
      <c r="F684" s="2"/>
      <c r="G684" s="2"/>
      <c r="H684" s="2"/>
      <c r="I684" s="2"/>
      <c r="J684" s="2"/>
      <c r="K684" s="2"/>
      <c r="L684" s="2"/>
    </row>
    <row r="685" spans="4:12" x14ac:dyDescent="0.35">
      <c r="D685" s="2"/>
      <c r="E685" s="2"/>
      <c r="F685" s="2"/>
      <c r="G685" s="2"/>
      <c r="H685" s="2"/>
      <c r="I685" s="2"/>
      <c r="J685" s="2"/>
      <c r="K685" s="2"/>
      <c r="L685" s="2"/>
    </row>
    <row r="686" spans="4:12" x14ac:dyDescent="0.35">
      <c r="D686" s="2"/>
      <c r="E686" s="2"/>
      <c r="F686" s="2"/>
      <c r="G686" s="2"/>
      <c r="H686" s="2"/>
      <c r="I686" s="2"/>
      <c r="J686" s="2"/>
      <c r="K686" s="2"/>
      <c r="L686" s="2"/>
    </row>
    <row r="687" spans="4:12" x14ac:dyDescent="0.35">
      <c r="D687" s="2"/>
      <c r="E687" s="2"/>
      <c r="F687" s="2"/>
      <c r="G687" s="2"/>
      <c r="H687" s="2"/>
      <c r="I687" s="2"/>
      <c r="J687" s="2"/>
      <c r="K687" s="2"/>
      <c r="L687" s="2"/>
    </row>
    <row r="688" spans="4:12" x14ac:dyDescent="0.35">
      <c r="D688" s="2"/>
      <c r="E688" s="2"/>
      <c r="F688" s="2"/>
      <c r="G688" s="2"/>
      <c r="H688" s="2"/>
      <c r="I688" s="2"/>
      <c r="J688" s="2"/>
      <c r="K688" s="2"/>
      <c r="L688" s="2"/>
    </row>
    <row r="689" spans="4:12" x14ac:dyDescent="0.35">
      <c r="D689" s="2"/>
      <c r="E689" s="2"/>
      <c r="F689" s="2"/>
      <c r="G689" s="2"/>
      <c r="H689" s="2"/>
      <c r="I689" s="2"/>
      <c r="J689" s="2"/>
      <c r="K689" s="2"/>
      <c r="L689" s="2"/>
    </row>
    <row r="690" spans="4:12" x14ac:dyDescent="0.35">
      <c r="D690" s="2"/>
      <c r="E690" s="2"/>
      <c r="F690" s="2"/>
      <c r="G690" s="2"/>
      <c r="H690" s="2"/>
      <c r="I690" s="2"/>
      <c r="J690" s="2"/>
      <c r="K690" s="2"/>
      <c r="L690" s="2"/>
    </row>
    <row r="691" spans="4:12" x14ac:dyDescent="0.35">
      <c r="D691" s="2"/>
      <c r="E691" s="2"/>
      <c r="F691" s="2"/>
      <c r="G691" s="2"/>
      <c r="H691" s="2"/>
      <c r="I691" s="2"/>
      <c r="J691" s="2"/>
      <c r="K691" s="2"/>
      <c r="L691" s="2"/>
    </row>
    <row r="692" spans="4:12" x14ac:dyDescent="0.35">
      <c r="D692" s="2"/>
      <c r="E692" s="2"/>
      <c r="F692" s="2"/>
      <c r="G692" s="2"/>
      <c r="H692" s="2"/>
      <c r="I692" s="2"/>
      <c r="J692" s="2"/>
      <c r="K692" s="2"/>
      <c r="L692" s="2"/>
    </row>
    <row r="693" spans="4:12" x14ac:dyDescent="0.35">
      <c r="D693" s="2"/>
      <c r="E693" s="2"/>
      <c r="F693" s="2"/>
      <c r="G693" s="2"/>
      <c r="H693" s="2"/>
      <c r="I693" s="2"/>
      <c r="J693" s="2"/>
      <c r="K693" s="2"/>
      <c r="L693" s="2"/>
    </row>
    <row r="694" spans="4:12" x14ac:dyDescent="0.35">
      <c r="D694" s="2"/>
      <c r="E694" s="2"/>
      <c r="F694" s="2"/>
      <c r="G694" s="2"/>
      <c r="H694" s="2"/>
      <c r="I694" s="2"/>
      <c r="J694" s="2"/>
      <c r="K694" s="2"/>
      <c r="L694" s="2"/>
    </row>
    <row r="695" spans="4:12" x14ac:dyDescent="0.35">
      <c r="D695" s="2"/>
      <c r="E695" s="2"/>
      <c r="F695" s="2"/>
      <c r="G695" s="2"/>
      <c r="H695" s="2"/>
      <c r="I695" s="2"/>
      <c r="J695" s="2"/>
      <c r="K695" s="2"/>
      <c r="L695" s="2"/>
    </row>
    <row r="696" spans="4:12" x14ac:dyDescent="0.35">
      <c r="D696" s="2"/>
      <c r="E696" s="2"/>
      <c r="F696" s="2"/>
      <c r="G696" s="2"/>
      <c r="H696" s="2"/>
      <c r="I696" s="2"/>
      <c r="J696" s="2"/>
      <c r="K696" s="2"/>
      <c r="L696" s="2"/>
    </row>
    <row r="697" spans="4:12" x14ac:dyDescent="0.35">
      <c r="D697" s="2"/>
      <c r="E697" s="2"/>
      <c r="F697" s="2"/>
      <c r="G697" s="2"/>
      <c r="H697" s="2"/>
      <c r="I697" s="2"/>
      <c r="J697" s="2"/>
      <c r="K697" s="2"/>
      <c r="L697" s="2"/>
    </row>
    <row r="698" spans="4:12" x14ac:dyDescent="0.35">
      <c r="D698" s="2"/>
      <c r="E698" s="2"/>
      <c r="F698" s="2"/>
      <c r="G698" s="2"/>
      <c r="H698" s="2"/>
      <c r="I698" s="2"/>
      <c r="J698" s="2"/>
      <c r="K698" s="2"/>
      <c r="L698" s="2"/>
    </row>
    <row r="699" spans="4:12" x14ac:dyDescent="0.35">
      <c r="D699" s="2"/>
      <c r="E699" s="2"/>
      <c r="F699" s="2"/>
      <c r="G699" s="2"/>
      <c r="H699" s="2"/>
      <c r="I699" s="2"/>
      <c r="J699" s="2"/>
      <c r="K699" s="2"/>
      <c r="L699" s="2"/>
    </row>
    <row r="700" spans="4:12" x14ac:dyDescent="0.35">
      <c r="D700" s="2"/>
      <c r="E700" s="2"/>
      <c r="F700" s="2"/>
      <c r="G700" s="2"/>
      <c r="H700" s="2"/>
      <c r="I700" s="2"/>
      <c r="J700" s="2"/>
      <c r="K700" s="2"/>
      <c r="L700" s="2"/>
    </row>
    <row r="701" spans="4:12" x14ac:dyDescent="0.35">
      <c r="D701" s="2"/>
      <c r="E701" s="2"/>
      <c r="F701" s="2"/>
      <c r="G701" s="2"/>
      <c r="H701" s="2"/>
      <c r="I701" s="2"/>
      <c r="J701" s="2"/>
      <c r="K701" s="2"/>
      <c r="L701" s="2"/>
    </row>
    <row r="702" spans="4:12" x14ac:dyDescent="0.35">
      <c r="D702" s="2"/>
      <c r="E702" s="2"/>
      <c r="F702" s="2"/>
      <c r="G702" s="2"/>
      <c r="H702" s="2"/>
      <c r="I702" s="2"/>
      <c r="J702" s="2"/>
      <c r="K702" s="2"/>
      <c r="L702" s="2"/>
    </row>
    <row r="703" spans="4:12" x14ac:dyDescent="0.35">
      <c r="D703" s="2"/>
      <c r="E703" s="2"/>
      <c r="F703" s="2"/>
      <c r="G703" s="2"/>
      <c r="H703" s="2"/>
      <c r="I703" s="2"/>
      <c r="J703" s="2"/>
      <c r="K703" s="2"/>
      <c r="L703" s="2"/>
    </row>
    <row r="704" spans="4:12" x14ac:dyDescent="0.35">
      <c r="D704" s="2"/>
      <c r="E704" s="2"/>
      <c r="F704" s="2"/>
      <c r="G704" s="2"/>
      <c r="H704" s="2"/>
      <c r="I704" s="2"/>
      <c r="J704" s="2"/>
      <c r="K704" s="2"/>
      <c r="L704" s="2"/>
    </row>
    <row r="705" spans="4:12" x14ac:dyDescent="0.35">
      <c r="D705" s="2"/>
      <c r="E705" s="2"/>
      <c r="F705" s="2"/>
      <c r="G705" s="2"/>
      <c r="H705" s="2"/>
      <c r="I705" s="2"/>
      <c r="J705" s="2"/>
      <c r="K705" s="2"/>
      <c r="L705" s="2"/>
    </row>
    <row r="706" spans="4:12" x14ac:dyDescent="0.35">
      <c r="D706" s="2"/>
      <c r="E706" s="2"/>
      <c r="F706" s="2"/>
      <c r="G706" s="2"/>
      <c r="H706" s="2"/>
      <c r="I706" s="2"/>
      <c r="J706" s="2"/>
      <c r="K706" s="2"/>
      <c r="L706" s="2"/>
    </row>
    <row r="707" spans="4:12" x14ac:dyDescent="0.35">
      <c r="D707" s="2"/>
      <c r="E707" s="2"/>
      <c r="F707" s="2"/>
      <c r="G707" s="2"/>
      <c r="H707" s="2"/>
      <c r="I707" s="2"/>
      <c r="J707" s="2"/>
      <c r="K707" s="2"/>
      <c r="L707" s="2"/>
    </row>
    <row r="708" spans="4:12" x14ac:dyDescent="0.35">
      <c r="D708" s="2"/>
      <c r="E708" s="2"/>
      <c r="F708" s="2"/>
      <c r="G708" s="2"/>
      <c r="H708" s="2"/>
      <c r="I708" s="2"/>
      <c r="J708" s="2"/>
      <c r="K708" s="2"/>
      <c r="L708" s="2"/>
    </row>
    <row r="709" spans="4:12" x14ac:dyDescent="0.35">
      <c r="D709" s="2"/>
      <c r="E709" s="2"/>
      <c r="F709" s="2"/>
      <c r="G709" s="2"/>
      <c r="H709" s="2"/>
      <c r="I709" s="2"/>
      <c r="J709" s="2"/>
      <c r="K709" s="2"/>
      <c r="L709" s="2"/>
    </row>
    <row r="710" spans="4:12" x14ac:dyDescent="0.35">
      <c r="D710" s="2"/>
      <c r="E710" s="2"/>
      <c r="F710" s="2"/>
      <c r="G710" s="2"/>
      <c r="H710" s="2"/>
      <c r="I710" s="2"/>
      <c r="J710" s="2"/>
      <c r="K710" s="2"/>
      <c r="L710" s="2"/>
    </row>
    <row r="711" spans="4:12" x14ac:dyDescent="0.35">
      <c r="D711" s="2"/>
      <c r="E711" s="2"/>
      <c r="F711" s="2"/>
      <c r="G711" s="2"/>
      <c r="H711" s="2"/>
      <c r="I711" s="2"/>
      <c r="J711" s="2"/>
      <c r="K711" s="2"/>
      <c r="L711" s="2"/>
    </row>
    <row r="712" spans="4:12" x14ac:dyDescent="0.35">
      <c r="D712" s="2"/>
      <c r="E712" s="2"/>
      <c r="F712" s="2"/>
      <c r="G712" s="2"/>
      <c r="H712" s="2"/>
      <c r="I712" s="2"/>
      <c r="J712" s="2"/>
      <c r="K712" s="2"/>
      <c r="L712" s="2"/>
    </row>
    <row r="713" spans="4:12" x14ac:dyDescent="0.35">
      <c r="D713" s="2"/>
      <c r="E713" s="2"/>
      <c r="F713" s="2"/>
      <c r="G713" s="2"/>
      <c r="H713" s="2"/>
      <c r="I713" s="2"/>
      <c r="J713" s="2"/>
      <c r="K713" s="2"/>
      <c r="L713" s="2"/>
    </row>
    <row r="714" spans="4:12" x14ac:dyDescent="0.35">
      <c r="D714" s="2"/>
      <c r="E714" s="2"/>
      <c r="F714" s="2"/>
      <c r="G714" s="2"/>
      <c r="H714" s="2"/>
      <c r="I714" s="2"/>
      <c r="J714" s="2"/>
      <c r="K714" s="2"/>
      <c r="L714" s="2"/>
    </row>
    <row r="715" spans="4:12" x14ac:dyDescent="0.35">
      <c r="D715" s="2"/>
      <c r="E715" s="2"/>
      <c r="F715" s="2"/>
      <c r="G715" s="2"/>
      <c r="H715" s="2"/>
      <c r="I715" s="2"/>
      <c r="J715" s="2"/>
      <c r="K715" s="2"/>
      <c r="L715" s="2"/>
    </row>
    <row r="716" spans="4:12" x14ac:dyDescent="0.35">
      <c r="D716" s="2"/>
      <c r="E716" s="2"/>
      <c r="F716" s="2"/>
      <c r="G716" s="2"/>
      <c r="H716" s="2"/>
      <c r="I716" s="2"/>
      <c r="J716" s="2"/>
      <c r="K716" s="2"/>
      <c r="L716" s="2"/>
    </row>
    <row r="717" spans="4:12" x14ac:dyDescent="0.35">
      <c r="D717" s="2"/>
      <c r="E717" s="2"/>
      <c r="F717" s="2"/>
      <c r="G717" s="2"/>
      <c r="H717" s="2"/>
      <c r="I717" s="2"/>
      <c r="J717" s="2"/>
      <c r="K717" s="2"/>
      <c r="L717" s="2"/>
    </row>
    <row r="718" spans="4:12" x14ac:dyDescent="0.35">
      <c r="D718" s="2"/>
      <c r="E718" s="2"/>
      <c r="F718" s="2"/>
      <c r="G718" s="2"/>
      <c r="H718" s="2"/>
      <c r="I718" s="2"/>
      <c r="J718" s="2"/>
      <c r="K718" s="2"/>
      <c r="L718" s="2"/>
    </row>
    <row r="719" spans="4:12" x14ac:dyDescent="0.35">
      <c r="D719" s="2"/>
      <c r="E719" s="2"/>
      <c r="F719" s="2"/>
      <c r="G719" s="2"/>
      <c r="H719" s="2"/>
      <c r="I719" s="2"/>
      <c r="J719" s="2"/>
      <c r="K719" s="2"/>
      <c r="L719" s="2"/>
    </row>
    <row r="720" spans="4:12" x14ac:dyDescent="0.35">
      <c r="D720" s="2"/>
      <c r="E720" s="2"/>
      <c r="F720" s="2"/>
      <c r="G720" s="2"/>
      <c r="H720" s="2"/>
      <c r="I720" s="2"/>
      <c r="J720" s="2"/>
      <c r="K720" s="2"/>
      <c r="L720" s="2"/>
    </row>
    <row r="721" spans="4:12" x14ac:dyDescent="0.35">
      <c r="D721" s="2"/>
      <c r="E721" s="2"/>
      <c r="F721" s="2"/>
      <c r="G721" s="2"/>
      <c r="H721" s="2"/>
      <c r="I721" s="2"/>
      <c r="J721" s="2"/>
      <c r="K721" s="2"/>
      <c r="L721" s="2"/>
    </row>
    <row r="722" spans="4:12" x14ac:dyDescent="0.35">
      <c r="D722" s="2"/>
      <c r="E722" s="2"/>
      <c r="F722" s="2"/>
      <c r="G722" s="2"/>
      <c r="H722" s="2"/>
      <c r="I722" s="2"/>
      <c r="J722" s="2"/>
      <c r="K722" s="2"/>
      <c r="L722" s="2"/>
    </row>
    <row r="723" spans="4:12" x14ac:dyDescent="0.35">
      <c r="D723" s="2"/>
      <c r="E723" s="2"/>
      <c r="F723" s="2"/>
      <c r="G723" s="2"/>
      <c r="H723" s="2"/>
      <c r="I723" s="2"/>
      <c r="J723" s="2"/>
      <c r="K723" s="2"/>
      <c r="L723" s="2"/>
    </row>
    <row r="724" spans="4:12" x14ac:dyDescent="0.35">
      <c r="D724" s="2"/>
      <c r="E724" s="2"/>
      <c r="F724" s="2"/>
      <c r="G724" s="2"/>
      <c r="H724" s="2"/>
      <c r="I724" s="2"/>
      <c r="J724" s="2"/>
      <c r="K724" s="2"/>
      <c r="L724" s="2"/>
    </row>
    <row r="725" spans="4:12" x14ac:dyDescent="0.35">
      <c r="D725" s="2"/>
      <c r="E725" s="2"/>
      <c r="F725" s="2"/>
      <c r="G725" s="2"/>
      <c r="H725" s="2"/>
      <c r="I725" s="2"/>
      <c r="J725" s="2"/>
      <c r="K725" s="2"/>
      <c r="L725" s="2"/>
    </row>
    <row r="726" spans="4:12" x14ac:dyDescent="0.35">
      <c r="D726" s="2"/>
      <c r="E726" s="2"/>
      <c r="F726" s="2"/>
      <c r="G726" s="2"/>
      <c r="H726" s="2"/>
      <c r="I726" s="2"/>
      <c r="J726" s="2"/>
      <c r="K726" s="2"/>
      <c r="L726" s="2"/>
    </row>
    <row r="727" spans="4:12" x14ac:dyDescent="0.35">
      <c r="D727" s="2"/>
      <c r="E727" s="2"/>
      <c r="F727" s="2"/>
      <c r="G727" s="2"/>
      <c r="H727" s="2"/>
      <c r="I727" s="2"/>
      <c r="J727" s="2"/>
      <c r="K727" s="2"/>
      <c r="L727" s="2"/>
    </row>
    <row r="728" spans="4:12" x14ac:dyDescent="0.35">
      <c r="D728" s="2"/>
      <c r="E728" s="2"/>
      <c r="F728" s="2"/>
      <c r="G728" s="2"/>
      <c r="H728" s="2"/>
      <c r="I728" s="2"/>
      <c r="J728" s="2"/>
      <c r="K728" s="2"/>
      <c r="L728" s="2"/>
    </row>
    <row r="729" spans="4:12" x14ac:dyDescent="0.35">
      <c r="D729" s="2"/>
      <c r="E729" s="2"/>
      <c r="F729" s="2"/>
      <c r="G729" s="2"/>
      <c r="H729" s="2"/>
      <c r="I729" s="2"/>
      <c r="J729" s="2"/>
      <c r="K729" s="2"/>
      <c r="L729" s="2"/>
    </row>
    <row r="730" spans="4:12" x14ac:dyDescent="0.35">
      <c r="D730" s="2"/>
      <c r="E730" s="2"/>
      <c r="F730" s="2"/>
      <c r="G730" s="2"/>
      <c r="H730" s="2"/>
      <c r="I730" s="2"/>
      <c r="J730" s="2"/>
      <c r="K730" s="2"/>
      <c r="L730" s="2"/>
    </row>
    <row r="731" spans="4:12" x14ac:dyDescent="0.35">
      <c r="D731" s="2"/>
      <c r="E731" s="2"/>
      <c r="F731" s="2"/>
      <c r="G731" s="2"/>
      <c r="H731" s="2"/>
      <c r="I731" s="2"/>
      <c r="J731" s="2"/>
      <c r="K731" s="2"/>
      <c r="L731" s="2"/>
    </row>
    <row r="732" spans="4:12" x14ac:dyDescent="0.35">
      <c r="D732" s="2"/>
      <c r="E732" s="2"/>
      <c r="F732" s="2"/>
      <c r="G732" s="2"/>
      <c r="H732" s="2"/>
      <c r="I732" s="2"/>
      <c r="J732" s="2"/>
      <c r="K732" s="2"/>
      <c r="L732" s="2"/>
    </row>
    <row r="733" spans="4:12" x14ac:dyDescent="0.35">
      <c r="D733" s="2"/>
      <c r="E733" s="2"/>
      <c r="F733" s="2"/>
      <c r="G733" s="2"/>
      <c r="H733" s="2"/>
      <c r="I733" s="2"/>
      <c r="J733" s="2"/>
      <c r="K733" s="2"/>
      <c r="L733" s="2"/>
    </row>
    <row r="734" spans="4:12" x14ac:dyDescent="0.35">
      <c r="D734" s="2"/>
      <c r="E734" s="2"/>
      <c r="F734" s="2"/>
      <c r="G734" s="2"/>
      <c r="H734" s="2"/>
      <c r="I734" s="2"/>
      <c r="J734" s="2"/>
      <c r="K734" s="2"/>
      <c r="L734" s="2"/>
    </row>
    <row r="735" spans="4:12" x14ac:dyDescent="0.35">
      <c r="D735" s="2"/>
      <c r="E735" s="2"/>
      <c r="F735" s="2"/>
      <c r="G735" s="2"/>
      <c r="H735" s="2"/>
      <c r="I735" s="2"/>
      <c r="J735" s="2"/>
      <c r="K735" s="2"/>
      <c r="L735" s="2"/>
    </row>
    <row r="736" spans="4:12" x14ac:dyDescent="0.35">
      <c r="D736" s="2"/>
      <c r="E736" s="2"/>
      <c r="F736" s="2"/>
      <c r="G736" s="2"/>
      <c r="H736" s="2"/>
      <c r="I736" s="2"/>
      <c r="J736" s="2"/>
      <c r="K736" s="2"/>
      <c r="L736" s="2"/>
    </row>
    <row r="737" spans="4:12" x14ac:dyDescent="0.35">
      <c r="D737" s="2"/>
      <c r="E737" s="2"/>
      <c r="F737" s="2"/>
      <c r="G737" s="2"/>
      <c r="H737" s="2"/>
      <c r="I737" s="2"/>
      <c r="J737" s="2"/>
      <c r="K737" s="2"/>
      <c r="L737" s="2"/>
    </row>
    <row r="738" spans="4:12" x14ac:dyDescent="0.35">
      <c r="D738" s="2"/>
      <c r="E738" s="2"/>
      <c r="F738" s="2"/>
      <c r="G738" s="2"/>
      <c r="H738" s="2"/>
      <c r="I738" s="2"/>
      <c r="J738" s="2"/>
      <c r="K738" s="2"/>
      <c r="L738" s="2"/>
    </row>
    <row r="739" spans="4:12" x14ac:dyDescent="0.35">
      <c r="D739" s="2"/>
      <c r="E739" s="2"/>
      <c r="F739" s="2"/>
      <c r="G739" s="2"/>
      <c r="H739" s="2"/>
      <c r="I739" s="2"/>
      <c r="J739" s="2"/>
      <c r="K739" s="2"/>
      <c r="L739" s="2"/>
    </row>
    <row r="740" spans="4:12" x14ac:dyDescent="0.35">
      <c r="D740" s="2"/>
      <c r="E740" s="2"/>
      <c r="F740" s="2"/>
      <c r="G740" s="2"/>
      <c r="H740" s="2"/>
      <c r="I740" s="2"/>
      <c r="J740" s="2"/>
      <c r="K740" s="2"/>
      <c r="L740" s="2"/>
    </row>
    <row r="741" spans="4:12" x14ac:dyDescent="0.35">
      <c r="D741" s="2"/>
      <c r="E741" s="2"/>
      <c r="F741" s="2"/>
      <c r="G741" s="2"/>
      <c r="H741" s="2"/>
      <c r="I741" s="2"/>
      <c r="J741" s="2"/>
      <c r="K741" s="2"/>
      <c r="L741" s="2"/>
    </row>
    <row r="742" spans="4:12" x14ac:dyDescent="0.35">
      <c r="D742" s="2"/>
      <c r="E742" s="2"/>
      <c r="F742" s="2"/>
      <c r="G742" s="2"/>
      <c r="H742" s="2"/>
      <c r="I742" s="2"/>
      <c r="J742" s="2"/>
      <c r="K742" s="2"/>
      <c r="L742" s="2"/>
    </row>
    <row r="743" spans="4:12" x14ac:dyDescent="0.35">
      <c r="D743" s="2"/>
      <c r="E743" s="2"/>
      <c r="F743" s="2"/>
      <c r="G743" s="2"/>
      <c r="H743" s="2"/>
      <c r="I743" s="2"/>
      <c r="J743" s="2"/>
      <c r="K743" s="2"/>
      <c r="L743" s="2"/>
    </row>
    <row r="744" spans="4:12" x14ac:dyDescent="0.35">
      <c r="D744" s="2"/>
      <c r="E744" s="2"/>
      <c r="F744" s="2"/>
      <c r="G744" s="2"/>
      <c r="H744" s="2"/>
      <c r="I744" s="2"/>
      <c r="J744" s="2"/>
      <c r="K744" s="2"/>
      <c r="L744" s="2"/>
    </row>
    <row r="745" spans="4:12" x14ac:dyDescent="0.35">
      <c r="D745" s="2"/>
      <c r="E745" s="2"/>
      <c r="F745" s="2"/>
      <c r="G745" s="2"/>
      <c r="H745" s="2"/>
      <c r="I745" s="2"/>
      <c r="J745" s="2"/>
      <c r="K745" s="2"/>
      <c r="L745" s="2"/>
    </row>
    <row r="746" spans="4:12" x14ac:dyDescent="0.35">
      <c r="D746" s="2"/>
      <c r="E746" s="2"/>
      <c r="F746" s="2"/>
      <c r="G746" s="2"/>
      <c r="H746" s="2"/>
      <c r="I746" s="2"/>
      <c r="J746" s="2"/>
      <c r="K746" s="2"/>
      <c r="L746" s="2"/>
    </row>
    <row r="747" spans="4:12" x14ac:dyDescent="0.35">
      <c r="D747" s="2"/>
      <c r="E747" s="2"/>
      <c r="F747" s="2"/>
      <c r="G747" s="2"/>
      <c r="H747" s="2"/>
      <c r="I747" s="2"/>
      <c r="J747" s="2"/>
      <c r="K747" s="2"/>
      <c r="L747" s="2"/>
    </row>
    <row r="748" spans="4:12" x14ac:dyDescent="0.35">
      <c r="D748" s="2"/>
      <c r="E748" s="2"/>
      <c r="F748" s="2"/>
      <c r="G748" s="2"/>
      <c r="H748" s="2"/>
      <c r="I748" s="2"/>
      <c r="J748" s="2"/>
      <c r="K748" s="2"/>
      <c r="L748" s="2"/>
    </row>
    <row r="749" spans="4:12" x14ac:dyDescent="0.35">
      <c r="D749" s="2"/>
      <c r="E749" s="2"/>
      <c r="F749" s="2"/>
      <c r="G749" s="2"/>
      <c r="H749" s="2"/>
      <c r="I749" s="2"/>
      <c r="J749" s="2"/>
      <c r="K749" s="2"/>
      <c r="L749" s="2"/>
    </row>
    <row r="750" spans="4:12" x14ac:dyDescent="0.35">
      <c r="D750" s="2"/>
      <c r="E750" s="2"/>
      <c r="F750" s="2"/>
      <c r="G750" s="2"/>
      <c r="H750" s="2"/>
      <c r="I750" s="2"/>
      <c r="J750" s="2"/>
      <c r="K750" s="2"/>
      <c r="L750" s="2"/>
    </row>
    <row r="751" spans="4:12" x14ac:dyDescent="0.35">
      <c r="D751" s="2"/>
      <c r="E751" s="2"/>
      <c r="F751" s="2"/>
      <c r="G751" s="2"/>
      <c r="H751" s="2"/>
      <c r="I751" s="2"/>
      <c r="J751" s="2"/>
      <c r="K751" s="2"/>
      <c r="L751" s="2"/>
    </row>
    <row r="752" spans="4:12" x14ac:dyDescent="0.35">
      <c r="D752" s="2"/>
      <c r="E752" s="2"/>
      <c r="F752" s="2"/>
      <c r="G752" s="2"/>
      <c r="H752" s="2"/>
      <c r="I752" s="2"/>
      <c r="J752" s="2"/>
      <c r="K752" s="2"/>
      <c r="L752" s="2"/>
    </row>
    <row r="753" spans="4:12" x14ac:dyDescent="0.35">
      <c r="D753" s="2"/>
      <c r="E753" s="2"/>
      <c r="F753" s="2"/>
      <c r="G753" s="2"/>
      <c r="H753" s="2"/>
      <c r="I753" s="2"/>
      <c r="J753" s="2"/>
      <c r="K753" s="2"/>
      <c r="L753" s="2"/>
    </row>
    <row r="754" spans="4:12" x14ac:dyDescent="0.35">
      <c r="D754" s="2"/>
      <c r="E754" s="2"/>
      <c r="F754" s="2"/>
      <c r="G754" s="2"/>
      <c r="H754" s="2"/>
      <c r="I754" s="2"/>
      <c r="J754" s="2"/>
      <c r="K754" s="2"/>
      <c r="L754" s="2"/>
    </row>
    <row r="755" spans="4:12" x14ac:dyDescent="0.35">
      <c r="D755" s="2"/>
      <c r="E755" s="2"/>
      <c r="F755" s="2"/>
      <c r="G755" s="2"/>
      <c r="H755" s="2"/>
      <c r="I755" s="2"/>
      <c r="J755" s="2"/>
      <c r="K755" s="2"/>
      <c r="L755" s="2"/>
    </row>
    <row r="756" spans="4:12" x14ac:dyDescent="0.35">
      <c r="D756" s="2"/>
      <c r="E756" s="2"/>
      <c r="F756" s="2"/>
      <c r="G756" s="2"/>
      <c r="H756" s="2"/>
      <c r="I756" s="2"/>
      <c r="J756" s="2"/>
      <c r="K756" s="2"/>
      <c r="L756" s="2"/>
    </row>
    <row r="757" spans="4:12" x14ac:dyDescent="0.35">
      <c r="D757" s="2"/>
      <c r="E757" s="2"/>
      <c r="F757" s="2"/>
      <c r="G757" s="2"/>
      <c r="H757" s="2"/>
      <c r="I757" s="2"/>
      <c r="J757" s="2"/>
      <c r="K757" s="2"/>
      <c r="L757" s="2"/>
    </row>
    <row r="758" spans="4:12" x14ac:dyDescent="0.35">
      <c r="D758" s="2"/>
      <c r="E758" s="2"/>
      <c r="F758" s="2"/>
      <c r="G758" s="2"/>
      <c r="H758" s="2"/>
      <c r="I758" s="2"/>
      <c r="J758" s="2"/>
      <c r="K758" s="2"/>
      <c r="L758" s="2"/>
    </row>
    <row r="759" spans="4:12" x14ac:dyDescent="0.35">
      <c r="D759" s="2"/>
      <c r="E759" s="2"/>
      <c r="F759" s="2"/>
      <c r="G759" s="2"/>
      <c r="H759" s="2"/>
      <c r="I759" s="2"/>
      <c r="J759" s="2"/>
      <c r="K759" s="2"/>
      <c r="L759" s="2"/>
    </row>
    <row r="760" spans="4:12" x14ac:dyDescent="0.35">
      <c r="D760" s="2"/>
      <c r="E760" s="2"/>
      <c r="F760" s="2"/>
      <c r="G760" s="2"/>
      <c r="H760" s="2"/>
      <c r="I760" s="2"/>
      <c r="J760" s="2"/>
      <c r="K760" s="2"/>
      <c r="L760" s="2"/>
    </row>
    <row r="761" spans="4:12" x14ac:dyDescent="0.35">
      <c r="D761" s="2"/>
      <c r="E761" s="2"/>
      <c r="F761" s="2"/>
      <c r="G761" s="2"/>
      <c r="H761" s="2"/>
      <c r="I761" s="2"/>
      <c r="J761" s="2"/>
      <c r="K761" s="2"/>
      <c r="L761" s="2"/>
    </row>
    <row r="762" spans="4:12" x14ac:dyDescent="0.35">
      <c r="D762" s="2"/>
      <c r="E762" s="2"/>
      <c r="F762" s="2"/>
      <c r="G762" s="2"/>
      <c r="H762" s="2"/>
      <c r="I762" s="2"/>
      <c r="J762" s="2"/>
      <c r="K762" s="2"/>
      <c r="L762" s="2"/>
    </row>
    <row r="763" spans="4:12" x14ac:dyDescent="0.35">
      <c r="D763" s="2"/>
      <c r="E763" s="2"/>
      <c r="F763" s="2"/>
      <c r="G763" s="2"/>
      <c r="H763" s="2"/>
      <c r="I763" s="2"/>
      <c r="J763" s="2"/>
      <c r="K763" s="2"/>
      <c r="L763" s="2"/>
    </row>
    <row r="764" spans="4:12" x14ac:dyDescent="0.35">
      <c r="D764" s="2"/>
      <c r="E764" s="2"/>
      <c r="F764" s="2"/>
      <c r="G764" s="2"/>
      <c r="H764" s="2"/>
      <c r="I764" s="2"/>
      <c r="J764" s="2"/>
      <c r="K764" s="2"/>
      <c r="L764" s="2"/>
    </row>
    <row r="765" spans="4:12" x14ac:dyDescent="0.35">
      <c r="D765" s="2"/>
      <c r="E765" s="2"/>
      <c r="F765" s="2"/>
      <c r="G765" s="2"/>
      <c r="H765" s="2"/>
      <c r="I765" s="2"/>
      <c r="J765" s="2"/>
      <c r="K765" s="2"/>
      <c r="L765" s="2"/>
    </row>
    <row r="766" spans="4:12" x14ac:dyDescent="0.35">
      <c r="D766" s="2"/>
      <c r="E766" s="2"/>
      <c r="F766" s="2"/>
      <c r="G766" s="2"/>
      <c r="H766" s="2"/>
      <c r="I766" s="2"/>
      <c r="J766" s="2"/>
      <c r="K766" s="2"/>
      <c r="L766" s="2"/>
    </row>
    <row r="767" spans="4:12" x14ac:dyDescent="0.35">
      <c r="D767" s="2"/>
      <c r="E767" s="2"/>
      <c r="F767" s="2"/>
      <c r="G767" s="2"/>
      <c r="H767" s="2"/>
      <c r="I767" s="2"/>
      <c r="J767" s="2"/>
      <c r="K767" s="2"/>
      <c r="L767" s="2"/>
    </row>
    <row r="768" spans="4:12" x14ac:dyDescent="0.35">
      <c r="D768" s="2"/>
      <c r="E768" s="2"/>
      <c r="F768" s="2"/>
      <c r="G768" s="2"/>
      <c r="H768" s="2"/>
      <c r="I768" s="2"/>
      <c r="J768" s="2"/>
      <c r="K768" s="2"/>
      <c r="L768" s="2"/>
    </row>
    <row r="769" spans="4:12" x14ac:dyDescent="0.35">
      <c r="D769" s="2"/>
      <c r="E769" s="2"/>
      <c r="F769" s="2"/>
      <c r="G769" s="2"/>
      <c r="H769" s="2"/>
      <c r="I769" s="2"/>
      <c r="J769" s="2"/>
      <c r="K769" s="2"/>
      <c r="L769" s="2"/>
    </row>
    <row r="770" spans="4:12" x14ac:dyDescent="0.35">
      <c r="D770" s="2"/>
      <c r="E770" s="2"/>
      <c r="F770" s="2"/>
      <c r="G770" s="2"/>
      <c r="H770" s="2"/>
      <c r="I770" s="2"/>
      <c r="J770" s="2"/>
      <c r="K770" s="2"/>
      <c r="L770" s="2"/>
    </row>
    <row r="771" spans="4:12" x14ac:dyDescent="0.35">
      <c r="D771" s="2"/>
      <c r="E771" s="2"/>
      <c r="F771" s="2"/>
      <c r="G771" s="2"/>
      <c r="H771" s="2"/>
      <c r="I771" s="2"/>
      <c r="J771" s="2"/>
      <c r="K771" s="2"/>
      <c r="L771" s="2"/>
    </row>
    <row r="772" spans="4:12" x14ac:dyDescent="0.35">
      <c r="D772" s="2"/>
      <c r="E772" s="2"/>
      <c r="F772" s="2"/>
      <c r="G772" s="2"/>
      <c r="H772" s="2"/>
      <c r="I772" s="2"/>
      <c r="J772" s="2"/>
      <c r="K772" s="2"/>
      <c r="L772" s="2"/>
    </row>
    <row r="773" spans="4:12" x14ac:dyDescent="0.35">
      <c r="D773" s="2"/>
      <c r="E773" s="2"/>
      <c r="F773" s="2"/>
      <c r="G773" s="2"/>
      <c r="H773" s="2"/>
      <c r="I773" s="2"/>
      <c r="J773" s="2"/>
      <c r="K773" s="2"/>
      <c r="L773" s="2"/>
    </row>
    <row r="774" spans="4:12" x14ac:dyDescent="0.35">
      <c r="D774" s="2"/>
      <c r="E774" s="2"/>
      <c r="F774" s="2"/>
      <c r="G774" s="2"/>
      <c r="H774" s="2"/>
      <c r="I774" s="2"/>
      <c r="J774" s="2"/>
      <c r="K774" s="2"/>
      <c r="L774" s="2"/>
    </row>
    <row r="775" spans="4:12" x14ac:dyDescent="0.35">
      <c r="D775" s="2"/>
      <c r="E775" s="2"/>
      <c r="F775" s="2"/>
      <c r="G775" s="2"/>
      <c r="H775" s="2"/>
      <c r="I775" s="2"/>
      <c r="J775" s="2"/>
      <c r="K775" s="2"/>
      <c r="L775" s="2"/>
    </row>
    <row r="776" spans="4:12" x14ac:dyDescent="0.35">
      <c r="D776" s="2"/>
      <c r="E776" s="2"/>
      <c r="F776" s="2"/>
      <c r="G776" s="2"/>
      <c r="H776" s="2"/>
      <c r="I776" s="2"/>
      <c r="J776" s="2"/>
      <c r="K776" s="2"/>
      <c r="L776" s="2"/>
    </row>
    <row r="777" spans="4:12" x14ac:dyDescent="0.35">
      <c r="D777" s="2"/>
      <c r="E777" s="2"/>
      <c r="F777" s="2"/>
      <c r="G777" s="2"/>
      <c r="H777" s="2"/>
      <c r="I777" s="2"/>
      <c r="J777" s="2"/>
      <c r="K777" s="2"/>
      <c r="L777" s="2"/>
    </row>
    <row r="778" spans="4:12" x14ac:dyDescent="0.35">
      <c r="D778" s="2"/>
      <c r="E778" s="2"/>
      <c r="F778" s="2"/>
      <c r="G778" s="2"/>
      <c r="H778" s="2"/>
      <c r="I778" s="2"/>
      <c r="J778" s="2"/>
      <c r="K778" s="2"/>
      <c r="L778" s="2"/>
    </row>
    <row r="779" spans="4:12" x14ac:dyDescent="0.35">
      <c r="D779" s="2"/>
      <c r="E779" s="2"/>
      <c r="F779" s="2"/>
      <c r="G779" s="2"/>
      <c r="H779" s="2"/>
      <c r="I779" s="2"/>
      <c r="J779" s="2"/>
      <c r="K779" s="2"/>
      <c r="L779" s="2"/>
    </row>
    <row r="780" spans="4:12" x14ac:dyDescent="0.35">
      <c r="D780" s="2"/>
      <c r="E780" s="2"/>
      <c r="F780" s="2"/>
      <c r="G780" s="2"/>
      <c r="H780" s="2"/>
      <c r="I780" s="2"/>
      <c r="J780" s="2"/>
      <c r="K780" s="2"/>
      <c r="L780" s="2"/>
    </row>
    <row r="781" spans="4:12" x14ac:dyDescent="0.35">
      <c r="D781" s="2"/>
      <c r="E781" s="2"/>
      <c r="F781" s="2"/>
      <c r="G781" s="2"/>
      <c r="H781" s="2"/>
      <c r="I781" s="2"/>
      <c r="J781" s="2"/>
      <c r="K781" s="2"/>
      <c r="L781" s="2"/>
    </row>
    <row r="782" spans="4:12" x14ac:dyDescent="0.35">
      <c r="D782" s="2"/>
      <c r="E782" s="2"/>
      <c r="F782" s="2"/>
      <c r="G782" s="2"/>
      <c r="H782" s="2"/>
      <c r="I782" s="2"/>
      <c r="J782" s="2"/>
      <c r="K782" s="2"/>
      <c r="L782" s="2"/>
    </row>
    <row r="783" spans="4:12" x14ac:dyDescent="0.35">
      <c r="D783" s="2"/>
      <c r="E783" s="2"/>
      <c r="F783" s="2"/>
      <c r="G783" s="2"/>
      <c r="H783" s="2"/>
      <c r="I783" s="2"/>
      <c r="J783" s="2"/>
      <c r="K783" s="2"/>
      <c r="L783" s="2"/>
    </row>
    <row r="784" spans="4:12" x14ac:dyDescent="0.35">
      <c r="D784" s="2"/>
      <c r="E784" s="2"/>
      <c r="F784" s="2"/>
      <c r="G784" s="2"/>
      <c r="H784" s="2"/>
      <c r="I784" s="2"/>
      <c r="J784" s="2"/>
      <c r="K784" s="2"/>
      <c r="L784" s="2"/>
    </row>
    <row r="785" spans="4:12" x14ac:dyDescent="0.35">
      <c r="D785" s="2"/>
      <c r="E785" s="2"/>
      <c r="F785" s="2"/>
      <c r="G785" s="2"/>
      <c r="H785" s="2"/>
      <c r="I785" s="2"/>
      <c r="J785" s="2"/>
      <c r="K785" s="2"/>
      <c r="L785" s="2"/>
    </row>
    <row r="786" spans="4:12" x14ac:dyDescent="0.35">
      <c r="D786" s="2"/>
      <c r="E786" s="2"/>
      <c r="F786" s="2"/>
      <c r="G786" s="2"/>
      <c r="H786" s="2"/>
      <c r="I786" s="2"/>
      <c r="J786" s="2"/>
      <c r="K786" s="2"/>
      <c r="L786" s="2"/>
    </row>
    <row r="787" spans="4:12" x14ac:dyDescent="0.35">
      <c r="D787" s="2"/>
      <c r="E787" s="2"/>
      <c r="F787" s="2"/>
      <c r="G787" s="2"/>
      <c r="H787" s="2"/>
      <c r="I787" s="2"/>
      <c r="J787" s="2"/>
      <c r="K787" s="2"/>
      <c r="L787" s="2"/>
    </row>
    <row r="788" spans="4:12" x14ac:dyDescent="0.35">
      <c r="D788" s="2"/>
      <c r="E788" s="2"/>
      <c r="F788" s="2"/>
      <c r="G788" s="2"/>
      <c r="H788" s="2"/>
      <c r="I788" s="2"/>
      <c r="J788" s="2"/>
      <c r="K788" s="2"/>
      <c r="L788" s="2"/>
    </row>
    <row r="789" spans="4:12" x14ac:dyDescent="0.35">
      <c r="D789" s="2"/>
      <c r="E789" s="2"/>
      <c r="F789" s="2"/>
      <c r="G789" s="2"/>
      <c r="H789" s="2"/>
      <c r="I789" s="2"/>
      <c r="J789" s="2"/>
      <c r="K789" s="2"/>
      <c r="L789" s="2"/>
    </row>
    <row r="790" spans="4:12" x14ac:dyDescent="0.35">
      <c r="D790" s="2"/>
      <c r="E790" s="2"/>
      <c r="F790" s="2"/>
      <c r="G790" s="2"/>
      <c r="H790" s="2"/>
      <c r="I790" s="2"/>
      <c r="J790" s="2"/>
      <c r="K790" s="2"/>
      <c r="L790" s="2"/>
    </row>
    <row r="791" spans="4:12" x14ac:dyDescent="0.35">
      <c r="D791" s="2"/>
      <c r="E791" s="2"/>
      <c r="F791" s="2"/>
      <c r="G791" s="2"/>
      <c r="H791" s="2"/>
      <c r="I791" s="2"/>
      <c r="J791" s="2"/>
      <c r="K791" s="2"/>
      <c r="L791" s="2"/>
    </row>
    <row r="792" spans="4:12" x14ac:dyDescent="0.35">
      <c r="D792" s="2"/>
      <c r="E792" s="2"/>
      <c r="F792" s="2"/>
      <c r="G792" s="2"/>
      <c r="H792" s="2"/>
      <c r="I792" s="2"/>
      <c r="J792" s="2"/>
      <c r="K792" s="2"/>
      <c r="L792" s="2"/>
    </row>
    <row r="793" spans="4:12" x14ac:dyDescent="0.35">
      <c r="D793" s="2"/>
      <c r="E793" s="2"/>
      <c r="F793" s="2"/>
      <c r="G793" s="2"/>
      <c r="H793" s="2"/>
      <c r="I793" s="2"/>
      <c r="J793" s="2"/>
      <c r="K793" s="2"/>
      <c r="L793" s="2"/>
    </row>
    <row r="794" spans="4:12" x14ac:dyDescent="0.35">
      <c r="D794" s="2"/>
      <c r="E794" s="2"/>
      <c r="F794" s="2"/>
      <c r="G794" s="2"/>
      <c r="H794" s="2"/>
      <c r="I794" s="2"/>
      <c r="J794" s="2"/>
      <c r="K794" s="2"/>
      <c r="L794" s="2"/>
    </row>
    <row r="795" spans="4:12" x14ac:dyDescent="0.35">
      <c r="D795" s="2"/>
      <c r="E795" s="2"/>
      <c r="F795" s="2"/>
      <c r="G795" s="2"/>
      <c r="H795" s="2"/>
      <c r="I795" s="2"/>
      <c r="J795" s="2"/>
      <c r="K795" s="2"/>
      <c r="L795" s="2"/>
    </row>
    <row r="796" spans="4:12" x14ac:dyDescent="0.35">
      <c r="D796" s="2"/>
      <c r="E796" s="2"/>
      <c r="F796" s="2"/>
      <c r="G796" s="2"/>
      <c r="H796" s="2"/>
      <c r="I796" s="2"/>
      <c r="J796" s="2"/>
      <c r="K796" s="2"/>
      <c r="L796" s="2"/>
    </row>
    <row r="797" spans="4:12" x14ac:dyDescent="0.35">
      <c r="D797" s="2"/>
      <c r="E797" s="2"/>
      <c r="F797" s="2"/>
      <c r="G797" s="2"/>
      <c r="H797" s="2"/>
      <c r="I797" s="2"/>
      <c r="J797" s="2"/>
      <c r="K797" s="2"/>
      <c r="L797" s="2"/>
    </row>
    <row r="798" spans="4:12" x14ac:dyDescent="0.35">
      <c r="D798" s="2"/>
      <c r="E798" s="2"/>
      <c r="F798" s="2"/>
      <c r="G798" s="2"/>
      <c r="H798" s="2"/>
      <c r="I798" s="2"/>
      <c r="J798" s="2"/>
      <c r="K798" s="2"/>
      <c r="L798" s="2"/>
    </row>
    <row r="799" spans="4:12" x14ac:dyDescent="0.35">
      <c r="D799" s="2"/>
      <c r="E799" s="2"/>
      <c r="F799" s="2"/>
      <c r="G799" s="2"/>
      <c r="H799" s="2"/>
      <c r="I799" s="2"/>
      <c r="J799" s="2"/>
      <c r="K799" s="2"/>
      <c r="L799" s="2"/>
    </row>
    <row r="800" spans="4:12" x14ac:dyDescent="0.35">
      <c r="D800" s="2"/>
      <c r="E800" s="2"/>
      <c r="F800" s="2"/>
      <c r="G800" s="2"/>
      <c r="H800" s="2"/>
      <c r="I800" s="2"/>
      <c r="J800" s="2"/>
      <c r="K800" s="2"/>
      <c r="L800" s="2"/>
    </row>
    <row r="801" spans="4:12" x14ac:dyDescent="0.35">
      <c r="D801" s="2"/>
      <c r="E801" s="2"/>
      <c r="F801" s="2"/>
      <c r="G801" s="2"/>
      <c r="H801" s="2"/>
      <c r="I801" s="2"/>
      <c r="J801" s="2"/>
      <c r="K801" s="2"/>
      <c r="L801" s="2"/>
    </row>
    <row r="802" spans="4:12" x14ac:dyDescent="0.35">
      <c r="D802" s="2"/>
      <c r="E802" s="2"/>
      <c r="F802" s="2"/>
      <c r="G802" s="2"/>
      <c r="H802" s="2"/>
      <c r="I802" s="2"/>
      <c r="J802" s="2"/>
      <c r="K802" s="2"/>
      <c r="L802" s="2"/>
    </row>
    <row r="803" spans="4:12" x14ac:dyDescent="0.35">
      <c r="D803" s="2"/>
      <c r="E803" s="2"/>
      <c r="F803" s="2"/>
      <c r="G803" s="2"/>
      <c r="H803" s="2"/>
      <c r="I803" s="2"/>
      <c r="J803" s="2"/>
      <c r="K803" s="2"/>
      <c r="L803" s="2"/>
    </row>
    <row r="804" spans="4:12" x14ac:dyDescent="0.35">
      <c r="D804" s="2"/>
      <c r="E804" s="2"/>
      <c r="F804" s="2"/>
      <c r="G804" s="2"/>
      <c r="H804" s="2"/>
      <c r="I804" s="2"/>
      <c r="J804" s="2"/>
      <c r="K804" s="2"/>
      <c r="L804" s="2"/>
    </row>
    <row r="805" spans="4:12" x14ac:dyDescent="0.35">
      <c r="D805" s="2"/>
      <c r="E805" s="2"/>
      <c r="F805" s="2"/>
      <c r="G805" s="2"/>
      <c r="H805" s="2"/>
      <c r="I805" s="2"/>
      <c r="J805" s="2"/>
      <c r="K805" s="2"/>
      <c r="L805" s="2"/>
    </row>
    <row r="806" spans="4:12" x14ac:dyDescent="0.35">
      <c r="D806" s="2"/>
      <c r="E806" s="2"/>
      <c r="F806" s="2"/>
      <c r="G806" s="2"/>
      <c r="H806" s="2"/>
      <c r="I806" s="2"/>
      <c r="J806" s="2"/>
      <c r="K806" s="2"/>
      <c r="L806" s="2"/>
    </row>
    <row r="807" spans="4:12" x14ac:dyDescent="0.35">
      <c r="D807" s="2"/>
      <c r="E807" s="2"/>
      <c r="F807" s="2"/>
      <c r="G807" s="2"/>
      <c r="H807" s="2"/>
      <c r="I807" s="2"/>
      <c r="J807" s="2"/>
      <c r="K807" s="2"/>
      <c r="L807" s="2"/>
    </row>
    <row r="808" spans="4:12" x14ac:dyDescent="0.35">
      <c r="D808" s="2"/>
      <c r="E808" s="2"/>
      <c r="F808" s="2"/>
      <c r="G808" s="2"/>
      <c r="H808" s="2"/>
      <c r="I808" s="2"/>
      <c r="J808" s="2"/>
      <c r="K808" s="2"/>
      <c r="L808" s="2"/>
    </row>
    <row r="809" spans="4:12" x14ac:dyDescent="0.35">
      <c r="D809" s="2"/>
      <c r="E809" s="2"/>
      <c r="F809" s="2"/>
      <c r="G809" s="2"/>
      <c r="H809" s="2"/>
      <c r="I809" s="2"/>
      <c r="J809" s="2"/>
      <c r="K809" s="2"/>
      <c r="L809" s="2"/>
    </row>
    <row r="810" spans="4:12" x14ac:dyDescent="0.35">
      <c r="D810" s="2"/>
      <c r="E810" s="2"/>
      <c r="F810" s="2"/>
      <c r="G810" s="2"/>
      <c r="H810" s="2"/>
      <c r="I810" s="2"/>
      <c r="J810" s="2"/>
      <c r="K810" s="2"/>
      <c r="L810" s="2"/>
    </row>
    <row r="811" spans="4:12" x14ac:dyDescent="0.35">
      <c r="D811" s="2"/>
      <c r="E811" s="2"/>
      <c r="F811" s="2"/>
      <c r="G811" s="2"/>
      <c r="H811" s="2"/>
      <c r="I811" s="2"/>
      <c r="J811" s="2"/>
      <c r="K811" s="2"/>
      <c r="L811" s="2"/>
    </row>
    <row r="812" spans="4:12" x14ac:dyDescent="0.35">
      <c r="D812" s="2"/>
      <c r="E812" s="2"/>
      <c r="F812" s="2"/>
      <c r="G812" s="2"/>
      <c r="H812" s="2"/>
      <c r="I812" s="2"/>
      <c r="J812" s="2"/>
      <c r="K812" s="2"/>
      <c r="L812" s="2"/>
    </row>
    <row r="813" spans="4:12" x14ac:dyDescent="0.35">
      <c r="D813" s="2"/>
      <c r="E813" s="2"/>
      <c r="F813" s="2"/>
      <c r="G813" s="2"/>
      <c r="H813" s="2"/>
      <c r="I813" s="2"/>
      <c r="J813" s="2"/>
      <c r="K813" s="2"/>
      <c r="L813" s="2"/>
    </row>
    <row r="814" spans="4:12" x14ac:dyDescent="0.35">
      <c r="D814" s="2"/>
      <c r="E814" s="2"/>
      <c r="F814" s="2"/>
      <c r="G814" s="2"/>
      <c r="H814" s="2"/>
      <c r="I814" s="2"/>
      <c r="J814" s="2"/>
      <c r="K814" s="2"/>
      <c r="L814" s="2"/>
    </row>
    <row r="815" spans="4:12" x14ac:dyDescent="0.35">
      <c r="D815" s="2"/>
      <c r="E815" s="2"/>
      <c r="F815" s="2"/>
      <c r="G815" s="2"/>
      <c r="H815" s="2"/>
      <c r="I815" s="2"/>
      <c r="J815" s="2"/>
      <c r="K815" s="2"/>
      <c r="L815" s="2"/>
    </row>
    <row r="816" spans="4:12" x14ac:dyDescent="0.35">
      <c r="D816" s="2"/>
      <c r="E816" s="2"/>
      <c r="F816" s="2"/>
      <c r="G816" s="2"/>
      <c r="H816" s="2"/>
      <c r="I816" s="2"/>
      <c r="J816" s="2"/>
      <c r="K816" s="2"/>
      <c r="L816" s="2"/>
    </row>
    <row r="817" spans="4:12" x14ac:dyDescent="0.35">
      <c r="D817" s="2"/>
      <c r="E817" s="2"/>
      <c r="F817" s="2"/>
      <c r="G817" s="2"/>
      <c r="H817" s="2"/>
      <c r="I817" s="2"/>
      <c r="J817" s="2"/>
      <c r="K817" s="2"/>
      <c r="L817" s="2"/>
    </row>
    <row r="818" spans="4:12" x14ac:dyDescent="0.35">
      <c r="D818" s="2"/>
      <c r="E818" s="2"/>
      <c r="F818" s="2"/>
      <c r="G818" s="2"/>
      <c r="H818" s="2"/>
      <c r="I818" s="2"/>
      <c r="J818" s="2"/>
      <c r="K818" s="2"/>
      <c r="L818" s="2"/>
    </row>
    <row r="819" spans="4:12" x14ac:dyDescent="0.35">
      <c r="D819" s="2"/>
      <c r="E819" s="2"/>
      <c r="F819" s="2"/>
      <c r="G819" s="2"/>
      <c r="H819" s="2"/>
      <c r="I819" s="2"/>
      <c r="J819" s="2"/>
      <c r="K819" s="2"/>
      <c r="L819" s="2"/>
    </row>
    <row r="820" spans="4:12" x14ac:dyDescent="0.35">
      <c r="D820" s="2"/>
      <c r="E820" s="2"/>
      <c r="F820" s="2"/>
      <c r="G820" s="2"/>
      <c r="H820" s="2"/>
      <c r="I820" s="2"/>
      <c r="J820" s="2"/>
      <c r="K820" s="2"/>
      <c r="L820" s="2"/>
    </row>
    <row r="821" spans="4:12" x14ac:dyDescent="0.35">
      <c r="D821" s="2"/>
      <c r="E821" s="2"/>
      <c r="F821" s="2"/>
      <c r="G821" s="2"/>
      <c r="H821" s="2"/>
      <c r="I821" s="2"/>
      <c r="J821" s="2"/>
      <c r="K821" s="2"/>
      <c r="L821" s="2"/>
    </row>
    <row r="822" spans="4:12" x14ac:dyDescent="0.35">
      <c r="D822" s="2"/>
      <c r="E822" s="2"/>
      <c r="F822" s="2"/>
      <c r="G822" s="2"/>
      <c r="H822" s="2"/>
      <c r="I822" s="2"/>
      <c r="J822" s="2"/>
      <c r="K822" s="2"/>
      <c r="L822" s="2"/>
    </row>
    <row r="823" spans="4:12" x14ac:dyDescent="0.35">
      <c r="D823" s="2"/>
      <c r="E823" s="2"/>
      <c r="F823" s="2"/>
      <c r="G823" s="2"/>
      <c r="H823" s="2"/>
      <c r="I823" s="2"/>
      <c r="J823" s="2"/>
      <c r="K823" s="2"/>
      <c r="L823" s="2"/>
    </row>
    <row r="824" spans="4:12" x14ac:dyDescent="0.35">
      <c r="D824" s="2"/>
      <c r="E824" s="2"/>
      <c r="F824" s="2"/>
      <c r="G824" s="2"/>
      <c r="H824" s="2"/>
      <c r="I824" s="2"/>
      <c r="J824" s="2"/>
      <c r="K824" s="2"/>
      <c r="L824" s="2"/>
    </row>
    <row r="825" spans="4:12" x14ac:dyDescent="0.35">
      <c r="D825" s="2"/>
      <c r="E825" s="2"/>
      <c r="F825" s="2"/>
      <c r="G825" s="2"/>
      <c r="H825" s="2"/>
      <c r="I825" s="2"/>
      <c r="J825" s="2"/>
      <c r="K825" s="2"/>
      <c r="L825" s="2"/>
    </row>
    <row r="826" spans="4:12" x14ac:dyDescent="0.35">
      <c r="D826" s="2"/>
      <c r="E826" s="2"/>
      <c r="F826" s="2"/>
      <c r="G826" s="2"/>
      <c r="H826" s="2"/>
      <c r="I826" s="2"/>
      <c r="J826" s="2"/>
      <c r="K826" s="2"/>
      <c r="L826" s="2"/>
    </row>
    <row r="827" spans="4:12" x14ac:dyDescent="0.35">
      <c r="D827" s="2"/>
      <c r="E827" s="2"/>
      <c r="F827" s="2"/>
      <c r="G827" s="2"/>
      <c r="H827" s="2"/>
      <c r="I827" s="2"/>
      <c r="J827" s="2"/>
      <c r="K827" s="2"/>
      <c r="L827" s="2"/>
    </row>
    <row r="828" spans="4:12" x14ac:dyDescent="0.35">
      <c r="D828" s="2"/>
      <c r="E828" s="2"/>
      <c r="F828" s="2"/>
      <c r="G828" s="2"/>
      <c r="H828" s="2"/>
      <c r="I828" s="2"/>
      <c r="J828" s="2"/>
      <c r="K828" s="2"/>
      <c r="L828" s="2"/>
    </row>
    <row r="829" spans="4:12" x14ac:dyDescent="0.35">
      <c r="D829" s="2"/>
      <c r="E829" s="2"/>
      <c r="F829" s="2"/>
      <c r="G829" s="2"/>
      <c r="H829" s="2"/>
      <c r="I829" s="2"/>
      <c r="J829" s="2"/>
      <c r="K829" s="2"/>
      <c r="L829" s="2"/>
    </row>
    <row r="830" spans="4:12" x14ac:dyDescent="0.35">
      <c r="D830" s="2"/>
      <c r="E830" s="2"/>
      <c r="F830" s="2"/>
      <c r="G830" s="2"/>
      <c r="H830" s="2"/>
      <c r="I830" s="2"/>
      <c r="J830" s="2"/>
      <c r="K830" s="2"/>
      <c r="L830" s="2"/>
    </row>
    <row r="831" spans="4:12" x14ac:dyDescent="0.35">
      <c r="D831" s="2"/>
      <c r="E831" s="2"/>
      <c r="F831" s="2"/>
      <c r="G831" s="2"/>
      <c r="H831" s="2"/>
      <c r="I831" s="2"/>
      <c r="J831" s="2"/>
      <c r="K831" s="2"/>
      <c r="L831" s="2"/>
    </row>
    <row r="832" spans="4:12" x14ac:dyDescent="0.35">
      <c r="D832" s="2"/>
      <c r="E832" s="2"/>
      <c r="F832" s="2"/>
      <c r="G832" s="2"/>
      <c r="H832" s="2"/>
      <c r="I832" s="2"/>
      <c r="J832" s="2"/>
      <c r="K832" s="2"/>
      <c r="L832" s="2"/>
    </row>
    <row r="833" spans="4:12" x14ac:dyDescent="0.35">
      <c r="D833" s="2"/>
      <c r="E833" s="2"/>
      <c r="F833" s="2"/>
      <c r="G833" s="2"/>
      <c r="H833" s="2"/>
      <c r="I833" s="2"/>
      <c r="J833" s="2"/>
      <c r="K833" s="2"/>
      <c r="L833" s="2"/>
    </row>
    <row r="834" spans="4:12" x14ac:dyDescent="0.35">
      <c r="D834" s="2"/>
      <c r="E834" s="2"/>
      <c r="F834" s="2"/>
      <c r="G834" s="2"/>
      <c r="H834" s="2"/>
      <c r="I834" s="2"/>
      <c r="J834" s="2"/>
      <c r="K834" s="2"/>
      <c r="L834" s="2"/>
    </row>
    <row r="835" spans="4:12" x14ac:dyDescent="0.35">
      <c r="D835" s="2"/>
      <c r="E835" s="2"/>
      <c r="F835" s="2"/>
      <c r="G835" s="2"/>
      <c r="H835" s="2"/>
      <c r="I835" s="2"/>
      <c r="J835" s="2"/>
      <c r="K835" s="2"/>
      <c r="L835" s="2"/>
    </row>
    <row r="836" spans="4:12" x14ac:dyDescent="0.35">
      <c r="D836" s="2"/>
      <c r="E836" s="2"/>
      <c r="F836" s="2"/>
      <c r="G836" s="2"/>
      <c r="H836" s="2"/>
      <c r="I836" s="2"/>
      <c r="J836" s="2"/>
      <c r="K836" s="2"/>
      <c r="L836" s="2"/>
    </row>
    <row r="837" spans="4:12" x14ac:dyDescent="0.35">
      <c r="D837" s="2"/>
      <c r="E837" s="2"/>
      <c r="F837" s="2"/>
      <c r="G837" s="2"/>
      <c r="H837" s="2"/>
      <c r="I837" s="2"/>
      <c r="J837" s="2"/>
      <c r="K837" s="2"/>
      <c r="L837" s="2"/>
    </row>
    <row r="838" spans="4:12" x14ac:dyDescent="0.35">
      <c r="D838" s="2"/>
      <c r="E838" s="2"/>
      <c r="F838" s="2"/>
      <c r="G838" s="2"/>
      <c r="H838" s="2"/>
      <c r="I838" s="2"/>
      <c r="J838" s="2"/>
      <c r="K838" s="2"/>
      <c r="L838" s="2"/>
    </row>
    <row r="839" spans="4:12" x14ac:dyDescent="0.35">
      <c r="D839" s="2"/>
      <c r="E839" s="2"/>
      <c r="F839" s="2"/>
      <c r="G839" s="2"/>
      <c r="H839" s="2"/>
      <c r="I839" s="2"/>
      <c r="J839" s="2"/>
      <c r="K839" s="2"/>
      <c r="L839" s="2"/>
    </row>
    <row r="840" spans="4:12" x14ac:dyDescent="0.35">
      <c r="D840" s="2"/>
      <c r="E840" s="2"/>
      <c r="F840" s="2"/>
      <c r="G840" s="2"/>
      <c r="H840" s="2"/>
      <c r="I840" s="2"/>
      <c r="J840" s="2"/>
      <c r="K840" s="2"/>
      <c r="L840" s="2"/>
    </row>
    <row r="841" spans="4:12" x14ac:dyDescent="0.35">
      <c r="D841" s="2"/>
      <c r="E841" s="2"/>
      <c r="F841" s="2"/>
      <c r="G841" s="2"/>
      <c r="H841" s="2"/>
      <c r="I841" s="2"/>
      <c r="J841" s="2"/>
      <c r="K841" s="2"/>
      <c r="L841" s="2"/>
    </row>
    <row r="842" spans="4:12" x14ac:dyDescent="0.35">
      <c r="D842" s="2"/>
      <c r="E842" s="2"/>
      <c r="F842" s="2"/>
      <c r="G842" s="2"/>
      <c r="H842" s="2"/>
      <c r="I842" s="2"/>
      <c r="J842" s="2"/>
      <c r="K842" s="2"/>
      <c r="L842" s="2"/>
    </row>
    <row r="843" spans="4:12" x14ac:dyDescent="0.35">
      <c r="D843" s="2"/>
      <c r="E843" s="2"/>
      <c r="F843" s="2"/>
      <c r="G843" s="2"/>
      <c r="H843" s="2"/>
      <c r="I843" s="2"/>
      <c r="J843" s="2"/>
      <c r="K843" s="2"/>
      <c r="L843" s="2"/>
    </row>
    <row r="844" spans="4:12" x14ac:dyDescent="0.35">
      <c r="D844" s="2"/>
      <c r="E844" s="2"/>
      <c r="F844" s="2"/>
      <c r="G844" s="2"/>
      <c r="H844" s="2"/>
      <c r="I844" s="2"/>
      <c r="J844" s="2"/>
      <c r="K844" s="2"/>
      <c r="L844" s="2"/>
    </row>
    <row r="845" spans="4:12" x14ac:dyDescent="0.35">
      <c r="D845" s="2"/>
      <c r="E845" s="2"/>
      <c r="F845" s="2"/>
      <c r="G845" s="2"/>
      <c r="H845" s="2"/>
      <c r="I845" s="2"/>
      <c r="J845" s="2"/>
      <c r="K845" s="2"/>
      <c r="L845" s="2"/>
    </row>
    <row r="846" spans="4:12" x14ac:dyDescent="0.35">
      <c r="D846" s="2"/>
      <c r="E846" s="2"/>
      <c r="F846" s="2"/>
      <c r="G846" s="2"/>
      <c r="H846" s="2"/>
      <c r="I846" s="2"/>
      <c r="J846" s="2"/>
      <c r="K846" s="2"/>
      <c r="L846" s="2"/>
    </row>
    <row r="847" spans="4:12" x14ac:dyDescent="0.35">
      <c r="D847" s="2"/>
      <c r="E847" s="2"/>
      <c r="F847" s="2"/>
      <c r="G847" s="2"/>
      <c r="H847" s="2"/>
      <c r="I847" s="2"/>
      <c r="J847" s="2"/>
      <c r="K847" s="2"/>
      <c r="L847" s="2"/>
    </row>
    <row r="848" spans="4:12" x14ac:dyDescent="0.35">
      <c r="D848" s="2"/>
      <c r="E848" s="2"/>
      <c r="F848" s="2"/>
      <c r="G848" s="2"/>
      <c r="H848" s="2"/>
      <c r="I848" s="2"/>
      <c r="J848" s="2"/>
      <c r="K848" s="2"/>
      <c r="L848" s="2"/>
    </row>
    <row r="849" spans="4:12" x14ac:dyDescent="0.35">
      <c r="D849" s="2"/>
      <c r="E849" s="2"/>
      <c r="F849" s="2"/>
      <c r="G849" s="2"/>
      <c r="H849" s="2"/>
      <c r="I849" s="2"/>
      <c r="J849" s="2"/>
      <c r="K849" s="2"/>
      <c r="L849" s="2"/>
    </row>
    <row r="850" spans="4:12" x14ac:dyDescent="0.35">
      <c r="D850" s="2"/>
      <c r="E850" s="2"/>
      <c r="F850" s="2"/>
      <c r="G850" s="2"/>
      <c r="H850" s="2"/>
      <c r="I850" s="2"/>
      <c r="J850" s="2"/>
      <c r="K850" s="2"/>
      <c r="L850" s="2"/>
    </row>
    <row r="851" spans="4:12" x14ac:dyDescent="0.35">
      <c r="D851" s="2"/>
      <c r="E851" s="2"/>
      <c r="F851" s="2"/>
      <c r="G851" s="2"/>
      <c r="H851" s="2"/>
      <c r="I851" s="2"/>
      <c r="J851" s="2"/>
      <c r="K851" s="2"/>
      <c r="L851" s="2"/>
    </row>
    <row r="852" spans="4:12" x14ac:dyDescent="0.35">
      <c r="D852" s="2"/>
      <c r="E852" s="2"/>
      <c r="F852" s="2"/>
      <c r="G852" s="2"/>
      <c r="H852" s="2"/>
      <c r="I852" s="2"/>
      <c r="J852" s="2"/>
      <c r="K852" s="2"/>
      <c r="L852" s="2"/>
    </row>
    <row r="853" spans="4:12" x14ac:dyDescent="0.35">
      <c r="D853" s="2"/>
      <c r="E853" s="2"/>
      <c r="F853" s="2"/>
      <c r="G853" s="2"/>
      <c r="H853" s="2"/>
      <c r="I853" s="2"/>
      <c r="J853" s="2"/>
      <c r="K853" s="2"/>
      <c r="L853" s="2"/>
    </row>
    <row r="854" spans="4:12" x14ac:dyDescent="0.35">
      <c r="D854" s="2"/>
      <c r="E854" s="2"/>
      <c r="F854" s="2"/>
      <c r="G854" s="2"/>
      <c r="H854" s="2"/>
      <c r="I854" s="2"/>
      <c r="J854" s="2"/>
      <c r="K854" s="2"/>
      <c r="L854" s="2"/>
    </row>
    <row r="855" spans="4:12" x14ac:dyDescent="0.35">
      <c r="D855" s="2"/>
      <c r="E855" s="2"/>
      <c r="F855" s="2"/>
      <c r="G855" s="2"/>
      <c r="H855" s="2"/>
      <c r="I855" s="2"/>
      <c r="J855" s="2"/>
      <c r="K855" s="2"/>
      <c r="L855" s="2"/>
    </row>
    <row r="856" spans="4:12" x14ac:dyDescent="0.35">
      <c r="D856" s="2"/>
      <c r="E856" s="2"/>
      <c r="F856" s="2"/>
      <c r="G856" s="2"/>
      <c r="H856" s="2"/>
      <c r="I856" s="2"/>
      <c r="J856" s="2"/>
      <c r="K856" s="2"/>
      <c r="L856" s="2"/>
    </row>
    <row r="857" spans="4:12" x14ac:dyDescent="0.35">
      <c r="D857" s="2"/>
      <c r="E857" s="2"/>
      <c r="F857" s="2"/>
      <c r="G857" s="2"/>
      <c r="H857" s="2"/>
      <c r="I857" s="2"/>
      <c r="J857" s="2"/>
      <c r="K857" s="2"/>
      <c r="L857" s="2"/>
    </row>
    <row r="858" spans="4:12" x14ac:dyDescent="0.35">
      <c r="D858" s="2"/>
      <c r="E858" s="2"/>
      <c r="F858" s="2"/>
      <c r="G858" s="2"/>
      <c r="H858" s="2"/>
      <c r="I858" s="2"/>
      <c r="J858" s="2"/>
      <c r="K858" s="2"/>
      <c r="L858" s="2"/>
    </row>
    <row r="859" spans="4:12" x14ac:dyDescent="0.35">
      <c r="D859" s="2"/>
      <c r="E859" s="2"/>
      <c r="F859" s="2"/>
      <c r="G859" s="2"/>
      <c r="H859" s="2"/>
      <c r="I859" s="2"/>
      <c r="J859" s="2"/>
      <c r="K859" s="2"/>
      <c r="L859" s="2"/>
    </row>
    <row r="860" spans="4:12" x14ac:dyDescent="0.35">
      <c r="D860" s="2"/>
      <c r="E860" s="2"/>
      <c r="F860" s="2"/>
      <c r="G860" s="2"/>
      <c r="H860" s="2"/>
      <c r="I860" s="2"/>
      <c r="J860" s="2"/>
      <c r="K860" s="2"/>
      <c r="L860" s="2"/>
    </row>
    <row r="861" spans="4:12" x14ac:dyDescent="0.35">
      <c r="D861" s="2"/>
      <c r="E861" s="2"/>
      <c r="F861" s="2"/>
      <c r="G861" s="2"/>
      <c r="H861" s="2"/>
      <c r="I861" s="2"/>
      <c r="J861" s="2"/>
      <c r="K861" s="2"/>
      <c r="L861" s="2"/>
    </row>
    <row r="862" spans="4:12" x14ac:dyDescent="0.35">
      <c r="D862" s="2"/>
      <c r="E862" s="2"/>
      <c r="F862" s="2"/>
      <c r="G862" s="2"/>
      <c r="H862" s="2"/>
      <c r="I862" s="2"/>
      <c r="J862" s="2"/>
      <c r="K862" s="2"/>
      <c r="L862" s="2"/>
    </row>
    <row r="863" spans="4:12" x14ac:dyDescent="0.35">
      <c r="D863" s="2"/>
      <c r="E863" s="2"/>
      <c r="F863" s="2"/>
      <c r="G863" s="2"/>
      <c r="H863" s="2"/>
      <c r="I863" s="2"/>
      <c r="J863" s="2"/>
      <c r="K863" s="2"/>
      <c r="L863" s="2"/>
    </row>
    <row r="864" spans="4:12" x14ac:dyDescent="0.35">
      <c r="D864" s="2"/>
      <c r="E864" s="2"/>
      <c r="F864" s="2"/>
      <c r="G864" s="2"/>
      <c r="H864" s="2"/>
      <c r="I864" s="2"/>
      <c r="J864" s="2"/>
      <c r="K864" s="2"/>
      <c r="L864" s="2"/>
    </row>
    <row r="865" spans="4:12" x14ac:dyDescent="0.35">
      <c r="D865" s="2"/>
      <c r="E865" s="2"/>
      <c r="F865" s="2"/>
      <c r="G865" s="2"/>
      <c r="H865" s="2"/>
      <c r="I865" s="2"/>
      <c r="J865" s="2"/>
      <c r="K865" s="2"/>
      <c r="L865" s="2"/>
    </row>
    <row r="866" spans="4:12" x14ac:dyDescent="0.35">
      <c r="D866" s="2"/>
      <c r="E866" s="2"/>
      <c r="F866" s="2"/>
      <c r="G866" s="2"/>
      <c r="H866" s="2"/>
      <c r="I866" s="2"/>
      <c r="J866" s="2"/>
      <c r="K866" s="2"/>
      <c r="L866" s="2"/>
    </row>
    <row r="867" spans="4:12" x14ac:dyDescent="0.35">
      <c r="D867" s="2"/>
      <c r="E867" s="2"/>
      <c r="F867" s="2"/>
      <c r="G867" s="2"/>
      <c r="H867" s="2"/>
      <c r="I867" s="2"/>
      <c r="J867" s="2"/>
      <c r="K867" s="2"/>
      <c r="L867" s="2"/>
    </row>
    <row r="868" spans="4:12" x14ac:dyDescent="0.35">
      <c r="D868" s="2"/>
      <c r="E868" s="2"/>
      <c r="F868" s="2"/>
      <c r="G868" s="2"/>
      <c r="H868" s="2"/>
      <c r="I868" s="2"/>
      <c r="J868" s="2"/>
      <c r="K868" s="2"/>
      <c r="L868" s="2"/>
    </row>
    <row r="869" spans="4:12" x14ac:dyDescent="0.35">
      <c r="D869" s="2"/>
      <c r="E869" s="2"/>
      <c r="F869" s="2"/>
      <c r="G869" s="2"/>
      <c r="H869" s="2"/>
      <c r="I869" s="2"/>
      <c r="J869" s="2"/>
      <c r="K869" s="2"/>
      <c r="L869" s="2"/>
    </row>
    <row r="870" spans="4:12" x14ac:dyDescent="0.35">
      <c r="D870" s="2"/>
      <c r="E870" s="2"/>
      <c r="F870" s="2"/>
      <c r="G870" s="2"/>
      <c r="H870" s="2"/>
      <c r="I870" s="2"/>
      <c r="J870" s="2"/>
      <c r="K870" s="2"/>
      <c r="L870" s="2"/>
    </row>
    <row r="871" spans="4:12" x14ac:dyDescent="0.35">
      <c r="D871" s="2"/>
      <c r="E871" s="2"/>
      <c r="F871" s="2"/>
      <c r="G871" s="2"/>
      <c r="H871" s="2"/>
      <c r="I871" s="2"/>
      <c r="J871" s="2"/>
      <c r="K871" s="2"/>
      <c r="L871" s="2"/>
    </row>
    <row r="872" spans="4:12" x14ac:dyDescent="0.35">
      <c r="D872" s="2"/>
      <c r="E872" s="2"/>
      <c r="F872" s="2"/>
      <c r="G872" s="2"/>
      <c r="H872" s="2"/>
      <c r="I872" s="2"/>
      <c r="J872" s="2"/>
      <c r="K872" s="2"/>
      <c r="L872" s="2"/>
    </row>
    <row r="873" spans="4:12" x14ac:dyDescent="0.35">
      <c r="D873" s="2"/>
      <c r="E873" s="2"/>
      <c r="F873" s="2"/>
      <c r="G873" s="2"/>
      <c r="H873" s="2"/>
      <c r="I873" s="2"/>
      <c r="J873" s="2"/>
      <c r="K873" s="2"/>
      <c r="L873" s="2"/>
    </row>
    <row r="874" spans="4:12" x14ac:dyDescent="0.35">
      <c r="D874" s="2"/>
      <c r="E874" s="2"/>
      <c r="F874" s="2"/>
      <c r="G874" s="2"/>
      <c r="H874" s="2"/>
      <c r="I874" s="2"/>
      <c r="J874" s="2"/>
      <c r="K874" s="2"/>
      <c r="L874" s="2"/>
    </row>
    <row r="875" spans="4:12" x14ac:dyDescent="0.35">
      <c r="D875" s="2"/>
      <c r="E875" s="2"/>
      <c r="F875" s="2"/>
      <c r="G875" s="2"/>
      <c r="H875" s="2"/>
      <c r="I875" s="2"/>
      <c r="J875" s="2"/>
      <c r="K875" s="2"/>
      <c r="L875" s="2"/>
    </row>
    <row r="876" spans="4:12" x14ac:dyDescent="0.35">
      <c r="D876" s="2"/>
      <c r="E876" s="2"/>
      <c r="F876" s="2"/>
      <c r="G876" s="2"/>
      <c r="H876" s="2"/>
      <c r="I876" s="2"/>
      <c r="J876" s="2"/>
      <c r="K876" s="2"/>
      <c r="L876" s="2"/>
    </row>
    <row r="877" spans="4:12" x14ac:dyDescent="0.35">
      <c r="D877" s="2"/>
      <c r="E877" s="2"/>
      <c r="F877" s="2"/>
      <c r="G877" s="2"/>
      <c r="H877" s="2"/>
      <c r="I877" s="2"/>
      <c r="J877" s="2"/>
      <c r="K877" s="2"/>
      <c r="L877" s="2"/>
    </row>
    <row r="878" spans="4:12" x14ac:dyDescent="0.35">
      <c r="D878" s="2"/>
      <c r="E878" s="2"/>
      <c r="F878" s="2"/>
      <c r="G878" s="2"/>
      <c r="H878" s="2"/>
      <c r="I878" s="2"/>
      <c r="J878" s="2"/>
      <c r="K878" s="2"/>
      <c r="L878" s="2"/>
    </row>
    <row r="879" spans="4:12" x14ac:dyDescent="0.35">
      <c r="D879" s="2"/>
      <c r="E879" s="2"/>
      <c r="F879" s="2"/>
      <c r="G879" s="2"/>
      <c r="H879" s="2"/>
      <c r="I879" s="2"/>
      <c r="J879" s="2"/>
      <c r="K879" s="2"/>
      <c r="L879" s="2"/>
    </row>
    <row r="880" spans="4:12" x14ac:dyDescent="0.35">
      <c r="D880" s="2"/>
      <c r="E880" s="2"/>
      <c r="F880" s="2"/>
      <c r="G880" s="2"/>
      <c r="H880" s="2"/>
      <c r="I880" s="2"/>
      <c r="J880" s="2"/>
      <c r="K880" s="2"/>
      <c r="L880" s="2"/>
    </row>
    <row r="881" spans="4:12" x14ac:dyDescent="0.35">
      <c r="D881" s="2"/>
      <c r="E881" s="2"/>
      <c r="F881" s="2"/>
      <c r="G881" s="2"/>
      <c r="H881" s="2"/>
      <c r="I881" s="2"/>
      <c r="J881" s="2"/>
      <c r="K881" s="2"/>
      <c r="L881" s="2"/>
    </row>
    <row r="882" spans="4:12" x14ac:dyDescent="0.35">
      <c r="D882" s="2"/>
      <c r="E882" s="2"/>
      <c r="F882" s="2"/>
      <c r="G882" s="2"/>
      <c r="H882" s="2"/>
      <c r="I882" s="2"/>
      <c r="J882" s="2"/>
      <c r="K882" s="2"/>
      <c r="L882" s="2"/>
    </row>
    <row r="883" spans="4:12" x14ac:dyDescent="0.35">
      <c r="D883" s="2"/>
      <c r="E883" s="2"/>
      <c r="F883" s="2"/>
      <c r="G883" s="2"/>
      <c r="H883" s="2"/>
      <c r="I883" s="2"/>
      <c r="J883" s="2"/>
      <c r="K883" s="2"/>
      <c r="L883" s="2"/>
    </row>
    <row r="884" spans="4:12" x14ac:dyDescent="0.35">
      <c r="D884" s="2"/>
      <c r="E884" s="2"/>
      <c r="F884" s="2"/>
      <c r="G884" s="2"/>
      <c r="H884" s="2"/>
      <c r="I884" s="2"/>
      <c r="J884" s="2"/>
      <c r="K884" s="2"/>
      <c r="L884" s="2"/>
    </row>
    <row r="885" spans="4:12" x14ac:dyDescent="0.35">
      <c r="D885" s="2"/>
      <c r="E885" s="2"/>
      <c r="F885" s="2"/>
      <c r="G885" s="2"/>
      <c r="H885" s="2"/>
      <c r="I885" s="2"/>
      <c r="J885" s="2"/>
      <c r="K885" s="2"/>
      <c r="L885" s="2"/>
    </row>
    <row r="886" spans="4:12" x14ac:dyDescent="0.35">
      <c r="D886" s="2"/>
      <c r="E886" s="2"/>
      <c r="F886" s="2"/>
      <c r="G886" s="2"/>
      <c r="H886" s="2"/>
      <c r="I886" s="2"/>
      <c r="J886" s="2"/>
      <c r="K886" s="2"/>
      <c r="L886" s="2"/>
    </row>
    <row r="887" spans="4:12" x14ac:dyDescent="0.35">
      <c r="D887" s="2"/>
      <c r="E887" s="2"/>
      <c r="F887" s="2"/>
      <c r="G887" s="2"/>
      <c r="H887" s="2"/>
      <c r="I887" s="2"/>
      <c r="J887" s="2"/>
      <c r="K887" s="2"/>
      <c r="L887" s="2"/>
    </row>
    <row r="888" spans="4:12" x14ac:dyDescent="0.35">
      <c r="D888" s="2"/>
      <c r="E888" s="2"/>
      <c r="F888" s="2"/>
      <c r="G888" s="2"/>
      <c r="H888" s="2"/>
      <c r="I888" s="2"/>
      <c r="J888" s="2"/>
      <c r="K888" s="2"/>
      <c r="L888" s="2"/>
    </row>
    <row r="889" spans="4:12" x14ac:dyDescent="0.35">
      <c r="D889" s="2"/>
      <c r="E889" s="2"/>
      <c r="F889" s="2"/>
      <c r="G889" s="2"/>
      <c r="H889" s="2"/>
      <c r="I889" s="2"/>
      <c r="J889" s="2"/>
      <c r="K889" s="2"/>
      <c r="L889" s="2"/>
    </row>
    <row r="890" spans="4:12" x14ac:dyDescent="0.35">
      <c r="D890" s="2"/>
      <c r="E890" s="2"/>
      <c r="F890" s="2"/>
      <c r="G890" s="2"/>
      <c r="H890" s="2"/>
      <c r="I890" s="2"/>
      <c r="J890" s="2"/>
      <c r="K890" s="2"/>
      <c r="L890" s="2"/>
    </row>
    <row r="891" spans="4:12" x14ac:dyDescent="0.35">
      <c r="D891" s="2"/>
      <c r="E891" s="2"/>
      <c r="F891" s="2"/>
      <c r="G891" s="2"/>
      <c r="H891" s="2"/>
      <c r="I891" s="2"/>
      <c r="J891" s="2"/>
      <c r="K891" s="2"/>
      <c r="L891" s="2"/>
    </row>
    <row r="892" spans="4:12" x14ac:dyDescent="0.35">
      <c r="D892" s="2"/>
      <c r="E892" s="2"/>
      <c r="F892" s="2"/>
      <c r="G892" s="2"/>
      <c r="H892" s="2"/>
      <c r="I892" s="2"/>
      <c r="J892" s="2"/>
      <c r="K892" s="2"/>
      <c r="L892" s="2"/>
    </row>
    <row r="893" spans="4:12" x14ac:dyDescent="0.35">
      <c r="D893" s="2"/>
      <c r="E893" s="2"/>
      <c r="F893" s="2"/>
      <c r="G893" s="2"/>
      <c r="H893" s="2"/>
      <c r="I893" s="2"/>
      <c r="J893" s="2"/>
      <c r="K893" s="2"/>
      <c r="L893" s="2"/>
    </row>
    <row r="894" spans="4:12" x14ac:dyDescent="0.35">
      <c r="D894" s="2"/>
      <c r="E894" s="2"/>
      <c r="F894" s="2"/>
      <c r="G894" s="2"/>
      <c r="H894" s="2"/>
      <c r="I894" s="2"/>
      <c r="J894" s="2"/>
      <c r="K894" s="2"/>
      <c r="L894" s="2"/>
    </row>
    <row r="895" spans="4:12" x14ac:dyDescent="0.35">
      <c r="D895" s="2"/>
      <c r="E895" s="2"/>
      <c r="F895" s="2"/>
      <c r="G895" s="2"/>
      <c r="H895" s="2"/>
      <c r="I895" s="2"/>
      <c r="J895" s="2"/>
      <c r="K895" s="2"/>
      <c r="L895" s="2"/>
    </row>
    <row r="896" spans="4:12" x14ac:dyDescent="0.35">
      <c r="D896" s="2"/>
      <c r="E896" s="2"/>
      <c r="F896" s="2"/>
      <c r="G896" s="2"/>
      <c r="H896" s="2"/>
      <c r="I896" s="2"/>
      <c r="J896" s="2"/>
      <c r="K896" s="2"/>
      <c r="L896" s="2"/>
    </row>
    <row r="897" spans="4:12" x14ac:dyDescent="0.35">
      <c r="D897" s="2"/>
      <c r="E897" s="2"/>
      <c r="F897" s="2"/>
      <c r="G897" s="2"/>
      <c r="H897" s="2"/>
      <c r="I897" s="2"/>
      <c r="J897" s="2"/>
      <c r="K897" s="2"/>
      <c r="L897" s="2"/>
    </row>
    <row r="898" spans="4:12" x14ac:dyDescent="0.35">
      <c r="D898" s="2"/>
      <c r="E898" s="2"/>
      <c r="F898" s="2"/>
      <c r="G898" s="2"/>
      <c r="H898" s="2"/>
      <c r="I898" s="2"/>
      <c r="J898" s="2"/>
      <c r="K898" s="2"/>
      <c r="L898" s="2"/>
    </row>
    <row r="899" spans="4:12" x14ac:dyDescent="0.35">
      <c r="D899" s="2"/>
      <c r="E899" s="2"/>
      <c r="F899" s="2"/>
      <c r="G899" s="2"/>
      <c r="H899" s="2"/>
      <c r="I899" s="2"/>
      <c r="J899" s="2"/>
      <c r="K899" s="2"/>
      <c r="L899" s="2"/>
    </row>
    <row r="900" spans="4:12" x14ac:dyDescent="0.35">
      <c r="D900" s="2"/>
      <c r="E900" s="2"/>
      <c r="F900" s="2"/>
      <c r="G900" s="2"/>
      <c r="H900" s="2"/>
      <c r="I900" s="2"/>
      <c r="J900" s="2"/>
      <c r="K900" s="2"/>
      <c r="L900" s="2"/>
    </row>
    <row r="901" spans="4:12" x14ac:dyDescent="0.35">
      <c r="D901" s="2"/>
      <c r="E901" s="2"/>
      <c r="F901" s="2"/>
      <c r="G901" s="2"/>
      <c r="H901" s="2"/>
      <c r="I901" s="2"/>
      <c r="J901" s="2"/>
      <c r="K901" s="2"/>
      <c r="L901" s="2"/>
    </row>
    <row r="902" spans="4:12" x14ac:dyDescent="0.35">
      <c r="D902" s="2"/>
      <c r="E902" s="2"/>
      <c r="F902" s="2"/>
      <c r="G902" s="2"/>
      <c r="H902" s="2"/>
      <c r="I902" s="2"/>
      <c r="J902" s="2"/>
      <c r="K902" s="2"/>
      <c r="L902" s="2"/>
    </row>
    <row r="903" spans="4:12" x14ac:dyDescent="0.35">
      <c r="D903" s="2"/>
      <c r="E903" s="2"/>
      <c r="F903" s="2"/>
      <c r="G903" s="2"/>
      <c r="H903" s="2"/>
      <c r="I903" s="2"/>
      <c r="J903" s="2"/>
      <c r="K903" s="2"/>
      <c r="L903" s="2"/>
    </row>
    <row r="904" spans="4:12" x14ac:dyDescent="0.35">
      <c r="D904" s="2"/>
      <c r="E904" s="2"/>
      <c r="F904" s="2"/>
      <c r="G904" s="2"/>
      <c r="H904" s="2"/>
      <c r="I904" s="2"/>
      <c r="J904" s="2"/>
      <c r="K904" s="2"/>
      <c r="L904" s="2"/>
    </row>
    <row r="905" spans="4:12" x14ac:dyDescent="0.35">
      <c r="D905" s="2"/>
      <c r="E905" s="2"/>
      <c r="F905" s="2"/>
      <c r="G905" s="2"/>
      <c r="H905" s="2"/>
      <c r="I905" s="2"/>
      <c r="J905" s="2"/>
      <c r="K905" s="2"/>
      <c r="L905" s="2"/>
    </row>
    <row r="906" spans="4:12" x14ac:dyDescent="0.35">
      <c r="D906" s="2"/>
      <c r="E906" s="2"/>
      <c r="F906" s="2"/>
      <c r="G906" s="2"/>
      <c r="H906" s="2"/>
      <c r="I906" s="2"/>
      <c r="J906" s="2"/>
      <c r="K906" s="2"/>
      <c r="L906" s="2"/>
    </row>
    <row r="907" spans="4:12" x14ac:dyDescent="0.35">
      <c r="D907" s="2"/>
      <c r="E907" s="2"/>
      <c r="F907" s="2"/>
      <c r="G907" s="2"/>
      <c r="H907" s="2"/>
      <c r="I907" s="2"/>
      <c r="J907" s="2"/>
      <c r="K907" s="2"/>
      <c r="L907" s="2"/>
    </row>
    <row r="908" spans="4:12" x14ac:dyDescent="0.35">
      <c r="D908" s="2"/>
      <c r="E908" s="2"/>
      <c r="F908" s="2"/>
      <c r="G908" s="2"/>
      <c r="H908" s="2"/>
      <c r="I908" s="2"/>
      <c r="J908" s="2"/>
      <c r="K908" s="2"/>
      <c r="L908" s="2"/>
    </row>
    <row r="909" spans="4:12" x14ac:dyDescent="0.35">
      <c r="D909" s="2"/>
      <c r="E909" s="2"/>
      <c r="F909" s="2"/>
      <c r="G909" s="2"/>
      <c r="H909" s="2"/>
      <c r="I909" s="2"/>
      <c r="J909" s="2"/>
      <c r="K909" s="2"/>
      <c r="L909" s="2"/>
    </row>
    <row r="910" spans="4:12" x14ac:dyDescent="0.35">
      <c r="D910" s="2"/>
      <c r="E910" s="2"/>
      <c r="F910" s="2"/>
      <c r="G910" s="2"/>
      <c r="H910" s="2"/>
      <c r="I910" s="2"/>
      <c r="J910" s="2"/>
      <c r="K910" s="2"/>
      <c r="L910" s="2"/>
    </row>
    <row r="911" spans="4:12" x14ac:dyDescent="0.35">
      <c r="D911" s="2"/>
      <c r="E911" s="2"/>
      <c r="F911" s="2"/>
      <c r="G911" s="2"/>
      <c r="H911" s="2"/>
      <c r="I911" s="2"/>
      <c r="J911" s="2"/>
      <c r="K911" s="2"/>
      <c r="L911" s="2"/>
    </row>
    <row r="912" spans="4:12" x14ac:dyDescent="0.35">
      <c r="D912" s="2"/>
      <c r="E912" s="2"/>
      <c r="F912" s="2"/>
      <c r="G912" s="2"/>
      <c r="H912" s="2"/>
      <c r="I912" s="2"/>
      <c r="J912" s="2"/>
      <c r="K912" s="2"/>
      <c r="L912" s="2"/>
    </row>
    <row r="913" spans="4:12" x14ac:dyDescent="0.35">
      <c r="D913" s="2"/>
      <c r="E913" s="2"/>
      <c r="F913" s="2"/>
      <c r="G913" s="2"/>
      <c r="H913" s="2"/>
      <c r="I913" s="2"/>
      <c r="J913" s="2"/>
      <c r="K913" s="2"/>
      <c r="L913" s="2"/>
    </row>
    <row r="914" spans="4:12" x14ac:dyDescent="0.35">
      <c r="D914" s="2"/>
      <c r="E914" s="2"/>
      <c r="F914" s="2"/>
      <c r="G914" s="2"/>
      <c r="H914" s="2"/>
      <c r="I914" s="2"/>
      <c r="J914" s="2"/>
      <c r="K914" s="2"/>
      <c r="L914" s="2"/>
    </row>
    <row r="915" spans="4:12" x14ac:dyDescent="0.35">
      <c r="D915" s="2"/>
      <c r="E915" s="2"/>
      <c r="F915" s="2"/>
      <c r="G915" s="2"/>
      <c r="H915" s="2"/>
      <c r="I915" s="2"/>
      <c r="J915" s="2"/>
      <c r="K915" s="2"/>
      <c r="L915" s="2"/>
    </row>
    <row r="916" spans="4:12" x14ac:dyDescent="0.35">
      <c r="D916" s="2"/>
      <c r="E916" s="2"/>
      <c r="F916" s="2"/>
      <c r="G916" s="2"/>
      <c r="H916" s="2"/>
      <c r="I916" s="2"/>
      <c r="J916" s="2"/>
      <c r="K916" s="2"/>
      <c r="L916" s="2"/>
    </row>
    <row r="917" spans="4:12" x14ac:dyDescent="0.35">
      <c r="D917" s="2"/>
      <c r="E917" s="2"/>
      <c r="F917" s="2"/>
      <c r="G917" s="2"/>
      <c r="H917" s="2"/>
      <c r="I917" s="2"/>
      <c r="J917" s="2"/>
      <c r="K917" s="2"/>
      <c r="L917" s="2"/>
    </row>
    <row r="918" spans="4:12" x14ac:dyDescent="0.35">
      <c r="D918" s="2"/>
      <c r="E918" s="2"/>
      <c r="F918" s="2"/>
      <c r="G918" s="2"/>
      <c r="H918" s="2"/>
      <c r="I918" s="2"/>
      <c r="J918" s="2"/>
      <c r="K918" s="2"/>
      <c r="L918" s="2"/>
    </row>
    <row r="919" spans="4:12" x14ac:dyDescent="0.35">
      <c r="D919" s="2"/>
      <c r="E919" s="2"/>
      <c r="F919" s="2"/>
      <c r="G919" s="2"/>
      <c r="H919" s="2"/>
      <c r="I919" s="2"/>
      <c r="J919" s="2"/>
      <c r="K919" s="2"/>
      <c r="L919" s="2"/>
    </row>
    <row r="920" spans="4:12" x14ac:dyDescent="0.35">
      <c r="D920" s="2"/>
      <c r="E920" s="2"/>
      <c r="F920" s="2"/>
      <c r="G920" s="2"/>
      <c r="H920" s="2"/>
      <c r="I920" s="2"/>
      <c r="J920" s="2"/>
      <c r="K920" s="2"/>
      <c r="L920" s="2"/>
    </row>
    <row r="921" spans="4:12" x14ac:dyDescent="0.35">
      <c r="D921" s="2"/>
      <c r="E921" s="2"/>
      <c r="F921" s="2"/>
      <c r="G921" s="2"/>
      <c r="H921" s="2"/>
      <c r="I921" s="2"/>
      <c r="J921" s="2"/>
      <c r="K921" s="2"/>
      <c r="L921" s="2"/>
    </row>
    <row r="922" spans="4:12" x14ac:dyDescent="0.35">
      <c r="D922" s="2"/>
      <c r="E922" s="2"/>
      <c r="F922" s="2"/>
      <c r="G922" s="2"/>
      <c r="H922" s="2"/>
      <c r="I922" s="2"/>
      <c r="J922" s="2"/>
      <c r="K922" s="2"/>
      <c r="L922" s="2"/>
    </row>
    <row r="923" spans="4:12" x14ac:dyDescent="0.35">
      <c r="D923" s="2"/>
      <c r="E923" s="2"/>
      <c r="F923" s="2"/>
      <c r="G923" s="2"/>
      <c r="H923" s="2"/>
      <c r="I923" s="2"/>
      <c r="J923" s="2"/>
      <c r="K923" s="2"/>
      <c r="L923" s="2"/>
    </row>
    <row r="924" spans="4:12" x14ac:dyDescent="0.35">
      <c r="D924" s="2"/>
      <c r="E924" s="2"/>
      <c r="F924" s="2"/>
      <c r="G924" s="2"/>
      <c r="H924" s="2"/>
      <c r="I924" s="2"/>
      <c r="J924" s="2"/>
      <c r="K924" s="2"/>
      <c r="L924" s="2"/>
    </row>
    <row r="925" spans="4:12" x14ac:dyDescent="0.35">
      <c r="D925" s="2"/>
      <c r="E925" s="2"/>
      <c r="F925" s="2"/>
      <c r="G925" s="2"/>
      <c r="H925" s="2"/>
      <c r="I925" s="2"/>
      <c r="J925" s="2"/>
      <c r="K925" s="2"/>
      <c r="L925" s="2"/>
    </row>
    <row r="926" spans="4:12" x14ac:dyDescent="0.35">
      <c r="D926" s="2"/>
      <c r="E926" s="2"/>
      <c r="F926" s="2"/>
      <c r="G926" s="2"/>
      <c r="H926" s="2"/>
      <c r="I926" s="2"/>
      <c r="J926" s="2"/>
      <c r="K926" s="2"/>
      <c r="L926" s="2"/>
    </row>
    <row r="927" spans="4:12" x14ac:dyDescent="0.35">
      <c r="D927" s="2"/>
      <c r="E927" s="2"/>
      <c r="F927" s="2"/>
      <c r="G927" s="2"/>
      <c r="H927" s="2"/>
      <c r="I927" s="2"/>
      <c r="J927" s="2"/>
      <c r="K927" s="2"/>
      <c r="L927" s="2"/>
    </row>
    <row r="928" spans="4:12" x14ac:dyDescent="0.35">
      <c r="D928" s="2"/>
      <c r="E928" s="2"/>
      <c r="F928" s="2"/>
      <c r="G928" s="2"/>
      <c r="H928" s="2"/>
      <c r="I928" s="2"/>
      <c r="J928" s="2"/>
      <c r="K928" s="2"/>
      <c r="L928" s="2"/>
    </row>
    <row r="929" spans="4:12" x14ac:dyDescent="0.35">
      <c r="D929" s="2"/>
      <c r="E929" s="2"/>
      <c r="F929" s="2"/>
      <c r="G929" s="2"/>
      <c r="H929" s="2"/>
      <c r="I929" s="2"/>
      <c r="J929" s="2"/>
      <c r="K929" s="2"/>
      <c r="L929" s="2"/>
    </row>
    <row r="930" spans="4:12" x14ac:dyDescent="0.35">
      <c r="D930" s="2"/>
      <c r="E930" s="2"/>
      <c r="F930" s="2"/>
      <c r="G930" s="2"/>
      <c r="H930" s="2"/>
      <c r="I930" s="2"/>
      <c r="J930" s="2"/>
      <c r="K930" s="2"/>
      <c r="L930" s="2"/>
    </row>
    <row r="931" spans="4:12" x14ac:dyDescent="0.35">
      <c r="D931" s="2"/>
      <c r="E931" s="2"/>
      <c r="F931" s="2"/>
      <c r="G931" s="2"/>
      <c r="H931" s="2"/>
      <c r="I931" s="2"/>
      <c r="J931" s="2"/>
      <c r="K931" s="2"/>
      <c r="L931" s="2"/>
    </row>
    <row r="932" spans="4:12" x14ac:dyDescent="0.35">
      <c r="D932" s="2"/>
      <c r="E932" s="2"/>
      <c r="F932" s="2"/>
      <c r="G932" s="2"/>
      <c r="H932" s="2"/>
      <c r="I932" s="2"/>
      <c r="J932" s="2"/>
      <c r="K932" s="2"/>
      <c r="L932" s="2"/>
    </row>
    <row r="933" spans="4:12" x14ac:dyDescent="0.35">
      <c r="D933" s="2"/>
      <c r="E933" s="2"/>
      <c r="F933" s="2"/>
      <c r="G933" s="2"/>
      <c r="H933" s="2"/>
      <c r="I933" s="2"/>
      <c r="J933" s="2"/>
      <c r="K933" s="2"/>
      <c r="L933" s="2"/>
    </row>
    <row r="934" spans="4:12" x14ac:dyDescent="0.35">
      <c r="D934" s="2"/>
      <c r="E934" s="2"/>
      <c r="F934" s="2"/>
      <c r="G934" s="2"/>
      <c r="H934" s="2"/>
      <c r="I934" s="2"/>
      <c r="J934" s="2"/>
      <c r="K934" s="2"/>
      <c r="L934" s="2"/>
    </row>
    <row r="935" spans="4:12" x14ac:dyDescent="0.35">
      <c r="D935" s="2"/>
      <c r="E935" s="2"/>
      <c r="F935" s="2"/>
      <c r="G935" s="2"/>
      <c r="H935" s="2"/>
      <c r="I935" s="2"/>
      <c r="J935" s="2"/>
      <c r="K935" s="2"/>
      <c r="L935" s="2"/>
    </row>
    <row r="936" spans="4:12" x14ac:dyDescent="0.35">
      <c r="D936" s="2"/>
      <c r="E936" s="2"/>
      <c r="F936" s="2"/>
      <c r="G936" s="2"/>
      <c r="H936" s="2"/>
      <c r="I936" s="2"/>
      <c r="J936" s="2"/>
      <c r="K936" s="2"/>
      <c r="L936" s="2"/>
    </row>
    <row r="937" spans="4:12" x14ac:dyDescent="0.35">
      <c r="D937" s="2"/>
      <c r="E937" s="2"/>
      <c r="F937" s="2"/>
      <c r="G937" s="2"/>
      <c r="H937" s="2"/>
      <c r="I937" s="2"/>
      <c r="J937" s="2"/>
      <c r="K937" s="2"/>
      <c r="L937" s="2"/>
    </row>
    <row r="938" spans="4:12" x14ac:dyDescent="0.35">
      <c r="D938" s="2"/>
      <c r="E938" s="2"/>
      <c r="F938" s="2"/>
      <c r="G938" s="2"/>
      <c r="H938" s="2"/>
      <c r="I938" s="2"/>
      <c r="J938" s="2"/>
      <c r="K938" s="2"/>
      <c r="L938" s="2"/>
    </row>
    <row r="939" spans="4:12" x14ac:dyDescent="0.35">
      <c r="D939" s="2"/>
      <c r="E939" s="2"/>
      <c r="F939" s="2"/>
      <c r="G939" s="2"/>
      <c r="H939" s="2"/>
      <c r="I939" s="2"/>
      <c r="J939" s="2"/>
      <c r="K939" s="2"/>
      <c r="L939" s="2"/>
    </row>
    <row r="940" spans="4:12" x14ac:dyDescent="0.35">
      <c r="D940" s="2"/>
      <c r="E940" s="2"/>
      <c r="F940" s="2"/>
      <c r="G940" s="2"/>
      <c r="H940" s="2"/>
      <c r="I940" s="2"/>
      <c r="J940" s="2"/>
      <c r="K940" s="2"/>
      <c r="L940" s="2"/>
    </row>
    <row r="941" spans="4:12" x14ac:dyDescent="0.35">
      <c r="D941" s="2"/>
      <c r="E941" s="2"/>
      <c r="F941" s="2"/>
      <c r="G941" s="2"/>
      <c r="H941" s="2"/>
      <c r="I941" s="2"/>
      <c r="J941" s="2"/>
      <c r="K941" s="2"/>
      <c r="L941" s="2"/>
    </row>
    <row r="942" spans="4:12" x14ac:dyDescent="0.35">
      <c r="D942" s="2"/>
      <c r="E942" s="2"/>
      <c r="F942" s="2"/>
      <c r="G942" s="2"/>
      <c r="H942" s="2"/>
      <c r="I942" s="2"/>
      <c r="J942" s="2"/>
      <c r="K942" s="2"/>
      <c r="L942" s="2"/>
    </row>
    <row r="943" spans="4:12" x14ac:dyDescent="0.35">
      <c r="D943" s="2"/>
      <c r="E943" s="2"/>
      <c r="F943" s="2"/>
      <c r="G943" s="2"/>
      <c r="H943" s="2"/>
      <c r="I943" s="2"/>
      <c r="J943" s="2"/>
      <c r="K943" s="2"/>
      <c r="L943" s="2"/>
    </row>
    <row r="944" spans="4:12" x14ac:dyDescent="0.35">
      <c r="D944" s="2"/>
      <c r="E944" s="2"/>
      <c r="F944" s="2"/>
      <c r="G944" s="2"/>
      <c r="H944" s="2"/>
      <c r="I944" s="2"/>
      <c r="J944" s="2"/>
      <c r="K944" s="2"/>
      <c r="L944" s="2"/>
    </row>
    <row r="945" spans="4:12" x14ac:dyDescent="0.35">
      <c r="D945" s="2"/>
      <c r="E945" s="2"/>
      <c r="F945" s="2"/>
      <c r="G945" s="2"/>
      <c r="H945" s="2"/>
      <c r="I945" s="2"/>
      <c r="J945" s="2"/>
      <c r="K945" s="2"/>
      <c r="L945" s="2"/>
    </row>
    <row r="946" spans="4:12" x14ac:dyDescent="0.35">
      <c r="D946" s="2"/>
      <c r="E946" s="2"/>
      <c r="F946" s="2"/>
      <c r="G946" s="2"/>
      <c r="H946" s="2"/>
      <c r="I946" s="2"/>
      <c r="J946" s="2"/>
      <c r="K946" s="2"/>
      <c r="L946" s="2"/>
    </row>
    <row r="947" spans="4:12" x14ac:dyDescent="0.35">
      <c r="D947" s="2"/>
      <c r="E947" s="2"/>
      <c r="F947" s="2"/>
      <c r="G947" s="2"/>
      <c r="H947" s="2"/>
      <c r="I947" s="2"/>
      <c r="J947" s="2"/>
      <c r="K947" s="2"/>
      <c r="L947" s="2"/>
    </row>
    <row r="948" spans="4:12" x14ac:dyDescent="0.35">
      <c r="D948" s="2"/>
      <c r="E948" s="2"/>
      <c r="F948" s="2"/>
      <c r="G948" s="2"/>
      <c r="H948" s="2"/>
      <c r="I948" s="2"/>
      <c r="J948" s="2"/>
      <c r="K948" s="2"/>
      <c r="L948" s="2"/>
    </row>
    <row r="949" spans="4:12" x14ac:dyDescent="0.35">
      <c r="D949" s="2"/>
      <c r="E949" s="2"/>
      <c r="F949" s="2"/>
      <c r="G949" s="2"/>
      <c r="H949" s="2"/>
      <c r="I949" s="2"/>
      <c r="J949" s="2"/>
      <c r="K949" s="2"/>
      <c r="L949" s="2"/>
    </row>
    <row r="950" spans="4:12" x14ac:dyDescent="0.35">
      <c r="D950" s="2"/>
      <c r="E950" s="2"/>
      <c r="F950" s="2"/>
      <c r="G950" s="2"/>
      <c r="H950" s="2"/>
      <c r="I950" s="2"/>
      <c r="J950" s="2"/>
      <c r="K950" s="2"/>
      <c r="L950" s="2"/>
    </row>
    <row r="951" spans="4:12" x14ac:dyDescent="0.35">
      <c r="D951" s="2"/>
      <c r="E951" s="2"/>
      <c r="F951" s="2"/>
      <c r="G951" s="2"/>
      <c r="H951" s="2"/>
      <c r="I951" s="2"/>
      <c r="J951" s="2"/>
      <c r="K951" s="2"/>
      <c r="L951" s="2"/>
    </row>
    <row r="952" spans="4:12" x14ac:dyDescent="0.35">
      <c r="D952" s="2"/>
      <c r="E952" s="2"/>
      <c r="F952" s="2"/>
      <c r="G952" s="2"/>
      <c r="H952" s="2"/>
      <c r="I952" s="2"/>
      <c r="J952" s="2"/>
      <c r="K952" s="2"/>
      <c r="L952" s="2"/>
    </row>
    <row r="953" spans="4:12" x14ac:dyDescent="0.35">
      <c r="D953" s="2"/>
      <c r="E953" s="2"/>
      <c r="F953" s="2"/>
      <c r="G953" s="2"/>
      <c r="H953" s="2"/>
      <c r="I953" s="2"/>
      <c r="J953" s="2"/>
      <c r="K953" s="2"/>
      <c r="L953" s="2"/>
    </row>
    <row r="954" spans="4:12" x14ac:dyDescent="0.35">
      <c r="D954" s="2"/>
      <c r="E954" s="2"/>
      <c r="F954" s="2"/>
      <c r="G954" s="2"/>
      <c r="H954" s="2"/>
      <c r="I954" s="2"/>
      <c r="J954" s="2"/>
      <c r="K954" s="2"/>
      <c r="L954" s="2"/>
    </row>
    <row r="955" spans="4:12" x14ac:dyDescent="0.35">
      <c r="D955" s="2"/>
      <c r="E955" s="2"/>
      <c r="F955" s="2"/>
      <c r="G955" s="2"/>
      <c r="H955" s="2"/>
      <c r="I955" s="2"/>
      <c r="J955" s="2"/>
      <c r="K955" s="2"/>
      <c r="L955" s="2"/>
    </row>
    <row r="956" spans="4:12" x14ac:dyDescent="0.35">
      <c r="D956" s="2"/>
      <c r="E956" s="2"/>
      <c r="F956" s="2"/>
      <c r="G956" s="2"/>
      <c r="H956" s="2"/>
      <c r="I956" s="2"/>
      <c r="J956" s="2"/>
      <c r="K956" s="2"/>
      <c r="L956" s="2"/>
    </row>
    <row r="957" spans="4:12" x14ac:dyDescent="0.35">
      <c r="D957" s="2"/>
      <c r="E957" s="2"/>
      <c r="F957" s="2"/>
      <c r="G957" s="2"/>
      <c r="H957" s="2"/>
      <c r="I957" s="2"/>
      <c r="J957" s="2"/>
      <c r="K957" s="2"/>
      <c r="L957" s="2"/>
    </row>
    <row r="958" spans="4:12" x14ac:dyDescent="0.35">
      <c r="D958" s="2"/>
      <c r="E958" s="2"/>
      <c r="F958" s="2"/>
      <c r="G958" s="2"/>
      <c r="H958" s="2"/>
      <c r="I958" s="2"/>
      <c r="J958" s="2"/>
      <c r="K958" s="2"/>
      <c r="L958" s="2"/>
    </row>
    <row r="959" spans="4:12" x14ac:dyDescent="0.35">
      <c r="D959" s="2"/>
      <c r="E959" s="2"/>
      <c r="F959" s="2"/>
      <c r="G959" s="2"/>
      <c r="H959" s="2"/>
      <c r="I959" s="2"/>
      <c r="J959" s="2"/>
      <c r="K959" s="2"/>
      <c r="L959" s="2"/>
    </row>
    <row r="960" spans="4:12" x14ac:dyDescent="0.35">
      <c r="D960" s="2"/>
      <c r="E960" s="2"/>
      <c r="F960" s="2"/>
      <c r="G960" s="2"/>
      <c r="H960" s="2"/>
      <c r="I960" s="2"/>
      <c r="J960" s="2"/>
      <c r="K960" s="2"/>
      <c r="L960" s="2"/>
    </row>
    <row r="961" spans="4:12" x14ac:dyDescent="0.35">
      <c r="D961" s="2"/>
      <c r="E961" s="2"/>
      <c r="F961" s="2"/>
      <c r="G961" s="2"/>
      <c r="H961" s="2"/>
      <c r="I961" s="2"/>
      <c r="J961" s="2"/>
      <c r="K961" s="2"/>
      <c r="L961" s="2"/>
    </row>
    <row r="962" spans="4:12" x14ac:dyDescent="0.35">
      <c r="D962" s="2"/>
      <c r="E962" s="2"/>
      <c r="F962" s="2"/>
      <c r="G962" s="2"/>
      <c r="H962" s="2"/>
      <c r="I962" s="2"/>
      <c r="J962" s="2"/>
      <c r="K962" s="2"/>
      <c r="L962" s="2"/>
    </row>
    <row r="963" spans="4:12" x14ac:dyDescent="0.35">
      <c r="D963" s="2"/>
      <c r="E963" s="2"/>
      <c r="F963" s="2"/>
      <c r="G963" s="2"/>
      <c r="H963" s="2"/>
      <c r="I963" s="2"/>
      <c r="J963" s="2"/>
      <c r="K963" s="2"/>
      <c r="L963" s="2"/>
    </row>
    <row r="964" spans="4:12" x14ac:dyDescent="0.35">
      <c r="D964" s="2"/>
      <c r="E964" s="2"/>
      <c r="F964" s="2"/>
      <c r="G964" s="2"/>
      <c r="H964" s="2"/>
      <c r="I964" s="2"/>
      <c r="J964" s="2"/>
      <c r="K964" s="2"/>
      <c r="L964" s="2"/>
    </row>
    <row r="965" spans="4:12" x14ac:dyDescent="0.35">
      <c r="D965" s="2"/>
      <c r="E965" s="2"/>
      <c r="F965" s="2"/>
      <c r="G965" s="2"/>
      <c r="H965" s="2"/>
      <c r="I965" s="2"/>
      <c r="J965" s="2"/>
      <c r="K965" s="2"/>
      <c r="L965" s="2"/>
    </row>
    <row r="966" spans="4:12" x14ac:dyDescent="0.35">
      <c r="D966" s="2"/>
      <c r="E966" s="2"/>
      <c r="F966" s="2"/>
      <c r="G966" s="2"/>
      <c r="H966" s="2"/>
      <c r="I966" s="2"/>
      <c r="J966" s="2"/>
      <c r="K966" s="2"/>
      <c r="L966" s="2"/>
    </row>
    <row r="967" spans="4:12" x14ac:dyDescent="0.35">
      <c r="D967" s="2"/>
      <c r="E967" s="2"/>
      <c r="F967" s="2"/>
      <c r="G967" s="2"/>
      <c r="H967" s="2"/>
      <c r="I967" s="2"/>
      <c r="J967" s="2"/>
      <c r="K967" s="2"/>
      <c r="L967" s="2"/>
    </row>
    <row r="968" spans="4:12" x14ac:dyDescent="0.35">
      <c r="D968" s="2"/>
      <c r="E968" s="2"/>
      <c r="F968" s="2"/>
      <c r="G968" s="2"/>
      <c r="H968" s="2"/>
      <c r="I968" s="2"/>
      <c r="J968" s="2"/>
      <c r="K968" s="2"/>
      <c r="L968" s="2"/>
    </row>
    <row r="969" spans="4:12" x14ac:dyDescent="0.35">
      <c r="D969" s="2"/>
      <c r="E969" s="2"/>
      <c r="F969" s="2"/>
      <c r="G969" s="2"/>
      <c r="H969" s="2"/>
      <c r="I969" s="2"/>
      <c r="J969" s="2"/>
      <c r="K969" s="2"/>
      <c r="L969" s="2"/>
    </row>
    <row r="970" spans="4:12" x14ac:dyDescent="0.35">
      <c r="D970" s="2"/>
      <c r="E970" s="2"/>
      <c r="F970" s="2"/>
      <c r="G970" s="2"/>
      <c r="H970" s="2"/>
      <c r="I970" s="2"/>
      <c r="J970" s="2"/>
      <c r="K970" s="2"/>
      <c r="L970" s="2"/>
    </row>
    <row r="971" spans="4:12" x14ac:dyDescent="0.35">
      <c r="D971" s="2"/>
      <c r="E971" s="2"/>
      <c r="F971" s="2"/>
      <c r="G971" s="2"/>
      <c r="H971" s="2"/>
      <c r="I971" s="2"/>
      <c r="J971" s="2"/>
      <c r="K971" s="2"/>
      <c r="L971" s="2"/>
    </row>
    <row r="972" spans="4:12" x14ac:dyDescent="0.35">
      <c r="D972" s="2"/>
      <c r="E972" s="2"/>
      <c r="F972" s="2"/>
      <c r="G972" s="2"/>
      <c r="H972" s="2"/>
      <c r="I972" s="2"/>
      <c r="J972" s="2"/>
      <c r="K972" s="2"/>
      <c r="L972" s="2"/>
    </row>
    <row r="973" spans="4:12" x14ac:dyDescent="0.35">
      <c r="D973" s="2"/>
      <c r="E973" s="2"/>
      <c r="F973" s="2"/>
      <c r="G973" s="2"/>
      <c r="H973" s="2"/>
      <c r="I973" s="2"/>
      <c r="J973" s="2"/>
      <c r="K973" s="2"/>
      <c r="L973" s="2"/>
    </row>
    <row r="974" spans="4:12" x14ac:dyDescent="0.35">
      <c r="D974" s="2"/>
      <c r="E974" s="2"/>
      <c r="F974" s="2"/>
      <c r="G974" s="2"/>
      <c r="H974" s="2"/>
      <c r="I974" s="2"/>
      <c r="J974" s="2"/>
      <c r="K974" s="2"/>
      <c r="L974" s="2"/>
    </row>
    <row r="975" spans="4:12" x14ac:dyDescent="0.35">
      <c r="D975" s="2"/>
      <c r="E975" s="2"/>
      <c r="F975" s="2"/>
      <c r="G975" s="2"/>
      <c r="H975" s="2"/>
      <c r="I975" s="2"/>
      <c r="J975" s="2"/>
      <c r="K975" s="2"/>
      <c r="L975" s="2"/>
    </row>
    <row r="976" spans="4:12" x14ac:dyDescent="0.35">
      <c r="D976" s="2"/>
      <c r="E976" s="2"/>
      <c r="F976" s="2"/>
      <c r="G976" s="2"/>
      <c r="H976" s="2"/>
      <c r="I976" s="2"/>
      <c r="J976" s="2"/>
      <c r="K976" s="2"/>
      <c r="L976" s="2"/>
    </row>
    <row r="977" spans="4:12" x14ac:dyDescent="0.35">
      <c r="D977" s="2"/>
      <c r="E977" s="2"/>
      <c r="F977" s="2"/>
      <c r="G977" s="2"/>
      <c r="H977" s="2"/>
      <c r="I977" s="2"/>
      <c r="J977" s="2"/>
      <c r="K977" s="2"/>
      <c r="L977" s="2"/>
    </row>
    <row r="978" spans="4:12" x14ac:dyDescent="0.35">
      <c r="D978" s="2"/>
      <c r="E978" s="2"/>
      <c r="F978" s="2"/>
      <c r="G978" s="2"/>
      <c r="H978" s="2"/>
      <c r="I978" s="2"/>
      <c r="J978" s="2"/>
      <c r="K978" s="2"/>
      <c r="L978" s="2"/>
    </row>
    <row r="979" spans="4:12" x14ac:dyDescent="0.35">
      <c r="D979" s="2"/>
      <c r="E979" s="2"/>
      <c r="F979" s="2"/>
      <c r="G979" s="2"/>
      <c r="H979" s="2"/>
      <c r="I979" s="2"/>
      <c r="J979" s="2"/>
      <c r="K979" s="2"/>
      <c r="L979" s="2"/>
    </row>
    <row r="980" spans="4:12" x14ac:dyDescent="0.35">
      <c r="D980" s="2"/>
      <c r="E980" s="2"/>
      <c r="F980" s="2"/>
      <c r="G980" s="2"/>
      <c r="H980" s="2"/>
      <c r="I980" s="2"/>
      <c r="J980" s="2"/>
      <c r="K980" s="2"/>
      <c r="L980" s="2"/>
    </row>
    <row r="981" spans="4:12" x14ac:dyDescent="0.35">
      <c r="D981" s="2"/>
      <c r="E981" s="2"/>
      <c r="F981" s="2"/>
      <c r="G981" s="2"/>
      <c r="H981" s="2"/>
      <c r="I981" s="2"/>
      <c r="J981" s="2"/>
      <c r="K981" s="2"/>
      <c r="L981" s="2"/>
    </row>
    <row r="982" spans="4:12" x14ac:dyDescent="0.35">
      <c r="D982" s="2"/>
      <c r="E982" s="2"/>
      <c r="F982" s="2"/>
      <c r="G982" s="2"/>
      <c r="H982" s="2"/>
      <c r="I982" s="2"/>
      <c r="J982" s="2"/>
      <c r="K982" s="2"/>
      <c r="L982" s="2"/>
    </row>
    <row r="983" spans="4:12" x14ac:dyDescent="0.35">
      <c r="D983" s="2"/>
      <c r="E983" s="2"/>
      <c r="F983" s="2"/>
      <c r="G983" s="2"/>
      <c r="H983" s="2"/>
      <c r="I983" s="2"/>
      <c r="J983" s="2"/>
      <c r="K983" s="2"/>
      <c r="L983" s="2"/>
    </row>
    <row r="984" spans="4:12" x14ac:dyDescent="0.35">
      <c r="D984" s="2"/>
      <c r="E984" s="2"/>
      <c r="F984" s="2"/>
      <c r="G984" s="2"/>
      <c r="H984" s="2"/>
      <c r="I984" s="2"/>
      <c r="J984" s="2"/>
      <c r="K984" s="2"/>
      <c r="L984" s="2"/>
    </row>
    <row r="985" spans="4:12" x14ac:dyDescent="0.35">
      <c r="D985" s="2"/>
      <c r="E985" s="2"/>
      <c r="F985" s="2"/>
      <c r="G985" s="2"/>
      <c r="H985" s="2"/>
      <c r="I985" s="2"/>
      <c r="J985" s="2"/>
      <c r="K985" s="2"/>
      <c r="L985" s="2"/>
    </row>
    <row r="986" spans="4:12" x14ac:dyDescent="0.35">
      <c r="D986" s="2"/>
      <c r="E986" s="2"/>
      <c r="F986" s="2"/>
      <c r="G986" s="2"/>
      <c r="H986" s="2"/>
      <c r="I986" s="2"/>
      <c r="J986" s="2"/>
      <c r="K986" s="2"/>
      <c r="L986" s="2"/>
    </row>
    <row r="987" spans="4:12" x14ac:dyDescent="0.35">
      <c r="D987" s="2"/>
      <c r="E987" s="2"/>
      <c r="F987" s="2"/>
      <c r="G987" s="2"/>
      <c r="H987" s="2"/>
      <c r="I987" s="2"/>
      <c r="J987" s="2"/>
      <c r="K987" s="2"/>
      <c r="L987" s="2"/>
    </row>
    <row r="988" spans="4:12" x14ac:dyDescent="0.35">
      <c r="D988" s="2"/>
      <c r="E988" s="2"/>
      <c r="F988" s="2"/>
      <c r="G988" s="2"/>
      <c r="H988" s="2"/>
      <c r="I988" s="2"/>
      <c r="J988" s="2"/>
      <c r="K988" s="2"/>
      <c r="L988" s="2"/>
    </row>
    <row r="989" spans="4:12" x14ac:dyDescent="0.35">
      <c r="D989" s="2"/>
      <c r="E989" s="2"/>
      <c r="F989" s="2"/>
      <c r="G989" s="2"/>
      <c r="H989" s="2"/>
      <c r="I989" s="2"/>
      <c r="J989" s="2"/>
      <c r="K989" s="2"/>
      <c r="L989" s="2"/>
    </row>
    <row r="990" spans="4:12" x14ac:dyDescent="0.35">
      <c r="D990" s="2"/>
      <c r="E990" s="2"/>
      <c r="F990" s="2"/>
      <c r="G990" s="2"/>
      <c r="H990" s="2"/>
      <c r="I990" s="2"/>
      <c r="J990" s="2"/>
      <c r="K990" s="2"/>
      <c r="L990" s="2"/>
    </row>
    <row r="991" spans="4:12" x14ac:dyDescent="0.35">
      <c r="D991" s="2"/>
      <c r="E991" s="2"/>
      <c r="F991" s="2"/>
      <c r="G991" s="2"/>
      <c r="H991" s="2"/>
      <c r="I991" s="2"/>
      <c r="J991" s="2"/>
      <c r="K991" s="2"/>
      <c r="L991" s="2"/>
    </row>
    <row r="992" spans="4:12" x14ac:dyDescent="0.35">
      <c r="D992" s="2"/>
      <c r="E992" s="2"/>
      <c r="F992" s="2"/>
      <c r="G992" s="2"/>
      <c r="H992" s="2"/>
      <c r="I992" s="2"/>
      <c r="J992" s="2"/>
      <c r="K992" s="2"/>
      <c r="L992" s="2"/>
    </row>
    <row r="993" spans="4:12" x14ac:dyDescent="0.35">
      <c r="D993" s="2"/>
      <c r="E993" s="2"/>
      <c r="F993" s="2"/>
      <c r="G993" s="2"/>
      <c r="H993" s="2"/>
      <c r="I993" s="2"/>
      <c r="J993" s="2"/>
      <c r="K993" s="2"/>
      <c r="L993" s="2"/>
    </row>
    <row r="994" spans="4:12" x14ac:dyDescent="0.35">
      <c r="D994" s="2"/>
      <c r="E994" s="2"/>
      <c r="F994" s="2"/>
      <c r="G994" s="2"/>
      <c r="H994" s="2"/>
      <c r="I994" s="2"/>
      <c r="J994" s="2"/>
      <c r="K994" s="2"/>
      <c r="L994" s="2"/>
    </row>
    <row r="995" spans="4:12" x14ac:dyDescent="0.35">
      <c r="D995" s="2"/>
      <c r="E995" s="2"/>
      <c r="F995" s="2"/>
      <c r="G995" s="2"/>
      <c r="H995" s="2"/>
      <c r="I995" s="2"/>
      <c r="J995" s="2"/>
      <c r="K995" s="2"/>
      <c r="L995" s="2"/>
    </row>
    <row r="996" spans="4:12" x14ac:dyDescent="0.35">
      <c r="D996" s="2"/>
      <c r="E996" s="2"/>
      <c r="F996" s="2"/>
      <c r="G996" s="2"/>
      <c r="H996" s="2"/>
      <c r="I996" s="2"/>
      <c r="J996" s="2"/>
      <c r="K996" s="2"/>
      <c r="L996" s="2"/>
    </row>
    <row r="997" spans="4:12" x14ac:dyDescent="0.35">
      <c r="D997" s="2"/>
      <c r="E997" s="2"/>
      <c r="F997" s="2"/>
      <c r="G997" s="2"/>
      <c r="H997" s="2"/>
      <c r="I997" s="2"/>
      <c r="J997" s="2"/>
      <c r="K997" s="2"/>
      <c r="L997" s="2"/>
    </row>
    <row r="998" spans="4:12" x14ac:dyDescent="0.35">
      <c r="D998" s="2"/>
      <c r="E998" s="2"/>
      <c r="F998" s="2"/>
      <c r="G998" s="2"/>
      <c r="H998" s="2"/>
      <c r="I998" s="2"/>
      <c r="J998" s="2"/>
      <c r="K998" s="2"/>
      <c r="L998" s="2"/>
    </row>
    <row r="999" spans="4:12" x14ac:dyDescent="0.35">
      <c r="D999" s="2"/>
      <c r="E999" s="2"/>
      <c r="F999" s="2"/>
      <c r="G999" s="2"/>
      <c r="H999" s="2"/>
      <c r="I999" s="2"/>
      <c r="J999" s="2"/>
      <c r="K999" s="2"/>
      <c r="L999" s="2"/>
    </row>
    <row r="1000" spans="4:12" x14ac:dyDescent="0.35"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4:12" x14ac:dyDescent="0.35"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4:12" x14ac:dyDescent="0.35"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4:12" x14ac:dyDescent="0.35"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4:12" x14ac:dyDescent="0.35"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4:12" x14ac:dyDescent="0.35"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4:12" x14ac:dyDescent="0.35">
      <c r="D1006" s="2"/>
      <c r="E1006" s="2"/>
      <c r="F1006" s="2"/>
      <c r="G1006" s="2"/>
      <c r="H1006" s="2"/>
      <c r="I1006" s="2"/>
      <c r="J1006" s="2"/>
      <c r="K1006" s="2"/>
      <c r="L1006" s="2"/>
    </row>
    <row r="1007" spans="4:12" x14ac:dyDescent="0.35">
      <c r="D1007" s="2"/>
      <c r="E1007" s="2"/>
      <c r="F1007" s="2"/>
      <c r="G1007" s="2"/>
      <c r="H1007" s="2"/>
      <c r="I1007" s="2"/>
      <c r="J1007" s="2"/>
      <c r="K1007" s="2"/>
      <c r="L1007" s="2"/>
    </row>
    <row r="1008" spans="4:12" x14ac:dyDescent="0.35">
      <c r="D1008" s="2"/>
      <c r="E1008" s="2"/>
      <c r="F1008" s="2"/>
      <c r="G1008" s="2"/>
      <c r="H1008" s="2"/>
      <c r="I1008" s="2"/>
      <c r="J1008" s="2"/>
      <c r="K1008" s="2"/>
      <c r="L1008" s="2"/>
    </row>
    <row r="1009" spans="4:12" x14ac:dyDescent="0.35">
      <c r="D1009" s="2"/>
      <c r="E1009" s="2"/>
      <c r="F1009" s="2"/>
      <c r="G1009" s="2"/>
      <c r="H1009" s="2"/>
      <c r="I1009" s="2"/>
      <c r="J1009" s="2"/>
      <c r="K1009" s="2"/>
      <c r="L1009" s="2"/>
    </row>
    <row r="1010" spans="4:12" x14ac:dyDescent="0.35">
      <c r="D1010" s="2"/>
      <c r="E1010" s="2"/>
      <c r="F1010" s="2"/>
      <c r="G1010" s="2"/>
      <c r="H1010" s="2"/>
      <c r="I1010" s="2"/>
      <c r="J1010" s="2"/>
      <c r="K1010" s="2"/>
      <c r="L1010" s="2"/>
    </row>
    <row r="1011" spans="4:12" x14ac:dyDescent="0.35"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4:12" x14ac:dyDescent="0.35"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4:12" x14ac:dyDescent="0.35"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4:12" x14ac:dyDescent="0.35">
      <c r="D1014" s="2"/>
      <c r="E1014" s="2"/>
      <c r="F1014" s="2"/>
      <c r="G1014" s="2"/>
      <c r="H1014" s="2"/>
      <c r="I1014" s="2"/>
      <c r="J1014" s="2"/>
      <c r="K1014" s="2"/>
      <c r="L1014" s="2"/>
    </row>
    <row r="1015" spans="4:12" x14ac:dyDescent="0.35">
      <c r="D1015" s="2"/>
      <c r="E1015" s="2"/>
      <c r="F1015" s="2"/>
      <c r="G1015" s="2"/>
      <c r="H1015" s="2"/>
      <c r="I1015" s="2"/>
      <c r="J1015" s="2"/>
      <c r="K1015" s="2"/>
      <c r="L1015" s="2"/>
    </row>
    <row r="1016" spans="4:12" x14ac:dyDescent="0.35"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4:12" x14ac:dyDescent="0.35">
      <c r="D1017" s="2"/>
      <c r="E1017" s="2"/>
      <c r="F1017" s="2"/>
      <c r="G1017" s="2"/>
      <c r="H1017" s="2"/>
      <c r="I1017" s="2"/>
      <c r="J1017" s="2"/>
      <c r="K1017" s="2"/>
      <c r="L1017" s="2"/>
    </row>
    <row r="1018" spans="4:12" x14ac:dyDescent="0.35"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4:12" x14ac:dyDescent="0.35"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4:12" x14ac:dyDescent="0.35"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4:12" x14ac:dyDescent="0.35">
      <c r="D1021" s="2"/>
      <c r="E1021" s="2"/>
      <c r="F1021" s="2"/>
      <c r="G1021" s="2"/>
      <c r="H1021" s="2"/>
      <c r="I1021" s="2"/>
      <c r="J1021" s="2"/>
      <c r="K1021" s="2"/>
      <c r="L1021" s="2"/>
    </row>
    <row r="1022" spans="4:12" x14ac:dyDescent="0.35">
      <c r="D1022" s="2"/>
      <c r="E1022" s="2"/>
      <c r="F1022" s="2"/>
      <c r="G1022" s="2"/>
      <c r="H1022" s="2"/>
      <c r="I1022" s="2"/>
      <c r="J1022" s="2"/>
      <c r="K1022" s="2"/>
      <c r="L1022" s="2"/>
    </row>
    <row r="1023" spans="4:12" x14ac:dyDescent="0.35">
      <c r="D1023" s="2"/>
      <c r="E1023" s="2"/>
      <c r="F1023" s="2"/>
      <c r="G1023" s="2"/>
      <c r="H1023" s="2"/>
      <c r="I1023" s="2"/>
      <c r="J1023" s="2"/>
      <c r="K1023" s="2"/>
      <c r="L1023" s="2"/>
    </row>
    <row r="1024" spans="4:12" x14ac:dyDescent="0.35"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4:12" x14ac:dyDescent="0.35"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4:12" x14ac:dyDescent="0.35"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4:12" x14ac:dyDescent="0.35">
      <c r="D1027" s="2"/>
      <c r="E1027" s="2"/>
      <c r="F1027" s="2"/>
      <c r="G1027" s="2"/>
      <c r="H1027" s="2"/>
      <c r="I1027" s="2"/>
      <c r="J1027" s="2"/>
      <c r="K1027" s="2"/>
      <c r="L1027" s="2"/>
    </row>
    <row r="1028" spans="4:12" x14ac:dyDescent="0.35">
      <c r="D1028" s="2"/>
      <c r="E1028" s="2"/>
      <c r="F1028" s="2"/>
      <c r="G1028" s="2"/>
      <c r="H1028" s="2"/>
      <c r="I1028" s="2"/>
      <c r="J1028" s="2"/>
      <c r="K1028" s="2"/>
      <c r="L1028" s="2"/>
    </row>
    <row r="1029" spans="4:12" x14ac:dyDescent="0.35"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4:12" x14ac:dyDescent="0.35">
      <c r="D1030" s="2"/>
      <c r="E1030" s="2"/>
      <c r="F1030" s="2"/>
      <c r="G1030" s="2"/>
      <c r="H1030" s="2"/>
      <c r="I1030" s="2"/>
      <c r="J1030" s="2"/>
      <c r="K1030" s="2"/>
      <c r="L1030" s="2"/>
    </row>
    <row r="1031" spans="4:12" x14ac:dyDescent="0.35"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4:12" x14ac:dyDescent="0.35"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4:12" x14ac:dyDescent="0.35"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4:12" x14ac:dyDescent="0.35">
      <c r="D1034" s="2"/>
      <c r="E1034" s="2"/>
      <c r="F1034" s="2"/>
      <c r="G1034" s="2"/>
      <c r="H1034" s="2"/>
      <c r="I1034" s="2"/>
      <c r="J1034" s="2"/>
      <c r="K1034" s="2"/>
      <c r="L1034" s="2"/>
    </row>
    <row r="1035" spans="4:12" x14ac:dyDescent="0.35">
      <c r="D1035" s="2"/>
      <c r="E1035" s="2"/>
      <c r="F1035" s="2"/>
      <c r="G1035" s="2"/>
      <c r="H1035" s="2"/>
      <c r="I1035" s="2"/>
      <c r="J1035" s="2"/>
      <c r="K1035" s="2"/>
      <c r="L1035" s="2"/>
    </row>
    <row r="1036" spans="4:12" x14ac:dyDescent="0.35">
      <c r="D1036" s="2"/>
      <c r="E1036" s="2"/>
      <c r="F1036" s="2"/>
      <c r="G1036" s="2"/>
      <c r="H1036" s="2"/>
      <c r="I1036" s="2"/>
      <c r="J1036" s="2"/>
      <c r="K1036" s="2"/>
      <c r="L1036" s="2"/>
    </row>
    <row r="1037" spans="4:12" x14ac:dyDescent="0.35">
      <c r="D1037" s="2"/>
      <c r="E1037" s="2"/>
      <c r="F1037" s="2"/>
      <c r="G1037" s="2"/>
      <c r="H1037" s="2"/>
      <c r="I1037" s="2"/>
      <c r="J1037" s="2"/>
      <c r="K1037" s="2"/>
      <c r="L1037" s="2"/>
    </row>
    <row r="1038" spans="4:12" x14ac:dyDescent="0.35">
      <c r="D1038" s="2"/>
      <c r="E1038" s="2"/>
      <c r="F1038" s="2"/>
      <c r="G1038" s="2"/>
      <c r="H1038" s="2"/>
      <c r="I1038" s="2"/>
      <c r="J1038" s="2"/>
      <c r="K1038" s="2"/>
      <c r="L1038" s="2"/>
    </row>
    <row r="1039" spans="4:12" x14ac:dyDescent="0.35"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4:12" x14ac:dyDescent="0.35"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4:12" x14ac:dyDescent="0.35">
      <c r="D1041" s="2"/>
      <c r="E1041" s="2"/>
      <c r="F1041" s="2"/>
      <c r="G1041" s="2"/>
      <c r="H1041" s="2"/>
      <c r="I1041" s="2"/>
      <c r="J1041" s="2"/>
      <c r="K1041" s="2"/>
      <c r="L1041" s="2"/>
    </row>
    <row r="1042" spans="4:12" x14ac:dyDescent="0.35"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4:12" x14ac:dyDescent="0.35">
      <c r="D1043" s="2"/>
      <c r="E1043" s="2"/>
      <c r="F1043" s="2"/>
      <c r="G1043" s="2"/>
      <c r="H1043" s="2"/>
      <c r="I1043" s="2"/>
      <c r="J1043" s="2"/>
      <c r="K1043" s="2"/>
      <c r="L1043" s="2"/>
    </row>
    <row r="1044" spans="4:12" x14ac:dyDescent="0.35">
      <c r="D1044" s="2"/>
      <c r="E1044" s="2"/>
      <c r="F1044" s="2"/>
      <c r="G1044" s="2"/>
      <c r="H1044" s="2"/>
      <c r="I1044" s="2"/>
      <c r="J1044" s="2"/>
      <c r="K1044" s="2"/>
      <c r="L1044" s="2"/>
    </row>
    <row r="1045" spans="4:12" x14ac:dyDescent="0.35">
      <c r="D1045" s="2"/>
      <c r="E1045" s="2"/>
      <c r="F1045" s="2"/>
      <c r="G1045" s="2"/>
      <c r="H1045" s="2"/>
      <c r="I1045" s="2"/>
      <c r="J1045" s="2"/>
      <c r="K1045" s="2"/>
      <c r="L1045" s="2"/>
    </row>
    <row r="1046" spans="4:12" x14ac:dyDescent="0.35">
      <c r="D1046" s="2"/>
      <c r="E1046" s="2"/>
      <c r="F1046" s="2"/>
      <c r="G1046" s="2"/>
      <c r="H1046" s="2"/>
      <c r="I1046" s="2"/>
      <c r="J1046" s="2"/>
      <c r="K1046" s="2"/>
      <c r="L1046" s="2"/>
    </row>
    <row r="1047" spans="4:12" x14ac:dyDescent="0.35"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4:12" x14ac:dyDescent="0.35"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4:12" x14ac:dyDescent="0.35">
      <c r="D1049" s="2"/>
      <c r="E1049" s="2"/>
      <c r="F1049" s="2"/>
      <c r="G1049" s="2"/>
      <c r="H1049" s="2"/>
      <c r="I1049" s="2"/>
      <c r="J1049" s="2"/>
      <c r="K1049" s="2"/>
      <c r="L1049" s="2"/>
    </row>
    <row r="1050" spans="4:12" x14ac:dyDescent="0.35">
      <c r="D1050" s="2"/>
      <c r="E1050" s="2"/>
      <c r="F1050" s="2"/>
      <c r="G1050" s="2"/>
      <c r="H1050" s="2"/>
      <c r="I1050" s="2"/>
      <c r="J1050" s="2"/>
      <c r="K1050" s="2"/>
      <c r="L1050" s="2"/>
    </row>
    <row r="1051" spans="4:12" x14ac:dyDescent="0.35">
      <c r="D1051" s="2"/>
      <c r="E1051" s="2"/>
      <c r="F1051" s="2"/>
      <c r="G1051" s="2"/>
      <c r="H1051" s="2"/>
      <c r="I1051" s="2"/>
      <c r="J1051" s="2"/>
      <c r="K1051" s="2"/>
      <c r="L1051" s="2"/>
    </row>
    <row r="1052" spans="4:12" x14ac:dyDescent="0.35">
      <c r="D1052" s="2"/>
      <c r="E1052" s="2"/>
      <c r="F1052" s="2"/>
      <c r="G1052" s="2"/>
      <c r="H1052" s="2"/>
      <c r="I1052" s="2"/>
      <c r="J1052" s="2"/>
      <c r="K1052" s="2"/>
      <c r="L1052" s="2"/>
    </row>
    <row r="1053" spans="4:12" x14ac:dyDescent="0.35">
      <c r="D1053" s="2"/>
      <c r="E1053" s="2"/>
      <c r="F1053" s="2"/>
      <c r="G1053" s="2"/>
      <c r="H1053" s="2"/>
      <c r="I1053" s="2"/>
      <c r="J1053" s="2"/>
      <c r="K1053" s="2"/>
      <c r="L1053" s="2"/>
    </row>
    <row r="1054" spans="4:12" x14ac:dyDescent="0.35">
      <c r="D1054" s="2"/>
      <c r="E1054" s="2"/>
      <c r="F1054" s="2"/>
      <c r="G1054" s="2"/>
      <c r="H1054" s="2"/>
      <c r="I1054" s="2"/>
      <c r="J1054" s="2"/>
      <c r="K1054" s="2"/>
      <c r="L1054" s="2"/>
    </row>
    <row r="1055" spans="4:12" x14ac:dyDescent="0.35">
      <c r="D1055" s="2"/>
      <c r="E1055" s="2"/>
      <c r="F1055" s="2"/>
      <c r="G1055" s="2"/>
      <c r="H1055" s="2"/>
      <c r="I1055" s="2"/>
      <c r="J1055" s="2"/>
      <c r="K1055" s="2"/>
      <c r="L1055" s="2"/>
    </row>
    <row r="1056" spans="4:12" x14ac:dyDescent="0.35">
      <c r="D1056" s="2"/>
      <c r="E1056" s="2"/>
      <c r="F1056" s="2"/>
      <c r="G1056" s="2"/>
      <c r="H1056" s="2"/>
      <c r="I1056" s="2"/>
      <c r="J1056" s="2"/>
      <c r="K1056" s="2"/>
      <c r="L1056" s="2"/>
    </row>
    <row r="1057" spans="4:12" x14ac:dyDescent="0.35">
      <c r="D1057" s="2"/>
      <c r="E1057" s="2"/>
      <c r="F1057" s="2"/>
      <c r="G1057" s="2"/>
      <c r="H1057" s="2"/>
      <c r="I1057" s="2"/>
      <c r="J1057" s="2"/>
      <c r="K1057" s="2"/>
      <c r="L1057" s="2"/>
    </row>
    <row r="1058" spans="4:12" x14ac:dyDescent="0.35">
      <c r="D1058" s="2"/>
      <c r="E1058" s="2"/>
      <c r="F1058" s="2"/>
      <c r="G1058" s="2"/>
      <c r="H1058" s="2"/>
      <c r="I1058" s="2"/>
      <c r="J1058" s="2"/>
      <c r="K1058" s="2"/>
      <c r="L1058" s="2"/>
    </row>
    <row r="1059" spans="4:12" x14ac:dyDescent="0.35">
      <c r="D1059" s="2"/>
      <c r="E1059" s="2"/>
      <c r="F1059" s="2"/>
      <c r="G1059" s="2"/>
      <c r="H1059" s="2"/>
      <c r="I1059" s="2"/>
      <c r="J1059" s="2"/>
      <c r="K1059" s="2"/>
      <c r="L1059" s="2"/>
    </row>
    <row r="1060" spans="4:12" x14ac:dyDescent="0.35">
      <c r="D1060" s="2"/>
      <c r="E1060" s="2"/>
      <c r="F1060" s="2"/>
      <c r="G1060" s="2"/>
      <c r="H1060" s="2"/>
      <c r="I1060" s="2"/>
      <c r="J1060" s="2"/>
      <c r="K1060" s="2"/>
      <c r="L1060" s="2"/>
    </row>
    <row r="1061" spans="4:12" x14ac:dyDescent="0.35">
      <c r="D1061" s="2"/>
      <c r="E1061" s="2"/>
      <c r="F1061" s="2"/>
      <c r="G1061" s="2"/>
      <c r="H1061" s="2"/>
      <c r="I1061" s="2"/>
      <c r="J1061" s="2"/>
      <c r="K1061" s="2"/>
      <c r="L1061" s="2"/>
    </row>
    <row r="1062" spans="4:12" x14ac:dyDescent="0.35">
      <c r="D1062" s="2"/>
      <c r="E1062" s="2"/>
      <c r="F1062" s="2"/>
      <c r="G1062" s="2"/>
      <c r="H1062" s="2"/>
      <c r="I1062" s="2"/>
      <c r="J1062" s="2"/>
      <c r="K1062" s="2"/>
      <c r="L1062" s="2"/>
    </row>
    <row r="1063" spans="4:12" x14ac:dyDescent="0.35">
      <c r="D1063" s="2"/>
      <c r="E1063" s="2"/>
      <c r="F1063" s="2"/>
      <c r="G1063" s="2"/>
      <c r="H1063" s="2"/>
      <c r="I1063" s="2"/>
      <c r="J1063" s="2"/>
      <c r="K1063" s="2"/>
      <c r="L1063" s="2"/>
    </row>
    <row r="1064" spans="4:12" x14ac:dyDescent="0.35">
      <c r="D1064" s="2"/>
      <c r="E1064" s="2"/>
      <c r="F1064" s="2"/>
      <c r="G1064" s="2"/>
      <c r="H1064" s="2"/>
      <c r="I1064" s="2"/>
      <c r="J1064" s="2"/>
      <c r="K1064" s="2"/>
      <c r="L1064" s="2"/>
    </row>
    <row r="1065" spans="4:12" x14ac:dyDescent="0.35">
      <c r="D1065" s="2"/>
      <c r="E1065" s="2"/>
      <c r="F1065" s="2"/>
      <c r="G1065" s="2"/>
      <c r="H1065" s="2"/>
      <c r="I1065" s="2"/>
      <c r="J1065" s="2"/>
      <c r="K1065" s="2"/>
      <c r="L1065" s="2"/>
    </row>
    <row r="1066" spans="4:12" x14ac:dyDescent="0.35">
      <c r="D1066" s="2"/>
      <c r="E1066" s="2"/>
      <c r="F1066" s="2"/>
      <c r="G1066" s="2"/>
      <c r="H1066" s="2"/>
      <c r="I1066" s="2"/>
      <c r="J1066" s="2"/>
      <c r="K1066" s="2"/>
      <c r="L1066" s="2"/>
    </row>
    <row r="1067" spans="4:12" x14ac:dyDescent="0.35">
      <c r="D1067" s="2"/>
      <c r="E1067" s="2"/>
      <c r="F1067" s="2"/>
      <c r="G1067" s="2"/>
      <c r="H1067" s="2"/>
      <c r="I1067" s="2"/>
      <c r="J1067" s="2"/>
      <c r="K1067" s="2"/>
      <c r="L1067" s="2"/>
    </row>
    <row r="1068" spans="4:12" x14ac:dyDescent="0.35"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4:12" x14ac:dyDescent="0.35">
      <c r="D1069" s="2"/>
      <c r="E1069" s="2"/>
      <c r="F1069" s="2"/>
      <c r="G1069" s="2"/>
      <c r="H1069" s="2"/>
      <c r="I1069" s="2"/>
      <c r="J1069" s="2"/>
      <c r="K1069" s="2"/>
      <c r="L1069" s="2"/>
    </row>
    <row r="1070" spans="4:12" x14ac:dyDescent="0.35">
      <c r="D1070" s="2"/>
      <c r="E1070" s="2"/>
      <c r="F1070" s="2"/>
      <c r="G1070" s="2"/>
      <c r="H1070" s="2"/>
      <c r="I1070" s="2"/>
      <c r="J1070" s="2"/>
      <c r="K1070" s="2"/>
      <c r="L1070" s="2"/>
    </row>
    <row r="1071" spans="4:12" x14ac:dyDescent="0.35">
      <c r="D1071" s="2"/>
      <c r="E1071" s="2"/>
      <c r="F1071" s="2"/>
      <c r="G1071" s="2"/>
      <c r="H1071" s="2"/>
      <c r="I1071" s="2"/>
      <c r="J1071" s="2"/>
      <c r="K1071" s="2"/>
      <c r="L1071" s="2"/>
    </row>
    <row r="1072" spans="4:12" x14ac:dyDescent="0.35">
      <c r="D1072" s="2"/>
      <c r="E1072" s="2"/>
      <c r="F1072" s="2"/>
      <c r="G1072" s="2"/>
      <c r="H1072" s="2"/>
      <c r="I1072" s="2"/>
      <c r="J1072" s="2"/>
      <c r="K1072" s="2"/>
      <c r="L1072" s="2"/>
    </row>
    <row r="1073" spans="4:12" x14ac:dyDescent="0.35">
      <c r="D1073" s="2"/>
      <c r="E1073" s="2"/>
      <c r="F1073" s="2"/>
      <c r="G1073" s="2"/>
      <c r="H1073" s="2"/>
      <c r="I1073" s="2"/>
      <c r="J1073" s="2"/>
      <c r="K1073" s="2"/>
      <c r="L1073" s="2"/>
    </row>
    <row r="1074" spans="4:12" x14ac:dyDescent="0.35">
      <c r="D1074" s="2"/>
      <c r="E1074" s="2"/>
      <c r="F1074" s="2"/>
      <c r="G1074" s="2"/>
      <c r="H1074" s="2"/>
      <c r="I1074" s="2"/>
      <c r="J1074" s="2"/>
      <c r="K1074" s="2"/>
      <c r="L1074" s="2"/>
    </row>
    <row r="1075" spans="4:12" x14ac:dyDescent="0.35">
      <c r="D1075" s="2"/>
      <c r="E1075" s="2"/>
      <c r="F1075" s="2"/>
      <c r="G1075" s="2"/>
      <c r="H1075" s="2"/>
      <c r="I1075" s="2"/>
      <c r="J1075" s="2"/>
      <c r="K1075" s="2"/>
      <c r="L1075" s="2"/>
    </row>
    <row r="1076" spans="4:12" x14ac:dyDescent="0.35">
      <c r="D1076" s="2"/>
      <c r="E1076" s="2"/>
      <c r="F1076" s="2"/>
      <c r="G1076" s="2"/>
      <c r="H1076" s="2"/>
      <c r="I1076" s="2"/>
      <c r="J1076" s="2"/>
      <c r="K1076" s="2"/>
      <c r="L1076" s="2"/>
    </row>
    <row r="1077" spans="4:12" x14ac:dyDescent="0.35">
      <c r="D1077" s="2"/>
      <c r="E1077" s="2"/>
      <c r="F1077" s="2"/>
      <c r="G1077" s="2"/>
      <c r="H1077" s="2"/>
      <c r="I1077" s="2"/>
      <c r="J1077" s="2"/>
      <c r="K1077" s="2"/>
      <c r="L1077" s="2"/>
    </row>
    <row r="1078" spans="4:12" x14ac:dyDescent="0.35">
      <c r="D1078" s="2"/>
      <c r="E1078" s="2"/>
      <c r="F1078" s="2"/>
      <c r="G1078" s="2"/>
      <c r="H1078" s="2"/>
      <c r="I1078" s="2"/>
      <c r="J1078" s="2"/>
      <c r="K1078" s="2"/>
      <c r="L1078" s="2"/>
    </row>
    <row r="1079" spans="4:12" x14ac:dyDescent="0.35">
      <c r="D1079" s="2"/>
      <c r="E1079" s="2"/>
      <c r="F1079" s="2"/>
      <c r="G1079" s="2"/>
      <c r="H1079" s="2"/>
      <c r="I1079" s="2"/>
      <c r="J1079" s="2"/>
      <c r="K1079" s="2"/>
      <c r="L1079" s="2"/>
    </row>
    <row r="1080" spans="4:12" x14ac:dyDescent="0.35">
      <c r="D1080" s="2"/>
      <c r="E1080" s="2"/>
      <c r="F1080" s="2"/>
      <c r="G1080" s="2"/>
      <c r="H1080" s="2"/>
      <c r="I1080" s="2"/>
      <c r="J1080" s="2"/>
      <c r="K1080" s="2"/>
      <c r="L1080" s="2"/>
    </row>
    <row r="1081" spans="4:12" x14ac:dyDescent="0.35"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4:12" x14ac:dyDescent="0.35">
      <c r="D1082" s="2"/>
      <c r="E1082" s="2"/>
      <c r="F1082" s="2"/>
      <c r="G1082" s="2"/>
      <c r="H1082" s="2"/>
      <c r="I1082" s="2"/>
      <c r="J1082" s="2"/>
      <c r="K1082" s="2"/>
      <c r="L1082" s="2"/>
    </row>
    <row r="1083" spans="4:12" x14ac:dyDescent="0.35">
      <c r="D1083" s="2"/>
      <c r="E1083" s="2"/>
      <c r="F1083" s="2"/>
      <c r="G1083" s="2"/>
      <c r="H1083" s="2"/>
      <c r="I1083" s="2"/>
      <c r="J1083" s="2"/>
      <c r="K1083" s="2"/>
      <c r="L1083" s="2"/>
    </row>
    <row r="1084" spans="4:12" x14ac:dyDescent="0.35">
      <c r="D1084" s="2"/>
      <c r="E1084" s="2"/>
      <c r="F1084" s="2"/>
      <c r="G1084" s="2"/>
      <c r="H1084" s="2"/>
      <c r="I1084" s="2"/>
      <c r="J1084" s="2"/>
      <c r="K1084" s="2"/>
      <c r="L1084" s="2"/>
    </row>
    <row r="1085" spans="4:12" x14ac:dyDescent="0.35">
      <c r="D1085" s="2"/>
      <c r="E1085" s="2"/>
      <c r="F1085" s="2"/>
      <c r="G1085" s="2"/>
      <c r="H1085" s="2"/>
      <c r="I1085" s="2"/>
      <c r="J1085" s="2"/>
      <c r="K1085" s="2"/>
      <c r="L1085" s="2"/>
    </row>
    <row r="1086" spans="4:12" x14ac:dyDescent="0.35">
      <c r="D1086" s="2"/>
      <c r="E1086" s="2"/>
      <c r="F1086" s="2"/>
      <c r="G1086" s="2"/>
      <c r="H1086" s="2"/>
      <c r="I1086" s="2"/>
      <c r="J1086" s="2"/>
      <c r="K1086" s="2"/>
      <c r="L1086" s="2"/>
    </row>
    <row r="1087" spans="4:12" x14ac:dyDescent="0.35">
      <c r="D1087" s="2"/>
      <c r="E1087" s="2"/>
      <c r="F1087" s="2"/>
      <c r="G1087" s="2"/>
      <c r="H1087" s="2"/>
      <c r="I1087" s="2"/>
      <c r="J1087" s="2"/>
      <c r="K1087" s="2"/>
      <c r="L1087" s="2"/>
    </row>
    <row r="1088" spans="4:12" x14ac:dyDescent="0.35">
      <c r="D1088" s="2"/>
      <c r="E1088" s="2"/>
      <c r="F1088" s="2"/>
      <c r="G1088" s="2"/>
      <c r="H1088" s="2"/>
      <c r="I1088" s="2"/>
      <c r="J1088" s="2"/>
      <c r="K1088" s="2"/>
      <c r="L1088" s="2"/>
    </row>
    <row r="1089" spans="4:12" x14ac:dyDescent="0.35">
      <c r="D1089" s="2"/>
      <c r="E1089" s="2"/>
      <c r="F1089" s="2"/>
      <c r="G1089" s="2"/>
      <c r="H1089" s="2"/>
      <c r="I1089" s="2"/>
      <c r="J1089" s="2"/>
      <c r="K1089" s="2"/>
      <c r="L1089" s="2"/>
    </row>
    <row r="1090" spans="4:12" x14ac:dyDescent="0.35">
      <c r="D1090" s="2"/>
      <c r="E1090" s="2"/>
      <c r="F1090" s="2"/>
      <c r="G1090" s="2"/>
      <c r="H1090" s="2"/>
      <c r="I1090" s="2"/>
      <c r="J1090" s="2"/>
      <c r="K1090" s="2"/>
      <c r="L1090" s="2"/>
    </row>
    <row r="1091" spans="4:12" x14ac:dyDescent="0.35">
      <c r="D1091" s="2"/>
      <c r="E1091" s="2"/>
      <c r="F1091" s="2"/>
      <c r="G1091" s="2"/>
      <c r="H1091" s="2"/>
      <c r="I1091" s="2"/>
      <c r="J1091" s="2"/>
      <c r="K1091" s="2"/>
      <c r="L1091" s="2"/>
    </row>
    <row r="1092" spans="4:12" x14ac:dyDescent="0.35">
      <c r="D1092" s="2"/>
      <c r="E1092" s="2"/>
      <c r="F1092" s="2"/>
      <c r="G1092" s="2"/>
      <c r="H1092" s="2"/>
      <c r="I1092" s="2"/>
      <c r="J1092" s="2"/>
      <c r="K1092" s="2"/>
      <c r="L1092" s="2"/>
    </row>
    <row r="1093" spans="4:12" x14ac:dyDescent="0.35">
      <c r="D1093" s="2"/>
      <c r="E1093" s="2"/>
      <c r="F1093" s="2"/>
      <c r="G1093" s="2"/>
      <c r="H1093" s="2"/>
      <c r="I1093" s="2"/>
      <c r="J1093" s="2"/>
      <c r="K1093" s="2"/>
      <c r="L1093" s="2"/>
    </row>
    <row r="1094" spans="4:12" x14ac:dyDescent="0.35">
      <c r="D1094" s="2"/>
      <c r="E1094" s="2"/>
      <c r="F1094" s="2"/>
      <c r="G1094" s="2"/>
      <c r="H1094" s="2"/>
      <c r="I1094" s="2"/>
      <c r="J1094" s="2"/>
      <c r="K1094" s="2"/>
      <c r="L1094" s="2"/>
    </row>
    <row r="1095" spans="4:12" x14ac:dyDescent="0.35">
      <c r="D1095" s="2"/>
      <c r="E1095" s="2"/>
      <c r="F1095" s="2"/>
      <c r="G1095" s="2"/>
      <c r="H1095" s="2"/>
      <c r="I1095" s="2"/>
      <c r="J1095" s="2"/>
      <c r="K1095" s="2"/>
      <c r="L1095" s="2"/>
    </row>
    <row r="1096" spans="4:12" x14ac:dyDescent="0.35">
      <c r="D1096" s="2"/>
      <c r="E1096" s="2"/>
      <c r="F1096" s="2"/>
      <c r="G1096" s="2"/>
      <c r="H1096" s="2"/>
      <c r="I1096" s="2"/>
      <c r="J1096" s="2"/>
      <c r="K1096" s="2"/>
      <c r="L1096" s="2"/>
    </row>
    <row r="1097" spans="4:12" x14ac:dyDescent="0.35">
      <c r="D1097" s="2"/>
      <c r="E1097" s="2"/>
      <c r="F1097" s="2"/>
      <c r="G1097" s="2"/>
      <c r="H1097" s="2"/>
      <c r="I1097" s="2"/>
      <c r="J1097" s="2"/>
      <c r="K1097" s="2"/>
      <c r="L1097" s="2"/>
    </row>
    <row r="1098" spans="4:12" x14ac:dyDescent="0.35">
      <c r="D1098" s="2"/>
      <c r="E1098" s="2"/>
      <c r="F1098" s="2"/>
      <c r="G1098" s="2"/>
      <c r="H1098" s="2"/>
      <c r="I1098" s="2"/>
      <c r="J1098" s="2"/>
      <c r="K1098" s="2"/>
      <c r="L1098" s="2"/>
    </row>
    <row r="1099" spans="4:12" x14ac:dyDescent="0.35">
      <c r="D1099" s="2"/>
      <c r="E1099" s="2"/>
      <c r="F1099" s="2"/>
      <c r="G1099" s="2"/>
      <c r="H1099" s="2"/>
      <c r="I1099" s="2"/>
      <c r="J1099" s="2"/>
      <c r="K1099" s="2"/>
      <c r="L1099" s="2"/>
    </row>
    <row r="1100" spans="4:12" x14ac:dyDescent="0.35">
      <c r="D1100" s="2"/>
      <c r="E1100" s="2"/>
      <c r="F1100" s="2"/>
      <c r="G1100" s="2"/>
      <c r="H1100" s="2"/>
      <c r="I1100" s="2"/>
      <c r="J1100" s="2"/>
      <c r="K1100" s="2"/>
      <c r="L1100" s="2"/>
    </row>
    <row r="1101" spans="4:12" x14ac:dyDescent="0.35">
      <c r="D1101" s="2"/>
      <c r="E1101" s="2"/>
      <c r="F1101" s="2"/>
      <c r="G1101" s="2"/>
      <c r="H1101" s="2"/>
      <c r="I1101" s="2"/>
      <c r="J1101" s="2"/>
      <c r="K1101" s="2"/>
      <c r="L1101" s="2"/>
    </row>
    <row r="1102" spans="4:12" x14ac:dyDescent="0.35">
      <c r="D1102" s="2"/>
      <c r="E1102" s="2"/>
      <c r="F1102" s="2"/>
      <c r="G1102" s="2"/>
      <c r="H1102" s="2"/>
      <c r="I1102" s="2"/>
      <c r="J1102" s="2"/>
      <c r="K1102" s="2"/>
      <c r="L1102" s="2"/>
    </row>
  </sheetData>
  <sortState xmlns:xlrd2="http://schemas.microsoft.com/office/spreadsheetml/2017/richdata2" ref="C5:C1100">
    <sortCondition ref="C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045EB7-0ACE-4862-95B1-78686FE94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b422-a6f4-4b6d-a699-15e0adf0131b"/>
    <ds:schemaRef ds:uri="a1feda3e-9ebc-462f-b638-5fefd6b1a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51B51E-7260-42B5-A5E9-088743044A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 table</vt:lpstr>
      <vt:lpstr>BaseCoalPlants</vt:lpstr>
      <vt:lpstr>LifeExtn techs</vt:lpstr>
      <vt:lpstr>Tech availbility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Kaplan, Ozge (she/her/hers)</cp:lastModifiedBy>
  <dcterms:created xsi:type="dcterms:W3CDTF">2009-05-27T15:40:55Z</dcterms:created>
  <dcterms:modified xsi:type="dcterms:W3CDTF">2024-10-05T00:38:29Z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19c7cb23-8b96-4f45-a99d-419cc0f46155</vt:lpwstr>
  </property>
  <property fmtid="{D5CDD505-2E9C-101B-9397-08002B2CF9AE}" pid="3" name="SaveCode">
    <vt:r8>154155910015106</vt:r8>
  </property>
</Properties>
</file>